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
    </mc:Choice>
  </mc:AlternateContent>
  <bookViews>
    <workbookView xWindow="0" yWindow="0" windowWidth="20490" windowHeight="9045" tabRatio="883" firstSheet="1" activeTab="12"/>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'Operator'!$A$1:$C$6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<sst xmlns="http://schemas.openxmlformats.org/spreadsheetml/2006/main" count="6344" uniqueCount="6344">
  <si>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</si>
  <si>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</si>
  <si>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</si>
  <si>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</si>
  <si>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</si>
  <si>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</si>
  <si>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</si>
  <si>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</si>
  <si>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</si>
  <si>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</si>
  <si>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</si>
  <si>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</si>
  <si>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</si>
  <si>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</si>
  <si>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</si>
  <si>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</si>
  <si>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</si>
  <si>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</si>
  <si>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</si>
  <si>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</si>
  <si>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</si>
  <si>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</si>
  <si>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</si>
  <si>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</si>
  <si>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</si>
  <si>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</si>
  <si>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</si>
  <si>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</si>
  <si>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</si>
  <si>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</si>
  <si>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</si>
  <si>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</si>
  <si>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</si>
  <si>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</si>
  <si>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</si>
  <si>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</si>
  <si>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</si>
  <si>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</si>
  <si>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</si>
  <si>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</si>
  <si>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</si>
  <si>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</si>
  <si>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</si>
  <si>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</si>
  <si>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</si>
  <si>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</si>
  <si>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</si>
  <si>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</si>
  <si>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</si>
  <si>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</si>
  <si>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</si>
  <si>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</si>
  <si>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</si>
  <si>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</si>
  <si>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</si>
  <si>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</si>
  <si>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</si>
  <si>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</si>
  <si>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</si>
  <si>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</si>
  <si>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</si>
  <si>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</si>
  <si>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</si>
  <si>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</si>
  <si>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</si>
  <si>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</si>
  <si>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</si>
  <si>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</si>
  <si>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</si>
  <si>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</si>
  <si>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</si>
  <si>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</si>
  <si>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</si>
  <si>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</si>
  <si>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</si>
  <si>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</si>
  <si>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</si>
  <si>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</si>
  <si>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</si>
  <si>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</si>
  <si>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</si>
  <si>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</si>
  <si>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</si>
  <si>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</si>
  <si>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</si>
  <si>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</si>
  <si>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</si>
  <si>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</si>
  <si>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</si>
  <si>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</si>
  <si>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</si>
  <si>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</si>
  <si>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</si>
  <si>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</si>
  <si>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</si>
  <si>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</si>
  <si>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</si>
  <si>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</si>
  <si>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</si>
  <si>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</si>
  <si>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</si>
  <si>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</si>
  <si>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</si>
  <si>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</si>
  <si>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</si>
  <si>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</si>
  <si>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</si>
  <si>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</si>
  <si>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</si>
  <si>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</si>
  <si>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</si>
  <si>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</si>
  <si>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</si>
  <si>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</si>
  <si>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</si>
  <si>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</si>
  <si>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</si>
  <si>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</si>
  <si>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</si>
  <si>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</si>
  <si>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</si>
  <si>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</si>
  <si>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</si>
  <si>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</si>
  <si>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</si>
  <si>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</si>
  <si>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</si>
  <si>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</si>
  <si>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</si>
  <si>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</si>
  <si>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</si>
  <si>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</si>
  <si>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</si>
  <si>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</si>
  <si>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</si>
  <si>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</si>
  <si>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</si>
  <si>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</si>
  <si>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</si>
  <si>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</si>
  <si>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</si>
  <si>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</si>
  <si>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</si>
  <si>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</si>
  <si>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</si>
  <si>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</si>
  <si>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</si>
  <si>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</si>
  <si>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</si>
  <si>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</si>
  <si>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</si>
  <si>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</si>
  <si>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</si>
  <si>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</si>
  <si>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</si>
  <si>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</si>
  <si>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</si>
  <si>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</si>
  <si>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</si>
  <si>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</si>
  <si>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</si>
  <si>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</si>
  <si>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</si>
  <si>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</si>
  <si>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</si>
  <si>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MBF-HCM</t>
  </si>
  <si>
    <t>MOBIFONE</t>
  </si>
  <si>
    <t>H02086</t>
  </si>
  <si>
    <t>Số 5, đường Dương Văn An, khu phố 5, phường An Phú, quận 2, thành phố Hồ Chí Minh.</t>
  </si>
  <si>
    <t>106,74398</t>
  </si>
  <si>
    <t xml:space="preserve"> 10,79946</t>
  </si>
  <si>
    <t>1700733/17/TG/TT2</t>
  </si>
  <si>
    <t>03/07/2017</t>
  </si>
  <si>
    <t>29/06/2017</t>
  </si>
  <si>
    <t>TỔNG CÔNG TY VIỄN THÔNG MOBIFONE</t>
  </si>
  <si>
    <t>ERICSSON RBS 6601</t>
  </si>
  <si>
    <t>3/3/3</t>
  </si>
  <si>
    <t>60W/60W/60W</t>
  </si>
  <si>
    <t>U2100</t>
  </si>
  <si>
    <t>24m/ 24m/ 24m</t>
  </si>
  <si>
    <t>Số 5, đường Dương Văn An, khu phố 5, phường An Phú, quận 2, thành phố Hồ Chí Minh</t>
  </si>
  <si>
    <t>S-Wave U-65-18DV10</t>
  </si>
  <si>
    <t>TRUNG TÂM ĐO KIỂM VÀ SỬA CHỮA THIẾT BỊ VIỄN THÔNG MOBIFONE - CHI NHÁNH TỔNG CÔNG TY VIỄN THÔNG MOBIFONE</t>
  </si>
  <si>
    <t>thành phố Hồ Chí Minh.</t>
  </si>
  <si>
    <t>quận 2</t>
  </si>
  <si>
    <t>phường An Phú</t>
  </si>
  <si>
    <t/>
  </si>
  <si>
    <t>60W/ 60W/ 60W</t>
  </si>
  <si>
    <t>TG05</t>
  </si>
  <si>
    <t>30/03/2020</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</si>
  <si>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</si>
  <si>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</si>
  <si>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</si>
  <si>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</si>
  <si>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</si>
  <si>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</si>
  <si>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</si>
  <si>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</si>
  <si>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</si>
  <si>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</si>
  <si>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</si>
  <si>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</si>
  <si>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</si>
  <si>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</si>
  <si>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</si>
  <si>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</si>
  <si>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</si>
  <si>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</si>
  <si>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</si>
  <si>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</si>
  <si>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</si>
  <si>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</si>
  <si>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</si>
  <si>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</si>
  <si>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</si>
  <si>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</si>
  <si>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</si>
  <si>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</si>
  <si>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</si>
  <si>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</si>
  <si>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</si>
  <si>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</si>
  <si>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</si>
  <si>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</si>
  <si>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</si>
  <si>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</si>
  <si>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</si>
  <si>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</si>
  <si>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</si>
  <si>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</si>
  <si>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</si>
  <si>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</si>
  <si>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</si>
  <si>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</si>
  <si>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</si>
  <si>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</si>
  <si>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</si>
  <si>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</si>
  <si>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</si>
  <si>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</si>
  <si>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</si>
  <si>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</si>
  <si>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</si>
  <si>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</si>
  <si>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</si>
  <si>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</si>
  <si>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</si>
  <si>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</si>
  <si>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</si>
  <si>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</si>
  <si>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</si>
  <si>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</si>
  <si>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</si>
  <si>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</si>
  <si>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</si>
  <si>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</si>
  <si>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</si>
  <si>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</si>
  <si>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</si>
  <si>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</si>
  <si>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</si>
  <si>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</si>
  <si>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</si>
  <si>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</si>
  <si>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</si>
  <si>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</si>
  <si>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</si>
  <si>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</si>
  <si>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</si>
  <si>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</si>
  <si>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</si>
  <si>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</si>
  <si>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</si>
  <si>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</si>
  <si>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</si>
  <si>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</si>
  <si>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</si>
  <si>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</si>
  <si>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</si>
  <si>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</si>
  <si>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</si>
  <si>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</si>
  <si>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</si>
  <si>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</si>
  <si>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</si>
  <si>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</si>
  <si>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</si>
  <si>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</si>
  <si>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</si>
  <si>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</si>
  <si>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</si>
  <si>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</si>
  <si>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</si>
  <si>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</si>
  <si>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</si>
  <si>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</si>
  <si>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</si>
  <si>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</si>
  <si>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</si>
  <si>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</si>
  <si>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</si>
  <si>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</si>
  <si>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</si>
  <si>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</si>
  <si>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</si>
  <si>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</si>
  <si>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</si>
  <si>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</si>
  <si>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</si>
  <si>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</si>
  <si>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</si>
  <si>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</si>
  <si>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</si>
  <si>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</si>
  <si>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</si>
  <si>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</si>
  <si>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</si>
  <si>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</si>
  <si>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</si>
  <si>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</si>
  <si>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</si>
  <si>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</si>
  <si>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</si>
  <si>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</si>
  <si>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</si>
  <si>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</si>
  <si>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</si>
  <si>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</si>
  <si>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</si>
  <si>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</si>
  <si>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</si>
  <si>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</si>
  <si>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</si>
  <si>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</si>
  <si>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</si>
  <si>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</si>
  <si>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</si>
  <si>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</si>
  <si>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</si>
  <si>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</si>
  <si>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</si>
  <si>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</si>
  <si>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</si>
  <si>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</si>
  <si>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</si>
  <si>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</si>
  <si>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</si>
  <si>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</si>
  <si>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</si>
  <si>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</si>
  <si>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</si>
  <si>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</si>
  <si>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</si>
  <si>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</si>
  <si>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</si>
  <si>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</si>
  <si>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</si>
  <si>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</si>
  <si>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</si>
  <si>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</si>
  <si>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</si>
  <si>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</si>
  <si>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</si>
  <si>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</si>
  <si>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</si>
  <si>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</si>
  <si>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</si>
  <si>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</si>
  <si>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</si>
  <si>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</si>
  <si>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</si>
  <si>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</si>
  <si>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</si>
  <si>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</si>
  <si>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</si>
  <si>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</si>
  <si>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</si>
  <si>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</si>
  <si>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</si>
  <si>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</si>
  <si>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</si>
  <si>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</si>
  <si>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</si>
  <si>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</si>
  <si>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</si>
  <si>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</si>
  <si>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</si>
  <si>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</si>
  <si>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</si>
  <si>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</si>
  <si>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</si>
  <si>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</si>
  <si>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</si>
  <si>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</si>
  <si>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</si>
  <si>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</si>
  <si>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</si>
  <si>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</si>
  <si>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</si>
  <si>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</si>
  <si>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</si>
  <si>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</si>
  <si>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</si>
  <si>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</si>
  <si>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</si>
  <si>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</si>
  <si>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</si>
  <si>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</si>
  <si>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</si>
  <si>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</si>
  <si>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</si>
  <si>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</si>
  <si>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</si>
  <si>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</si>
  <si>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</si>
  <si>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</si>
  <si>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</si>
  <si>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</si>
  <si>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</si>
  <si>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</si>
  <si>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</si>
  <si>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STT</t>
  </si>
  <si>
    <t>Số HS</t>
  </si>
  <si>
    <t>Số Kết quả đo kiểm định</t>
  </si>
  <si>
    <t>Đo phơi nhiễm</t>
  </si>
  <si>
    <t>Giới hạn an toàn</t>
  </si>
  <si>
    <t>Đơn vị dùng chung cơ sở hạ tầng</t>
  </si>
  <si>
    <t>Số GCN dự kiến</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</si>
  <si>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</si>
  <si>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</si>
  <si>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</si>
  <si>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</si>
  <si>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</si>
  <si>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</si>
  <si>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</si>
  <si>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</si>
  <si>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</si>
  <si>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</si>
  <si>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</si>
  <si>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</si>
  <si>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</si>
  <si>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</si>
  <si>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</si>
  <si>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</si>
  <si>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False</t>
  </si>
  <si>
    <t>True</t>
  </si>
  <si>
    <t>35</t>
  </si>
  <si>
    <t>CHI NHÁNH VIETTEL TẠI TPHCM</t>
  </si>
  <si>
    <t>quận Phú Nhuận</t>
  </si>
  <si>
    <t>phường 8</t>
  </si>
  <si>
    <t>VIETTE</t>
  </si>
  <si>
    <t>03/03/2019</t>
  </si>
  <si>
    <t>Stt</t>
  </si>
  <si>
    <t>BTSNo</t>
  </si>
  <si>
    <t>FileName</t>
  </si>
  <si>
    <t>Comment</t>
  </si>
  <si>
    <t>GCN_1BTS</t>
  </si>
  <si>
    <t>GCN_2BTS</t>
  </si>
  <si>
    <t>GCN_3BTS</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</si>
  <si>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</si>
  <si>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</si>
  <si>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</si>
  <si>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</si>
  <si>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</si>
  <si>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</si>
  <si>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</si>
  <si>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</si>
  <si>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</si>
  <si>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</si>
  <si>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</si>
  <si>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</si>
  <si>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</si>
  <si>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</si>
  <si>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</si>
  <si>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</si>
  <si>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</si>
  <si>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</si>
  <si>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</si>
  <si>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</si>
  <si>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</si>
  <si>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</si>
  <si>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</si>
  <si>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</si>
  <si>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</si>
  <si>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</si>
  <si>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</si>
  <si>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</si>
  <si>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</si>
  <si>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</si>
  <si>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</si>
  <si>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</si>
  <si>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</si>
  <si>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</si>
  <si>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</si>
  <si>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</si>
  <si>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</si>
  <si>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</si>
  <si>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</si>
  <si>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</si>
  <si>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</si>
  <si>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</si>
  <si>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</si>
  <si>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</si>
  <si>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</si>
  <si>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</si>
  <si>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</si>
  <si>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</si>
  <si>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</si>
  <si>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</si>
  <si>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</si>
  <si>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</si>
  <si>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</si>
  <si>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</si>
  <si>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</si>
  <si>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</si>
  <si>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</si>
  <si>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</si>
  <si>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</si>
  <si>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</si>
  <si>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</si>
  <si>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</si>
  <si>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</si>
  <si>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</si>
  <si>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</si>
  <si>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</si>
  <si>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</si>
  <si>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</si>
  <si>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</si>
  <si>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</si>
  <si>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</si>
  <si>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</si>
  <si>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</si>
  <si>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</si>
  <si>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</si>
  <si>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</si>
  <si>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</si>
  <si>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</si>
  <si>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</si>
  <si>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</si>
  <si>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</si>
  <si>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</si>
  <si>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</si>
  <si>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</si>
  <si>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</si>
  <si>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</si>
  <si>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</si>
  <si>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</si>
  <si>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</si>
  <si>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</si>
  <si>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</si>
  <si>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</si>
  <si>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</si>
  <si>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</si>
  <si>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</si>
  <si>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</si>
  <si>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</si>
  <si>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</si>
  <si>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</si>
  <si>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718/CV-TT.ĐKSC-CNHCM</t>
  </si>
  <si>
    <t>28/PKĐ-TT2</t>
  </si>
  <si>
    <t>Equipment</t>
  </si>
  <si>
    <t>Công suất phát danh định/ máy phát</t>
  </si>
  <si>
    <t>Band</t>
  </si>
  <si>
    <t>TX</t>
  </si>
  <si>
    <t>Suy hao combiner/diplexer</t>
  </si>
  <si>
    <t>VINAPHONE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</si>
  <si>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</si>
  <si>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</si>
  <si>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</si>
  <si>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</si>
  <si>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</si>
  <si>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</si>
  <si>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</si>
  <si>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</si>
  <si>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</si>
  <si>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</si>
  <si>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</si>
  <si>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</si>
  <si>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</si>
  <si>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</si>
  <si>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</si>
  <si>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</si>
  <si>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</si>
  <si>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</si>
  <si>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</si>
  <si>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</si>
  <si>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</si>
  <si>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</si>
  <si>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</si>
  <si>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</si>
  <si>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</si>
  <si>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</si>
  <si>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</si>
  <si>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</si>
  <si>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</si>
  <si>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</si>
  <si>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</si>
  <si>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</si>
  <si>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</si>
  <si>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</si>
  <si>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</si>
  <si>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</si>
  <si>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</si>
  <si>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</si>
  <si>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</si>
  <si>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</si>
  <si>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</si>
  <si>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</si>
  <si>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</si>
  <si>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</si>
  <si>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</si>
  <si>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</si>
  <si>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</si>
  <si>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</si>
  <si>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</si>
  <si>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</si>
  <si>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</si>
  <si>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</si>
  <si>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</si>
  <si>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</si>
  <si>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</si>
  <si>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</si>
  <si>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</si>
  <si>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</si>
  <si>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</si>
  <si>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</si>
  <si>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</si>
  <si>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</si>
  <si>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</si>
  <si>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</si>
  <si>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</si>
  <si>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</si>
  <si>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</si>
  <si>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</si>
  <si>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</si>
  <si>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</si>
  <si>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</si>
  <si>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</si>
  <si>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</si>
  <si>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</si>
  <si>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</si>
  <si>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</si>
  <si>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</si>
  <si>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</si>
  <si>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</si>
  <si>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</si>
  <si>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</si>
  <si>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</si>
  <si>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</si>
  <si>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</si>
  <si>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</si>
  <si>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</si>
  <si>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</si>
  <si>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</si>
  <si>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</si>
  <si>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</si>
  <si>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</si>
  <si>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</si>
  <si>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</si>
  <si>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</si>
  <si>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</si>
  <si>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</si>
  <si>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</si>
  <si>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</si>
  <si>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</si>
  <si>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</si>
  <si>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</si>
  <si>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</si>
  <si>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</si>
  <si>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</si>
  <si>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</si>
  <si>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</si>
  <si>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</si>
  <si>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</si>
  <si>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</si>
  <si>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</si>
  <si>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</si>
  <si>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</si>
  <si>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</si>
  <si>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</si>
  <si>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</si>
  <si>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</si>
  <si>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</si>
  <si>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</si>
  <si>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</si>
  <si>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</si>
  <si>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</si>
  <si>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</si>
  <si>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</si>
  <si>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</si>
  <si>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</si>
  <si>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</si>
  <si>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</si>
  <si>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</si>
  <si>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</si>
  <si>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</si>
  <si>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</si>
  <si>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</si>
  <si>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</si>
  <si>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</si>
  <si>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</si>
  <si>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</si>
  <si>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</si>
  <si>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</si>
  <si>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</si>
  <si>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</si>
  <si>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</si>
  <si>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</si>
  <si>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</si>
  <si>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</si>
  <si>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</si>
  <si>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</si>
  <si>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</si>
  <si>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</si>
  <si>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</si>
  <si>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</si>
  <si>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</si>
  <si>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</si>
  <si>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</si>
  <si>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</si>
  <si>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</si>
  <si>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</si>
  <si>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</si>
  <si>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</si>
  <si>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</si>
  <si>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</si>
  <si>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</si>
  <si>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</si>
  <si>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</si>
  <si>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</si>
  <si>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</si>
  <si>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</si>
  <si>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</si>
  <si>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</si>
  <si>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</si>
  <si>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</si>
  <si>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</si>
  <si>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</si>
  <si>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</si>
  <si>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</si>
  <si>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</si>
  <si>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</si>
  <si>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</si>
  <si>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</si>
  <si>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</si>
  <si>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</si>
  <si>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</si>
  <si>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</si>
  <si>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</si>
  <si>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</si>
  <si>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</si>
  <si>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</si>
  <si>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</si>
  <si>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</si>
  <si>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</si>
  <si>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</si>
  <si>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</si>
  <si>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</si>
  <si>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</si>
  <si>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</si>
  <si>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</si>
  <si>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</si>
  <si>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</si>
  <si>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</si>
  <si>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</si>
  <si>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</si>
  <si>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</si>
  <si>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</si>
  <si>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</si>
  <si>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</si>
  <si>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</si>
  <si>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</si>
  <si>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</si>
  <si>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</si>
  <si>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</si>
  <si>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</si>
  <si>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</si>
  <si>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</si>
  <si>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</si>
  <si>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</si>
  <si>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</si>
  <si>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</si>
  <si>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</si>
  <si>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</si>
  <si>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</si>
  <si>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</si>
  <si>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</si>
  <si>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</si>
  <si>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</si>
  <si>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</si>
  <si>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</si>
  <si>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</si>
  <si>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</si>
  <si>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</si>
  <si>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</si>
  <si>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</si>
  <si>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</si>
  <si>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</si>
  <si>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</si>
  <si>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</si>
  <si>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</si>
  <si>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</si>
  <si>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</si>
  <si>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</si>
  <si>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</si>
  <si>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</si>
  <si>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</si>
  <si>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</si>
  <si>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</si>
  <si>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</si>
  <si>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</si>
  <si>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</si>
  <si>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</si>
  <si>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</si>
  <si>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</si>
  <si>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</si>
  <si>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</si>
  <si>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</si>
  <si>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</si>
  <si>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</si>
  <si>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</si>
  <si>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</si>
  <si>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</si>
  <si>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</si>
  <si>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</si>
  <si>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</si>
  <si>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</si>
  <si>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</si>
  <si>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</si>
  <si>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</si>
  <si>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</si>
  <si>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</si>
  <si>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</si>
  <si>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</si>
  <si>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</si>
  <si>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</si>
  <si>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</si>
  <si>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</si>
  <si>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</si>
  <si>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</si>
  <si>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</si>
  <si>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</si>
  <si>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</si>
  <si>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</si>
  <si>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</si>
  <si>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</si>
  <si>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</si>
  <si>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</si>
  <si>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</si>
  <si>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</si>
  <si>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</si>
  <si>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</si>
  <si>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</si>
  <si>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</si>
  <si>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</si>
  <si>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</si>
  <si>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</si>
  <si>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</si>
  <si>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</si>
  <si>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</si>
  <si>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</si>
  <si>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</si>
  <si>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</si>
  <si>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</si>
  <si>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</si>
  <si>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</si>
  <si>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</si>
  <si>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</si>
  <si>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</si>
  <si>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</si>
  <si>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</si>
  <si>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</si>
  <si>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</si>
  <si>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</si>
  <si>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</si>
  <si>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</si>
  <si>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</si>
  <si>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</si>
  <si>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</si>
  <si>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</si>
  <si>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</si>
  <si>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</si>
  <si>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</si>
  <si>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</si>
  <si>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</si>
  <si>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</si>
  <si>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</si>
  <si>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</si>
  <si>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</si>
  <si>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</si>
  <si>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</si>
  <si>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</si>
  <si>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</si>
  <si>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</si>
  <si>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</si>
  <si>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</si>
  <si>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</si>
  <si>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</si>
  <si>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</si>
  <si>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</si>
  <si>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</si>
  <si>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</si>
  <si>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</si>
  <si>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</si>
  <si>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</si>
  <si>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</si>
  <si>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</si>
  <si>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</si>
  <si>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</si>
  <si>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</si>
  <si>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</si>
  <si>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</si>
  <si>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</si>
  <si>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</si>
  <si>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</si>
  <si>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</si>
  <si>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</si>
  <si>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</si>
  <si>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</si>
  <si>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</si>
  <si>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</si>
  <si>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</si>
  <si>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</si>
  <si>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</si>
  <si>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</si>
  <si>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</si>
  <si>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</si>
  <si>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</si>
  <si>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</si>
  <si>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</si>
  <si>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</si>
  <si>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</si>
  <si>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</si>
  <si>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</si>
  <si>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</si>
  <si>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</si>
  <si>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</si>
  <si>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</si>
  <si>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</si>
  <si>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</si>
  <si>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</si>
  <si>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</si>
  <si>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</si>
  <si>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</si>
  <si>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</si>
  <si>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</si>
  <si>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</si>
  <si>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</si>
  <si>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</si>
  <si>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</si>
  <si>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</si>
  <si>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</si>
  <si>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</si>
  <si>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</si>
  <si>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</si>
  <si>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</si>
  <si>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</si>
  <si>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</si>
  <si>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</si>
  <si>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</si>
  <si>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</si>
  <si>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</si>
  <si>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</si>
  <si>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</si>
  <si>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</si>
  <si>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</si>
  <si>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</si>
  <si>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</si>
  <si>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</si>
  <si>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</si>
  <si>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</si>
  <si>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</si>
  <si>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</si>
  <si>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</si>
  <si>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</si>
  <si>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</si>
  <si>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</si>
  <si>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</si>
  <si>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</si>
  <si>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</si>
  <si>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</si>
  <si>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</si>
  <si>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</si>
  <si>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</si>
  <si>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</si>
  <si>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</si>
  <si>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</si>
  <si>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</si>
  <si>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</si>
  <si>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</si>
  <si>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</si>
  <si>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</si>
  <si>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</si>
  <si>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</si>
  <si>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</si>
  <si>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</si>
  <si>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</si>
  <si>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</si>
  <si>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</si>
  <si>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</si>
  <si>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</si>
  <si>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</si>
  <si>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</si>
  <si>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</si>
  <si>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</si>
  <si>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</si>
  <si>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</si>
  <si>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</si>
  <si>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</si>
  <si>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</si>
  <si>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</si>
  <si>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</si>
  <si>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</si>
  <si>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</si>
  <si>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</si>
  <si>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</si>
  <si>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</si>
  <si>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</si>
  <si>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</si>
  <si>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</si>
  <si>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</si>
  <si>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</si>
  <si>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</si>
  <si>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</si>
  <si>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</si>
  <si>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</si>
  <si>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</si>
  <si>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</si>
  <si>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</si>
  <si>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</si>
  <si>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</si>
  <si>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</si>
  <si>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</si>
  <si>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</si>
  <si>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</si>
  <si>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</si>
  <si>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</si>
  <si>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</si>
  <si>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</si>
  <si>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</si>
  <si>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</si>
  <si>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</si>
  <si>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</si>
  <si>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</si>
  <si>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</si>
  <si>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</si>
  <si>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</si>
  <si>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</si>
  <si>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</si>
  <si>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</si>
  <si>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</si>
  <si>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</si>
  <si>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</si>
  <si>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</si>
  <si>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</si>
  <si>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</si>
  <si>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</si>
  <si>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</si>
  <si>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</si>
  <si>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</si>
  <si>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</si>
  <si>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</si>
  <si>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</si>
  <si>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</si>
  <si>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</si>
  <si>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</si>
  <si>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</si>
  <si>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</si>
  <si>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</si>
  <si>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</si>
  <si>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</si>
  <si>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</si>
  <si>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</si>
  <si>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</si>
  <si>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</si>
  <si>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</si>
  <si>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</si>
  <si>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</si>
  <si>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</si>
  <si>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</si>
  <si>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</si>
  <si>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</si>
  <si>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</si>
  <si>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</si>
  <si>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</si>
  <si>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</si>
  <si>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</si>
  <si>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</si>
  <si>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</si>
  <si>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</si>
  <si>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</si>
  <si>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</si>
  <si>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</si>
  <si>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</si>
  <si>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</si>
  <si>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</si>
  <si>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</si>
  <si>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</si>
  <si>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</si>
  <si>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</si>
  <si>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</si>
  <si>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</si>
  <si>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</si>
  <si>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</si>
  <si>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</si>
  <si>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</si>
  <si>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</si>
  <si>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</si>
  <si>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</si>
  <si>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</si>
  <si>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</si>
  <si>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</si>
  <si>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</si>
  <si>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</si>
  <si>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</si>
  <si>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</si>
  <si>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</si>
  <si>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</si>
  <si>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</si>
  <si>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</si>
  <si>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</si>
  <si>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</si>
  <si>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</si>
  <si>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</si>
  <si>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</si>
  <si>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</si>
  <si>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</si>
  <si>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</si>
  <si>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</si>
  <si>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</si>
  <si>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</si>
  <si>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</si>
  <si>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</si>
  <si>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</si>
  <si>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</si>
  <si>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</si>
  <si>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</si>
  <si>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</si>
  <si>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</si>
  <si>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</si>
  <si>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</si>
  <si>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</si>
  <si>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</si>
  <si>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</si>
  <si>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</si>
  <si>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</si>
  <si>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</si>
  <si>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</si>
  <si>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</si>
  <si>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</si>
  <si>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</si>
  <si>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</si>
  <si>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</si>
  <si>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</si>
  <si>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</si>
  <si>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</si>
  <si>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</si>
  <si>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</si>
  <si>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</si>
  <si>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</si>
  <si>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</si>
  <si>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</si>
  <si>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</si>
  <si>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</si>
  <si>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</si>
  <si>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</si>
  <si>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</si>
  <si>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</si>
  <si>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</si>
  <si>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</si>
  <si>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</si>
  <si>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</si>
  <si>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</si>
  <si>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</si>
  <si>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</si>
  <si>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</si>
  <si>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</si>
  <si>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</si>
  <si>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</si>
  <si>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</si>
  <si>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</si>
  <si>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</si>
  <si>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</si>
  <si>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</si>
  <si>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</si>
  <si>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</si>
  <si>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</si>
  <si>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</si>
  <si>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</si>
  <si>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</si>
  <si>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</si>
  <si>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</si>
  <si>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</si>
  <si>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</si>
  <si>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</si>
  <si>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</si>
  <si>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</si>
  <si>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</si>
  <si>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</si>
  <si>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</si>
  <si>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</si>
  <si>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</si>
  <si>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</si>
  <si>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</si>
  <si>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</si>
  <si>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</si>
  <si>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</si>
  <si>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</si>
  <si>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</si>
  <si>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</si>
  <si>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</si>
  <si>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</si>
  <si>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</si>
  <si>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</si>
  <si>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</si>
  <si>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</si>
  <si>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</si>
  <si>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</si>
  <si>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</si>
  <si>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</si>
  <si>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</si>
  <si>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</si>
  <si>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</si>
  <si>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</si>
  <si>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</si>
  <si>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</si>
  <si>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</si>
  <si>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</si>
  <si>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</si>
  <si>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</si>
  <si>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</si>
  <si>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</si>
  <si>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</si>
  <si>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</si>
  <si>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</si>
  <si>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</si>
  <si>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</si>
  <si>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</si>
  <si>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</si>
  <si>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</si>
  <si>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</si>
  <si>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</si>
  <si>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</si>
  <si>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</si>
  <si>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</si>
  <si>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</si>
  <si>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</si>
  <si>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</si>
  <si>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</si>
  <si>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</si>
  <si>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</si>
  <si>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</si>
  <si>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</si>
  <si>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</si>
  <si>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</si>
  <si>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</si>
  <si>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</si>
  <si>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</si>
  <si>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</si>
  <si>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</si>
  <si>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</si>
  <si>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</si>
  <si>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</si>
  <si>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</si>
  <si>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</si>
  <si>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</si>
  <si>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</si>
  <si>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</si>
  <si>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</si>
  <si>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</si>
  <si>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</si>
  <si>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</si>
  <si>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</si>
  <si>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</si>
  <si>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</si>
  <si>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</si>
  <si>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</si>
  <si>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</si>
  <si>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</si>
  <si>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</si>
  <si>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</si>
  <si>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</si>
  <si>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</si>
  <si>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</si>
  <si>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</si>
  <si>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</si>
  <si>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</si>
  <si>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</si>
  <si>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</si>
  <si>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</si>
  <si>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</si>
  <si>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</si>
  <si>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</si>
  <si>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</si>
  <si>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</si>
  <si>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</si>
  <si>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</si>
  <si>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</si>
  <si>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</si>
  <si>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</si>
  <si>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</si>
  <si>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</si>
  <si>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</si>
  <si>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</si>
  <si>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</si>
  <si>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</si>
  <si>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</si>
  <si>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</si>
  <si>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</si>
  <si>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</si>
  <si>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</si>
  <si>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</si>
  <si>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</si>
  <si>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</si>
  <si>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</si>
  <si>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</si>
  <si>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</si>
  <si>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</si>
  <si>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</si>
  <si>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</si>
  <si>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</si>
  <si>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</si>
  <si>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</si>
  <si>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</si>
  <si>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</si>
  <si>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</si>
  <si>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</si>
  <si>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</si>
  <si>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</si>
  <si>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</si>
  <si>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</si>
  <si>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</si>
  <si>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</si>
  <si>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</si>
  <si>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</si>
  <si>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</si>
  <si>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</si>
  <si>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</si>
  <si>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</si>
  <si>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</si>
  <si>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</si>
  <si>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</si>
  <si>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</si>
  <si>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</si>
  <si>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</si>
  <si>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</si>
  <si>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</si>
  <si>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</si>
  <si>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</si>
  <si>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</si>
  <si>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</si>
  <si>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</si>
  <si>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</si>
  <si>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</si>
  <si>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</si>
  <si>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</si>
  <si>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</si>
  <si>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</si>
  <si>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</si>
  <si>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</si>
  <si>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</si>
  <si>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</si>
  <si>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</si>
  <si>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</si>
  <si>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</si>
  <si>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</si>
  <si>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</si>
  <si>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</si>
  <si>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</si>
  <si>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</si>
  <si>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</si>
  <si>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</si>
  <si>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</si>
  <si>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</si>
  <si>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</si>
  <si>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</si>
  <si>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</si>
  <si>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</si>
  <si>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</si>
  <si>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</si>
  <si>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</si>
  <si>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</si>
  <si>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</si>
  <si>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</si>
  <si>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</si>
  <si>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</si>
  <si>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</si>
  <si>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</si>
  <si>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</si>
  <si>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</si>
  <si>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</si>
  <si>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</si>
  <si>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</si>
  <si>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</si>
  <si>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</si>
  <si>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</si>
  <si>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</si>
  <si>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</si>
  <si>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</si>
  <si>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</si>
  <si>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</si>
  <si>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</si>
  <si>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</si>
  <si>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</si>
  <si>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</si>
  <si>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</si>
  <si>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</si>
  <si>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</si>
  <si>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</si>
  <si>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</si>
  <si>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</si>
  <si>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</si>
  <si>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</si>
  <si>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</si>
  <si>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</si>
  <si>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</si>
  <si>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</si>
  <si>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</si>
  <si>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</si>
  <si>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</si>
  <si>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</si>
  <si>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</si>
  <si>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</si>
  <si>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</si>
  <si>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</si>
  <si>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</si>
  <si>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</si>
  <si>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</si>
  <si>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</si>
  <si>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</si>
  <si>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</si>
  <si>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</si>
  <si>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</si>
  <si>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</si>
  <si>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</si>
  <si>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</si>
  <si>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</si>
  <si>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</si>
  <si>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</si>
  <si>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</si>
  <si>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</si>
  <si>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</si>
  <si>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</si>
  <si>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</si>
  <si>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</si>
  <si>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</si>
  <si>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</si>
  <si>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</si>
  <si>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</si>
  <si>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</si>
  <si>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</si>
  <si>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</si>
  <si>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</si>
  <si>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</si>
  <si>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</si>
  <si>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</si>
  <si>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</si>
  <si>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</si>
  <si>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</si>
  <si>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</si>
  <si>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</si>
  <si>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</si>
  <si>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</si>
  <si>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</si>
  <si>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</si>
  <si>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</si>
  <si>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</si>
  <si>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</si>
  <si>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</si>
  <si>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</si>
  <si>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</si>
  <si>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</si>
  <si>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</si>
  <si>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</si>
  <si>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</si>
  <si>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</si>
  <si>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</si>
  <si>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</si>
  <si>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</si>
  <si>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</si>
  <si>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</si>
  <si>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</si>
  <si>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</si>
  <si>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</si>
  <si>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</si>
  <si>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</si>
  <si>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</si>
  <si>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</si>
  <si>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</si>
  <si>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</si>
  <si>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</si>
  <si>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</si>
  <si>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</si>
  <si>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</si>
  <si>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</si>
  <si>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</si>
  <si>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</si>
  <si>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</si>
  <si>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</si>
  <si>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</si>
  <si>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</si>
  <si>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</si>
  <si>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</si>
  <si>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</si>
  <si>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</si>
  <si>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</si>
  <si>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</si>
  <si>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</si>
  <si>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</si>
  <si>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</si>
  <si>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</si>
  <si>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</si>
  <si>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</si>
  <si>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</si>
  <si>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</si>
  <si>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</si>
  <si>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</si>
  <si>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</si>
  <si>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</si>
  <si>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</si>
  <si>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</si>
  <si>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</si>
  <si>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</si>
  <si>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</si>
  <si>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</si>
  <si>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</si>
  <si>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</si>
  <si>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</si>
  <si>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</si>
  <si>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</si>
  <si>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</si>
  <si>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</si>
  <si>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</si>
  <si>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</si>
  <si>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</si>
  <si>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</si>
  <si>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</si>
  <si>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</si>
  <si>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</si>
  <si>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</si>
  <si>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</si>
  <si>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</si>
  <si>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</si>
  <si>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</si>
  <si>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</si>
  <si>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</si>
  <si>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</si>
  <si>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</si>
  <si>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</si>
  <si>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</si>
  <si>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</si>
  <si>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</si>
  <si>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</si>
  <si>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</si>
  <si>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</si>
  <si>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</si>
  <si>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</si>
  <si>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</si>
  <si>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</si>
  <si>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</si>
  <si>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</si>
  <si>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</si>
  <si>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</si>
  <si>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</si>
  <si>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</si>
  <si>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</si>
  <si>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</si>
  <si>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</si>
  <si>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</si>
  <si>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</si>
  <si>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</si>
  <si>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</si>
  <si>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</si>
  <si>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</si>
  <si>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</si>
  <si>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</si>
  <si>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</si>
  <si>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</si>
  <si>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</si>
  <si>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</si>
  <si>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</si>
  <si>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</si>
  <si>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</si>
  <si>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</si>
  <si>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</si>
  <si>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</si>
  <si>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</si>
  <si>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</si>
  <si>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</si>
  <si>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</si>
  <si>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</si>
  <si>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</si>
  <si>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</si>
  <si>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</si>
  <si>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</si>
  <si>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</si>
  <si>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</si>
  <si>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</si>
  <si>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</si>
  <si>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</si>
  <si>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</si>
  <si>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</si>
  <si>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</si>
  <si>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</si>
  <si>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</si>
  <si>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</si>
  <si>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</si>
  <si>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</si>
  <si>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</si>
  <si>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</si>
  <si>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</si>
  <si>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</si>
  <si>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</si>
  <si>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</si>
  <si>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</si>
  <si>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</si>
  <si>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</si>
  <si>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</si>
  <si>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</si>
  <si>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</si>
  <si>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</si>
  <si>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</si>
  <si>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</si>
  <si>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</si>
  <si>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</si>
  <si>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</si>
  <si>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</si>
  <si>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</si>
  <si>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</si>
  <si>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</si>
  <si>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</si>
  <si>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</si>
  <si>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</si>
  <si>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</si>
  <si>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</si>
  <si>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</si>
  <si>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</si>
  <si>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</si>
  <si>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</si>
  <si>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</si>
  <si>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</si>
  <si>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</si>
  <si>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</si>
  <si>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</si>
  <si>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</si>
  <si>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</si>
  <si>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</si>
  <si>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</si>
  <si>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</si>
  <si>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</si>
  <si>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</si>
  <si>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</si>
  <si>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</si>
  <si>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</si>
  <si>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</si>
  <si>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</si>
  <si>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</si>
  <si>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</si>
  <si>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</si>
  <si>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</si>
  <si>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</si>
  <si>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</si>
  <si>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</si>
  <si>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</si>
  <si>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</si>
  <si>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</si>
  <si>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</si>
  <si>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</si>
  <si>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</si>
  <si>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</si>
  <si>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</si>
  <si>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</si>
  <si>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</si>
  <si>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</si>
  <si>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</si>
  <si>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</si>
  <si>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</si>
  <si>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</si>
  <si>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</si>
  <si>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</si>
  <si>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</si>
  <si>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</si>
  <si>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</si>
  <si>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</si>
  <si>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</si>
  <si>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</si>
  <si>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</si>
  <si>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</si>
  <si>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</si>
  <si>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</si>
  <si>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</si>
  <si>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</si>
  <si>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</si>
  <si>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</si>
  <si>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</si>
  <si>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</si>
  <si>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</si>
  <si>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</si>
  <si>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</si>
  <si>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</si>
  <si>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</si>
  <si>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</si>
  <si>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</si>
  <si>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</si>
  <si>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</si>
  <si>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</si>
  <si>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</si>
  <si>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</si>
  <si>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</si>
  <si>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</si>
  <si>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</si>
  <si>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</si>
  <si>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</si>
  <si>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</si>
  <si>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</si>
  <si>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</si>
  <si>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</si>
  <si>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</si>
  <si>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</si>
  <si>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</si>
  <si>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</si>
  <si>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</si>
  <si>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</si>
  <si>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</si>
  <si>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</si>
  <si>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</si>
  <si>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</si>
  <si>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</si>
  <si>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</si>
  <si>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</si>
  <si>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</si>
  <si>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</si>
  <si>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</si>
  <si>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</si>
  <si>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</si>
  <si>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</si>
  <si>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</si>
  <si>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</si>
  <si>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</si>
  <si>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</si>
  <si>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</si>
  <si>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</si>
  <si>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</si>
  <si>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</si>
  <si>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</si>
  <si>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</si>
  <si>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</si>
  <si>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</si>
  <si>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</si>
  <si>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</si>
  <si>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</si>
  <si>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</si>
  <si>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</si>
  <si>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</si>
  <si>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</si>
  <si>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</si>
  <si>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</si>
  <si>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</si>
  <si>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</si>
  <si>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</si>
  <si>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</si>
  <si>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</si>
  <si>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</si>
  <si>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</si>
  <si>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</si>
  <si>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</si>
  <si>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</si>
  <si>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</si>
  <si>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</si>
  <si>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</si>
  <si>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</si>
  <si>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</si>
  <si>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</si>
  <si>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</si>
  <si>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</si>
  <si>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</si>
  <si>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</si>
  <si>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</si>
  <si>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</si>
  <si>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</si>
  <si>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</si>
  <si>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</si>
  <si>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</si>
  <si>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</si>
  <si>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</si>
  <si>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</si>
  <si>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</si>
  <si>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</si>
  <si>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</si>
  <si>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</si>
  <si>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</si>
  <si>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</si>
  <si>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</si>
  <si>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</si>
  <si>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</si>
  <si>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</si>
  <si>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</si>
  <si>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</si>
  <si>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</si>
  <si>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</si>
  <si>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</si>
  <si>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</si>
  <si>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</si>
  <si>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</si>
  <si>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</si>
  <si>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</si>
  <si>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</si>
  <si>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</si>
  <si>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</si>
  <si>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</si>
  <si>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</si>
  <si>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</si>
  <si>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</si>
  <si>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</si>
  <si>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</si>
  <si>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</si>
  <si>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</si>
  <si>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</si>
  <si>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</si>
  <si>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</si>
  <si>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</si>
  <si>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</si>
  <si>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</si>
  <si>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</si>
  <si>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</si>
  <si>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</si>
  <si>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</si>
  <si>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</si>
  <si>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</si>
  <si>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</si>
  <si>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</si>
  <si>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</si>
  <si>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</si>
  <si>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</si>
  <si>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</si>
  <si>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</si>
  <si>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</si>
  <si>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</si>
  <si>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</si>
  <si>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</si>
  <si>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</si>
  <si>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</si>
  <si>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</si>
  <si>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</si>
  <si>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</si>
  <si>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</si>
  <si>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</si>
  <si>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</si>
  <si>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</si>
  <si>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</si>
  <si>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</si>
  <si>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</si>
  <si>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</si>
  <si>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</si>
  <si>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</si>
  <si>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</si>
  <si>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</si>
  <si>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</si>
  <si>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</si>
  <si>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</si>
  <si>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</si>
  <si>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</si>
  <si>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</si>
  <si>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</si>
  <si>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</si>
  <si>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</si>
  <si>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</si>
  <si>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</si>
  <si>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</si>
  <si>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</si>
  <si>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</si>
  <si>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</si>
  <si>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</si>
  <si>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</si>
  <si>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</si>
  <si>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</si>
  <si>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</si>
  <si>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</si>
  <si>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</si>
  <si>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</si>
  <si>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</si>
  <si>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</si>
  <si>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</si>
  <si>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</si>
  <si>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</si>
  <si>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</si>
  <si>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</si>
  <si>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</si>
  <si>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</si>
  <si>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</si>
  <si>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</si>
  <si>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</si>
  <si>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</si>
  <si>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</si>
  <si>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</si>
  <si>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</si>
  <si>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</si>
  <si>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</si>
  <si>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</si>
  <si>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</si>
  <si>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</si>
  <si>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</si>
  <si>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</si>
  <si>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</si>
  <si>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</si>
  <si>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</si>
  <si>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</si>
  <si>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</si>
  <si>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</si>
  <si>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</si>
  <si>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</si>
  <si>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</si>
  <si>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</si>
  <si>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</si>
  <si>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</si>
  <si>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</si>
  <si>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</si>
  <si>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</si>
  <si>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</si>
  <si>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</si>
  <si>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</si>
  <si>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</si>
  <si>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</si>
  <si>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</si>
  <si>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</si>
  <si>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</si>
  <si>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</si>
  <si>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</si>
  <si>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</si>
  <si>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</si>
  <si>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</si>
  <si>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</si>
  <si>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</si>
  <si>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</si>
  <si>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</si>
  <si>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</si>
  <si>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</si>
  <si>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</si>
  <si>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</si>
  <si>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</si>
  <si>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</si>
  <si>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</si>
  <si>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</si>
  <si>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</si>
  <si>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</si>
  <si>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</si>
  <si>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</si>
  <si>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</si>
  <si>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</si>
  <si>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</si>
  <si>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</si>
  <si>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</si>
  <si>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</si>
  <si>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</si>
  <si>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</si>
  <si>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</si>
  <si>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</si>
  <si>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</si>
  <si>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</si>
  <si>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</si>
  <si>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</si>
  <si>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</si>
  <si>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</si>
  <si>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</si>
  <si>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</si>
  <si>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</si>
  <si>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</si>
  <si>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</si>
  <si>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</si>
  <si>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</si>
  <si>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</si>
  <si>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</si>
  <si>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</si>
  <si>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</si>
  <si>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</si>
  <si>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</si>
  <si>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</si>
  <si>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</si>
  <si>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</si>
  <si>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</si>
  <si>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</si>
  <si>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</si>
  <si>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</si>
  <si>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</si>
  <si>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</si>
  <si>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</si>
  <si>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</si>
  <si>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</si>
  <si>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</si>
  <si>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</si>
  <si>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</si>
  <si>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</si>
  <si>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</si>
  <si>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</si>
  <si>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</si>
  <si>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</si>
  <si>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</si>
  <si>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</si>
  <si>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</si>
  <si>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</si>
  <si>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</si>
  <si>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</si>
  <si>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</si>
  <si>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</si>
  <si>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</si>
  <si>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</si>
  <si>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</si>
  <si>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</si>
  <si>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</si>
  <si>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</si>
  <si>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</si>
  <si>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</si>
  <si>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</si>
  <si>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</si>
  <si>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</si>
  <si>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</si>
  <si>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</si>
  <si>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</si>
  <si>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</si>
  <si>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</si>
  <si>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</si>
  <si>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</si>
  <si>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</si>
  <si>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</si>
  <si>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</si>
  <si>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</si>
  <si>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</si>
  <si>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</si>
  <si>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</si>
  <si>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</si>
  <si>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</si>
  <si>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</si>
  <si>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</si>
  <si>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</si>
  <si>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</si>
  <si>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</si>
  <si>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</si>
  <si>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</si>
  <si>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</si>
  <si>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</si>
  <si>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</si>
  <si>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</si>
  <si>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</si>
  <si>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</si>
  <si>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</si>
  <si>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</si>
  <si>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</si>
  <si>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</si>
  <si>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</si>
  <si>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</si>
  <si>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</si>
  <si>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</si>
  <si>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</si>
  <si>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</si>
  <si>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</si>
  <si>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</si>
  <si>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</si>
  <si>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</si>
  <si>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</si>
  <si>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</si>
  <si>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</si>
  <si>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</si>
  <si>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</si>
  <si>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</si>
  <si>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</si>
  <si>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</si>
  <si>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</si>
  <si>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</si>
  <si>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</si>
  <si>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</si>
  <si>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</si>
  <si>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</si>
  <si>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</si>
  <si>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</si>
  <si>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</si>
  <si>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</si>
  <si>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</si>
  <si>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</si>
  <si>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</si>
  <si>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</si>
  <si>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</si>
  <si>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</si>
  <si>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</si>
  <si>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</si>
  <si>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</si>
  <si>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</si>
  <si>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</si>
  <si>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</si>
  <si>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</si>
  <si>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</si>
  <si>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</si>
  <si>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</si>
  <si>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</si>
  <si>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</si>
  <si>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</si>
  <si>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</si>
  <si>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</si>
  <si>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</si>
  <si>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</si>
  <si>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</si>
  <si>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</si>
  <si>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</si>
  <si>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</si>
  <si>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</si>
  <si>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</si>
  <si>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</si>
  <si>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</si>
  <si>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</si>
  <si>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</si>
  <si>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</si>
  <si>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</si>
  <si>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</si>
  <si>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</si>
  <si>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</si>
  <si>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</si>
  <si>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</si>
  <si>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</si>
  <si>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</si>
  <si>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</si>
  <si>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</si>
  <si>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</si>
  <si>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</si>
  <si>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</si>
  <si>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</si>
  <si>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</si>
  <si>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</si>
  <si>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</si>
  <si>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</si>
  <si>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</si>
  <si>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</si>
  <si>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</si>
  <si>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</si>
  <si>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</si>
  <si>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</si>
  <si>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</si>
  <si>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</si>
  <si>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</si>
  <si>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</si>
  <si>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</si>
  <si>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</si>
  <si>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</si>
  <si>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</si>
  <si>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</si>
  <si>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</si>
  <si>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</si>
  <si>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</si>
  <si>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</si>
  <si>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</si>
  <si>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</si>
  <si>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</si>
  <si>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</si>
  <si>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</si>
  <si>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</si>
  <si>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</si>
  <si>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</si>
  <si>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</si>
  <si>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</si>
  <si>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</si>
  <si>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</si>
  <si>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</si>
  <si>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</si>
  <si>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</si>
  <si>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</si>
  <si>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</si>
  <si>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</si>
  <si>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</si>
  <si>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</si>
  <si>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</si>
  <si>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</si>
  <si>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</si>
  <si>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</si>
  <si>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</si>
  <si>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</si>
  <si>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</si>
  <si>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</si>
  <si>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</si>
  <si>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</si>
  <si>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</si>
  <si>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</si>
  <si>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</si>
  <si>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</si>
  <si>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</si>
  <si>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</si>
  <si>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</si>
  <si>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</si>
  <si>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</si>
  <si>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</si>
  <si>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</si>
  <si>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</si>
  <si>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</si>
  <si>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</si>
  <si>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</si>
  <si>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</si>
  <si>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</si>
  <si>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</si>
  <si>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</si>
  <si>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</si>
  <si>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</si>
  <si>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</si>
  <si>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</si>
  <si>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</si>
  <si>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</si>
  <si>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</si>
  <si>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</si>
  <si>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</si>
  <si>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</si>
  <si>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</si>
  <si>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</si>
  <si>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</si>
  <si>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</si>
  <si>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</si>
  <si>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</si>
  <si>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</si>
  <si>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</si>
  <si>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</si>
  <si>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</si>
  <si>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</si>
  <si>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</si>
  <si>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</si>
  <si>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</si>
  <si>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</si>
  <si>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</si>
  <si>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</si>
  <si>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</si>
  <si>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</si>
  <si>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</si>
  <si>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</si>
  <si>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</si>
  <si>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</si>
  <si>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</si>
  <si>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</si>
  <si>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</si>
  <si>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</si>
  <si>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</si>
  <si>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</si>
  <si>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</si>
  <si>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</si>
  <si>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</si>
  <si>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</si>
  <si>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</si>
  <si>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</si>
  <si>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</si>
  <si>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</si>
  <si>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</si>
  <si>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</si>
  <si>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</si>
  <si>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</si>
  <si>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</si>
  <si>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</si>
  <si>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</si>
  <si>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</si>
  <si>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</si>
  <si>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</si>
  <si>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</si>
  <si>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</si>
  <si>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</si>
  <si>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</si>
  <si>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</si>
  <si>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</si>
  <si>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</si>
  <si>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</si>
  <si>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</si>
  <si>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</si>
  <si>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</si>
  <si>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</si>
  <si>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</si>
  <si>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</si>
  <si>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</si>
  <si>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</si>
  <si>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</si>
  <si>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</si>
  <si>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</si>
  <si>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</si>
  <si>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</si>
  <si>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</si>
  <si>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</si>
  <si>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</si>
  <si>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</si>
  <si>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</si>
  <si>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</si>
  <si>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</si>
  <si>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</si>
  <si>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</si>
  <si>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</si>
  <si>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</si>
  <si>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</si>
  <si>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</si>
  <si>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</si>
  <si>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</si>
  <si>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</si>
  <si>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</si>
  <si>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</si>
  <si>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</si>
  <si>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</si>
  <si>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</si>
  <si>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</si>
  <si>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</si>
  <si>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</si>
  <si>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</si>
  <si>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</si>
  <si>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</si>
  <si>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</si>
  <si>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</si>
  <si>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</si>
  <si>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</si>
  <si>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</si>
  <si>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</si>
  <si>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</si>
  <si>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</si>
  <si>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</si>
  <si>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</si>
  <si>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</si>
  <si>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</si>
  <si>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</si>
  <si>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</si>
  <si>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</si>
  <si>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</si>
  <si>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</si>
  <si>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</si>
  <si>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</si>
  <si>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</si>
  <si>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</si>
  <si>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</si>
  <si>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</si>
  <si>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</si>
  <si>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</si>
  <si>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</si>
  <si>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</si>
  <si>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</si>
  <si>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</si>
  <si>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</si>
  <si>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</si>
  <si>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</si>
  <si>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</si>
  <si>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</si>
  <si>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</si>
  <si>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</si>
  <si>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</si>
  <si>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</si>
  <si>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</si>
  <si>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</si>
  <si>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</si>
  <si>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</si>
  <si>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</si>
  <si>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</si>
  <si>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</si>
  <si>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</si>
  <si>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</si>
  <si>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</si>
  <si>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</si>
  <si>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</si>
  <si>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</si>
  <si>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</si>
  <si>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</si>
  <si>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</si>
  <si>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</si>
  <si>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</si>
  <si>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</si>
  <si>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</si>
  <si>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</si>
  <si>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</si>
  <si>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</si>
  <si>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</si>
  <si>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</si>
  <si>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</si>
  <si>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</si>
  <si>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</si>
  <si>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</si>
  <si>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</si>
  <si>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</si>
  <si>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</si>
  <si>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</si>
  <si>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</si>
  <si>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</si>
  <si>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</si>
  <si>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</si>
  <si>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</si>
  <si>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</si>
  <si>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</si>
  <si>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</si>
  <si>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</si>
  <si>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</si>
  <si>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</si>
  <si>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</si>
  <si>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</si>
  <si>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</si>
  <si>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</si>
  <si>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</si>
  <si>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</si>
  <si>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</si>
  <si>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</si>
  <si>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</si>
  <si>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</si>
  <si>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</si>
  <si>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</si>
  <si>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</si>
  <si>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</si>
  <si>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</si>
  <si>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</si>
  <si>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</si>
  <si>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</si>
  <si>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</si>
  <si>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</si>
  <si>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</si>
  <si>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</si>
  <si>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</si>
  <si>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</si>
  <si>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</si>
  <si>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</si>
  <si>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</si>
  <si>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</si>
  <si>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</si>
  <si>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</si>
  <si>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</si>
  <si>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</si>
  <si>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</si>
  <si>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</si>
  <si>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</si>
  <si>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</si>
  <si>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</si>
  <si>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</si>
  <si>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</si>
  <si>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</si>
  <si>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</si>
  <si>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</si>
  <si>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</si>
  <si>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</si>
  <si>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</si>
  <si>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</si>
  <si>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</si>
  <si>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</si>
  <si>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</si>
  <si>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</si>
  <si>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</si>
  <si>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</si>
  <si>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</si>
  <si>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</si>
  <si>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</si>
  <si>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</si>
  <si>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</si>
  <si>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</si>
  <si>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</si>
  <si>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</si>
  <si>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</si>
  <si>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</si>
  <si>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</si>
  <si>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</si>
  <si>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</si>
  <si>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</si>
  <si>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</si>
  <si>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</si>
  <si>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</si>
  <si>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</si>
  <si>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</si>
  <si>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</si>
  <si>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</si>
  <si>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</si>
  <si>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</si>
  <si>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</si>
  <si>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</si>
  <si>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</si>
  <si>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</si>
  <si>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</si>
  <si>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</si>
  <si>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</si>
  <si>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</si>
  <si>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</si>
  <si>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</si>
  <si>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</si>
  <si>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</si>
  <si>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</si>
  <si>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</si>
  <si>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</si>
  <si>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</si>
  <si>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</si>
  <si>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</si>
  <si>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</si>
  <si>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</si>
  <si>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</si>
  <si>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</si>
  <si>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</si>
  <si>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</si>
  <si>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</si>
  <si>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</si>
  <si>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</si>
  <si>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</si>
  <si>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</si>
  <si>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</si>
  <si>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</si>
  <si>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</si>
  <si>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</si>
  <si>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</si>
  <si>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</si>
  <si>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</si>
  <si>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</si>
  <si>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</si>
  <si>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</si>
  <si>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</si>
  <si>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</si>
  <si>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</si>
  <si>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</si>
  <si>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</si>
  <si>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</si>
  <si>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</si>
  <si>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</si>
  <si>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</si>
  <si>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</si>
  <si>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</si>
  <si>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</si>
  <si>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</si>
  <si>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</si>
  <si>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</si>
  <si>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</si>
  <si>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</si>
  <si>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</si>
  <si>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</si>
  <si>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</si>
  <si>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</si>
  <si>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</si>
  <si>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</si>
  <si>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</si>
  <si>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</si>
  <si>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</si>
  <si>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</si>
  <si>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</si>
  <si>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</si>
  <si>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</si>
  <si>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</si>
  <si>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</si>
  <si>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</si>
  <si>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</si>
  <si>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</si>
  <si>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</si>
  <si>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</si>
  <si>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</si>
  <si>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</si>
  <si>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</si>
  <si>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</si>
  <si>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</si>
  <si>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</si>
  <si>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</si>
  <si>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</si>
  <si>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</si>
  <si>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</si>
  <si>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</si>
  <si>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</si>
  <si>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</si>
  <si>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</si>
  <si>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</si>
  <si>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</si>
  <si>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</si>
  <si>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</si>
  <si>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</si>
  <si>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</si>
  <si>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</si>
  <si>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</si>
  <si>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</si>
  <si>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</si>
  <si>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</si>
  <si>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</si>
  <si>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</si>
  <si>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</si>
  <si>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</si>
  <si>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</si>
  <si>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</si>
  <si>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</si>
  <si>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</si>
  <si>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</si>
  <si>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</si>
  <si>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</si>
  <si>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</si>
  <si>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</si>
  <si>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</si>
  <si>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</si>
  <si>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</si>
  <si>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</si>
  <si>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</si>
  <si>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</si>
  <si>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</si>
  <si>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</si>
  <si>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</si>
  <si>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</si>
  <si>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</si>
  <si>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</si>
  <si>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</si>
  <si>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</si>
  <si>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</si>
  <si>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</si>
  <si>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</si>
  <si>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</si>
  <si>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</si>
  <si>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</si>
  <si>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</si>
  <si>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</si>
  <si>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</si>
  <si>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</si>
  <si>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</si>
  <si>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</si>
  <si>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</si>
  <si>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</si>
  <si>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</si>
  <si>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</si>
  <si>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</si>
  <si>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</si>
  <si>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</si>
  <si>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</si>
  <si>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</si>
  <si>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</si>
  <si>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</si>
  <si>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</si>
  <si>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</si>
  <si>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</si>
  <si>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</si>
  <si>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</si>
  <si>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</si>
  <si>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</si>
  <si>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</si>
  <si>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</si>
  <si>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</si>
  <si>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</si>
  <si>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</si>
  <si>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</si>
  <si>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</si>
  <si>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</si>
  <si>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</si>
  <si>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</si>
  <si>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</si>
  <si>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</si>
  <si>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</si>
  <si>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</si>
  <si>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</si>
  <si>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</si>
  <si>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</si>
  <si>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</si>
  <si>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</si>
  <si>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</si>
  <si>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</si>
  <si>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</si>
  <si>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</si>
  <si>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</si>
  <si>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</si>
  <si>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</si>
  <si>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</si>
  <si>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</si>
  <si>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</si>
  <si>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</si>
  <si>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</si>
  <si>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</si>
  <si>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</si>
  <si>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</si>
  <si>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</si>
  <si>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</si>
  <si>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</si>
  <si>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</si>
  <si>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</si>
  <si>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</si>
  <si>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</si>
  <si>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</si>
  <si>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</si>
  <si>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</si>
  <si>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</si>
  <si>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</si>
  <si>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</si>
  <si>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</si>
  <si>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</si>
  <si>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</si>
  <si>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</si>
  <si>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</si>
  <si>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</si>
  <si>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</si>
  <si>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</si>
  <si>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</si>
  <si>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</si>
  <si>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</si>
  <si>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</si>
  <si>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</si>
  <si>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</si>
  <si>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</si>
  <si>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</si>
  <si>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</si>
  <si>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</si>
  <si>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</si>
  <si>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</si>
  <si>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</si>
  <si>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</si>
  <si>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</si>
  <si>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</si>
  <si>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</si>
  <si>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</si>
  <si>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</si>
  <si>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</si>
  <si>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</si>
  <si>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</si>
  <si>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</si>
  <si>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</si>
  <si>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</si>
  <si>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</si>
  <si>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</si>
  <si>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</si>
  <si>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</si>
  <si>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</si>
  <si>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</si>
  <si>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</si>
  <si>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</si>
  <si>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</si>
  <si>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</si>
  <si>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</si>
  <si>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</si>
  <si>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</si>
  <si>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</si>
  <si>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</si>
  <si>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</si>
  <si>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</si>
  <si>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</si>
  <si>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</si>
  <si>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</si>
  <si>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</si>
  <si>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</si>
  <si>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</si>
  <si>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</si>
  <si>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</si>
  <si>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</si>
  <si>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</si>
  <si>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</si>
  <si>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</si>
  <si>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</si>
  <si>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</si>
  <si>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</si>
  <si>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</si>
  <si>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</si>
  <si>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</si>
  <si>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</si>
  <si>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</si>
  <si>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</si>
  <si>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</si>
  <si>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</si>
  <si>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</si>
  <si>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</si>
  <si>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</si>
  <si>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</si>
  <si>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</si>
  <si>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</si>
  <si>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</si>
  <si>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</si>
  <si>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</si>
  <si>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</si>
  <si>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</si>
  <si>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</si>
  <si>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</si>
  <si>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</si>
  <si>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</si>
  <si>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</si>
  <si>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</si>
  <si>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</si>
  <si>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</si>
  <si>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</si>
  <si>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</si>
  <si>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</si>
  <si>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</si>
  <si>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</si>
  <si>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</si>
  <si>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</si>
  <si>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</si>
  <si>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</si>
  <si>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</si>
  <si>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</si>
  <si>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</si>
  <si>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</si>
  <si>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</si>
  <si>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</si>
  <si>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</si>
  <si>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</si>
  <si>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</si>
  <si>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</si>
  <si>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</si>
  <si>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</si>
  <si>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</si>
  <si>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</si>
  <si>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</si>
  <si>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</si>
  <si>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</si>
  <si>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</si>
  <si>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</si>
  <si>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</si>
  <si>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</si>
  <si>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</si>
  <si>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</si>
  <si>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</si>
  <si>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</si>
  <si>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</si>
  <si>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</si>
  <si>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</si>
  <si>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</si>
  <si>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</si>
  <si>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</si>
  <si>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</si>
  <si>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</si>
  <si>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</si>
  <si>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</si>
  <si>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</si>
  <si>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</si>
  <si>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</si>
  <si>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</si>
  <si>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</si>
  <si>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</si>
  <si>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</si>
  <si>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</si>
  <si>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</si>
  <si>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</si>
  <si>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</si>
  <si>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</si>
  <si>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</si>
  <si>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</si>
  <si>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</si>
  <si>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</si>
  <si>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</si>
  <si>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</si>
  <si>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</si>
  <si>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</si>
  <si>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</si>
  <si>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</si>
  <si>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</si>
  <si>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</si>
  <si>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</si>
  <si>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</si>
  <si>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</si>
  <si>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</si>
  <si>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</si>
  <si>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</si>
  <si>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</si>
  <si>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</si>
  <si>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</si>
  <si>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</si>
  <si>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</si>
  <si>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</si>
  <si>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</si>
  <si>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</si>
  <si>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</si>
  <si>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</si>
  <si>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</si>
  <si>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</si>
  <si>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</si>
  <si>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</si>
  <si>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</si>
  <si>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</si>
  <si>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</si>
  <si>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</si>
  <si>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</si>
  <si>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</si>
  <si>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</si>
  <si>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</si>
  <si>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</si>
  <si>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</si>
  <si>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</si>
  <si>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</si>
  <si>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</si>
  <si>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</si>
  <si>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</si>
  <si>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</si>
  <si>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</si>
  <si>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</si>
  <si>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</si>
  <si>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</si>
  <si>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</si>
  <si>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</si>
  <si>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</si>
  <si>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</si>
  <si>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</si>
  <si>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</si>
  <si>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</si>
  <si>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</si>
  <si>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</si>
  <si>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</si>
  <si>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</si>
  <si>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</si>
  <si>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</si>
  <si>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</si>
  <si>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</si>
  <si>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</si>
  <si>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</si>
  <si>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</si>
  <si>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</si>
  <si>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</si>
  <si>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</si>
  <si>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</si>
  <si>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</si>
  <si>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</si>
  <si>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</si>
  <si>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</si>
  <si>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</si>
  <si>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</si>
  <si>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</si>
  <si>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</si>
  <si>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</si>
  <si>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</si>
  <si>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</si>
  <si>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</si>
  <si>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</si>
  <si>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</si>
  <si>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</si>
  <si>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</si>
  <si>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</si>
  <si>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</si>
  <si>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</si>
  <si>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</si>
  <si>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</si>
  <si>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</si>
  <si>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</si>
  <si>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</si>
  <si>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</si>
  <si>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</si>
  <si>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</si>
  <si>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</si>
  <si>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</si>
  <si>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</si>
  <si>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</si>
  <si>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</si>
  <si>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</si>
  <si>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</si>
  <si>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</si>
  <si>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</si>
  <si>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</si>
  <si>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</si>
  <si>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</si>
  <si>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</si>
  <si>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</si>
  <si>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</si>
  <si>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</si>
  <si>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</si>
  <si>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</si>
  <si>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</si>
  <si>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</si>
  <si>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</si>
  <si>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</si>
  <si>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</si>
  <si>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</si>
  <si>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</si>
  <si>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</si>
  <si>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</si>
  <si>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</si>
  <si>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</si>
  <si>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</si>
  <si>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</si>
  <si>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</si>
  <si>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</si>
  <si>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</si>
  <si>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</si>
  <si>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</si>
  <si>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</si>
  <si>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</si>
  <si>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</si>
  <si>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</si>
  <si>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</si>
  <si>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</si>
  <si>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</si>
  <si>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</si>
  <si>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</si>
  <si>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</si>
  <si>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</si>
  <si>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</si>
  <si>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</si>
  <si>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</si>
  <si>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</si>
  <si>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</si>
  <si>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</si>
  <si>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</si>
  <si>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</si>
  <si>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</si>
  <si>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</si>
  <si>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</si>
  <si>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</si>
  <si>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</si>
  <si>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</si>
  <si>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</si>
  <si>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</si>
  <si>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</si>
  <si>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</si>
  <si>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</si>
  <si>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</si>
  <si>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</si>
  <si>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</si>
  <si>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</si>
  <si>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</si>
  <si>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</si>
  <si>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</si>
  <si>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</si>
  <si>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</si>
  <si>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</si>
  <si>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</si>
  <si>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</si>
  <si>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</si>
  <si>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</si>
  <si>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</si>
  <si>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</si>
  <si>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</si>
  <si>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</si>
  <si>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</si>
  <si>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</si>
  <si>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</si>
  <si>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</si>
  <si>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</si>
  <si>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</si>
  <si>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</si>
  <si>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</si>
  <si>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</si>
  <si>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</si>
  <si>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</si>
  <si>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</si>
  <si>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</si>
  <si>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</si>
  <si>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</si>
  <si>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</si>
  <si>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</si>
  <si>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</si>
  <si>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</si>
  <si>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</si>
  <si>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</si>
  <si>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</si>
  <si>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</si>
  <si>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</si>
  <si>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</si>
  <si>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</si>
  <si>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</si>
  <si>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</si>
  <si>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</si>
  <si>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</si>
  <si>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</si>
  <si>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</si>
  <si>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</si>
  <si>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</si>
  <si>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</si>
  <si>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</si>
  <si>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</si>
  <si>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</si>
  <si>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</si>
  <si>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</si>
  <si>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</si>
  <si>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</si>
  <si>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</si>
  <si>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</si>
  <si>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</si>
  <si>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</si>
  <si>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</si>
  <si>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</si>
  <si>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</si>
  <si>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</si>
  <si>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</si>
  <si>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</si>
  <si>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</si>
  <si>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</si>
  <si>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</si>
  <si>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</si>
  <si>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</si>
  <si>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</si>
  <si>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</si>
  <si>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</si>
  <si>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</si>
  <si>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</si>
  <si>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</si>
  <si>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</si>
  <si>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</si>
  <si>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</si>
  <si>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</si>
  <si>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</si>
  <si>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</si>
  <si>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</si>
  <si>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</si>
  <si>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</si>
  <si>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</si>
  <si>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</si>
  <si>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</si>
  <si>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</si>
  <si>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</si>
  <si>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</si>
  <si>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</si>
  <si>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</si>
  <si>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</si>
  <si>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</si>
  <si>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</si>
  <si>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</si>
  <si>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</si>
  <si>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</si>
  <si>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</si>
  <si>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</si>
  <si>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</si>
  <si>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</si>
  <si>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</si>
  <si>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</si>
  <si>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</si>
  <si>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</si>
  <si>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</si>
  <si>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</si>
  <si>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</si>
  <si>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</si>
  <si>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</si>
  <si>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</si>
  <si>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</si>
  <si>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</si>
  <si>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</si>
  <si>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</si>
  <si>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</si>
  <si>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</si>
  <si>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</si>
  <si>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</si>
  <si>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</si>
  <si>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</si>
  <si>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</si>
  <si>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</si>
  <si>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</si>
  <si>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</si>
  <si>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</si>
  <si>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</si>
  <si>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</si>
  <si>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</si>
  <si>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</si>
  <si>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</si>
  <si>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</si>
  <si>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</si>
  <si>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</si>
  <si>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</si>
  <si>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</si>
  <si>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</si>
  <si>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</si>
  <si>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</si>
  <si>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</si>
  <si>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</si>
  <si>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</si>
  <si>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</si>
  <si>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</si>
  <si>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</si>
  <si>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</si>
  <si>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</si>
  <si>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</si>
  <si>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</si>
  <si>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</si>
  <si>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</si>
  <si>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</si>
  <si>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</si>
  <si>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</si>
  <si>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</si>
  <si>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</si>
  <si>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</si>
  <si>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</si>
  <si>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</si>
  <si>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</si>
  <si>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</si>
  <si>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</si>
  <si>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</si>
  <si>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</si>
  <si>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</si>
  <si>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</si>
  <si>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</si>
  <si>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</si>
  <si>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</si>
  <si>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</si>
  <si>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</si>
  <si>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</si>
  <si>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</si>
  <si>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</si>
  <si>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</si>
  <si>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</si>
  <si>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</si>
  <si>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</si>
  <si>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</si>
  <si>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</si>
  <si>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</si>
  <si>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</si>
  <si>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</si>
  <si>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</si>
  <si>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</si>
  <si>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</si>
  <si>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</si>
  <si>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</si>
  <si>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</si>
  <si>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</si>
  <si>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</si>
  <si>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</si>
  <si>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</si>
  <si>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</si>
  <si>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</si>
  <si>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</si>
  <si>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</si>
  <si>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</si>
  <si>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</si>
  <si>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</si>
  <si>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</si>
  <si>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</si>
  <si>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</si>
  <si>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</si>
  <si>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</si>
  <si>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</si>
  <si>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</si>
  <si>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</si>
  <si>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</si>
  <si>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</si>
  <si>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</si>
  <si>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</si>
  <si>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</si>
  <si>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</si>
  <si>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</si>
  <si>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</si>
  <si>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</si>
  <si>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</si>
  <si>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</si>
  <si>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</si>
  <si>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</si>
  <si>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</si>
  <si>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</si>
  <si>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</si>
  <si>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</si>
  <si>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</si>
  <si>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</si>
  <si>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</si>
  <si>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</si>
  <si>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</si>
  <si>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</si>
  <si>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</si>
  <si>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</si>
  <si>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</si>
  <si>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</si>
  <si>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</si>
  <si>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</si>
  <si>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</si>
  <si>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</si>
  <si>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</si>
  <si>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</si>
  <si>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</si>
  <si>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</si>
  <si>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</si>
  <si>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</si>
  <si>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</si>
  <si>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</si>
  <si>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</si>
  <si>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</si>
  <si>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</si>
  <si>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</si>
  <si>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</si>
  <si>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</si>
  <si>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</si>
  <si>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</si>
  <si>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</si>
  <si>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</si>
  <si>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</si>
  <si>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</si>
  <si>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</si>
  <si>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</si>
  <si>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</si>
  <si>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</si>
  <si>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</si>
  <si>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</si>
  <si>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</si>
  <si>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</si>
  <si>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</si>
  <si>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</si>
  <si>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</si>
  <si>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</si>
  <si>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</si>
  <si>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</si>
  <si>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</si>
  <si>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</si>
  <si>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</si>
  <si>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</si>
  <si>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</si>
  <si>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</si>
  <si>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</si>
  <si>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</si>
  <si>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</si>
  <si>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</si>
  <si>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</si>
  <si>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</si>
  <si>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</si>
  <si>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</si>
  <si>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</si>
  <si>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</si>
  <si>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</si>
  <si>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</si>
  <si>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</si>
  <si>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</si>
  <si>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</si>
  <si>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</si>
  <si>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</si>
  <si>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</si>
  <si>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</si>
  <si>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</si>
  <si>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</si>
  <si>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</si>
  <si>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</si>
  <si>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</si>
  <si>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</si>
  <si>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</si>
  <si>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</si>
  <si>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</si>
  <si>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</si>
  <si>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</si>
  <si>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</si>
  <si>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</si>
  <si>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</si>
  <si>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</si>
  <si>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</si>
  <si>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</si>
  <si>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</si>
  <si>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</si>
  <si>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</si>
  <si>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</si>
  <si>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</si>
  <si>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</si>
  <si>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</si>
  <si>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</si>
  <si>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</si>
  <si>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</si>
  <si>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</si>
  <si>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</si>
  <si>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</si>
  <si>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</si>
  <si>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</si>
  <si>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</si>
  <si>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</si>
  <si>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</si>
  <si>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</si>
  <si>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</si>
  <si>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</si>
  <si>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</si>
  <si>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</si>
  <si>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</si>
  <si>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</si>
  <si>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</si>
  <si>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</si>
  <si>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</si>
  <si>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</si>
  <si>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</si>
  <si>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</si>
  <si>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</si>
  <si>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</si>
  <si>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</si>
  <si>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</si>
  <si>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</si>
  <si>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</si>
  <si>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</si>
  <si>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</si>
  <si>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</si>
  <si>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</si>
  <si>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</si>
  <si>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</si>
  <si>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</si>
  <si>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</si>
  <si>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</si>
  <si>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</si>
  <si>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</si>
  <si>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</si>
  <si>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</si>
  <si>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</si>
  <si>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</si>
  <si>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</si>
  <si>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</si>
  <si>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</si>
  <si>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</si>
  <si>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</si>
  <si>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</si>
  <si>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</si>
  <si>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</si>
  <si>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</si>
  <si>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</si>
  <si>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</si>
  <si>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</si>
  <si>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</si>
  <si>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</si>
  <si>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</si>
  <si>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</si>
  <si>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</si>
  <si>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</si>
  <si>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</si>
  <si>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</si>
  <si>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</si>
  <si>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</si>
  <si>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</si>
  <si>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</si>
  <si>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</si>
  <si>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</si>
  <si>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</si>
  <si>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</si>
  <si>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</si>
  <si>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</si>
  <si>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</si>
  <si>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</si>
  <si>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</si>
  <si>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</si>
  <si>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</si>
  <si>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</si>
  <si>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</si>
  <si>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</si>
  <si>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</si>
  <si>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</si>
  <si>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</si>
  <si>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</si>
  <si>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</si>
  <si>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</si>
  <si>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</si>
  <si>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</si>
  <si>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</si>
  <si>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</si>
  <si>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</si>
  <si>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</si>
  <si>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</si>
  <si>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</si>
  <si>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</si>
  <si>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</si>
  <si>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</si>
  <si>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</si>
  <si>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</si>
  <si>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</si>
  <si>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</si>
  <si>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</si>
  <si>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</si>
  <si>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</si>
  <si>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</si>
  <si>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</si>
  <si>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</si>
  <si>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</si>
  <si>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</si>
  <si>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</si>
  <si>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</si>
  <si>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</si>
  <si>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</si>
  <si>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</si>
  <si>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</si>
  <si>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</si>
  <si>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</si>
  <si>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</si>
  <si>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</si>
  <si>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</si>
  <si>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</si>
  <si>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</si>
  <si>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</si>
  <si>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</si>
  <si>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</si>
  <si>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</si>
  <si>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</si>
  <si>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</si>
  <si>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</si>
  <si>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</si>
  <si>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</si>
  <si>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</si>
  <si>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</si>
  <si>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</si>
  <si>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</si>
  <si>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</si>
  <si>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</si>
  <si>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</si>
  <si>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</si>
  <si>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</si>
  <si>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</si>
  <si>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</si>
  <si>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</si>
  <si>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</si>
  <si>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</si>
  <si>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</si>
  <si>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</si>
  <si>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</si>
  <si>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</si>
  <si>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</si>
  <si>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</si>
  <si>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</si>
  <si>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</si>
  <si>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</si>
  <si>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</si>
  <si>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</si>
  <si>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</si>
  <si>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</si>
  <si>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</si>
  <si>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</si>
  <si>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</si>
  <si>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</si>
  <si>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</si>
  <si>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</si>
  <si>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</si>
  <si>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</si>
  <si>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</si>
  <si>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</si>
  <si>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</si>
  <si>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</si>
  <si>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</si>
  <si>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</si>
  <si>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</si>
  <si>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</si>
  <si>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</si>
  <si>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</si>
  <si>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</si>
  <si>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</si>
  <si>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</si>
  <si>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</si>
  <si>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</si>
  <si>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</si>
  <si>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</si>
  <si>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</si>
  <si>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</si>
  <si>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</si>
  <si>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</si>
  <si>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</si>
  <si>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</si>
  <si>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</si>
  <si>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</si>
  <si>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</si>
  <si>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</si>
  <si>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</si>
  <si>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</si>
  <si>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</si>
  <si>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</si>
  <si>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</si>
  <si>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</si>
  <si>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</si>
  <si>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</si>
  <si>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</si>
  <si>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</si>
  <si>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</si>
  <si>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</si>
  <si>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</si>
  <si>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</si>
  <si>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</si>
  <si>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</si>
  <si>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</si>
  <si>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</si>
  <si>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</si>
  <si>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</si>
  <si>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</si>
  <si>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</si>
  <si>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</si>
  <si>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</si>
  <si>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</si>
  <si>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</si>
  <si>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</si>
  <si>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</si>
  <si>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</si>
  <si>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</si>
  <si>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</si>
  <si>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</si>
  <si>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</si>
  <si>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</si>
  <si>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</si>
  <si>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</si>
  <si>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</si>
  <si>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</si>
  <si>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</si>
  <si>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</si>
  <si>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</si>
  <si>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</si>
  <si>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</si>
  <si>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</si>
  <si>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</si>
  <si>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</si>
  <si>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</si>
  <si>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</si>
  <si>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</si>
  <si>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</si>
  <si>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</si>
  <si>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</si>
  <si>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</si>
  <si>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</si>
  <si>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</si>
  <si>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</si>
  <si>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</si>
  <si>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</si>
  <si>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</si>
  <si>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</si>
  <si>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</si>
  <si>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</si>
  <si>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</si>
  <si>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</si>
  <si>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</si>
  <si>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</si>
  <si>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</si>
  <si>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</si>
  <si>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</si>
  <si>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</si>
  <si>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</si>
  <si>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</si>
  <si>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</si>
  <si>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</si>
  <si>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</si>
  <si>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</si>
  <si>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</si>
  <si>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</si>
  <si>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</si>
  <si>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</si>
  <si>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</si>
  <si>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</si>
  <si>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</si>
  <si>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</si>
  <si>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</si>
  <si>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</si>
  <si>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</si>
  <si>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</si>
  <si>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</si>
  <si>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</si>
  <si>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</si>
  <si>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</si>
  <si>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</si>
  <si>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</si>
  <si>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</si>
  <si>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</si>
  <si>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</si>
  <si>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</si>
  <si>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</si>
  <si>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</si>
  <si>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</si>
  <si>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</si>
  <si>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</si>
  <si>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</si>
  <si>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</si>
  <si>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</si>
  <si>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</si>
  <si>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</si>
  <si>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</si>
  <si>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</si>
  <si>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</si>
  <si>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</si>
  <si>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</si>
  <si>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</si>
  <si>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</si>
  <si>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</si>
  <si>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</si>
  <si>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</si>
  <si>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</si>
  <si>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</si>
  <si>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</si>
  <si>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</si>
  <si>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</si>
  <si>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</si>
  <si>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</si>
  <si>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</si>
  <si>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</si>
  <si>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</si>
  <si>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</si>
  <si>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</si>
  <si>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</si>
  <si>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</si>
  <si>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</si>
  <si>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</si>
  <si>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</si>
  <si>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</si>
  <si>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</si>
  <si>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</si>
  <si>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</si>
  <si>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</si>
  <si>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</si>
  <si>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</si>
  <si>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</si>
  <si>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</si>
  <si>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</si>
  <si>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</si>
  <si>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</si>
  <si>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</si>
  <si>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</si>
  <si>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</si>
  <si>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</si>
  <si>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</si>
  <si>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</si>
  <si>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</si>
  <si>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</si>
  <si>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</si>
  <si>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</si>
  <si>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</si>
  <si>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</si>
  <si>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</si>
  <si>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</si>
  <si>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</si>
  <si>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</si>
  <si>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</si>
  <si>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</si>
  <si>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</si>
  <si>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</si>
  <si>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</si>
  <si>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</si>
  <si>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</si>
  <si>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</si>
  <si>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</si>
  <si>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</si>
  <si>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</si>
  <si>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</si>
  <si>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</si>
  <si>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</si>
  <si>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</si>
  <si>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</si>
  <si>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</si>
  <si>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</si>
  <si>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</si>
  <si>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</si>
  <si>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</si>
  <si>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</si>
  <si>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</si>
  <si>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</si>
  <si>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</si>
  <si>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</si>
  <si>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</si>
  <si>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</si>
  <si>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</si>
  <si>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</si>
  <si>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</si>
  <si>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</si>
  <si>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</si>
  <si>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</si>
  <si>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</si>
  <si>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</si>
  <si>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</si>
  <si>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</si>
  <si>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</si>
  <si>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</si>
  <si>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</si>
  <si>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</si>
  <si>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</si>
  <si>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</si>
  <si>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</si>
  <si>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</si>
  <si>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</si>
  <si>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</si>
  <si>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</si>
  <si>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</si>
  <si>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</si>
  <si>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</si>
  <si>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</si>
  <si>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</si>
  <si>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</si>
  <si>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</si>
  <si>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</si>
  <si>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</si>
  <si>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</si>
  <si>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</si>
  <si>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</si>
  <si>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</si>
  <si>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</si>
  <si>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</si>
  <si>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</si>
  <si>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</si>
  <si>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</si>
  <si>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</si>
  <si>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</si>
  <si>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</si>
  <si>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</si>
  <si>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</si>
  <si>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</si>
  <si>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</si>
  <si>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</si>
  <si>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</si>
  <si>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</si>
  <si>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</si>
  <si>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</si>
  <si>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</si>
  <si>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</si>
  <si>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</si>
  <si>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</si>
  <si>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</si>
  <si>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</si>
  <si>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</si>
  <si>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</si>
  <si>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</si>
  <si>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</si>
  <si>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</si>
  <si>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</si>
  <si>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</si>
  <si>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</si>
  <si>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</si>
  <si>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</si>
  <si>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</si>
  <si>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</si>
  <si>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</si>
  <si>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</si>
  <si>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</si>
  <si>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</si>
  <si>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</si>
  <si>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</si>
  <si>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</si>
  <si>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</si>
  <si>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</si>
  <si>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</si>
  <si>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</si>
  <si>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</si>
  <si>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</si>
  <si>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</si>
  <si>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</si>
  <si>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</si>
  <si>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</si>
  <si>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</si>
  <si>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</si>
  <si>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</si>
  <si>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</si>
  <si>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</si>
  <si>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</si>
  <si>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</si>
  <si>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</si>
  <si>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</si>
  <si>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</si>
  <si>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</si>
  <si>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</si>
  <si>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</si>
  <si>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</si>
  <si>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</si>
  <si>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</si>
  <si>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</si>
  <si>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</si>
  <si>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</si>
  <si>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</si>
  <si>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</si>
  <si>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</si>
  <si>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</si>
  <si>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</si>
  <si>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</si>
  <si>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</si>
  <si>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</si>
  <si>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</si>
  <si>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</si>
  <si>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</si>
  <si>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</si>
  <si>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</si>
  <si>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</si>
  <si>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</si>
  <si>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</si>
  <si>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</si>
  <si>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</si>
  <si>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</si>
  <si>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</si>
  <si>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</si>
  <si>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</si>
  <si>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</si>
  <si>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</si>
  <si>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</si>
  <si>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</si>
  <si>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</si>
  <si>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</si>
  <si>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</si>
  <si>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</si>
  <si>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</si>
  <si>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</si>
  <si>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</si>
  <si>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</si>
  <si>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</si>
  <si>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</si>
  <si>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</si>
  <si>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</si>
  <si>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</si>
  <si>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</si>
  <si>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</si>
  <si>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</si>
  <si>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</si>
  <si>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</si>
  <si>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</si>
  <si>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</si>
  <si>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</si>
  <si>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</si>
  <si>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</si>
  <si>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</si>
  <si>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</si>
  <si>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</si>
  <si>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</si>
  <si>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</si>
  <si>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</si>
  <si>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</si>
  <si>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</si>
  <si>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</si>
  <si>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</si>
  <si>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</si>
  <si>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</si>
  <si>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</si>
  <si>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</si>
  <si>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</si>
  <si>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</si>
  <si>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</si>
  <si>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</si>
  <si>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</si>
  <si>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</si>
  <si>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</si>
  <si>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</si>
  <si>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</si>
  <si>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</si>
  <si>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</si>
  <si>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</si>
  <si>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</si>
  <si>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</si>
  <si>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</si>
  <si>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</si>
  <si>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</si>
  <si>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</si>
  <si>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</si>
  <si>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</si>
  <si>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</si>
  <si>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</si>
  <si>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</si>
  <si>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</si>
  <si>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</si>
  <si>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</si>
  <si>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</si>
  <si>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</si>
  <si>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</si>
  <si>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</si>
  <si>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</si>
  <si>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</si>
  <si>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</si>
  <si>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</si>
  <si>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</si>
  <si>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</si>
  <si>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</si>
  <si>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</si>
  <si>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</si>
  <si>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</si>
  <si>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</si>
  <si>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</si>
  <si>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</si>
  <si>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</si>
  <si>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</si>
  <si>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</si>
  <si>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</si>
  <si>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</si>
  <si>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</si>
  <si>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</si>
  <si>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</si>
  <si>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</si>
  <si>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</si>
  <si>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</si>
  <si>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</si>
  <si>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</si>
  <si>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</si>
  <si>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</si>
  <si>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</si>
  <si>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</si>
  <si>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</si>
  <si>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</si>
  <si>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</si>
  <si>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</si>
  <si>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</si>
  <si>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</si>
  <si>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</si>
  <si>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</si>
  <si>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</si>
  <si>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</si>
  <si>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</si>
  <si>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</si>
  <si>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</si>
  <si>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</si>
  <si>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</si>
  <si>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</si>
  <si>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</si>
  <si>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</si>
  <si>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</si>
  <si>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</si>
  <si>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</si>
  <si>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</si>
  <si>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</si>
  <si>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</si>
  <si>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</si>
  <si>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</si>
  <si>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</si>
  <si>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</si>
  <si>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</si>
  <si>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</si>
  <si>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</si>
  <si>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</si>
  <si>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</si>
  <si>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</si>
  <si>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</si>
  <si>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</si>
  <si>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</si>
  <si>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</si>
  <si>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</si>
  <si>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</si>
  <si>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</si>
  <si>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</si>
  <si>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</si>
  <si>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</si>
  <si>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</si>
  <si>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</si>
  <si>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</si>
  <si>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</si>
  <si>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</si>
  <si>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</si>
  <si>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</si>
  <si>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</si>
  <si>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</si>
  <si>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</si>
  <si>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</si>
  <si>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</si>
  <si>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</si>
  <si>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</si>
  <si>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</si>
  <si>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</si>
  <si>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</si>
  <si>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</si>
  <si>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</si>
  <si>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</si>
  <si>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</si>
  <si>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</si>
  <si>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</si>
  <si>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</si>
  <si>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</si>
  <si>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</si>
  <si>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</si>
  <si>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</si>
  <si>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</si>
  <si>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</si>
  <si>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</si>
  <si>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</si>
  <si>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</si>
  <si>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</si>
  <si>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</si>
  <si>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</si>
  <si>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</si>
  <si>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</si>
  <si>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</si>
  <si>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</si>
  <si>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</si>
  <si>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</si>
  <si>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</si>
  <si>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</si>
  <si>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</si>
  <si>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</si>
  <si>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</si>
  <si>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</si>
  <si>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</si>
  <si>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</si>
  <si>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</si>
  <si>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</si>
  <si>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</si>
  <si>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</si>
  <si>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</si>
  <si>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</si>
  <si>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</si>
  <si>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</si>
  <si>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</si>
  <si>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</si>
  <si>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</si>
  <si>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</si>
  <si>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</si>
  <si>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</si>
  <si>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</si>
  <si>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</si>
  <si>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</si>
  <si>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</si>
  <si>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</si>
  <si>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</si>
  <si>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</si>
  <si>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</si>
  <si>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</si>
  <si>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</si>
  <si>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</si>
  <si>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</si>
  <si>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</si>
  <si>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</si>
  <si>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</si>
  <si>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</si>
  <si>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</si>
  <si>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</si>
  <si>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</si>
  <si>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</si>
  <si>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</si>
  <si>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</si>
  <si>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</si>
  <si>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</si>
  <si>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</si>
  <si>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</si>
  <si>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</si>
  <si>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</si>
  <si>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</si>
  <si>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</si>
  <si>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</si>
  <si>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</si>
  <si>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</si>
  <si>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</si>
  <si>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</si>
  <si>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</si>
  <si>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</si>
  <si>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</si>
  <si>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</si>
  <si>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</si>
  <si>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</si>
  <si>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</si>
  <si>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</si>
  <si>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</si>
  <si>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</si>
  <si>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</si>
  <si>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</si>
  <si>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</si>
  <si>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</si>
  <si>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</si>
  <si>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</si>
  <si>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</si>
  <si>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</si>
  <si>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</si>
  <si>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</si>
  <si>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</si>
  <si>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</si>
  <si>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</si>
  <si>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</si>
  <si>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</si>
  <si>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</si>
  <si>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</si>
  <si>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</si>
  <si>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</si>
  <si>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</si>
  <si>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</si>
  <si>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</si>
  <si>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</si>
  <si>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</si>
  <si>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</si>
  <si>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</si>
  <si>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</si>
  <si>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</si>
  <si>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</si>
  <si>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</si>
  <si>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</si>
  <si>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</si>
  <si>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</si>
  <si>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</si>
  <si>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</si>
  <si>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</si>
  <si>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</si>
  <si>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</si>
  <si>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</si>
  <si>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</si>
  <si>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</si>
  <si>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</si>
  <si>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</si>
  <si>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</si>
  <si>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</si>
  <si>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</si>
  <si>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</si>
  <si>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</si>
  <si>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</si>
  <si>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</si>
  <si>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</si>
  <si>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</si>
  <si>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</si>
  <si>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</si>
  <si>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</si>
  <si>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</si>
  <si>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</si>
  <si>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</si>
  <si>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</si>
  <si>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</si>
  <si>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</si>
  <si>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</si>
  <si>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</si>
  <si>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</si>
  <si>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</si>
  <si>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</si>
  <si>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</si>
  <si>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</si>
  <si>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</si>
  <si>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</si>
  <si>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</si>
  <si>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</si>
  <si>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</si>
  <si>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</si>
  <si>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</si>
  <si>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</si>
  <si>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</si>
  <si>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</si>
  <si>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</si>
  <si>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</si>
  <si>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</si>
  <si>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</si>
  <si>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</si>
  <si>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</si>
  <si>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</si>
  <si>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</si>
  <si>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</si>
  <si>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</si>
  <si>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</si>
  <si>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</si>
  <si>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</si>
  <si>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</si>
  <si>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</si>
  <si>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</si>
  <si>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</si>
  <si>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</si>
  <si>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</si>
  <si>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</si>
  <si>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</si>
  <si>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</si>
  <si>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</si>
  <si>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</si>
  <si>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</si>
  <si>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</si>
  <si>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</si>
  <si>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</si>
  <si>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</si>
  <si>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</si>
  <si>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</si>
  <si>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</si>
  <si>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</si>
  <si>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</si>
  <si>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</si>
  <si>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</si>
  <si>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</si>
  <si>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</si>
  <si>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</si>
  <si>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</si>
  <si>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</si>
  <si>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</si>
  <si>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</si>
  <si>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</si>
  <si>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</si>
  <si>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</si>
  <si>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</si>
  <si>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</si>
  <si>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</si>
  <si>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</si>
  <si>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</si>
  <si>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</si>
  <si>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</si>
  <si>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</si>
  <si>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</si>
  <si>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</si>
  <si>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</si>
  <si>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</si>
  <si>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</si>
  <si>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</si>
  <si>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</si>
  <si>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</si>
  <si>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</si>
  <si>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</si>
  <si>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</si>
  <si>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</si>
  <si>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</si>
  <si>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</si>
  <si>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</si>
  <si>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</si>
  <si>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</si>
  <si>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</si>
  <si>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</si>
  <si>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</si>
  <si>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</si>
  <si>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</si>
  <si>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</si>
  <si>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</si>
  <si>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</si>
  <si>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</si>
  <si>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</si>
  <si>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</si>
  <si>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</si>
  <si>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</si>
  <si>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</si>
  <si>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</si>
  <si>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</si>
  <si>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</si>
  <si>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</si>
  <si>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</si>
  <si>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</si>
  <si>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</si>
  <si>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</si>
  <si>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</si>
  <si>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</si>
  <si>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</si>
  <si>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</si>
  <si>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</si>
  <si>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</si>
  <si>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</si>
  <si>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</si>
  <si>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</si>
  <si>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</si>
  <si>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</si>
  <si>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</si>
  <si>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</si>
  <si>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</si>
  <si>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</si>
  <si>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</si>
  <si>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</si>
  <si>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</si>
  <si>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</si>
  <si>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</si>
  <si>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</si>
  <si>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</si>
  <si>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</si>
  <si>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</si>
  <si>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</si>
  <si>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</si>
  <si>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</si>
  <si>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</si>
  <si>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</si>
  <si>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</si>
  <si>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</si>
  <si>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</si>
  <si>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</si>
  <si>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</si>
  <si>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</si>
  <si>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</si>
  <si>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</si>
  <si>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</si>
  <si>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</si>
  <si>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</si>
  <si>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</si>
  <si>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</si>
  <si>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</si>
  <si>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</si>
  <si>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</si>
  <si>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</si>
  <si>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</si>
  <si>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</si>
  <si>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</si>
  <si>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</si>
  <si>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</si>
  <si>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</si>
  <si>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</si>
  <si>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</si>
  <si>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</si>
  <si>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</si>
  <si>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</si>
  <si>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</si>
  <si>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</si>
  <si>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</si>
  <si>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</si>
  <si>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</si>
  <si>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</si>
  <si>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</si>
  <si>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</si>
  <si>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</si>
  <si>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</si>
  <si>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</si>
  <si>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</si>
  <si>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</si>
  <si>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</si>
  <si>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</si>
  <si>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</si>
  <si>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</si>
  <si>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</si>
  <si>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</si>
  <si>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</si>
  <si>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</si>
  <si>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</si>
  <si>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</si>
  <si>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</si>
  <si>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</si>
  <si>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</si>
  <si>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</si>
  <si>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</si>
  <si>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</si>
  <si>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</si>
  <si>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</si>
  <si>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</si>
  <si>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</si>
  <si>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</si>
  <si>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</si>
  <si>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</si>
  <si>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</si>
  <si>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</si>
  <si>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</si>
  <si>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</si>
  <si>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</si>
  <si>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</si>
  <si>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</si>
  <si>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</si>
  <si>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</si>
  <si>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</si>
  <si>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</si>
  <si>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</si>
  <si>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</si>
  <si>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</si>
  <si>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</si>
  <si>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</si>
  <si>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</si>
  <si>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</si>
  <si>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</si>
  <si>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</si>
  <si>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</si>
  <si>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</si>
  <si>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</si>
  <si>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</si>
  <si>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</si>
  <si>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</si>
  <si>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</si>
  <si>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</si>
  <si>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</si>
  <si>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</si>
  <si>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</si>
  <si>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</si>
  <si>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</si>
  <si>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</si>
  <si>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</si>
  <si>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</si>
  <si>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</si>
  <si>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</si>
  <si>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</si>
  <si>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</si>
  <si>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</si>
  <si>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</si>
  <si>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</si>
  <si>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</si>
  <si>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</si>
  <si>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</si>
  <si>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</si>
  <si>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</si>
  <si>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</si>
  <si>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</si>
  <si>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</si>
  <si>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</si>
  <si>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</si>
  <si>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</si>
  <si>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</si>
  <si>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</si>
  <si>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</si>
  <si>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</si>
  <si>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</si>
  <si>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</si>
  <si>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</si>
  <si>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</si>
  <si>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</si>
  <si>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</si>
  <si>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</si>
  <si>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</si>
  <si>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</si>
  <si>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</si>
  <si>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</si>
  <si>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</si>
  <si>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</si>
  <si>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</si>
  <si>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</si>
  <si>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</si>
  <si>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</si>
  <si>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</si>
  <si>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</si>
  <si>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</si>
  <si>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</si>
  <si>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</si>
  <si>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</si>
  <si>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</si>
  <si>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</si>
  <si>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</si>
  <si>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</si>
  <si>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</si>
  <si>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</si>
  <si>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</si>
  <si>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</si>
  <si>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</si>
  <si>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</si>
  <si>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</si>
  <si>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</si>
  <si>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</si>
  <si>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</si>
  <si>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</si>
  <si>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</si>
  <si>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</si>
  <si>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</si>
  <si>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</si>
  <si>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</si>
  <si>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</si>
  <si>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</si>
  <si>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</si>
  <si>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</si>
  <si>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</si>
  <si>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</si>
  <si>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</si>
  <si>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</si>
  <si>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</si>
  <si>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</si>
  <si>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</si>
  <si>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</si>
  <si>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</si>
  <si>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</si>
  <si>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</si>
  <si>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</si>
  <si>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</si>
  <si>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</si>
  <si>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</si>
  <si>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</si>
  <si>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</si>
  <si>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</si>
  <si>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</si>
  <si>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</si>
  <si>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</si>
  <si>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</si>
  <si>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</si>
  <si>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</si>
  <si>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</si>
  <si>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</si>
  <si>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</si>
  <si>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</si>
  <si>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</si>
  <si>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</si>
  <si>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</si>
  <si>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</si>
  <si>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</si>
  <si>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</si>
  <si>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</si>
  <si>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</si>
  <si>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</si>
  <si>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</si>
  <si>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</si>
  <si>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</si>
  <si>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</si>
  <si>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</si>
  <si>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</si>
  <si>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</si>
  <si>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</si>
  <si>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</si>
  <si>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</si>
  <si>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</si>
  <si>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</si>
  <si>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</si>
  <si>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</si>
  <si>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</si>
  <si>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</si>
  <si>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</si>
  <si>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</si>
  <si>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</si>
  <si>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</si>
  <si>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</si>
  <si>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</si>
  <si>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</si>
  <si>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</si>
  <si>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</si>
  <si>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</si>
  <si>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</si>
  <si>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</si>
  <si>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</si>
  <si>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</si>
  <si>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</si>
  <si>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</si>
  <si>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</si>
  <si>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</si>
  <si>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</si>
  <si>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</si>
  <si>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</si>
  <si>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</si>
  <si>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</si>
  <si>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</si>
  <si>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</si>
  <si>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</si>
  <si>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</si>
  <si>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</si>
  <si>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</si>
  <si>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</si>
  <si>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</si>
  <si>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</si>
  <si>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</si>
  <si>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</si>
  <si>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</si>
  <si>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</si>
  <si>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</si>
  <si>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</si>
  <si>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</si>
  <si>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</si>
  <si>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</si>
  <si>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</si>
  <si>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</si>
  <si>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</si>
  <si>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</si>
  <si>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</si>
  <si>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</si>
  <si>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</si>
  <si>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</si>
  <si>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</si>
  <si>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</si>
  <si>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</si>
  <si>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</si>
  <si>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</si>
  <si>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</si>
  <si>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</si>
  <si>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</si>
  <si>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</si>
  <si>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</si>
  <si>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</si>
  <si>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</si>
  <si>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</si>
  <si>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</si>
  <si>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</si>
  <si>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</si>
  <si>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</si>
  <si>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</si>
  <si>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</si>
  <si>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</si>
  <si>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</si>
  <si>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</si>
  <si>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</si>
  <si>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</si>
  <si>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</si>
  <si>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</si>
  <si>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</si>
  <si>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</si>
  <si>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</si>
  <si>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</si>
  <si>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</si>
  <si>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</si>
  <si>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</si>
  <si>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</si>
  <si>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</si>
  <si>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</si>
  <si>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</si>
  <si>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</si>
  <si>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</si>
  <si>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</si>
  <si>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</si>
  <si>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</si>
  <si>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</si>
  <si>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</si>
  <si>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</si>
  <si>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</si>
  <si>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</si>
  <si>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</si>
  <si>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</si>
  <si>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</si>
  <si>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</si>
  <si>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</si>
  <si>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</si>
  <si>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</si>
  <si>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</si>
  <si>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</si>
  <si>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</si>
  <si>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</si>
  <si>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</si>
  <si>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</si>
  <si>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</si>
  <si>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</si>
  <si>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</si>
  <si>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</si>
  <si>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</si>
  <si>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</si>
  <si>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</si>
  <si>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</si>
  <si>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</si>
  <si>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</si>
  <si>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</si>
  <si>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</si>
  <si>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</si>
  <si>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</si>
  <si>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</si>
  <si>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</si>
  <si>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</si>
  <si>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</si>
  <si>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</si>
  <si>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</si>
  <si>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</si>
  <si>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</si>
  <si>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</si>
  <si>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</si>
  <si>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</si>
  <si>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</si>
  <si>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</si>
  <si>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</si>
  <si>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</si>
  <si>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</si>
  <si>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</si>
  <si>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</si>
  <si>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</si>
  <si>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</si>
  <si>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</si>
  <si>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</si>
  <si>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</si>
  <si>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</si>
  <si>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</si>
  <si>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</si>
  <si>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</si>
  <si>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</si>
  <si>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</si>
  <si>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</si>
  <si>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</si>
  <si>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</si>
  <si>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</si>
  <si>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</si>
  <si>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</si>
  <si>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</si>
  <si>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</si>
  <si>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</si>
  <si>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</si>
  <si>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</si>
  <si>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</si>
  <si>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</si>
  <si>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</si>
  <si>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</si>
  <si>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</si>
  <si>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</si>
  <si>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</si>
  <si>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</si>
  <si>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</si>
  <si>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</si>
  <si>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</si>
  <si>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</si>
  <si>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</si>
  <si>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</si>
  <si>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</si>
  <si>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</si>
  <si>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</si>
  <si>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</si>
  <si>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</si>
  <si>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</si>
  <si>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</si>
  <si>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</si>
  <si>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</si>
  <si>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</si>
  <si>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</si>
  <si>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</si>
  <si>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</si>
  <si>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</si>
  <si>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</si>
  <si>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</si>
  <si>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</si>
  <si>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</si>
  <si>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</si>
  <si>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</si>
  <si>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</si>
  <si>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</si>
  <si>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</si>
  <si>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</si>
  <si>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</si>
  <si>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</si>
  <si>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</si>
  <si>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</si>
  <si>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</si>
  <si>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</si>
  <si>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</si>
  <si>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</si>
  <si>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</si>
  <si>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</si>
  <si>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</si>
  <si>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</si>
  <si>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</si>
  <si>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</si>
  <si>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</si>
  <si>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</si>
  <si>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</si>
  <si>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</si>
  <si>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</si>
  <si>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</si>
  <si>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</si>
  <si>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</si>
  <si>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</si>
  <si>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</si>
  <si>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</si>
  <si>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</si>
  <si>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</si>
  <si>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</si>
  <si>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</si>
  <si>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</si>
  <si>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</si>
  <si>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</si>
  <si>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</si>
  <si>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</si>
  <si>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</si>
  <si>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</si>
  <si>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</si>
  <si>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</si>
  <si>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</si>
  <si>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</si>
  <si>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</si>
  <si>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</si>
  <si>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</si>
  <si>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</si>
  <si>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</si>
  <si>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</si>
  <si>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</si>
  <si>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</si>
  <si>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</si>
  <si>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</si>
  <si>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</si>
  <si>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</si>
  <si>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</si>
  <si>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</si>
  <si>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</si>
  <si>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</si>
  <si>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</si>
  <si>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</si>
  <si>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</si>
  <si>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</si>
  <si>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</si>
  <si>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</si>
  <si>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</si>
  <si>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</si>
  <si>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</si>
  <si>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</si>
  <si>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</si>
  <si>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</si>
  <si>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</si>
  <si>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</si>
  <si>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</si>
  <si>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</si>
  <si>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</si>
  <si>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</si>
  <si>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</si>
  <si>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</si>
  <si>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</si>
  <si>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</si>
  <si>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</si>
  <si>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</si>
  <si>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</si>
  <si>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</si>
  <si>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</si>
  <si>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</si>
  <si>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</si>
  <si>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</si>
  <si>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</si>
  <si>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</si>
  <si>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</si>
  <si>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</si>
  <si>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</si>
  <si>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</si>
  <si>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</si>
  <si>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</si>
  <si>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</si>
  <si>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</si>
  <si>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</si>
  <si>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</si>
  <si>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</si>
  <si>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</si>
  <si>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</si>
  <si>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</si>
  <si>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</si>
  <si>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</si>
  <si>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</si>
  <si>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</si>
  <si>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</si>
  <si>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</si>
  <si>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</si>
  <si>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</si>
  <si>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</si>
  <si>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</si>
  <si>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</si>
  <si>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</si>
  <si>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</si>
  <si>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</si>
  <si>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</si>
  <si>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</si>
  <si>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</si>
  <si>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</si>
  <si>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</si>
  <si>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</si>
  <si>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</si>
  <si>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</si>
  <si>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</si>
  <si>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</si>
  <si>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</si>
  <si>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</si>
  <si>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</si>
  <si>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</si>
  <si>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</si>
  <si>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</si>
  <si>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</si>
  <si>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</si>
  <si>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</si>
  <si>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</si>
  <si>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</si>
  <si>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</si>
  <si>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</si>
  <si>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</si>
  <si>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</si>
  <si>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</si>
  <si>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</si>
  <si>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</si>
  <si>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</si>
  <si>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</si>
  <si>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</si>
  <si>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</si>
  <si>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</si>
  <si>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</si>
  <si>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</si>
  <si>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</si>
  <si>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</si>
  <si>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</si>
  <si>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</si>
  <si>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</si>
  <si>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</si>
  <si>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</si>
  <si>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</si>
  <si>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</si>
  <si>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</si>
  <si>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</si>
  <si>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</si>
  <si>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</si>
  <si>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</si>
  <si>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</si>
  <si>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</si>
  <si>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</si>
  <si>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</si>
  <si>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</si>
  <si>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</si>
  <si>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</si>
  <si>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</si>
  <si>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</si>
  <si>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</si>
  <si>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</si>
  <si>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</si>
  <si>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</si>
  <si>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</si>
  <si>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</si>
  <si>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</si>
  <si>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</si>
  <si>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</si>
  <si>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</si>
  <si>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</si>
  <si>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</si>
  <si>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</si>
  <si>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</si>
  <si>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</si>
  <si>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</si>
  <si>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</si>
  <si>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</si>
  <si>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</si>
  <si>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</si>
  <si>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</si>
  <si>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</si>
  <si>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</si>
  <si>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</si>
  <si>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</si>
  <si>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</si>
  <si>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</si>
  <si>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</si>
  <si>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</si>
  <si>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</si>
  <si>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</si>
  <si>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</si>
  <si>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</si>
  <si>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</si>
  <si>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</si>
  <si>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</si>
  <si>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</si>
  <si>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</si>
  <si>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</si>
  <si>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</si>
  <si>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</si>
  <si>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</si>
  <si>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</si>
  <si>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</si>
  <si>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</si>
  <si>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</si>
  <si>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</si>
  <si>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</si>
  <si>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</si>
  <si>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</si>
  <si>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</si>
  <si>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</si>
  <si>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</si>
  <si>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</si>
  <si>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</si>
  <si>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</si>
  <si>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</si>
  <si>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</si>
  <si>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</si>
  <si>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</si>
  <si>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</si>
  <si>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</si>
  <si>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</si>
  <si>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</si>
  <si>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</si>
  <si>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</si>
  <si>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</si>
  <si>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</si>
  <si>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</si>
  <si>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</si>
  <si>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</si>
  <si>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</si>
  <si>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</si>
  <si>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</si>
  <si>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</si>
  <si>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</si>
  <si>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</si>
  <si>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</si>
  <si>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</si>
  <si>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</si>
  <si>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</si>
  <si>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</si>
  <si>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</si>
  <si>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</si>
  <si>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</si>
  <si>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</si>
  <si>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</si>
  <si>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</si>
  <si>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</si>
  <si>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</si>
  <si>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</si>
  <si>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</si>
  <si>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</si>
  <si>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</si>
  <si>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</si>
  <si>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</si>
  <si>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</si>
  <si>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</si>
  <si>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</si>
  <si>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</si>
  <si>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</si>
  <si>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</si>
  <si>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</si>
  <si>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</si>
  <si>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</si>
  <si>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</si>
  <si>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</si>
  <si>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</si>
  <si>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</si>
  <si>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</si>
  <si>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</si>
  <si>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</si>
  <si>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</si>
  <si>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</si>
  <si>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</si>
  <si>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</si>
  <si>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</si>
  <si>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</si>
  <si>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</si>
  <si>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</si>
  <si>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</si>
  <si>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</si>
  <si>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</si>
  <si>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</si>
  <si>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</si>
  <si>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</si>
  <si>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</si>
  <si>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</si>
  <si>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</si>
  <si>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</si>
  <si>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</si>
  <si>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</si>
  <si>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</si>
  <si>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</si>
  <si>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</si>
  <si>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</si>
  <si>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</si>
  <si>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</si>
  <si>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</si>
  <si>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</si>
  <si>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</si>
  <si>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</si>
  <si>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</si>
  <si>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</si>
  <si>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</si>
  <si>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</si>
  <si>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</si>
  <si>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</si>
  <si>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</si>
  <si>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</si>
  <si>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</si>
  <si>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</si>
  <si>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</si>
  <si>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</si>
  <si>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</si>
  <si>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</si>
  <si>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</si>
  <si>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</si>
  <si>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</si>
  <si>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</si>
  <si>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</si>
  <si>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</si>
  <si>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</si>
  <si>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</si>
  <si>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</si>
  <si>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</si>
  <si>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</si>
  <si>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</si>
  <si>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</si>
  <si>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</si>
  <si>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</si>
  <si>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</si>
  <si>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</si>
  <si>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</si>
  <si>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</si>
  <si>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</si>
  <si>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</si>
  <si>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</si>
  <si>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</si>
  <si>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</si>
  <si>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</si>
  <si>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</si>
  <si>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</si>
  <si>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</si>
  <si>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</si>
  <si>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</si>
  <si>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</si>
  <si>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</si>
  <si>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</si>
  <si>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</si>
  <si>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</si>
  <si>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</si>
  <si>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</si>
  <si>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</si>
  <si>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</si>
  <si>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</si>
  <si>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</si>
  <si>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</si>
  <si>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</si>
  <si>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</si>
  <si>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</si>
  <si>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</si>
  <si>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</si>
  <si>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</si>
  <si>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</si>
  <si>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</si>
  <si>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</si>
  <si>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</si>
  <si>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</si>
  <si>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</si>
  <si>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</si>
  <si>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</si>
  <si>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</si>
  <si>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</si>
  <si>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</si>
  <si>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</si>
  <si>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</si>
  <si>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</si>
  <si>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</si>
  <si>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</si>
  <si>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</si>
  <si>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</si>
  <si>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</si>
  <si>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</si>
  <si>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</si>
  <si>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</si>
  <si>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</si>
  <si>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</si>
  <si>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</si>
  <si>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</si>
  <si>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</si>
  <si>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</si>
  <si>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</si>
  <si>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</si>
  <si>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</si>
  <si>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</si>
  <si>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</si>
  <si>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</si>
  <si>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</si>
  <si>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</si>
  <si>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</si>
  <si>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</si>
  <si>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</si>
  <si>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</si>
  <si>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</si>
  <si>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</si>
  <si>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</si>
  <si>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</si>
  <si>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</si>
  <si>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</si>
  <si>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</si>
  <si>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</si>
  <si>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</si>
  <si>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</si>
  <si>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</si>
  <si>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</si>
  <si>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</si>
  <si>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</si>
  <si>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</si>
  <si>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</si>
  <si>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</si>
  <si>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</si>
  <si>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</si>
  <si>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</si>
  <si>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</si>
  <si>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</si>
  <si>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</si>
  <si>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</si>
  <si>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</si>
  <si>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</si>
  <si>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</si>
  <si>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</si>
  <si>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</si>
  <si>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</si>
  <si>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</si>
  <si>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</si>
  <si>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</si>
  <si>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</si>
  <si>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</si>
  <si>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</si>
  <si>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</si>
  <si>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</si>
  <si>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</si>
  <si>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</si>
  <si>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</si>
  <si>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</si>
  <si>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</si>
  <si>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</si>
  <si>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</si>
  <si>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</si>
  <si>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</si>
  <si>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</si>
  <si>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</si>
  <si>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</si>
  <si>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</si>
  <si>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</si>
  <si>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</si>
  <si>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</si>
  <si>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</si>
  <si>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</si>
  <si>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</si>
  <si>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</si>
  <si>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</si>
  <si>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</si>
  <si>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</si>
  <si>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</si>
  <si>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</si>
  <si>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</si>
  <si>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</si>
  <si>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</si>
  <si>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</si>
  <si>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</si>
  <si>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</si>
  <si>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</si>
  <si>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</si>
  <si>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</si>
  <si>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</si>
  <si>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</si>
  <si>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</si>
  <si>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</si>
  <si>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</si>
  <si>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</si>
  <si>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</si>
  <si>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</si>
  <si>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</si>
  <si>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</si>
  <si>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</si>
  <si>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</si>
  <si>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</si>
  <si>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</si>
  <si>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</si>
  <si>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</si>
  <si>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</si>
  <si>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</si>
  <si>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</si>
  <si>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</si>
  <si>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</si>
  <si>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</si>
  <si>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</si>
  <si>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</si>
  <si>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</si>
  <si>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</si>
  <si>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</si>
  <si>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</si>
  <si>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</si>
  <si>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</si>
  <si>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</si>
  <si>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</si>
  <si>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</si>
  <si>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</si>
  <si>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</si>
  <si>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</si>
  <si>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</si>
  <si>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</si>
  <si>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</si>
  <si>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</si>
  <si>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</si>
  <si>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</si>
  <si>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</si>
  <si>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</si>
  <si>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</si>
  <si>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</si>
  <si>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</si>
  <si>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</si>
  <si>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</si>
  <si>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</si>
  <si>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</si>
  <si>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</si>
  <si>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</si>
  <si>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</si>
  <si>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</si>
  <si>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</si>
  <si>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</si>
  <si>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</si>
  <si>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</si>
  <si>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</si>
  <si>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</si>
  <si>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</si>
  <si>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</si>
  <si>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</si>
  <si>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</si>
  <si>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</si>
  <si>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</si>
  <si>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</si>
  <si>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</si>
  <si>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</si>
  <si>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</si>
  <si>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</si>
  <si>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</si>
  <si>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</si>
  <si>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</si>
  <si>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</si>
  <si>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</si>
  <si>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</si>
  <si>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</si>
  <si>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</si>
  <si>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</si>
  <si>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</si>
  <si>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</si>
  <si>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</si>
  <si>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</si>
  <si>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</si>
  <si>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</si>
  <si>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</si>
  <si>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</si>
  <si>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</si>
  <si>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</si>
  <si>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</si>
  <si>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</si>
  <si>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</si>
  <si>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</si>
  <si>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</si>
  <si>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</si>
  <si>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</si>
  <si>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</si>
  <si>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</si>
  <si>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</si>
  <si>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</si>
  <si>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</si>
  <si>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</si>
  <si>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</si>
  <si>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</si>
  <si>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</si>
  <si>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</si>
  <si>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</si>
  <si>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</si>
  <si>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</si>
  <si>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</si>
  <si>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</si>
  <si>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</si>
  <si>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</si>
  <si>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</si>
  <si>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</si>
  <si>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</si>
  <si>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</si>
  <si>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</si>
  <si>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</si>
  <si>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</si>
  <si>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</si>
  <si>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</si>
  <si>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</si>
  <si>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</si>
  <si>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</si>
  <si>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</si>
  <si>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</si>
  <si>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</si>
  <si>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</si>
  <si>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</si>
  <si>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</si>
  <si>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</si>
  <si>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</si>
  <si>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</si>
  <si>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</si>
  <si>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</si>
  <si>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</si>
  <si>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</si>
  <si>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</si>
  <si>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</si>
  <si>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</si>
  <si>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</si>
  <si>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</si>
  <si>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</si>
  <si>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</si>
  <si>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</si>
  <si>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</si>
  <si>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</si>
  <si>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</si>
  <si>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</si>
  <si>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</si>
  <si>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</si>
  <si>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</si>
  <si>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</si>
  <si>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</si>
  <si>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</si>
  <si>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</si>
  <si>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</si>
  <si>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</si>
  <si>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</si>
  <si>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</si>
  <si>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</si>
  <si>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</si>
  <si>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</si>
  <si>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</si>
  <si>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</si>
  <si>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</si>
  <si>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</si>
  <si>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</si>
  <si>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</si>
  <si>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</si>
  <si>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</si>
  <si>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</si>
  <si>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</si>
  <si>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</si>
  <si>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</si>
  <si>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</si>
  <si>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</si>
  <si>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</si>
  <si>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</si>
  <si>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</si>
  <si>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</si>
  <si>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</si>
  <si>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</si>
  <si>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</si>
  <si>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</si>
  <si>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</si>
  <si>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</si>
  <si>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</si>
  <si>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</si>
  <si>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</si>
  <si>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</si>
  <si>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</si>
  <si>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</si>
  <si>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</si>
  <si>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</si>
  <si>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</si>
  <si>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</si>
  <si>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</si>
  <si>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</si>
  <si>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</si>
  <si>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</si>
  <si>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</si>
  <si>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</si>
  <si>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</si>
  <si>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</si>
  <si>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</si>
  <si>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</si>
  <si>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</si>
  <si>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</si>
  <si>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</si>
  <si>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</si>
  <si>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</si>
  <si>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</si>
  <si>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</si>
  <si>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</si>
  <si>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</si>
  <si>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</si>
  <si>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</si>
  <si>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</si>
  <si>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</si>
  <si>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</si>
  <si>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</si>
  <si>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</si>
  <si>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</si>
  <si>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</si>
  <si>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</si>
  <si>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</si>
  <si>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</si>
  <si>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</si>
  <si>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</si>
  <si>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</si>
  <si>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</si>
  <si>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</si>
  <si>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</si>
  <si>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</si>
  <si>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</si>
  <si>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</si>
  <si>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</si>
  <si>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</si>
  <si>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</si>
  <si>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</si>
  <si>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</si>
  <si>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</si>
  <si>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</si>
  <si>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</si>
  <si>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</si>
  <si>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</si>
  <si>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</si>
  <si>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</si>
  <si>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</si>
  <si>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</si>
  <si>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</si>
  <si>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</si>
  <si>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</si>
  <si>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</si>
  <si>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</si>
  <si>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</si>
  <si>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</si>
  <si>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</si>
  <si>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</si>
  <si>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</si>
  <si>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</si>
  <si>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</si>
  <si>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</si>
  <si>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</si>
  <si>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</si>
  <si>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</si>
  <si>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</si>
  <si>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</si>
  <si>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</si>
  <si>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</si>
  <si>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</si>
  <si>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</si>
  <si>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</si>
  <si>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</si>
  <si>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</si>
  <si>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</si>
  <si>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</si>
  <si>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</si>
  <si>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</si>
  <si>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</si>
  <si>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</si>
  <si>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</si>
  <si>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</si>
  <si>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</si>
  <si>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</si>
  <si>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</si>
  <si>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</si>
  <si>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</si>
  <si>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</si>
  <si>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</si>
  <si>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</si>
  <si>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</si>
  <si>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</si>
  <si>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</si>
  <si>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</si>
  <si>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</si>
  <si>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</si>
  <si>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</si>
  <si>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</si>
  <si>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</si>
  <si>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</si>
  <si>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</si>
  <si>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</si>
  <si>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</si>
  <si>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</si>
  <si>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</si>
  <si>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</si>
  <si>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</si>
  <si>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</si>
  <si>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</si>
  <si>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</si>
  <si>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</si>
  <si>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</si>
  <si>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</si>
  <si>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</si>
  <si>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</si>
  <si>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</si>
  <si>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</si>
  <si>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</si>
  <si>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</si>
  <si>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</si>
  <si>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</si>
  <si>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</si>
  <si>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</si>
  <si>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</si>
  <si>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</si>
  <si>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</si>
  <si>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</si>
  <si>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</si>
  <si>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</si>
  <si>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</si>
  <si>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</si>
  <si>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</si>
  <si>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</si>
  <si>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</si>
  <si>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</si>
  <si>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</si>
  <si>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</si>
  <si>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</si>
  <si>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</si>
  <si>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</si>
  <si>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</si>
  <si>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</si>
  <si>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</si>
  <si>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</si>
  <si>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</si>
  <si>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</si>
  <si>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</si>
  <si>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</si>
  <si>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</si>
  <si>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</si>
  <si>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</si>
  <si>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</si>
  <si>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</si>
  <si>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</si>
  <si>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</si>
  <si>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</si>
  <si>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</si>
  <si>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</si>
  <si>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</si>
  <si>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</si>
  <si>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</si>
  <si>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</si>
  <si>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</si>
  <si>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</si>
  <si>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</si>
  <si>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</si>
  <si>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</si>
  <si>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</si>
  <si>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</si>
  <si>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</si>
  <si>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</si>
  <si>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</si>
  <si>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</si>
  <si>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</si>
  <si>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</si>
  <si>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</si>
  <si>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</si>
  <si>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</si>
  <si>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</si>
  <si>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</si>
  <si>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</si>
  <si>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</si>
  <si>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</si>
  <si>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</si>
  <si>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</si>
  <si>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</si>
  <si>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</si>
  <si>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</si>
  <si>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</si>
  <si>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</si>
  <si>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</si>
  <si>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</si>
  <si>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</si>
  <si>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</si>
  <si>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</si>
  <si>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</si>
  <si>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</si>
  <si>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</si>
  <si>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</si>
  <si>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</si>
  <si>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</si>
  <si>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</si>
  <si>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</si>
  <si>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</si>
  <si>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</si>
  <si>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</si>
  <si>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</si>
  <si>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</si>
  <si>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</si>
  <si>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</si>
  <si>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</si>
  <si>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</si>
  <si>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</si>
  <si>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</si>
  <si>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</si>
  <si>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</si>
  <si>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</si>
  <si>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</si>
  <si>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</si>
  <si>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</si>
  <si>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</si>
  <si>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</si>
  <si>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</si>
  <si>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</si>
  <si>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</si>
  <si>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</si>
  <si>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</si>
  <si>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</si>
  <si>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</si>
  <si>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</si>
  <si>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</si>
  <si>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</si>
  <si>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</si>
  <si>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</si>
  <si>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</si>
  <si>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</si>
  <si>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</si>
  <si>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</si>
  <si>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</si>
  <si>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</si>
  <si>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</si>
  <si>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</si>
  <si>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</si>
  <si>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</si>
  <si>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</si>
  <si>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</si>
  <si>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</si>
  <si>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</si>
  <si>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</si>
  <si>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</si>
  <si>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</si>
  <si>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</si>
  <si>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</si>
  <si>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</si>
  <si>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</si>
  <si>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</si>
  <si>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</si>
  <si>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</si>
  <si>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</si>
  <si>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</si>
  <si>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</si>
  <si>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</si>
  <si>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</si>
  <si>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</si>
  <si>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</si>
  <si>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</si>
  <si>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</si>
  <si>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</si>
  <si>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</si>
  <si>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</si>
  <si>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</si>
  <si>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</si>
  <si>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</si>
  <si>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</si>
  <si>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</si>
  <si>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</si>
  <si>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</si>
  <si>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</si>
  <si>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</si>
  <si>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</si>
  <si>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</si>
  <si>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</si>
  <si>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</si>
  <si>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</si>
  <si>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</si>
  <si>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</si>
  <si>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</si>
  <si>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</si>
  <si>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</si>
  <si>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</si>
  <si>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</si>
  <si>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</si>
  <si>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</si>
  <si>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</si>
  <si>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</si>
  <si>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</si>
  <si>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</si>
  <si>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</si>
  <si>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</si>
  <si>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</si>
  <si>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</si>
  <si>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</si>
  <si>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</si>
  <si>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</si>
  <si>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</si>
  <si>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</si>
  <si>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</si>
  <si>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</si>
  <si>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</si>
  <si>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</si>
  <si>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</si>
  <si>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</si>
  <si>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</si>
  <si>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</si>
  <si>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</si>
  <si>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</si>
  <si>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</si>
  <si>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</si>
  <si>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</si>
  <si>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</si>
  <si>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</si>
  <si>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</si>
  <si>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</si>
  <si>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</si>
  <si>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</si>
  <si>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</si>
  <si>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</si>
  <si>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</si>
  <si>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</si>
  <si>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</si>
  <si>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</si>
  <si>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</si>
  <si>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</si>
  <si>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</si>
  <si>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</si>
  <si>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</si>
  <si>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</si>
  <si>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</si>
  <si>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</si>
  <si>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</si>
  <si>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</si>
  <si>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</si>
  <si>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</si>
  <si>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</si>
  <si>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</si>
  <si>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</si>
  <si>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</si>
  <si>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</si>
  <si>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</si>
  <si>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</si>
  <si>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</si>
  <si>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</si>
  <si>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</si>
  <si>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</si>
  <si>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</si>
  <si>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</si>
  <si>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</si>
  <si>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</si>
  <si>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</si>
  <si>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</si>
  <si>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</si>
  <si>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</si>
  <si>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</si>
  <si>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</si>
  <si>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</si>
  <si>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</si>
  <si>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</si>
  <si>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</si>
  <si>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</si>
  <si>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</si>
  <si>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</si>
  <si>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</si>
  <si>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</si>
  <si>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</si>
  <si>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</si>
  <si>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</si>
  <si>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</si>
  <si>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</si>
  <si>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</si>
  <si>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</si>
  <si>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</si>
  <si>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</si>
  <si>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</si>
  <si>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</si>
  <si>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</si>
  <si>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</si>
  <si>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</si>
  <si>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</si>
  <si>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</si>
  <si>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</si>
  <si>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</si>
  <si>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</si>
  <si>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</si>
  <si>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</si>
  <si>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</si>
  <si>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</si>
  <si>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</si>
  <si>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</si>
  <si>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</si>
  <si>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</si>
  <si>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</si>
  <si>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</si>
  <si>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</si>
  <si>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</si>
  <si>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</si>
  <si>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</si>
  <si>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</si>
  <si>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</si>
  <si>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</si>
  <si>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</si>
  <si>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</si>
  <si>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</si>
  <si>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</si>
  <si>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</si>
  <si>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</si>
  <si>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</si>
  <si>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</si>
  <si>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</si>
  <si>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</si>
  <si>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</si>
  <si>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</si>
  <si>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</si>
  <si>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</si>
  <si>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</si>
  <si>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</si>
  <si>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</si>
  <si>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</si>
  <si>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</si>
  <si>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</si>
  <si>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</si>
  <si>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</si>
  <si>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</si>
  <si>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</si>
  <si>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</si>
  <si>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</si>
  <si>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</si>
  <si>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</si>
  <si>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</si>
  <si>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</si>
  <si>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</si>
  <si>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</si>
  <si>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</si>
  <si>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</si>
  <si>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</si>
  <si>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</si>
  <si>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</si>
  <si>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</si>
  <si>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</si>
  <si>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</si>
  <si>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</si>
  <si>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</si>
  <si>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</si>
  <si>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</si>
  <si>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</si>
  <si>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</si>
  <si>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</si>
  <si>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</si>
  <si>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</si>
  <si>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</si>
  <si>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</si>
  <si>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</si>
  <si>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</si>
  <si>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</si>
  <si>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</si>
  <si>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</si>
  <si>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</si>
  <si>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</si>
  <si>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</si>
  <si>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</si>
  <si>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</si>
  <si>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</si>
  <si>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</si>
  <si>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</si>
  <si>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</si>
  <si>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</si>
  <si>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</si>
  <si>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</si>
  <si>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</si>
  <si>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</si>
  <si>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</si>
  <si>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</si>
  <si>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</si>
  <si>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</si>
  <si>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</si>
  <si>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</si>
  <si>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</si>
  <si>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</si>
  <si>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</si>
  <si>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</si>
  <si>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</si>
  <si>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</si>
  <si>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</si>
  <si>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</si>
  <si>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</si>
  <si>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</si>
  <si>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</si>
  <si>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</si>
  <si>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</si>
  <si>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</si>
  <si>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</si>
  <si>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</si>
  <si>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</si>
  <si>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</si>
  <si>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</si>
  <si>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</si>
  <si>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</si>
  <si>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</si>
  <si>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</si>
  <si>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</si>
  <si>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</si>
  <si>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</si>
  <si>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</si>
  <si>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</si>
  <si>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</si>
  <si>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</si>
  <si>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</si>
  <si>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</si>
  <si>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</si>
  <si>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</si>
  <si>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</si>
  <si>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</si>
  <si>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</si>
  <si>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</si>
  <si>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</si>
  <si>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</si>
  <si>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</si>
  <si>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</si>
  <si>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</si>
  <si>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</si>
  <si>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</si>
  <si>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</si>
  <si>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</si>
  <si>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</si>
  <si>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</si>
  <si>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</si>
  <si>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</si>
  <si>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</si>
  <si>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</si>
  <si>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</si>
  <si>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</si>
  <si>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</si>
  <si>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</si>
  <si>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</si>
  <si>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</si>
  <si>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</si>
  <si>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</si>
  <si>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</si>
  <si>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</si>
  <si>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</si>
  <si>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</si>
  <si>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</si>
  <si>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</si>
  <si>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</si>
  <si>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</si>
  <si>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</si>
  <si>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</si>
  <si>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</si>
  <si>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</si>
  <si>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</si>
  <si>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</si>
  <si>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</si>
  <si>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</si>
  <si>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</si>
  <si>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</si>
  <si>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</si>
  <si>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</si>
  <si>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</si>
  <si>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</si>
  <si>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</si>
  <si>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</si>
  <si>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</si>
  <si>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</si>
  <si>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</si>
  <si>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</si>
  <si>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</si>
  <si>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</si>
  <si>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</si>
  <si>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</si>
  <si>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</si>
  <si>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</si>
  <si>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</si>
  <si>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</si>
  <si>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</si>
  <si>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</si>
  <si>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</si>
  <si>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</si>
  <si>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</si>
  <si>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</si>
  <si>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</si>
  <si>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</si>
  <si>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</si>
  <si>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</si>
  <si>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</si>
  <si>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</si>
  <si>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</si>
  <si>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</si>
  <si>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</si>
  <si>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</si>
  <si>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</si>
  <si>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</si>
  <si>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</si>
  <si>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</si>
  <si>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</si>
  <si>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</si>
  <si>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</si>
  <si>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</si>
  <si>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</si>
  <si>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</si>
  <si>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</si>
  <si>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</si>
  <si>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</si>
  <si>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</si>
  <si>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</si>
  <si>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</si>
  <si>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</si>
  <si>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</si>
  <si>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</si>
  <si>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</si>
  <si>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</si>
  <si>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</si>
  <si>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</si>
  <si>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</si>
  <si>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</si>
  <si>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</si>
  <si>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</si>
  <si>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</si>
  <si>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</si>
  <si>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</si>
  <si>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</si>
  <si>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</si>
  <si>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</si>
  <si>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</si>
  <si>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</si>
  <si>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</si>
  <si>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</si>
  <si>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</si>
  <si>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</si>
  <si>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</si>
  <si>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</si>
  <si>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</si>
  <si>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</si>
  <si>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</si>
  <si>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</si>
  <si>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</si>
  <si>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</si>
  <si>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</si>
  <si>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</si>
  <si>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</si>
  <si>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</si>
  <si>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</si>
  <si>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</si>
  <si>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</si>
  <si>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</si>
  <si>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</si>
  <si>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</si>
  <si>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</si>
  <si>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</si>
  <si>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</si>
  <si>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</si>
  <si>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</si>
  <si>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</si>
  <si>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</si>
  <si>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</si>
  <si>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</si>
  <si>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</si>
  <si>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</si>
  <si>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</si>
  <si>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</si>
  <si>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</si>
  <si>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</si>
  <si>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</si>
  <si>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</si>
  <si>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</si>
  <si>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</si>
  <si>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</si>
  <si>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</si>
  <si>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</si>
  <si>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</si>
  <si>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</si>
  <si>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</si>
  <si>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</si>
  <si>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</si>
  <si>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</si>
  <si>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</si>
  <si>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</si>
  <si>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</si>
  <si>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</si>
  <si>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</si>
  <si>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</si>
  <si>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</si>
  <si>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</si>
  <si>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</si>
  <si>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</si>
  <si>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</si>
  <si>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</si>
  <si>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</si>
  <si>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</si>
  <si>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</si>
  <si>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</si>
  <si>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</si>
  <si>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</si>
  <si>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</si>
  <si>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</si>
  <si>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</si>
  <si>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</si>
  <si>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</si>
  <si>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</si>
  <si>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</si>
  <si>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</si>
  <si>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</si>
  <si>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</si>
  <si>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</si>
  <si>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</si>
  <si>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</si>
  <si>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</si>
  <si>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</si>
  <si>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</si>
  <si>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</si>
  <si>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</si>
  <si>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</si>
  <si>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</si>
  <si>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</si>
  <si>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</si>
  <si>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</si>
  <si>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</si>
  <si>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</si>
  <si>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</si>
  <si>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</si>
  <si>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</si>
  <si>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</si>
  <si>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</si>
  <si>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</si>
  <si>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</si>
  <si>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</si>
  <si>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</si>
  <si>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</si>
  <si>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</si>
  <si>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</si>
  <si>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</si>
  <si>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</si>
  <si>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</si>
  <si>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</si>
  <si>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</si>
  <si>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</si>
  <si>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</si>
  <si>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</si>
  <si>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</si>
  <si>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</si>
  <si>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</si>
  <si>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</si>
  <si>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</si>
  <si>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</si>
  <si>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</si>
  <si>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</si>
  <si>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</si>
  <si>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</si>
  <si>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</si>
  <si>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</si>
  <si>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</si>
  <si>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</si>
  <si>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</si>
  <si>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</si>
  <si>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</si>
  <si>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</si>
  <si>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</si>
  <si>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</si>
  <si>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</si>
  <si>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</si>
  <si>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</si>
  <si>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</si>
  <si>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</si>
  <si>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</si>
  <si>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</si>
  <si>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</si>
  <si>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</si>
  <si>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</si>
  <si>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</si>
  <si>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</si>
  <si>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</si>
  <si>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</si>
  <si>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</si>
  <si>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</si>
  <si>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</si>
  <si>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</si>
  <si>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</si>
  <si>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</si>
  <si>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</si>
  <si>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</si>
  <si>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</si>
  <si>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</si>
  <si>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</si>
  <si>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</si>
  <si>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</si>
  <si>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</si>
  <si>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</si>
  <si>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</si>
  <si>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</si>
  <si>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</si>
  <si>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</si>
  <si>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</si>
  <si>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</si>
  <si>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</si>
  <si>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</si>
  <si>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</si>
  <si>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</si>
  <si>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</si>
  <si>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</si>
  <si>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</si>
  <si>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</si>
  <si>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</si>
  <si>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</si>
  <si>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</si>
  <si>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</si>
  <si>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</si>
  <si>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</si>
  <si>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</si>
  <si>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</si>
  <si>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</si>
  <si>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</si>
  <si>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</si>
  <si>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</si>
  <si>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</si>
  <si>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</si>
  <si>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</si>
  <si>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</si>
  <si>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</si>
  <si>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</si>
  <si>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</si>
  <si>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</si>
  <si>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</si>
  <si>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</si>
  <si>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</si>
  <si>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</si>
  <si>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</si>
  <si>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</si>
  <si>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</si>
  <si>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</si>
  <si>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</si>
  <si>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</si>
  <si>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</si>
  <si>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</si>
  <si>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</si>
  <si>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</si>
  <si>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</si>
  <si>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</si>
  <si>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</si>
  <si>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</si>
  <si>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</si>
  <si>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</si>
  <si>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</si>
  <si>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</si>
  <si>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</si>
  <si>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</si>
  <si>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</si>
  <si>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</si>
  <si>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</si>
  <si>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</si>
  <si>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</si>
  <si>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</si>
  <si>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</si>
  <si>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</si>
  <si>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</si>
  <si>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</si>
  <si>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</si>
  <si>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</si>
  <si>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</si>
  <si>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</si>
  <si>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</si>
  <si>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</si>
  <si>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</si>
  <si>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</si>
  <si>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</si>
  <si>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</si>
  <si>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</si>
  <si>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</si>
  <si>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</si>
  <si>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</si>
  <si>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</si>
  <si>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</si>
  <si>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</si>
  <si>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</si>
  <si>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</si>
  <si>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</si>
  <si>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</si>
  <si>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</si>
  <si>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</si>
  <si>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</si>
  <si>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</si>
  <si>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</si>
  <si>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</si>
  <si>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</si>
  <si>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</si>
  <si>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</si>
  <si>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</si>
  <si>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</si>
  <si>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</si>
  <si>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</si>
  <si>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</si>
  <si>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</si>
  <si>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</si>
  <si>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</si>
  <si>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</si>
  <si>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</si>
  <si>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</si>
  <si>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</si>
  <si>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</si>
  <si>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</si>
  <si>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</si>
  <si>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</si>
  <si>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</si>
  <si>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</si>
  <si>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</si>
  <si>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</si>
  <si>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</si>
  <si>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</si>
  <si>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</si>
  <si>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</si>
  <si>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</si>
  <si>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</si>
  <si>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</si>
  <si>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</si>
  <si>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</si>
  <si>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</si>
  <si>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</si>
  <si>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</si>
  <si>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</si>
  <si>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</si>
  <si>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</si>
  <si>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</si>
  <si>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</si>
  <si>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</si>
  <si>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</si>
  <si>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</si>
  <si>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</si>
  <si>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</si>
  <si>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</si>
  <si>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</si>
  <si>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</si>
  <si>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</si>
  <si>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</si>
  <si>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</si>
  <si>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</si>
  <si>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</si>
  <si>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</si>
  <si>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</si>
  <si>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</si>
  <si>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</si>
  <si>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</si>
  <si>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</si>
  <si>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TỔNG CÔNG TY HẠ TẦNG MẠNG</t>
  </si>
  <si>
    <t xml:space="preserve">  Độ cao từng anten (tính từ mặt  
  đất đến mép thấp nhất của anten)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</si>
</sst>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3">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07">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26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16384" width="9.140625" customWidth="1" style="207"/>
  </cols>
  <sheetData>
    <row r="1" ht="45.75" customHeight="1">
      <c r="A1" s="562" t="s">
        <v>58</v>
      </c>
      <c r="B1" s="562"/>
      <c r="C1" s="562"/>
      <c r="D1" s="562"/>
      <c r="E1" s="562"/>
      <c r="F1" s="562"/>
      <c r="G1" s="562"/>
      <c r="H1" s="562"/>
      <c r="I1" s="562"/>
      <c r="J1" s="562"/>
      <c r="K1" s="562"/>
      <c r="L1" s="562"/>
      <c r="M1" s="562"/>
      <c r="N1" s="562"/>
      <c r="O1" s="562"/>
      <c r="P1" s="562"/>
      <c r="Q1" s="562"/>
      <c r="R1" s="562"/>
      <c r="S1" s="562"/>
      <c r="T1" s="562"/>
      <c r="U1" s="562"/>
      <c r="V1" s="562"/>
      <c r="W1" s="562"/>
      <c r="X1" s="562"/>
    </row>
    <row r="2">
      <c r="A2" s="204" t="s">
        <v>59</v>
      </c>
    </row>
    <row r="3">
      <c r="A3" s="204" t="s">
        <v>60</v>
      </c>
      <c r="C3" s="206">
        <v>1</v>
      </c>
      <c r="D3" s="205" t="s">
        <v>61</v>
      </c>
    </row>
    <row r="4">
      <c r="A4" s="204"/>
      <c r="D4" s="205" t="s">
        <v>62</v>
      </c>
    </row>
    <row r="5">
      <c r="A5" s="204"/>
      <c r="C5" s="206">
        <v>2</v>
      </c>
      <c r="D5" s="205" t="s">
        <v>63</v>
      </c>
    </row>
    <row r="6">
      <c r="A6" s="204"/>
      <c r="D6" s="205" t="s">
        <v>64</v>
      </c>
    </row>
    <row r="7">
      <c r="A7" s="206" t="s">
        <v>65</v>
      </c>
      <c r="B7" s="205" t="s">
        <v>66</v>
      </c>
    </row>
    <row r="8">
      <c r="A8" s="206"/>
      <c r="B8" s="205" t="s">
        <v>67</v>
      </c>
    </row>
    <row r="9">
      <c r="A9" s="206"/>
      <c r="B9" s="205" t="s">
        <v>68</v>
      </c>
    </row>
    <row r="10">
      <c r="A10" s="206"/>
      <c r="B10" s="205" t="s">
        <v>69</v>
      </c>
    </row>
    <row r="11">
      <c r="A11" s="206" t="s">
        <v>70</v>
      </c>
      <c r="B11" s="205" t="s">
        <v>71</v>
      </c>
    </row>
    <row r="12">
      <c r="A12" s="206" t="s">
        <v>72</v>
      </c>
      <c r="B12" s="205" t="s">
        <v>73</v>
      </c>
    </row>
    <row r="13">
      <c r="A13" s="206"/>
      <c r="B13" s="205" t="s">
        <v>74</v>
      </c>
    </row>
    <row r="14">
      <c r="A14" s="206"/>
      <c r="B14" s="205" t="s">
        <v>75</v>
      </c>
    </row>
    <row r="15">
      <c r="A15" s="206"/>
      <c r="B15" s="205" t="s">
        <v>76</v>
      </c>
    </row>
    <row r="16">
      <c r="A16" s="206"/>
      <c r="B16" s="205" t="s">
        <v>77</v>
      </c>
    </row>
    <row r="17">
      <c r="A17" s="206" t="s">
        <v>78</v>
      </c>
      <c r="B17" s="205" t="s">
        <v>79</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80</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81</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77</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82</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2" t="s">
        <v>0</v>
      </c>
      <c r="B1" s="492" t="s">
        <v>1</v>
      </c>
      <c r="C1" s="492" t="s">
        <v>2</v>
      </c>
    </row>
    <row r="2">
      <c r="A2" s="208">
        <v>1</v>
      </c>
      <c r="B2" s="209">
        <v>1</v>
      </c>
      <c r="C2" s="210" t="s">
        <v>55</v>
      </c>
    </row>
    <row r="3">
      <c r="A3" s="208">
        <v>2</v>
      </c>
      <c r="B3" s="209">
        <v>2</v>
      </c>
      <c r="C3" s="210" t="s">
        <v>56</v>
      </c>
    </row>
    <row r="4">
      <c r="A4" s="208">
        <v>3</v>
      </c>
      <c r="B4" s="209">
        <v>3</v>
      </c>
      <c r="C4" s="210" t="s">
        <v>57</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3" t="s">
        <v>0</v>
      </c>
      <c r="B1" s="493" t="s">
        <v>1</v>
      </c>
      <c r="C1" s="493" t="s">
        <v>2</v>
      </c>
      <c r="D1" s="494" t="s">
        <v>47</v>
      </c>
      <c r="E1" s="494" t="s">
        <v>48</v>
      </c>
      <c r="F1" s="494" t="s">
        <v>49</v>
      </c>
    </row>
    <row r="2" ht="33" customHeight="1">
      <c r="A2" s="209">
        <v>1</v>
      </c>
      <c r="B2" s="209" t="s">
        <v>50</v>
      </c>
      <c r="C2" s="210" t="s">
        <v>51</v>
      </c>
      <c r="D2" s="210" t="s">
        <v>52</v>
      </c>
      <c r="E2" s="210" t="s">
        <v>53</v>
      </c>
      <c r="F2" s="210"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2" t="s">
        <v>0</v>
      </c>
      <c r="B1" s="492" t="s">
        <v>1</v>
      </c>
      <c r="C1" s="492"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sqref="A1:C6"/>
    </sheetView>
  </sheetViews>
  <sheetFormatPr defaultRowHeight="16.5"/>
  <cols>
    <col min="1" max="1" width="5.7109375" customWidth="1" style="208"/>
    <col min="2" max="2" width="16.140625" customWidth="1" style="217"/>
    <col min="3" max="3" width="55.85546875" customWidth="1" style="217"/>
    <col min="4" max="16384" width="9.140625" customWidth="1" style="217"/>
  </cols>
  <sheetData>
    <row r="1" s="315" customFormat="1">
      <c r="A1" s="492" t="s">
        <v>0</v>
      </c>
      <c r="B1" s="492" t="s">
        <v>1</v>
      </c>
      <c r="C1" s="492" t="s">
        <v>2</v>
      </c>
    </row>
    <row r="2">
      <c r="A2" s="208">
        <v>1</v>
      </c>
      <c r="B2" s="210" t="s">
        <v>567</v>
      </c>
      <c r="C2" s="210" t="s">
        <v>96</v>
      </c>
    </row>
    <row r="3">
      <c r="A3" s="208">
        <v>2</v>
      </c>
      <c r="B3" s="210" t="s">
        <v>166</v>
      </c>
      <c r="C3" s="210" t="s">
        <v>174</v>
      </c>
    </row>
    <row r="4">
      <c r="A4" s="208">
        <v>3</v>
      </c>
      <c r="B4" s="210" t="s">
        <v>430</v>
      </c>
      <c r="C4" s="210" t="s">
        <v>438</v>
      </c>
    </row>
    <row r="5">
      <c r="A5" s="208">
        <v>4</v>
      </c>
      <c r="B5" s="210" t="s">
        <v>565</v>
      </c>
      <c r="C5" s="210" t="s">
        <v>6342</v>
      </c>
    </row>
    <row r="6">
      <c r="A6" s="208">
        <v>5</v>
      </c>
      <c r="B6" s="210" t="s">
        <v>566</v>
      </c>
      <c r="C6" s="210" t="s">
        <v>6217</v>
      </c>
    </row>
  </sheetData>
  <sheetProtection sheet="1" objects="1" scenarios="1"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3" t="s">
        <v>0</v>
      </c>
      <c r="B1" s="493" t="s">
        <v>1</v>
      </c>
      <c r="C1" s="493" t="s">
        <v>2</v>
      </c>
      <c r="D1" s="493" t="s">
        <v>47</v>
      </c>
      <c r="E1" s="493" t="s">
        <v>48</v>
      </c>
      <c r="F1" s="493" t="s">
        <v>49</v>
      </c>
      <c r="G1" s="493" t="s">
        <v>6215</v>
      </c>
      <c r="H1" s="493" t="s">
        <v>191</v>
      </c>
      <c r="I1" s="495" t="s">
        <v>223</v>
      </c>
    </row>
    <row r="2" ht="49.5">
      <c r="A2" s="209">
        <v>1</v>
      </c>
      <c r="B2" s="210" t="s">
        <v>6216</v>
      </c>
      <c r="C2" s="210" t="s">
        <v>6217</v>
      </c>
      <c r="D2" s="210" t="s">
        <v>6218</v>
      </c>
      <c r="E2" s="211" t="s">
        <v>6219</v>
      </c>
      <c r="F2" s="211" t="s">
        <v>6220</v>
      </c>
      <c r="G2" s="210" t="s">
        <v>6221</v>
      </c>
      <c r="H2" s="210" t="s">
        <v>566</v>
      </c>
      <c r="I2" s="477" t="str">
        <f>INDEX(OperatorNameList,MATCH(H2,OperatorIDList,0))</f>
        <v>CÔNG TY CỔ PHẦN VIỄN THÔNG DI ĐỘNG VIETNAMOBILE</v>
      </c>
    </row>
    <row r="3" ht="49.5">
      <c r="A3" s="209">
        <v>2</v>
      </c>
      <c r="B3" s="210" t="s">
        <v>6222</v>
      </c>
      <c r="C3" s="210" t="s">
        <v>6223</v>
      </c>
      <c r="D3" s="210" t="s">
        <v>6224</v>
      </c>
      <c r="E3" s="210" t="s">
        <v>6225</v>
      </c>
      <c r="F3" s="210" t="s">
        <v>6226</v>
      </c>
      <c r="G3" s="210" t="s">
        <v>6227</v>
      </c>
      <c r="H3" s="209" t="s">
        <v>566</v>
      </c>
      <c r="I3" s="210" t="str">
        <f>INDEX(OperatorNameList,MATCH(H3,OperatorIDList,0))</f>
        <v>CÔNG TY CỔ PHẦN VIỄN THÔNG DI ĐỘNG VIETNAMOBILE</v>
      </c>
    </row>
    <row r="4" ht="49.5">
      <c r="A4" s="209">
        <v>3</v>
      </c>
      <c r="B4" s="210" t="s">
        <v>6228</v>
      </c>
      <c r="C4" s="210" t="s">
        <v>6229</v>
      </c>
      <c r="D4" s="210" t="s">
        <v>6230</v>
      </c>
      <c r="E4" s="210" t="s">
        <v>6231</v>
      </c>
      <c r="F4" s="210" t="s">
        <v>6232</v>
      </c>
      <c r="G4" s="210" t="s">
        <v>6233</v>
      </c>
      <c r="H4" s="209" t="s">
        <v>565</v>
      </c>
      <c r="I4" s="210" t="str">
        <f>INDEX(OperatorNameList,MATCH(H4,OperatorIDList,0))</f>
        <v>TỔNG CÔNG TY HẠ TẦNG MẠNG</v>
      </c>
    </row>
    <row r="5" ht="49.5">
      <c r="A5" s="209">
        <v>4</v>
      </c>
      <c r="B5" s="210" t="s">
        <v>165</v>
      </c>
      <c r="C5" s="210" t="s">
        <v>182</v>
      </c>
      <c r="D5" s="210" t="s">
        <v>6234</v>
      </c>
      <c r="E5" s="210" t="s">
        <v>6235</v>
      </c>
      <c r="F5" s="210" t="s">
        <v>6236</v>
      </c>
      <c r="G5" s="210" t="s">
        <v>6237</v>
      </c>
      <c r="H5" s="209" t="s">
        <v>166</v>
      </c>
      <c r="I5" s="210" t="str">
        <f>INDEX(OperatorNameList,MATCH(H5,OperatorIDList,0))</f>
        <v>TỔNG CÔNG TY VIỄN THÔNG MOBIFONE</v>
      </c>
    </row>
    <row r="6" ht="49.5">
      <c r="A6" s="209">
        <v>5</v>
      </c>
      <c r="B6" s="210" t="s">
        <v>6238</v>
      </c>
      <c r="C6" s="210" t="s">
        <v>438</v>
      </c>
      <c r="D6" s="210" t="s">
        <v>6239</v>
      </c>
      <c r="E6" s="210" t="s">
        <v>6240</v>
      </c>
      <c r="F6" s="210" t="s">
        <v>6241</v>
      </c>
      <c r="G6" s="210" t="s">
        <v>6242</v>
      </c>
      <c r="H6" s="209" t="s">
        <v>430</v>
      </c>
      <c r="I6" s="210" t="str">
        <f>INDEX(OperatorNameList,MATCH(H6,OperatorIDList,0))</f>
        <v>TẬP ĐOÀN CÔNG NGHIỆP - VIỄN THÔNG QUÂN ĐỘI</v>
      </c>
    </row>
    <row r="7" ht="49.5">
      <c r="A7" s="209">
        <v>6</v>
      </c>
      <c r="B7" s="210" t="s">
        <v>6243</v>
      </c>
      <c r="C7" s="210" t="s">
        <v>6244</v>
      </c>
      <c r="D7" s="210" t="s">
        <v>6245</v>
      </c>
      <c r="E7" s="210" t="s">
        <v>6246</v>
      </c>
      <c r="G7" s="210" t="s">
        <v>6247</v>
      </c>
      <c r="H7" s="209" t="s">
        <v>430</v>
      </c>
      <c r="I7" s="210" t="str">
        <f>INDEX(OperatorNameList,MATCH(H7,OperatorIDList,0))</f>
        <v>TẬP ĐOÀN CÔNG NGHIỆP - VIỄN THÔNG QUÂN ĐỘI</v>
      </c>
    </row>
    <row r="8" ht="49.5">
      <c r="A8" s="209">
        <v>7</v>
      </c>
      <c r="B8" s="210" t="s">
        <v>6248</v>
      </c>
      <c r="C8" s="210" t="s">
        <v>6249</v>
      </c>
      <c r="D8" s="210" t="s">
        <v>6250</v>
      </c>
      <c r="E8" s="210" t="s">
        <v>6251</v>
      </c>
      <c r="F8" s="210" t="s">
        <v>6252</v>
      </c>
      <c r="G8" s="210" t="s">
        <v>6253</v>
      </c>
      <c r="H8" s="209" t="s">
        <v>430</v>
      </c>
      <c r="I8" s="210" t="str">
        <f>INDEX(OperatorNameList,MATCH(H8,OperatorIDList,0))</f>
        <v>TẬP ĐOÀN CÔNG NGHIỆP - VIỄN THÔNG QUÂN ĐỘI</v>
      </c>
    </row>
    <row r="9" ht="33">
      <c r="A9" s="209">
        <v>8</v>
      </c>
      <c r="B9" s="210" t="s">
        <v>6254</v>
      </c>
      <c r="C9" s="210" t="s">
        <v>6255</v>
      </c>
      <c r="D9" s="210" t="s">
        <v>6256</v>
      </c>
      <c r="E9" s="210" t="s">
        <v>6257</v>
      </c>
      <c r="F9" s="210" t="s">
        <v>6258</v>
      </c>
      <c r="G9" s="210" t="s">
        <v>6259</v>
      </c>
      <c r="H9" s="209" t="s">
        <v>430</v>
      </c>
      <c r="I9" s="210" t="str">
        <f>INDEX(OperatorNameList,MATCH(H9,OperatorIDList,0))</f>
        <v>TẬP ĐOÀN CÔNG NGHIỆP - VIỄN THÔNG QUÂN ĐỘI</v>
      </c>
    </row>
    <row r="10" ht="49.5">
      <c r="A10" s="209">
        <v>9</v>
      </c>
      <c r="B10" s="210" t="s">
        <v>6260</v>
      </c>
      <c r="C10" s="210" t="s">
        <v>6261</v>
      </c>
      <c r="D10" s="210" t="s">
        <v>6262</v>
      </c>
      <c r="E10" s="210" t="s">
        <v>6263</v>
      </c>
      <c r="F10" s="210" t="s">
        <v>6264</v>
      </c>
      <c r="G10" s="210" t="s">
        <v>6265</v>
      </c>
      <c r="H10" s="209" t="s">
        <v>430</v>
      </c>
      <c r="I10" s="210" t="str">
        <f>INDEX(OperatorNameList,MATCH(H10,OperatorIDList,0))</f>
        <v>TẬP ĐOÀN CÔNG NGHIỆP - VIỄN THÔNG QUÂN ĐỘI</v>
      </c>
    </row>
    <row r="11" ht="49.5">
      <c r="A11" s="209">
        <v>10</v>
      </c>
      <c r="B11" s="210" t="s">
        <v>6266</v>
      </c>
      <c r="C11" s="210" t="s">
        <v>6267</v>
      </c>
      <c r="D11" s="210" t="s">
        <v>6268</v>
      </c>
      <c r="E11" s="210" t="s">
        <v>6269</v>
      </c>
      <c r="G11" s="210" t="s">
        <v>6270</v>
      </c>
      <c r="H11" s="209" t="s">
        <v>430</v>
      </c>
      <c r="I11" s="210" t="str">
        <f>INDEX(OperatorNameList,MATCH(H11,OperatorIDList,0))</f>
        <v>TẬP ĐOÀN CÔNG NGHIỆP - VIỄN THÔNG QUÂN ĐỘI</v>
      </c>
    </row>
    <row r="12" ht="49.5">
      <c r="A12" s="209">
        <v>11</v>
      </c>
      <c r="B12" s="210" t="s">
        <v>6271</v>
      </c>
      <c r="C12" s="210" t="s">
        <v>6272</v>
      </c>
      <c r="D12" s="210" t="s">
        <v>6273</v>
      </c>
      <c r="E12" s="210" t="s">
        <v>6274</v>
      </c>
      <c r="G12" s="210" t="s">
        <v>6275</v>
      </c>
      <c r="H12" s="209" t="s">
        <v>430</v>
      </c>
      <c r="I12" s="210" t="str">
        <f>INDEX(OperatorNameList,MATCH(H12,OperatorIDList,0))</f>
        <v>TẬP ĐOÀN CÔNG NGHIỆP - VIỄN THÔNG QUÂN ĐỘI</v>
      </c>
    </row>
    <row r="13" ht="49.5">
      <c r="A13" s="209">
        <v>12</v>
      </c>
      <c r="B13" s="210" t="s">
        <v>6276</v>
      </c>
      <c r="C13" s="210" t="s">
        <v>6277</v>
      </c>
      <c r="D13" s="210" t="s">
        <v>6278</v>
      </c>
      <c r="E13" s="210" t="s">
        <v>6279</v>
      </c>
      <c r="G13" s="210" t="s">
        <v>6247</v>
      </c>
      <c r="H13" s="209" t="s">
        <v>430</v>
      </c>
      <c r="I13" s="210" t="str">
        <f>INDEX(OperatorNameList,MATCH(H13,OperatorIDList,0))</f>
        <v>TẬP ĐOÀN CÔNG NGHIỆP - VIỄN THÔNG QUÂN ĐỘI</v>
      </c>
    </row>
    <row r="14" ht="49.5">
      <c r="A14" s="209">
        <v>13</v>
      </c>
      <c r="B14" s="210" t="s">
        <v>6280</v>
      </c>
      <c r="C14" s="210" t="s">
        <v>6281</v>
      </c>
      <c r="D14" s="210" t="s">
        <v>6282</v>
      </c>
      <c r="E14" s="210" t="s">
        <v>6283</v>
      </c>
      <c r="F14" s="210" t="s">
        <v>6283</v>
      </c>
      <c r="G14" s="210" t="s">
        <v>6284</v>
      </c>
      <c r="H14" s="209" t="s">
        <v>430</v>
      </c>
      <c r="I14" s="210" t="str">
        <f>INDEX(OperatorNameList,MATCH(H14,OperatorIDList,0))</f>
        <v>TẬP ĐOÀN CÔNG NGHIỆP - VIỄN THÔNG QUÂN ĐỘI</v>
      </c>
    </row>
    <row r="15" ht="49.5">
      <c r="A15" s="209">
        <v>14</v>
      </c>
      <c r="B15" s="210" t="s">
        <v>6285</v>
      </c>
      <c r="C15" s="210" t="s">
        <v>6286</v>
      </c>
      <c r="D15" s="210" t="s">
        <v>6287</v>
      </c>
      <c r="E15" s="210" t="s">
        <v>6288</v>
      </c>
      <c r="G15" s="210" t="s">
        <v>6289</v>
      </c>
      <c r="H15" s="209" t="s">
        <v>430</v>
      </c>
      <c r="I15" s="210" t="str">
        <f>INDEX(OperatorNameList,MATCH(H15,OperatorIDList,0))</f>
        <v>TẬP ĐOÀN CÔNG NGHIỆP - VIỄN THÔNG QUÂN ĐỘI</v>
      </c>
    </row>
    <row r="16" ht="49.5">
      <c r="A16" s="209">
        <v>15</v>
      </c>
      <c r="B16" s="210" t="s">
        <v>6290</v>
      </c>
      <c r="C16" s="210" t="s">
        <v>6291</v>
      </c>
      <c r="D16" s="210" t="s">
        <v>6292</v>
      </c>
      <c r="E16" s="210" t="s">
        <v>6293</v>
      </c>
      <c r="F16" s="210" t="s">
        <v>6294</v>
      </c>
      <c r="G16" s="210" t="s">
        <v>6295</v>
      </c>
      <c r="H16" s="209" t="s">
        <v>430</v>
      </c>
      <c r="I16" s="210" t="str">
        <f>INDEX(OperatorNameList,MATCH(H16,OperatorIDList,0))</f>
        <v>TẬP ĐOÀN CÔNG NGHIỆP - VIỄN THÔNG QUÂN ĐỘI</v>
      </c>
    </row>
    <row r="17" ht="49.5">
      <c r="A17" s="209">
        <v>16</v>
      </c>
      <c r="B17" s="210" t="s">
        <v>6296</v>
      </c>
      <c r="C17" s="210" t="s">
        <v>6297</v>
      </c>
      <c r="D17" s="210" t="s">
        <v>6298</v>
      </c>
      <c r="E17" s="210" t="s">
        <v>6299</v>
      </c>
      <c r="G17" s="210" t="s">
        <v>6300</v>
      </c>
      <c r="H17" s="209" t="s">
        <v>430</v>
      </c>
      <c r="I17" s="210" t="str">
        <f>INDEX(OperatorNameList,MATCH(H17,OperatorIDList,0))</f>
        <v>TẬP ĐOÀN CÔNG NGHIỆP - VIỄN THÔNG QUÂN ĐỘI</v>
      </c>
    </row>
    <row r="18" ht="49.5">
      <c r="A18" s="209">
        <v>17</v>
      </c>
      <c r="B18" s="210" t="s">
        <v>6301</v>
      </c>
      <c r="C18" s="210" t="s">
        <v>6302</v>
      </c>
      <c r="D18" s="210" t="s">
        <v>6303</v>
      </c>
      <c r="E18" s="210" t="s">
        <v>6304</v>
      </c>
      <c r="G18" s="210" t="s">
        <v>6305</v>
      </c>
      <c r="H18" s="209" t="s">
        <v>430</v>
      </c>
      <c r="I18" s="210" t="str">
        <f>INDEX(OperatorNameList,MATCH(H18,OperatorIDList,0))</f>
        <v>TẬP ĐOÀN CÔNG NGHIỆP - VIỄN THÔNG QUÂN ĐỘI</v>
      </c>
    </row>
    <row r="19" ht="49.5">
      <c r="A19" s="209">
        <v>18</v>
      </c>
      <c r="B19" s="210" t="s">
        <v>6306</v>
      </c>
      <c r="C19" s="210" t="s">
        <v>6307</v>
      </c>
      <c r="D19" s="210" t="s">
        <v>6308</v>
      </c>
      <c r="E19" s="210" t="s">
        <v>6309</v>
      </c>
      <c r="G19" s="210" t="s">
        <v>6310</v>
      </c>
      <c r="H19" s="209" t="s">
        <v>430</v>
      </c>
      <c r="I19" s="210" t="str">
        <f>INDEX(OperatorNameList,MATCH(H19,OperatorIDList,0))</f>
        <v>TẬP ĐOÀN CÔNG NGHIỆP - VIỄN THÔNG QUÂN ĐỘI</v>
      </c>
    </row>
    <row r="20" ht="49.5">
      <c r="A20" s="209">
        <v>19</v>
      </c>
      <c r="B20" s="210" t="s">
        <v>6311</v>
      </c>
      <c r="C20" s="210" t="s">
        <v>6312</v>
      </c>
      <c r="D20" s="210" t="s">
        <v>6313</v>
      </c>
      <c r="E20" s="210" t="s">
        <v>6314</v>
      </c>
      <c r="G20" s="210" t="s">
        <v>6315</v>
      </c>
      <c r="H20" s="209" t="s">
        <v>430</v>
      </c>
      <c r="I20" s="210" t="str">
        <f>INDEX(OperatorNameList,MATCH(H20,OperatorIDList,0))</f>
        <v>TẬP ĐOÀN CÔNG NGHIỆP - VIỄN THÔNG QUÂN ĐỘI</v>
      </c>
    </row>
    <row r="21" ht="49.5">
      <c r="A21" s="209">
        <v>20</v>
      </c>
      <c r="B21" s="210" t="s">
        <v>6316</v>
      </c>
      <c r="C21" s="210" t="s">
        <v>6317</v>
      </c>
      <c r="D21" s="210" t="s">
        <v>6318</v>
      </c>
      <c r="F21" s="210" t="s">
        <v>6319</v>
      </c>
      <c r="G21" s="210" t="s">
        <v>6320</v>
      </c>
      <c r="H21" s="209" t="s">
        <v>430</v>
      </c>
      <c r="I21" s="210" t="str">
        <f>INDEX(OperatorNameList,MATCH(H21,OperatorIDList,0))</f>
        <v>TẬP ĐOÀN CÔNG NGHIỆP - VIỄN THÔNG QUÂN ĐỘI</v>
      </c>
    </row>
    <row r="22" ht="66">
      <c r="A22" s="209">
        <v>21</v>
      </c>
      <c r="B22" s="210" t="s">
        <v>6321</v>
      </c>
      <c r="C22" s="210" t="s">
        <v>6322</v>
      </c>
      <c r="D22" s="210" t="s">
        <v>6323</v>
      </c>
      <c r="E22" s="210" t="s">
        <v>6324</v>
      </c>
      <c r="G22" s="210" t="s">
        <v>6325</v>
      </c>
      <c r="H22" s="209" t="s">
        <v>430</v>
      </c>
      <c r="I22" s="210" t="str">
        <f>INDEX(OperatorNameList,MATCH(H22,OperatorIDList,0))</f>
        <v>TẬP ĐOÀN CÔNG NGHIỆP - VIỄN THÔNG QUÂN ĐỘI</v>
      </c>
    </row>
    <row r="23" ht="49.5">
      <c r="A23" s="209">
        <v>22</v>
      </c>
      <c r="B23" s="210" t="s">
        <v>6326</v>
      </c>
      <c r="C23" s="210" t="s">
        <v>6327</v>
      </c>
      <c r="D23" s="210" t="s">
        <v>6328</v>
      </c>
      <c r="E23" s="210" t="s">
        <v>6329</v>
      </c>
      <c r="F23" s="210" t="s">
        <v>6330</v>
      </c>
      <c r="G23" s="210" t="s">
        <v>6331</v>
      </c>
      <c r="H23" s="209" t="s">
        <v>430</v>
      </c>
      <c r="I23" s="210" t="str">
        <f>INDEX(OperatorNameList,MATCH(H23,OperatorIDList,0))</f>
        <v>TẬP ĐOÀN CÔNG NGHIỆP - VIỄN THÔNG QUÂN ĐỘI</v>
      </c>
    </row>
    <row r="24" ht="49.5">
      <c r="A24" s="209">
        <v>23</v>
      </c>
      <c r="B24" s="210" t="s">
        <v>6332</v>
      </c>
      <c r="C24" s="210" t="s">
        <v>6333</v>
      </c>
      <c r="D24" s="210" t="s">
        <v>6334</v>
      </c>
      <c r="E24" s="210" t="s">
        <v>6335</v>
      </c>
      <c r="G24" s="210" t="s">
        <v>6336</v>
      </c>
      <c r="H24" s="209" t="s">
        <v>430</v>
      </c>
      <c r="I24" s="210" t="str">
        <f>INDEX(OperatorNameList,MATCH(H24,OperatorIDList,0))</f>
        <v>TẬP ĐOÀN CÔNG NGHIỆP - VIỄN THÔNG QUÂN ĐỘI</v>
      </c>
    </row>
    <row r="25" ht="49.5">
      <c r="A25" s="209">
        <v>24</v>
      </c>
      <c r="B25" s="210" t="s">
        <v>6337</v>
      </c>
      <c r="C25" s="210" t="s">
        <v>6338</v>
      </c>
      <c r="D25" s="210" t="s">
        <v>6339</v>
      </c>
      <c r="E25" s="210" t="s">
        <v>6340</v>
      </c>
      <c r="G25" s="210" t="s">
        <v>6341</v>
      </c>
      <c r="H25" s="209" t="s">
        <v>430</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58B0C886-41AF-43F0-9C12-41EDFE70B6F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filterMode="1">
    <tabColor rgb="FF92D050"/>
  </sheetPr>
  <dimension ref="A1:I2836"/>
  <sheetViews>
    <sheetView showGridLines="0" zoomScale="115" zoomScaleNormal="115" workbookViewId="0">
      <selection activeCell="B1015" sqref="B1015"/>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496" t="s">
        <v>817</v>
      </c>
      <c r="B1" s="496" t="s">
        <v>227</v>
      </c>
      <c r="C1" s="496" t="s">
        <v>818</v>
      </c>
      <c r="D1" s="496" t="s">
        <v>819</v>
      </c>
      <c r="E1" s="496" t="s">
        <v>820</v>
      </c>
      <c r="F1" s="496" t="s">
        <v>226</v>
      </c>
      <c r="G1" s="496" t="s">
        <v>821</v>
      </c>
      <c r="H1" s="496" t="s">
        <v>225</v>
      </c>
      <c r="I1" s="496" t="s">
        <v>822</v>
      </c>
    </row>
    <row r="2" hidden="1" ht="15.95" customHeight="1">
      <c r="A2" s="465" t="s">
        <v>823</v>
      </c>
      <c r="B2" s="465" t="s">
        <v>824</v>
      </c>
      <c r="C2" s="465"/>
      <c r="D2" s="465" t="s">
        <v>825</v>
      </c>
      <c r="E2" s="465" t="s">
        <v>826</v>
      </c>
      <c r="F2" s="465" t="s">
        <v>827</v>
      </c>
      <c r="G2" s="465" t="s">
        <v>828</v>
      </c>
      <c r="H2" s="465" t="s">
        <v>829</v>
      </c>
      <c r="I2" s="465" t="s">
        <v>830</v>
      </c>
    </row>
    <row r="3" hidden="1" ht="15.95" customHeight="1">
      <c r="A3" s="465" t="s">
        <v>831</v>
      </c>
      <c r="B3" s="465" t="s">
        <v>832</v>
      </c>
      <c r="C3" s="465"/>
      <c r="D3" s="465" t="s">
        <v>825</v>
      </c>
      <c r="E3" s="465" t="s">
        <v>826</v>
      </c>
      <c r="F3" s="465" t="s">
        <v>827</v>
      </c>
      <c r="G3" s="465" t="s">
        <v>828</v>
      </c>
      <c r="H3" s="465" t="s">
        <v>829</v>
      </c>
      <c r="I3" s="465" t="s">
        <v>830</v>
      </c>
    </row>
    <row r="4" hidden="1" ht="15.95" customHeight="1">
      <c r="A4" s="465" t="s">
        <v>833</v>
      </c>
      <c r="B4" s="465" t="s">
        <v>834</v>
      </c>
      <c r="C4" s="465"/>
      <c r="D4" s="465" t="s">
        <v>825</v>
      </c>
      <c r="E4" s="465" t="s">
        <v>826</v>
      </c>
      <c r="F4" s="465" t="s">
        <v>827</v>
      </c>
      <c r="G4" s="465" t="s">
        <v>828</v>
      </c>
      <c r="H4" s="465" t="s">
        <v>829</v>
      </c>
      <c r="I4" s="465" t="s">
        <v>830</v>
      </c>
    </row>
    <row r="5" hidden="1" ht="15.95" customHeight="1">
      <c r="A5" s="465" t="s">
        <v>835</v>
      </c>
      <c r="B5" s="465" t="s">
        <v>836</v>
      </c>
      <c r="C5" s="465"/>
      <c r="D5" s="465" t="s">
        <v>825</v>
      </c>
      <c r="E5" s="465" t="s">
        <v>826</v>
      </c>
      <c r="F5" s="465" t="s">
        <v>827</v>
      </c>
      <c r="G5" s="465" t="s">
        <v>828</v>
      </c>
      <c r="H5" s="465" t="s">
        <v>829</v>
      </c>
      <c r="I5" s="465" t="s">
        <v>830</v>
      </c>
    </row>
    <row r="6" hidden="1" ht="15.95" customHeight="1">
      <c r="A6" s="465" t="s">
        <v>837</v>
      </c>
      <c r="B6" s="465" t="s">
        <v>838</v>
      </c>
      <c r="C6" s="465"/>
      <c r="D6" s="465" t="s">
        <v>825</v>
      </c>
      <c r="E6" s="465" t="s">
        <v>826</v>
      </c>
      <c r="F6" s="465" t="s">
        <v>827</v>
      </c>
      <c r="G6" s="465" t="s">
        <v>828</v>
      </c>
      <c r="H6" s="465" t="s">
        <v>829</v>
      </c>
      <c r="I6" s="465" t="s">
        <v>830</v>
      </c>
    </row>
    <row r="7" hidden="1" ht="15.95" customHeight="1">
      <c r="A7" s="465" t="s">
        <v>839</v>
      </c>
      <c r="B7" s="465" t="s">
        <v>840</v>
      </c>
      <c r="C7" s="465"/>
      <c r="D7" s="465" t="s">
        <v>825</v>
      </c>
      <c r="E7" s="465" t="s">
        <v>826</v>
      </c>
      <c r="F7" s="465" t="s">
        <v>827</v>
      </c>
      <c r="G7" s="465" t="s">
        <v>828</v>
      </c>
      <c r="H7" s="465" t="s">
        <v>829</v>
      </c>
      <c r="I7" s="465" t="s">
        <v>830</v>
      </c>
    </row>
    <row r="8" hidden="1" ht="15.95" customHeight="1">
      <c r="A8" s="465" t="s">
        <v>841</v>
      </c>
      <c r="B8" s="465" t="s">
        <v>842</v>
      </c>
      <c r="C8" s="465"/>
      <c r="D8" s="465" t="s">
        <v>825</v>
      </c>
      <c r="E8" s="465" t="s">
        <v>826</v>
      </c>
      <c r="F8" s="465" t="s">
        <v>827</v>
      </c>
      <c r="G8" s="465" t="s">
        <v>828</v>
      </c>
      <c r="H8" s="465" t="s">
        <v>829</v>
      </c>
      <c r="I8" s="465" t="s">
        <v>830</v>
      </c>
    </row>
    <row r="9" hidden="1" ht="15.95" customHeight="1">
      <c r="A9" s="465" t="s">
        <v>843</v>
      </c>
      <c r="B9" s="465" t="s">
        <v>844</v>
      </c>
      <c r="C9" s="465"/>
      <c r="D9" s="465" t="s">
        <v>825</v>
      </c>
      <c r="E9" s="465" t="s">
        <v>826</v>
      </c>
      <c r="F9" s="465" t="s">
        <v>827</v>
      </c>
      <c r="G9" s="465" t="s">
        <v>828</v>
      </c>
      <c r="H9" s="465" t="s">
        <v>829</v>
      </c>
      <c r="I9" s="465" t="s">
        <v>830</v>
      </c>
    </row>
    <row r="10" hidden="1" ht="15.95" customHeight="1">
      <c r="A10" s="465" t="s">
        <v>845</v>
      </c>
      <c r="B10" s="465" t="s">
        <v>846</v>
      </c>
      <c r="C10" s="465"/>
      <c r="D10" s="465" t="s">
        <v>825</v>
      </c>
      <c r="E10" s="465" t="s">
        <v>826</v>
      </c>
      <c r="F10" s="465" t="s">
        <v>827</v>
      </c>
      <c r="G10" s="465" t="s">
        <v>828</v>
      </c>
      <c r="H10" s="465" t="s">
        <v>829</v>
      </c>
      <c r="I10" s="465" t="s">
        <v>830</v>
      </c>
    </row>
    <row r="11" hidden="1" ht="15.95" customHeight="1">
      <c r="A11" s="465" t="s">
        <v>847</v>
      </c>
      <c r="B11" s="465" t="s">
        <v>848</v>
      </c>
      <c r="C11" s="465"/>
      <c r="D11" s="465" t="s">
        <v>825</v>
      </c>
      <c r="E11" s="465" t="s">
        <v>826</v>
      </c>
      <c r="F11" s="465" t="s">
        <v>827</v>
      </c>
      <c r="G11" s="465" t="s">
        <v>828</v>
      </c>
      <c r="H11" s="465" t="s">
        <v>829</v>
      </c>
      <c r="I11" s="465" t="s">
        <v>830</v>
      </c>
    </row>
    <row r="12" hidden="1" ht="15.95" customHeight="1">
      <c r="A12" s="465" t="s">
        <v>849</v>
      </c>
      <c r="B12" s="465" t="s">
        <v>850</v>
      </c>
      <c r="C12" s="465"/>
      <c r="D12" s="465" t="s">
        <v>825</v>
      </c>
      <c r="E12" s="465" t="s">
        <v>826</v>
      </c>
      <c r="F12" s="465" t="s">
        <v>827</v>
      </c>
      <c r="G12" s="465" t="s">
        <v>828</v>
      </c>
      <c r="H12" s="465" t="s">
        <v>829</v>
      </c>
      <c r="I12" s="465" t="s">
        <v>830</v>
      </c>
    </row>
    <row r="13" hidden="1" ht="15.95" customHeight="1">
      <c r="A13" s="465" t="s">
        <v>851</v>
      </c>
      <c r="B13" s="465" t="s">
        <v>852</v>
      </c>
      <c r="C13" s="465"/>
      <c r="D13" s="465" t="s">
        <v>825</v>
      </c>
      <c r="E13" s="465" t="s">
        <v>826</v>
      </c>
      <c r="F13" s="465" t="s">
        <v>827</v>
      </c>
      <c r="G13" s="465" t="s">
        <v>828</v>
      </c>
      <c r="H13" s="465" t="s">
        <v>829</v>
      </c>
      <c r="I13" s="465" t="s">
        <v>830</v>
      </c>
    </row>
    <row r="14" hidden="1" ht="15.95" customHeight="1">
      <c r="A14" s="465" t="s">
        <v>853</v>
      </c>
      <c r="B14" s="465" t="s">
        <v>854</v>
      </c>
      <c r="C14" s="465"/>
      <c r="D14" s="465" t="s">
        <v>855</v>
      </c>
      <c r="E14" s="465" t="s">
        <v>826</v>
      </c>
      <c r="F14" s="465" t="s">
        <v>827</v>
      </c>
      <c r="G14" s="465" t="s">
        <v>828</v>
      </c>
      <c r="H14" s="465" t="s">
        <v>829</v>
      </c>
      <c r="I14" s="465" t="s">
        <v>830</v>
      </c>
    </row>
    <row r="15" hidden="1" ht="15.95" customHeight="1">
      <c r="A15" s="465" t="s">
        <v>856</v>
      </c>
      <c r="B15" s="465" t="s">
        <v>857</v>
      </c>
      <c r="C15" s="465"/>
      <c r="D15" s="465" t="s">
        <v>825</v>
      </c>
      <c r="E15" s="465" t="s">
        <v>826</v>
      </c>
      <c r="F15" s="465" t="s">
        <v>827</v>
      </c>
      <c r="G15" s="465" t="s">
        <v>828</v>
      </c>
      <c r="H15" s="465" t="s">
        <v>829</v>
      </c>
      <c r="I15" s="465" t="s">
        <v>830</v>
      </c>
    </row>
    <row r="16" hidden="1" ht="15.95" customHeight="1">
      <c r="A16" s="465" t="s">
        <v>858</v>
      </c>
      <c r="B16" s="465" t="s">
        <v>859</v>
      </c>
      <c r="C16" s="465"/>
      <c r="D16" s="465" t="s">
        <v>825</v>
      </c>
      <c r="E16" s="465" t="s">
        <v>826</v>
      </c>
      <c r="F16" s="465" t="s">
        <v>827</v>
      </c>
      <c r="G16" s="465" t="s">
        <v>828</v>
      </c>
      <c r="H16" s="465" t="s">
        <v>829</v>
      </c>
      <c r="I16" s="465" t="s">
        <v>830</v>
      </c>
    </row>
    <row r="17" hidden="1" ht="15.95" customHeight="1">
      <c r="A17" s="465" t="s">
        <v>860</v>
      </c>
      <c r="B17" s="465" t="s">
        <v>861</v>
      </c>
      <c r="C17" s="465"/>
      <c r="D17" s="465" t="s">
        <v>825</v>
      </c>
      <c r="E17" s="465" t="s">
        <v>826</v>
      </c>
      <c r="F17" s="465" t="s">
        <v>827</v>
      </c>
      <c r="G17" s="465" t="s">
        <v>828</v>
      </c>
      <c r="H17" s="465" t="s">
        <v>829</v>
      </c>
      <c r="I17" s="465" t="s">
        <v>830</v>
      </c>
    </row>
    <row r="18" hidden="1" ht="15.95" customHeight="1">
      <c r="A18" s="465" t="s">
        <v>862</v>
      </c>
      <c r="B18" s="465" t="s">
        <v>863</v>
      </c>
      <c r="C18" s="465"/>
      <c r="D18" s="465" t="s">
        <v>855</v>
      </c>
      <c r="E18" s="465" t="s">
        <v>864</v>
      </c>
      <c r="F18" s="465" t="s">
        <v>865</v>
      </c>
      <c r="G18" s="465" t="s">
        <v>828</v>
      </c>
      <c r="H18" s="465" t="s">
        <v>829</v>
      </c>
      <c r="I18" s="465" t="s">
        <v>830</v>
      </c>
    </row>
    <row r="19" hidden="1" ht="15.95" customHeight="1">
      <c r="A19" s="465" t="s">
        <v>866</v>
      </c>
      <c r="B19" s="465" t="s">
        <v>867</v>
      </c>
      <c r="C19" s="465"/>
      <c r="D19" s="465" t="s">
        <v>855</v>
      </c>
      <c r="E19" s="465" t="s">
        <v>864</v>
      </c>
      <c r="F19" s="465" t="s">
        <v>865</v>
      </c>
      <c r="G19" s="465" t="s">
        <v>828</v>
      </c>
      <c r="H19" s="465" t="s">
        <v>829</v>
      </c>
      <c r="I19" s="465" t="s">
        <v>830</v>
      </c>
    </row>
    <row r="20" hidden="1" ht="15.95" customHeight="1">
      <c r="A20" s="465" t="s">
        <v>868</v>
      </c>
      <c r="B20" s="465" t="s">
        <v>869</v>
      </c>
      <c r="C20" s="465"/>
      <c r="D20" s="465" t="s">
        <v>855</v>
      </c>
      <c r="E20" s="465" t="s">
        <v>864</v>
      </c>
      <c r="F20" s="465" t="s">
        <v>865</v>
      </c>
      <c r="G20" s="465" t="s">
        <v>828</v>
      </c>
      <c r="H20" s="465" t="s">
        <v>829</v>
      </c>
      <c r="I20" s="465" t="s">
        <v>830</v>
      </c>
    </row>
    <row r="21" hidden="1" ht="15.95" customHeight="1">
      <c r="A21" s="465" t="s">
        <v>870</v>
      </c>
      <c r="B21" s="465" t="s">
        <v>871</v>
      </c>
      <c r="C21" s="465"/>
      <c r="D21" s="465" t="s">
        <v>855</v>
      </c>
      <c r="E21" s="465" t="s">
        <v>864</v>
      </c>
      <c r="F21" s="465" t="s">
        <v>865</v>
      </c>
      <c r="G21" s="465" t="s">
        <v>828</v>
      </c>
      <c r="H21" s="465" t="s">
        <v>829</v>
      </c>
      <c r="I21" s="465" t="s">
        <v>830</v>
      </c>
    </row>
    <row r="22" hidden="1" ht="15.95" customHeight="1">
      <c r="A22" s="465" t="s">
        <v>872</v>
      </c>
      <c r="B22" s="465" t="s">
        <v>873</v>
      </c>
      <c r="C22" s="465"/>
      <c r="D22" s="465" t="s">
        <v>855</v>
      </c>
      <c r="E22" s="465" t="s">
        <v>864</v>
      </c>
      <c r="F22" s="465" t="s">
        <v>865</v>
      </c>
      <c r="G22" s="465" t="s">
        <v>828</v>
      </c>
      <c r="H22" s="465" t="s">
        <v>829</v>
      </c>
      <c r="I22" s="465" t="s">
        <v>830</v>
      </c>
    </row>
    <row r="23" hidden="1" ht="15.95" customHeight="1">
      <c r="A23" s="465" t="s">
        <v>874</v>
      </c>
      <c r="B23" s="465" t="s">
        <v>875</v>
      </c>
      <c r="C23" s="465"/>
      <c r="D23" s="465" t="s">
        <v>855</v>
      </c>
      <c r="E23" s="465" t="s">
        <v>864</v>
      </c>
      <c r="F23" s="465" t="s">
        <v>865</v>
      </c>
      <c r="G23" s="465" t="s">
        <v>828</v>
      </c>
      <c r="H23" s="465" t="s">
        <v>829</v>
      </c>
      <c r="I23" s="465" t="s">
        <v>830</v>
      </c>
    </row>
    <row r="24" hidden="1" ht="15.95" customHeight="1">
      <c r="A24" s="465" t="s">
        <v>876</v>
      </c>
      <c r="B24" s="465" t="s">
        <v>877</v>
      </c>
      <c r="C24" s="465"/>
      <c r="D24" s="465" t="s">
        <v>855</v>
      </c>
      <c r="E24" s="465" t="s">
        <v>864</v>
      </c>
      <c r="F24" s="465" t="s">
        <v>865</v>
      </c>
      <c r="G24" s="465" t="s">
        <v>828</v>
      </c>
      <c r="H24" s="465" t="s">
        <v>829</v>
      </c>
      <c r="I24" s="465" t="s">
        <v>830</v>
      </c>
    </row>
    <row r="25" hidden="1" ht="15.95" customHeight="1">
      <c r="A25" s="465" t="s">
        <v>878</v>
      </c>
      <c r="B25" s="465" t="s">
        <v>879</v>
      </c>
      <c r="C25" s="465"/>
      <c r="D25" s="465" t="s">
        <v>855</v>
      </c>
      <c r="E25" s="465" t="s">
        <v>864</v>
      </c>
      <c r="F25" s="465" t="s">
        <v>865</v>
      </c>
      <c r="G25" s="465" t="s">
        <v>828</v>
      </c>
      <c r="H25" s="465" t="s">
        <v>829</v>
      </c>
      <c r="I25" s="465" t="s">
        <v>830</v>
      </c>
    </row>
    <row r="26" hidden="1" ht="15.95" customHeight="1">
      <c r="A26" s="465" t="s">
        <v>880</v>
      </c>
      <c r="B26" s="465" t="s">
        <v>881</v>
      </c>
      <c r="C26" s="465"/>
      <c r="D26" s="465" t="s">
        <v>855</v>
      </c>
      <c r="E26" s="465" t="s">
        <v>864</v>
      </c>
      <c r="F26" s="465" t="s">
        <v>865</v>
      </c>
      <c r="G26" s="465" t="s">
        <v>828</v>
      </c>
      <c r="H26" s="465" t="s">
        <v>829</v>
      </c>
      <c r="I26" s="465" t="s">
        <v>830</v>
      </c>
    </row>
    <row r="27" hidden="1" ht="15.95" customHeight="1">
      <c r="A27" s="465" t="s">
        <v>882</v>
      </c>
      <c r="B27" s="465" t="s">
        <v>883</v>
      </c>
      <c r="C27" s="465"/>
      <c r="D27" s="465" t="s">
        <v>884</v>
      </c>
      <c r="E27" s="465" t="s">
        <v>885</v>
      </c>
      <c r="F27" s="465" t="s">
        <v>886</v>
      </c>
      <c r="G27" s="465" t="s">
        <v>828</v>
      </c>
      <c r="H27" s="465" t="s">
        <v>829</v>
      </c>
      <c r="I27" s="465" t="s">
        <v>830</v>
      </c>
    </row>
    <row r="28" hidden="1" ht="15.95" customHeight="1">
      <c r="A28" s="465" t="s">
        <v>887</v>
      </c>
      <c r="B28" s="465" t="s">
        <v>888</v>
      </c>
      <c r="C28" s="465"/>
      <c r="D28" s="465" t="s">
        <v>855</v>
      </c>
      <c r="E28" s="465" t="s">
        <v>885</v>
      </c>
      <c r="F28" s="465" t="s">
        <v>886</v>
      </c>
      <c r="G28" s="465" t="s">
        <v>828</v>
      </c>
      <c r="H28" s="465" t="s">
        <v>829</v>
      </c>
      <c r="I28" s="465" t="s">
        <v>830</v>
      </c>
    </row>
    <row r="29" hidden="1" ht="15.95" customHeight="1">
      <c r="A29" s="465" t="s">
        <v>889</v>
      </c>
      <c r="B29" s="465" t="s">
        <v>890</v>
      </c>
      <c r="C29" s="465"/>
      <c r="D29" s="465" t="s">
        <v>855</v>
      </c>
      <c r="E29" s="465" t="s">
        <v>885</v>
      </c>
      <c r="F29" s="465" t="s">
        <v>886</v>
      </c>
      <c r="G29" s="465" t="s">
        <v>828</v>
      </c>
      <c r="H29" s="465" t="s">
        <v>829</v>
      </c>
      <c r="I29" s="465" t="s">
        <v>830</v>
      </c>
    </row>
    <row r="30" hidden="1" ht="15.95" customHeight="1">
      <c r="A30" s="465" t="s">
        <v>891</v>
      </c>
      <c r="B30" s="465" t="s">
        <v>892</v>
      </c>
      <c r="C30" s="465"/>
      <c r="D30" s="465" t="s">
        <v>855</v>
      </c>
      <c r="E30" s="465" t="s">
        <v>885</v>
      </c>
      <c r="F30" s="465" t="s">
        <v>886</v>
      </c>
      <c r="G30" s="465" t="s">
        <v>828</v>
      </c>
      <c r="H30" s="465" t="s">
        <v>829</v>
      </c>
      <c r="I30" s="465" t="s">
        <v>830</v>
      </c>
    </row>
    <row r="31" hidden="1" ht="15.95" customHeight="1">
      <c r="A31" s="465" t="s">
        <v>893</v>
      </c>
      <c r="B31" s="465" t="s">
        <v>894</v>
      </c>
      <c r="C31" s="465"/>
      <c r="D31" s="465" t="s">
        <v>855</v>
      </c>
      <c r="E31" s="465" t="s">
        <v>885</v>
      </c>
      <c r="F31" s="465" t="s">
        <v>886</v>
      </c>
      <c r="G31" s="465" t="s">
        <v>828</v>
      </c>
      <c r="H31" s="465" t="s">
        <v>829</v>
      </c>
      <c r="I31" s="465" t="s">
        <v>830</v>
      </c>
    </row>
    <row r="32" hidden="1" ht="15.95" customHeight="1">
      <c r="A32" s="465" t="s">
        <v>895</v>
      </c>
      <c r="B32" s="465" t="s">
        <v>896</v>
      </c>
      <c r="C32" s="465"/>
      <c r="D32" s="465" t="s">
        <v>855</v>
      </c>
      <c r="E32" s="465" t="s">
        <v>885</v>
      </c>
      <c r="F32" s="465" t="s">
        <v>886</v>
      </c>
      <c r="G32" s="465" t="s">
        <v>828</v>
      </c>
      <c r="H32" s="465" t="s">
        <v>829</v>
      </c>
      <c r="I32" s="465" t="s">
        <v>830</v>
      </c>
    </row>
    <row r="33" hidden="1" ht="15.95" customHeight="1">
      <c r="A33" s="465" t="s">
        <v>897</v>
      </c>
      <c r="B33" s="465" t="s">
        <v>898</v>
      </c>
      <c r="C33" s="465"/>
      <c r="D33" s="465" t="s">
        <v>855</v>
      </c>
      <c r="E33" s="465" t="s">
        <v>885</v>
      </c>
      <c r="F33" s="465" t="s">
        <v>886</v>
      </c>
      <c r="G33" s="465" t="s">
        <v>828</v>
      </c>
      <c r="H33" s="465" t="s">
        <v>829</v>
      </c>
      <c r="I33" s="465" t="s">
        <v>830</v>
      </c>
    </row>
    <row r="34" hidden="1" ht="15.95" customHeight="1">
      <c r="A34" s="465" t="s">
        <v>899</v>
      </c>
      <c r="B34" s="465" t="s">
        <v>900</v>
      </c>
      <c r="C34" s="465"/>
      <c r="D34" s="465" t="s">
        <v>855</v>
      </c>
      <c r="E34" s="465" t="s">
        <v>885</v>
      </c>
      <c r="F34" s="465" t="s">
        <v>886</v>
      </c>
      <c r="G34" s="465" t="s">
        <v>828</v>
      </c>
      <c r="H34" s="465" t="s">
        <v>829</v>
      </c>
      <c r="I34" s="465" t="s">
        <v>830</v>
      </c>
    </row>
    <row r="35" hidden="1" ht="15.95" customHeight="1">
      <c r="A35" s="465" t="s">
        <v>901</v>
      </c>
      <c r="B35" s="465" t="s">
        <v>902</v>
      </c>
      <c r="C35" s="465"/>
      <c r="D35" s="465" t="s">
        <v>884</v>
      </c>
      <c r="E35" s="465" t="s">
        <v>903</v>
      </c>
      <c r="F35" s="465" t="s">
        <v>904</v>
      </c>
      <c r="G35" s="465" t="s">
        <v>828</v>
      </c>
      <c r="H35" s="465" t="s">
        <v>829</v>
      </c>
      <c r="I35" s="465" t="s">
        <v>830</v>
      </c>
    </row>
    <row r="36" hidden="1" ht="15.95" customHeight="1">
      <c r="A36" s="465" t="s">
        <v>905</v>
      </c>
      <c r="B36" s="465" t="s">
        <v>906</v>
      </c>
      <c r="C36" s="465"/>
      <c r="D36" s="465" t="s">
        <v>855</v>
      </c>
      <c r="E36" s="465" t="s">
        <v>903</v>
      </c>
      <c r="F36" s="465" t="s">
        <v>904</v>
      </c>
      <c r="G36" s="465" t="s">
        <v>828</v>
      </c>
      <c r="H36" s="465" t="s">
        <v>829</v>
      </c>
      <c r="I36" s="465" t="s">
        <v>830</v>
      </c>
    </row>
    <row r="37" hidden="1" ht="15.95" customHeight="1">
      <c r="A37" s="465" t="s">
        <v>907</v>
      </c>
      <c r="B37" s="465" t="s">
        <v>908</v>
      </c>
      <c r="C37" s="465"/>
      <c r="D37" s="465" t="s">
        <v>855</v>
      </c>
      <c r="E37" s="465" t="s">
        <v>903</v>
      </c>
      <c r="F37" s="465" t="s">
        <v>904</v>
      </c>
      <c r="G37" s="465" t="s">
        <v>828</v>
      </c>
      <c r="H37" s="465" t="s">
        <v>829</v>
      </c>
      <c r="I37" s="465" t="s">
        <v>830</v>
      </c>
    </row>
    <row r="38" hidden="1" ht="15.95" customHeight="1">
      <c r="A38" s="465" t="s">
        <v>909</v>
      </c>
      <c r="B38" s="465" t="s">
        <v>910</v>
      </c>
      <c r="C38" s="465"/>
      <c r="D38" s="465" t="s">
        <v>855</v>
      </c>
      <c r="E38" s="465" t="s">
        <v>903</v>
      </c>
      <c r="F38" s="465" t="s">
        <v>904</v>
      </c>
      <c r="G38" s="465" t="s">
        <v>828</v>
      </c>
      <c r="H38" s="465" t="s">
        <v>829</v>
      </c>
      <c r="I38" s="465" t="s">
        <v>830</v>
      </c>
    </row>
    <row r="39" hidden="1" ht="15.95" customHeight="1">
      <c r="A39" s="465" t="s">
        <v>911</v>
      </c>
      <c r="B39" s="465" t="s">
        <v>912</v>
      </c>
      <c r="C39" s="465"/>
      <c r="D39" s="465" t="s">
        <v>855</v>
      </c>
      <c r="E39" s="465" t="s">
        <v>903</v>
      </c>
      <c r="F39" s="465" t="s">
        <v>904</v>
      </c>
      <c r="G39" s="465" t="s">
        <v>828</v>
      </c>
      <c r="H39" s="465" t="s">
        <v>829</v>
      </c>
      <c r="I39" s="465" t="s">
        <v>830</v>
      </c>
    </row>
    <row r="40" hidden="1" ht="15.95" customHeight="1">
      <c r="A40" s="465" t="s">
        <v>913</v>
      </c>
      <c r="B40" s="465" t="s">
        <v>914</v>
      </c>
      <c r="C40" s="465"/>
      <c r="D40" s="465" t="s">
        <v>855</v>
      </c>
      <c r="E40" s="465" t="s">
        <v>903</v>
      </c>
      <c r="F40" s="465" t="s">
        <v>904</v>
      </c>
      <c r="G40" s="465" t="s">
        <v>828</v>
      </c>
      <c r="H40" s="465" t="s">
        <v>829</v>
      </c>
      <c r="I40" s="465" t="s">
        <v>830</v>
      </c>
    </row>
    <row r="41" hidden="1" ht="15.95" customHeight="1">
      <c r="A41" s="465" t="s">
        <v>915</v>
      </c>
      <c r="B41" s="465" t="s">
        <v>916</v>
      </c>
      <c r="C41" s="465"/>
      <c r="D41" s="465" t="s">
        <v>855</v>
      </c>
      <c r="E41" s="465" t="s">
        <v>903</v>
      </c>
      <c r="F41" s="465" t="s">
        <v>904</v>
      </c>
      <c r="G41" s="465" t="s">
        <v>828</v>
      </c>
      <c r="H41" s="465" t="s">
        <v>829</v>
      </c>
      <c r="I41" s="465" t="s">
        <v>830</v>
      </c>
    </row>
    <row r="42" hidden="1" ht="15.95" customHeight="1">
      <c r="A42" s="465" t="s">
        <v>917</v>
      </c>
      <c r="B42" s="465" t="s">
        <v>918</v>
      </c>
      <c r="C42" s="465"/>
      <c r="D42" s="465" t="s">
        <v>855</v>
      </c>
      <c r="E42" s="465" t="s">
        <v>903</v>
      </c>
      <c r="F42" s="465" t="s">
        <v>904</v>
      </c>
      <c r="G42" s="465" t="s">
        <v>828</v>
      </c>
      <c r="H42" s="465" t="s">
        <v>829</v>
      </c>
      <c r="I42" s="465" t="s">
        <v>830</v>
      </c>
    </row>
    <row r="43" hidden="1" ht="15.95" customHeight="1">
      <c r="A43" s="465" t="s">
        <v>919</v>
      </c>
      <c r="B43" s="465" t="s">
        <v>920</v>
      </c>
      <c r="C43" s="465" t="s">
        <v>921</v>
      </c>
      <c r="D43" s="465" t="s">
        <v>855</v>
      </c>
      <c r="E43" s="465" t="s">
        <v>903</v>
      </c>
      <c r="F43" s="465" t="s">
        <v>904</v>
      </c>
      <c r="G43" s="465" t="s">
        <v>828</v>
      </c>
      <c r="H43" s="465" t="s">
        <v>829</v>
      </c>
      <c r="I43" s="465" t="s">
        <v>830</v>
      </c>
    </row>
    <row r="44" hidden="1" ht="15.95" customHeight="1">
      <c r="A44" s="465" t="s">
        <v>922</v>
      </c>
      <c r="B44" s="465" t="s">
        <v>923</v>
      </c>
      <c r="C44" s="465"/>
      <c r="D44" s="465" t="s">
        <v>884</v>
      </c>
      <c r="E44" s="465" t="s">
        <v>924</v>
      </c>
      <c r="F44" s="465" t="s">
        <v>925</v>
      </c>
      <c r="G44" s="465" t="s">
        <v>828</v>
      </c>
      <c r="H44" s="465" t="s">
        <v>829</v>
      </c>
      <c r="I44" s="465" t="s">
        <v>830</v>
      </c>
    </row>
    <row r="45" hidden="1" ht="15.95" customHeight="1">
      <c r="A45" s="465" t="s">
        <v>926</v>
      </c>
      <c r="B45" s="465" t="s">
        <v>927</v>
      </c>
      <c r="C45" s="465"/>
      <c r="D45" s="465" t="s">
        <v>855</v>
      </c>
      <c r="E45" s="465" t="s">
        <v>924</v>
      </c>
      <c r="F45" s="465" t="s">
        <v>925</v>
      </c>
      <c r="G45" s="465" t="s">
        <v>828</v>
      </c>
      <c r="H45" s="465" t="s">
        <v>829</v>
      </c>
      <c r="I45" s="465" t="s">
        <v>830</v>
      </c>
    </row>
    <row r="46" hidden="1" ht="15.95" customHeight="1">
      <c r="A46" s="465" t="s">
        <v>928</v>
      </c>
      <c r="B46" s="465" t="s">
        <v>929</v>
      </c>
      <c r="C46" s="465"/>
      <c r="D46" s="465" t="s">
        <v>855</v>
      </c>
      <c r="E46" s="465" t="s">
        <v>924</v>
      </c>
      <c r="F46" s="465" t="s">
        <v>925</v>
      </c>
      <c r="G46" s="465" t="s">
        <v>828</v>
      </c>
      <c r="H46" s="465" t="s">
        <v>829</v>
      </c>
      <c r="I46" s="465" t="s">
        <v>830</v>
      </c>
    </row>
    <row r="47" hidden="1" ht="15.95" customHeight="1">
      <c r="A47" s="465" t="s">
        <v>930</v>
      </c>
      <c r="B47" s="465" t="s">
        <v>931</v>
      </c>
      <c r="C47" s="465"/>
      <c r="D47" s="465" t="s">
        <v>855</v>
      </c>
      <c r="E47" s="465" t="s">
        <v>924</v>
      </c>
      <c r="F47" s="465" t="s">
        <v>925</v>
      </c>
      <c r="G47" s="465" t="s">
        <v>828</v>
      </c>
      <c r="H47" s="465" t="s">
        <v>829</v>
      </c>
      <c r="I47" s="465" t="s">
        <v>830</v>
      </c>
    </row>
    <row r="48" hidden="1" ht="15.95" customHeight="1">
      <c r="A48" s="465" t="s">
        <v>932</v>
      </c>
      <c r="B48" s="465" t="s">
        <v>933</v>
      </c>
      <c r="C48" s="465"/>
      <c r="D48" s="465" t="s">
        <v>855</v>
      </c>
      <c r="E48" s="465" t="s">
        <v>924</v>
      </c>
      <c r="F48" s="465" t="s">
        <v>925</v>
      </c>
      <c r="G48" s="465" t="s">
        <v>828</v>
      </c>
      <c r="H48" s="465" t="s">
        <v>829</v>
      </c>
      <c r="I48" s="465" t="s">
        <v>830</v>
      </c>
    </row>
    <row r="49" hidden="1" ht="15.95" customHeight="1">
      <c r="A49" s="465" t="s">
        <v>934</v>
      </c>
      <c r="B49" s="465" t="s">
        <v>935</v>
      </c>
      <c r="C49" s="465"/>
      <c r="D49" s="465" t="s">
        <v>855</v>
      </c>
      <c r="E49" s="465" t="s">
        <v>924</v>
      </c>
      <c r="F49" s="465" t="s">
        <v>925</v>
      </c>
      <c r="G49" s="465" t="s">
        <v>828</v>
      </c>
      <c r="H49" s="465" t="s">
        <v>829</v>
      </c>
      <c r="I49" s="465" t="s">
        <v>830</v>
      </c>
    </row>
    <row r="50" hidden="1" ht="15.95" customHeight="1">
      <c r="A50" s="465" t="s">
        <v>936</v>
      </c>
      <c r="B50" s="465" t="s">
        <v>937</v>
      </c>
      <c r="C50" s="465"/>
      <c r="D50" s="465" t="s">
        <v>855</v>
      </c>
      <c r="E50" s="465" t="s">
        <v>924</v>
      </c>
      <c r="F50" s="465" t="s">
        <v>925</v>
      </c>
      <c r="G50" s="465" t="s">
        <v>828</v>
      </c>
      <c r="H50" s="465" t="s">
        <v>829</v>
      </c>
      <c r="I50" s="465" t="s">
        <v>830</v>
      </c>
    </row>
    <row r="51" hidden="1" ht="15.95" customHeight="1">
      <c r="A51" s="465" t="s">
        <v>938</v>
      </c>
      <c r="B51" s="465" t="s">
        <v>939</v>
      </c>
      <c r="C51" s="465"/>
      <c r="D51" s="465" t="s">
        <v>855</v>
      </c>
      <c r="E51" s="465" t="s">
        <v>924</v>
      </c>
      <c r="F51" s="465" t="s">
        <v>925</v>
      </c>
      <c r="G51" s="465" t="s">
        <v>828</v>
      </c>
      <c r="H51" s="465" t="s">
        <v>829</v>
      </c>
      <c r="I51" s="465" t="s">
        <v>830</v>
      </c>
    </row>
    <row r="52" hidden="1" ht="15.95" customHeight="1">
      <c r="A52" s="465" t="s">
        <v>940</v>
      </c>
      <c r="B52" s="465" t="s">
        <v>941</v>
      </c>
      <c r="C52" s="465"/>
      <c r="D52" s="465" t="s">
        <v>855</v>
      </c>
      <c r="E52" s="465" t="s">
        <v>924</v>
      </c>
      <c r="F52" s="465" t="s">
        <v>925</v>
      </c>
      <c r="G52" s="465" t="s">
        <v>828</v>
      </c>
      <c r="H52" s="465" t="s">
        <v>829</v>
      </c>
      <c r="I52" s="465" t="s">
        <v>830</v>
      </c>
    </row>
    <row r="53" hidden="1" ht="15.95" customHeight="1">
      <c r="A53" s="465" t="s">
        <v>942</v>
      </c>
      <c r="B53" s="465" t="s">
        <v>943</v>
      </c>
      <c r="C53" s="465"/>
      <c r="D53" s="465" t="s">
        <v>855</v>
      </c>
      <c r="E53" s="465" t="s">
        <v>944</v>
      </c>
      <c r="F53" s="465" t="s">
        <v>945</v>
      </c>
      <c r="G53" s="465" t="s">
        <v>828</v>
      </c>
      <c r="H53" s="465" t="s">
        <v>829</v>
      </c>
      <c r="I53" s="465" t="s">
        <v>830</v>
      </c>
    </row>
    <row r="54" hidden="1" ht="15.95" customHeight="1">
      <c r="A54" s="465" t="s">
        <v>946</v>
      </c>
      <c r="B54" s="465" t="s">
        <v>947</v>
      </c>
      <c r="C54" s="465"/>
      <c r="D54" s="465" t="s">
        <v>855</v>
      </c>
      <c r="E54" s="465" t="s">
        <v>944</v>
      </c>
      <c r="F54" s="465" t="s">
        <v>945</v>
      </c>
      <c r="G54" s="465" t="s">
        <v>828</v>
      </c>
      <c r="H54" s="465" t="s">
        <v>829</v>
      </c>
      <c r="I54" s="465" t="s">
        <v>830</v>
      </c>
    </row>
    <row r="55" hidden="1" ht="15.95" customHeight="1">
      <c r="A55" s="465" t="s">
        <v>948</v>
      </c>
      <c r="B55" s="465" t="s">
        <v>949</v>
      </c>
      <c r="C55" s="465"/>
      <c r="D55" s="465" t="s">
        <v>855</v>
      </c>
      <c r="E55" s="465" t="s">
        <v>944</v>
      </c>
      <c r="F55" s="465" t="s">
        <v>945</v>
      </c>
      <c r="G55" s="465" t="s">
        <v>828</v>
      </c>
      <c r="H55" s="465" t="s">
        <v>829</v>
      </c>
      <c r="I55" s="465" t="s">
        <v>830</v>
      </c>
    </row>
    <row r="56" hidden="1" ht="15.95" customHeight="1">
      <c r="A56" s="465" t="s">
        <v>950</v>
      </c>
      <c r="B56" s="465" t="s">
        <v>951</v>
      </c>
      <c r="C56" s="465"/>
      <c r="D56" s="465" t="s">
        <v>855</v>
      </c>
      <c r="E56" s="465" t="s">
        <v>944</v>
      </c>
      <c r="F56" s="465" t="s">
        <v>945</v>
      </c>
      <c r="G56" s="465" t="s">
        <v>828</v>
      </c>
      <c r="H56" s="465" t="s">
        <v>829</v>
      </c>
      <c r="I56" s="465" t="s">
        <v>830</v>
      </c>
    </row>
    <row r="57" hidden="1" ht="15.95" customHeight="1">
      <c r="A57" s="465" t="s">
        <v>952</v>
      </c>
      <c r="B57" s="465" t="s">
        <v>953</v>
      </c>
      <c r="C57" s="465" t="s">
        <v>954</v>
      </c>
      <c r="D57" s="465" t="s">
        <v>855</v>
      </c>
      <c r="E57" s="465" t="s">
        <v>944</v>
      </c>
      <c r="F57" s="465" t="s">
        <v>945</v>
      </c>
      <c r="G57" s="465" t="s">
        <v>828</v>
      </c>
      <c r="H57" s="465" t="s">
        <v>829</v>
      </c>
      <c r="I57" s="465" t="s">
        <v>830</v>
      </c>
    </row>
    <row r="58" hidden="1" ht="15.95" customHeight="1">
      <c r="A58" s="465" t="s">
        <v>955</v>
      </c>
      <c r="B58" s="465" t="s">
        <v>956</v>
      </c>
      <c r="C58" s="465" t="s">
        <v>957</v>
      </c>
      <c r="D58" s="465" t="s">
        <v>855</v>
      </c>
      <c r="E58" s="465" t="s">
        <v>944</v>
      </c>
      <c r="F58" s="465" t="s">
        <v>945</v>
      </c>
      <c r="G58" s="465" t="s">
        <v>828</v>
      </c>
      <c r="H58" s="465" t="s">
        <v>829</v>
      </c>
      <c r="I58" s="465" t="s">
        <v>830</v>
      </c>
    </row>
    <row r="59" hidden="1" ht="15.95" customHeight="1">
      <c r="A59" s="465" t="s">
        <v>958</v>
      </c>
      <c r="B59" s="465" t="s">
        <v>959</v>
      </c>
      <c r="C59" s="465"/>
      <c r="D59" s="465" t="s">
        <v>855</v>
      </c>
      <c r="E59" s="465" t="s">
        <v>960</v>
      </c>
      <c r="F59" s="465" t="s">
        <v>961</v>
      </c>
      <c r="G59" s="465" t="s">
        <v>828</v>
      </c>
      <c r="H59" s="465" t="s">
        <v>829</v>
      </c>
      <c r="I59" s="465" t="s">
        <v>830</v>
      </c>
    </row>
    <row r="60" hidden="1" ht="15.95" customHeight="1">
      <c r="A60" s="465" t="s">
        <v>962</v>
      </c>
      <c r="B60" s="465" t="s">
        <v>963</v>
      </c>
      <c r="C60" s="465"/>
      <c r="D60" s="465" t="s">
        <v>855</v>
      </c>
      <c r="E60" s="465" t="s">
        <v>960</v>
      </c>
      <c r="F60" s="465" t="s">
        <v>961</v>
      </c>
      <c r="G60" s="465" t="s">
        <v>828</v>
      </c>
      <c r="H60" s="465" t="s">
        <v>829</v>
      </c>
      <c r="I60" s="465" t="s">
        <v>830</v>
      </c>
    </row>
    <row r="61" hidden="1" ht="15.95" customHeight="1">
      <c r="A61" s="465" t="s">
        <v>964</v>
      </c>
      <c r="B61" s="465" t="s">
        <v>965</v>
      </c>
      <c r="C61" s="465"/>
      <c r="D61" s="465" t="s">
        <v>855</v>
      </c>
      <c r="E61" s="465" t="s">
        <v>960</v>
      </c>
      <c r="F61" s="465" t="s">
        <v>961</v>
      </c>
      <c r="G61" s="465" t="s">
        <v>828</v>
      </c>
      <c r="H61" s="465" t="s">
        <v>829</v>
      </c>
      <c r="I61" s="465" t="s">
        <v>830</v>
      </c>
    </row>
    <row r="62" hidden="1" ht="15.95" customHeight="1">
      <c r="A62" s="465" t="s">
        <v>966</v>
      </c>
      <c r="B62" s="465" t="s">
        <v>967</v>
      </c>
      <c r="C62" s="465"/>
      <c r="D62" s="465" t="s">
        <v>855</v>
      </c>
      <c r="E62" s="465" t="s">
        <v>960</v>
      </c>
      <c r="F62" s="465" t="s">
        <v>961</v>
      </c>
      <c r="G62" s="465" t="s">
        <v>828</v>
      </c>
      <c r="H62" s="465" t="s">
        <v>829</v>
      </c>
      <c r="I62" s="465" t="s">
        <v>830</v>
      </c>
    </row>
    <row r="63" hidden="1" ht="15.95" customHeight="1">
      <c r="A63" s="465" t="s">
        <v>968</v>
      </c>
      <c r="B63" s="465" t="s">
        <v>969</v>
      </c>
      <c r="C63" s="465"/>
      <c r="D63" s="465" t="s">
        <v>855</v>
      </c>
      <c r="E63" s="465" t="s">
        <v>960</v>
      </c>
      <c r="F63" s="465" t="s">
        <v>961</v>
      </c>
      <c r="G63" s="465" t="s">
        <v>828</v>
      </c>
      <c r="H63" s="465" t="s">
        <v>829</v>
      </c>
      <c r="I63" s="465" t="s">
        <v>830</v>
      </c>
    </row>
    <row r="64" hidden="1" ht="15.95" customHeight="1">
      <c r="A64" s="465" t="s">
        <v>970</v>
      </c>
      <c r="B64" s="465" t="s">
        <v>971</v>
      </c>
      <c r="C64" s="465"/>
      <c r="D64" s="465" t="s">
        <v>855</v>
      </c>
      <c r="E64" s="465" t="s">
        <v>960</v>
      </c>
      <c r="F64" s="465" t="s">
        <v>961</v>
      </c>
      <c r="G64" s="465" t="s">
        <v>828</v>
      </c>
      <c r="H64" s="465" t="s">
        <v>829</v>
      </c>
      <c r="I64" s="465" t="s">
        <v>830</v>
      </c>
    </row>
    <row r="65" hidden="1" ht="15.95" customHeight="1">
      <c r="A65" s="465" t="s">
        <v>972</v>
      </c>
      <c r="B65" s="465" t="s">
        <v>973</v>
      </c>
      <c r="C65" s="465"/>
      <c r="D65" s="465" t="s">
        <v>855</v>
      </c>
      <c r="E65" s="465" t="s">
        <v>960</v>
      </c>
      <c r="F65" s="465" t="s">
        <v>961</v>
      </c>
      <c r="G65" s="465" t="s">
        <v>828</v>
      </c>
      <c r="H65" s="465" t="s">
        <v>829</v>
      </c>
      <c r="I65" s="465" t="s">
        <v>830</v>
      </c>
    </row>
    <row r="66" hidden="1" ht="15.95" customHeight="1">
      <c r="A66" s="465" t="s">
        <v>974</v>
      </c>
      <c r="B66" s="465" t="s">
        <v>975</v>
      </c>
      <c r="C66" s="465"/>
      <c r="D66" s="465" t="s">
        <v>855</v>
      </c>
      <c r="E66" s="465" t="s">
        <v>960</v>
      </c>
      <c r="F66" s="465" t="s">
        <v>961</v>
      </c>
      <c r="G66" s="465" t="s">
        <v>828</v>
      </c>
      <c r="H66" s="465" t="s">
        <v>829</v>
      </c>
      <c r="I66" s="465" t="s">
        <v>830</v>
      </c>
    </row>
    <row r="67" hidden="1" ht="15.95" customHeight="1">
      <c r="A67" s="465" t="s">
        <v>976</v>
      </c>
      <c r="B67" s="465" t="s">
        <v>977</v>
      </c>
      <c r="C67" s="465"/>
      <c r="D67" s="465" t="s">
        <v>825</v>
      </c>
      <c r="E67" s="465" t="s">
        <v>978</v>
      </c>
      <c r="F67" s="465" t="s">
        <v>979</v>
      </c>
      <c r="G67" s="465" t="s">
        <v>980</v>
      </c>
      <c r="H67" s="465" t="s">
        <v>981</v>
      </c>
      <c r="I67" s="465" t="s">
        <v>830</v>
      </c>
    </row>
    <row r="68" hidden="1" ht="15.95" customHeight="1">
      <c r="A68" s="465" t="s">
        <v>982</v>
      </c>
      <c r="B68" s="465" t="s">
        <v>983</v>
      </c>
      <c r="C68" s="465"/>
      <c r="D68" s="465" t="s">
        <v>825</v>
      </c>
      <c r="E68" s="465" t="s">
        <v>978</v>
      </c>
      <c r="F68" s="465" t="s">
        <v>979</v>
      </c>
      <c r="G68" s="465" t="s">
        <v>980</v>
      </c>
      <c r="H68" s="465" t="s">
        <v>981</v>
      </c>
      <c r="I68" s="465" t="s">
        <v>830</v>
      </c>
    </row>
    <row r="69" hidden="1" ht="15.95" customHeight="1">
      <c r="A69" s="465" t="s">
        <v>984</v>
      </c>
      <c r="B69" s="465" t="s">
        <v>985</v>
      </c>
      <c r="C69" s="465"/>
      <c r="D69" s="465" t="s">
        <v>825</v>
      </c>
      <c r="E69" s="465" t="s">
        <v>978</v>
      </c>
      <c r="F69" s="465" t="s">
        <v>979</v>
      </c>
      <c r="G69" s="465" t="s">
        <v>980</v>
      </c>
      <c r="H69" s="465" t="s">
        <v>981</v>
      </c>
      <c r="I69" s="465" t="s">
        <v>830</v>
      </c>
    </row>
    <row r="70" hidden="1" ht="15.95" customHeight="1">
      <c r="A70" s="465" t="s">
        <v>986</v>
      </c>
      <c r="B70" s="465" t="s">
        <v>987</v>
      </c>
      <c r="C70" s="465"/>
      <c r="D70" s="465" t="s">
        <v>825</v>
      </c>
      <c r="E70" s="465" t="s">
        <v>978</v>
      </c>
      <c r="F70" s="465" t="s">
        <v>979</v>
      </c>
      <c r="G70" s="465" t="s">
        <v>980</v>
      </c>
      <c r="H70" s="465" t="s">
        <v>981</v>
      </c>
      <c r="I70" s="465" t="s">
        <v>830</v>
      </c>
    </row>
    <row r="71" hidden="1" ht="15.95" customHeight="1">
      <c r="A71" s="465" t="s">
        <v>988</v>
      </c>
      <c r="B71" s="465" t="s">
        <v>989</v>
      </c>
      <c r="C71" s="465"/>
      <c r="D71" s="465" t="s">
        <v>825</v>
      </c>
      <c r="E71" s="465" t="s">
        <v>978</v>
      </c>
      <c r="F71" s="465" t="s">
        <v>979</v>
      </c>
      <c r="G71" s="465" t="s">
        <v>980</v>
      </c>
      <c r="H71" s="465" t="s">
        <v>981</v>
      </c>
      <c r="I71" s="465" t="s">
        <v>830</v>
      </c>
    </row>
    <row r="72" hidden="1" ht="15.95" customHeight="1">
      <c r="A72" s="465" t="s">
        <v>990</v>
      </c>
      <c r="B72" s="465" t="s">
        <v>991</v>
      </c>
      <c r="C72" s="465"/>
      <c r="D72" s="465" t="s">
        <v>825</v>
      </c>
      <c r="E72" s="465" t="s">
        <v>978</v>
      </c>
      <c r="F72" s="465" t="s">
        <v>979</v>
      </c>
      <c r="G72" s="465" t="s">
        <v>980</v>
      </c>
      <c r="H72" s="465" t="s">
        <v>981</v>
      </c>
      <c r="I72" s="465" t="s">
        <v>830</v>
      </c>
    </row>
    <row r="73" hidden="1" ht="15.95" customHeight="1">
      <c r="A73" s="465" t="s">
        <v>992</v>
      </c>
      <c r="B73" s="465" t="s">
        <v>993</v>
      </c>
      <c r="C73" s="465"/>
      <c r="D73" s="465" t="s">
        <v>825</v>
      </c>
      <c r="E73" s="465" t="s">
        <v>978</v>
      </c>
      <c r="F73" s="465" t="s">
        <v>979</v>
      </c>
      <c r="G73" s="465" t="s">
        <v>980</v>
      </c>
      <c r="H73" s="465" t="s">
        <v>981</v>
      </c>
      <c r="I73" s="465" t="s">
        <v>830</v>
      </c>
    </row>
    <row r="74" hidden="1" ht="15.95" customHeight="1">
      <c r="A74" s="465" t="s">
        <v>994</v>
      </c>
      <c r="B74" s="465" t="s">
        <v>995</v>
      </c>
      <c r="C74" s="465"/>
      <c r="D74" s="465" t="s">
        <v>825</v>
      </c>
      <c r="E74" s="465" t="s">
        <v>978</v>
      </c>
      <c r="F74" s="465" t="s">
        <v>979</v>
      </c>
      <c r="G74" s="465" t="s">
        <v>980</v>
      </c>
      <c r="H74" s="465" t="s">
        <v>981</v>
      </c>
      <c r="I74" s="465" t="s">
        <v>830</v>
      </c>
    </row>
    <row r="75" hidden="1" ht="15.95" customHeight="1">
      <c r="A75" s="465" t="s">
        <v>996</v>
      </c>
      <c r="B75" s="465" t="s">
        <v>997</v>
      </c>
      <c r="C75" s="465"/>
      <c r="D75" s="465" t="s">
        <v>825</v>
      </c>
      <c r="E75" s="465" t="s">
        <v>978</v>
      </c>
      <c r="F75" s="465" t="s">
        <v>979</v>
      </c>
      <c r="G75" s="465" t="s">
        <v>980</v>
      </c>
      <c r="H75" s="465" t="s">
        <v>981</v>
      </c>
      <c r="I75" s="465" t="s">
        <v>830</v>
      </c>
    </row>
    <row r="76" hidden="1" ht="15.95" customHeight="1">
      <c r="A76" s="465" t="s">
        <v>998</v>
      </c>
      <c r="B76" s="465" t="s">
        <v>999</v>
      </c>
      <c r="C76" s="465"/>
      <c r="D76" s="465" t="s">
        <v>825</v>
      </c>
      <c r="E76" s="465" t="s">
        <v>978</v>
      </c>
      <c r="F76" s="465" t="s">
        <v>979</v>
      </c>
      <c r="G76" s="465" t="s">
        <v>980</v>
      </c>
      <c r="H76" s="465" t="s">
        <v>981</v>
      </c>
      <c r="I76" s="465" t="s">
        <v>830</v>
      </c>
    </row>
    <row r="77" hidden="1" ht="15.95" customHeight="1">
      <c r="A77" s="465" t="s">
        <v>1000</v>
      </c>
      <c r="B77" s="465" t="s">
        <v>1001</v>
      </c>
      <c r="C77" s="465"/>
      <c r="D77" s="465" t="s">
        <v>825</v>
      </c>
      <c r="E77" s="465" t="s">
        <v>978</v>
      </c>
      <c r="F77" s="465" t="s">
        <v>979</v>
      </c>
      <c r="G77" s="465" t="s">
        <v>980</v>
      </c>
      <c r="H77" s="465" t="s">
        <v>981</v>
      </c>
      <c r="I77" s="465" t="s">
        <v>830</v>
      </c>
    </row>
    <row r="78" hidden="1" ht="15.95" customHeight="1">
      <c r="A78" s="465" t="s">
        <v>1002</v>
      </c>
      <c r="B78" s="465" t="s">
        <v>1003</v>
      </c>
      <c r="C78" s="465"/>
      <c r="D78" s="465" t="s">
        <v>825</v>
      </c>
      <c r="E78" s="465" t="s">
        <v>978</v>
      </c>
      <c r="F78" s="465" t="s">
        <v>979</v>
      </c>
      <c r="G78" s="465" t="s">
        <v>980</v>
      </c>
      <c r="H78" s="465" t="s">
        <v>981</v>
      </c>
      <c r="I78" s="465" t="s">
        <v>830</v>
      </c>
    </row>
    <row r="79" hidden="1" ht="15.95" customHeight="1">
      <c r="A79" s="465" t="s">
        <v>1004</v>
      </c>
      <c r="B79" s="465" t="s">
        <v>1005</v>
      </c>
      <c r="C79" s="465"/>
      <c r="D79" s="465" t="s">
        <v>825</v>
      </c>
      <c r="E79" s="465" t="s">
        <v>978</v>
      </c>
      <c r="F79" s="465" t="s">
        <v>979</v>
      </c>
      <c r="G79" s="465" t="s">
        <v>980</v>
      </c>
      <c r="H79" s="465" t="s">
        <v>981</v>
      </c>
      <c r="I79" s="465" t="s">
        <v>830</v>
      </c>
    </row>
    <row r="80" hidden="1" ht="15.95" customHeight="1">
      <c r="A80" s="465" t="s">
        <v>1006</v>
      </c>
      <c r="B80" s="465" t="s">
        <v>1007</v>
      </c>
      <c r="C80" s="465"/>
      <c r="D80" s="465" t="s">
        <v>825</v>
      </c>
      <c r="E80" s="465" t="s">
        <v>978</v>
      </c>
      <c r="F80" s="465" t="s">
        <v>979</v>
      </c>
      <c r="G80" s="465" t="s">
        <v>980</v>
      </c>
      <c r="H80" s="465" t="s">
        <v>981</v>
      </c>
      <c r="I80" s="465" t="s">
        <v>830</v>
      </c>
    </row>
    <row r="81" hidden="1" ht="15.95" customHeight="1">
      <c r="A81" s="465" t="s">
        <v>1008</v>
      </c>
      <c r="B81" s="465" t="s">
        <v>1009</v>
      </c>
      <c r="C81" s="465"/>
      <c r="D81" s="465" t="s">
        <v>855</v>
      </c>
      <c r="E81" s="465" t="s">
        <v>978</v>
      </c>
      <c r="F81" s="465" t="s">
        <v>979</v>
      </c>
      <c r="G81" s="465" t="s">
        <v>980</v>
      </c>
      <c r="H81" s="465" t="s">
        <v>981</v>
      </c>
      <c r="I81" s="465" t="s">
        <v>830</v>
      </c>
    </row>
    <row r="82" hidden="1" ht="15.95" customHeight="1">
      <c r="A82" s="465" t="s">
        <v>1010</v>
      </c>
      <c r="B82" s="465" t="s">
        <v>1011</v>
      </c>
      <c r="C82" s="465"/>
      <c r="D82" s="465" t="s">
        <v>855</v>
      </c>
      <c r="E82" s="465" t="s">
        <v>978</v>
      </c>
      <c r="F82" s="465" t="s">
        <v>979</v>
      </c>
      <c r="G82" s="465" t="s">
        <v>980</v>
      </c>
      <c r="H82" s="465" t="s">
        <v>981</v>
      </c>
      <c r="I82" s="465" t="s">
        <v>830</v>
      </c>
    </row>
    <row r="83" hidden="1" ht="15.95" customHeight="1">
      <c r="A83" s="465" t="s">
        <v>1012</v>
      </c>
      <c r="B83" s="465" t="s">
        <v>1013</v>
      </c>
      <c r="C83" s="465"/>
      <c r="D83" s="465" t="s">
        <v>855</v>
      </c>
      <c r="E83" s="465" t="s">
        <v>978</v>
      </c>
      <c r="F83" s="465" t="s">
        <v>979</v>
      </c>
      <c r="G83" s="465" t="s">
        <v>980</v>
      </c>
      <c r="H83" s="465" t="s">
        <v>981</v>
      </c>
      <c r="I83" s="465" t="s">
        <v>830</v>
      </c>
    </row>
    <row r="84" hidden="1" ht="15.95" customHeight="1">
      <c r="A84" s="465" t="s">
        <v>1014</v>
      </c>
      <c r="B84" s="465" t="s">
        <v>1015</v>
      </c>
      <c r="C84" s="465"/>
      <c r="D84" s="465" t="s">
        <v>855</v>
      </c>
      <c r="E84" s="465" t="s">
        <v>978</v>
      </c>
      <c r="F84" s="465" t="s">
        <v>979</v>
      </c>
      <c r="G84" s="465" t="s">
        <v>980</v>
      </c>
      <c r="H84" s="465" t="s">
        <v>981</v>
      </c>
      <c r="I84" s="465" t="s">
        <v>830</v>
      </c>
    </row>
    <row r="85" hidden="1" ht="15.95" customHeight="1">
      <c r="A85" s="465" t="s">
        <v>1016</v>
      </c>
      <c r="B85" s="465" t="s">
        <v>1017</v>
      </c>
      <c r="C85" s="465"/>
      <c r="D85" s="465" t="s">
        <v>825</v>
      </c>
      <c r="E85" s="465" t="s">
        <v>1018</v>
      </c>
      <c r="F85" s="465" t="s">
        <v>1019</v>
      </c>
      <c r="G85" s="465" t="s">
        <v>980</v>
      </c>
      <c r="H85" s="465" t="s">
        <v>981</v>
      </c>
      <c r="I85" s="465" t="s">
        <v>830</v>
      </c>
    </row>
    <row r="86" hidden="1" ht="15.95" customHeight="1">
      <c r="A86" s="465" t="s">
        <v>1020</v>
      </c>
      <c r="B86" s="465" t="s">
        <v>1021</v>
      </c>
      <c r="C86" s="465"/>
      <c r="D86" s="465" t="s">
        <v>825</v>
      </c>
      <c r="E86" s="465" t="s">
        <v>1018</v>
      </c>
      <c r="F86" s="465" t="s">
        <v>1019</v>
      </c>
      <c r="G86" s="465" t="s">
        <v>980</v>
      </c>
      <c r="H86" s="465" t="s">
        <v>981</v>
      </c>
      <c r="I86" s="465" t="s">
        <v>830</v>
      </c>
    </row>
    <row r="87" hidden="1" ht="15.95" customHeight="1">
      <c r="A87" s="465" t="s">
        <v>1022</v>
      </c>
      <c r="B87" s="465" t="s">
        <v>1023</v>
      </c>
      <c r="C87" s="465"/>
      <c r="D87" s="465" t="s">
        <v>825</v>
      </c>
      <c r="E87" s="465" t="s">
        <v>1018</v>
      </c>
      <c r="F87" s="465" t="s">
        <v>1019</v>
      </c>
      <c r="G87" s="465" t="s">
        <v>980</v>
      </c>
      <c r="H87" s="465" t="s">
        <v>981</v>
      </c>
      <c r="I87" s="465" t="s">
        <v>830</v>
      </c>
    </row>
    <row r="88" hidden="1" ht="15.95" customHeight="1">
      <c r="A88" s="465" t="s">
        <v>1024</v>
      </c>
      <c r="B88" s="465" t="s">
        <v>1025</v>
      </c>
      <c r="C88" s="465"/>
      <c r="D88" s="465" t="s">
        <v>825</v>
      </c>
      <c r="E88" s="465" t="s">
        <v>1018</v>
      </c>
      <c r="F88" s="465" t="s">
        <v>1019</v>
      </c>
      <c r="G88" s="465" t="s">
        <v>980</v>
      </c>
      <c r="H88" s="465" t="s">
        <v>981</v>
      </c>
      <c r="I88" s="465" t="s">
        <v>830</v>
      </c>
    </row>
    <row r="89" hidden="1" ht="15.95" customHeight="1">
      <c r="A89" s="465" t="s">
        <v>1026</v>
      </c>
      <c r="B89" s="465" t="s">
        <v>1027</v>
      </c>
      <c r="C89" s="465"/>
      <c r="D89" s="465" t="s">
        <v>825</v>
      </c>
      <c r="E89" s="465" t="s">
        <v>1018</v>
      </c>
      <c r="F89" s="465" t="s">
        <v>1019</v>
      </c>
      <c r="G89" s="465" t="s">
        <v>980</v>
      </c>
      <c r="H89" s="465" t="s">
        <v>981</v>
      </c>
      <c r="I89" s="465" t="s">
        <v>830</v>
      </c>
    </row>
    <row r="90" hidden="1" ht="15.95" customHeight="1">
      <c r="A90" s="465" t="s">
        <v>1028</v>
      </c>
      <c r="B90" s="465" t="s">
        <v>910</v>
      </c>
      <c r="C90" s="465"/>
      <c r="D90" s="465" t="s">
        <v>855</v>
      </c>
      <c r="E90" s="465" t="s">
        <v>1018</v>
      </c>
      <c r="F90" s="465" t="s">
        <v>1019</v>
      </c>
      <c r="G90" s="465" t="s">
        <v>980</v>
      </c>
      <c r="H90" s="465" t="s">
        <v>981</v>
      </c>
      <c r="I90" s="465" t="s">
        <v>830</v>
      </c>
    </row>
    <row r="91" hidden="1" ht="15.95" customHeight="1">
      <c r="A91" s="465" t="s">
        <v>1029</v>
      </c>
      <c r="B91" s="465" t="s">
        <v>1030</v>
      </c>
      <c r="C91" s="465" t="s">
        <v>1031</v>
      </c>
      <c r="D91" s="465" t="s">
        <v>855</v>
      </c>
      <c r="E91" s="465" t="s">
        <v>1018</v>
      </c>
      <c r="F91" s="465" t="s">
        <v>1019</v>
      </c>
      <c r="G91" s="465" t="s">
        <v>980</v>
      </c>
      <c r="H91" s="465" t="s">
        <v>981</v>
      </c>
      <c r="I91" s="465" t="s">
        <v>830</v>
      </c>
    </row>
    <row r="92" hidden="1" ht="15.95" customHeight="1">
      <c r="A92" s="465" t="s">
        <v>1032</v>
      </c>
      <c r="B92" s="465" t="s">
        <v>1033</v>
      </c>
      <c r="C92" s="465"/>
      <c r="D92" s="465" t="s">
        <v>855</v>
      </c>
      <c r="E92" s="465" t="s">
        <v>1018</v>
      </c>
      <c r="F92" s="465" t="s">
        <v>1019</v>
      </c>
      <c r="G92" s="465" t="s">
        <v>980</v>
      </c>
      <c r="H92" s="465" t="s">
        <v>981</v>
      </c>
      <c r="I92" s="465" t="s">
        <v>830</v>
      </c>
    </row>
    <row r="93" hidden="1" ht="15.95" customHeight="1">
      <c r="A93" s="465" t="s">
        <v>1034</v>
      </c>
      <c r="B93" s="465" t="s">
        <v>1035</v>
      </c>
      <c r="C93" s="465" t="s">
        <v>1036</v>
      </c>
      <c r="D93" s="465" t="s">
        <v>855</v>
      </c>
      <c r="E93" s="465" t="s">
        <v>1018</v>
      </c>
      <c r="F93" s="465" t="s">
        <v>1019</v>
      </c>
      <c r="G93" s="465" t="s">
        <v>980</v>
      </c>
      <c r="H93" s="465" t="s">
        <v>981</v>
      </c>
      <c r="I93" s="465" t="s">
        <v>830</v>
      </c>
    </row>
    <row r="94" hidden="1" ht="15.95" customHeight="1">
      <c r="A94" s="465" t="s">
        <v>1037</v>
      </c>
      <c r="B94" s="465" t="s">
        <v>1038</v>
      </c>
      <c r="C94" s="465"/>
      <c r="D94" s="465" t="s">
        <v>884</v>
      </c>
      <c r="E94" s="465" t="s">
        <v>1039</v>
      </c>
      <c r="F94" s="465" t="s">
        <v>1040</v>
      </c>
      <c r="G94" s="465" t="s">
        <v>980</v>
      </c>
      <c r="H94" s="465" t="s">
        <v>981</v>
      </c>
      <c r="I94" s="465" t="s">
        <v>830</v>
      </c>
    </row>
    <row r="95" hidden="1" ht="15.95" customHeight="1">
      <c r="A95" s="465" t="s">
        <v>1041</v>
      </c>
      <c r="B95" s="465" t="s">
        <v>1042</v>
      </c>
      <c r="C95" s="465"/>
      <c r="D95" s="465" t="s">
        <v>884</v>
      </c>
      <c r="E95" s="465" t="s">
        <v>1039</v>
      </c>
      <c r="F95" s="465" t="s">
        <v>1040</v>
      </c>
      <c r="G95" s="465" t="s">
        <v>980</v>
      </c>
      <c r="H95" s="465" t="s">
        <v>981</v>
      </c>
      <c r="I95" s="465" t="s">
        <v>830</v>
      </c>
    </row>
    <row r="96" hidden="1" ht="15.95" customHeight="1">
      <c r="A96" s="465" t="s">
        <v>1043</v>
      </c>
      <c r="B96" s="465" t="s">
        <v>1044</v>
      </c>
      <c r="C96" s="465"/>
      <c r="D96" s="465" t="s">
        <v>855</v>
      </c>
      <c r="E96" s="465" t="s">
        <v>1039</v>
      </c>
      <c r="F96" s="465" t="s">
        <v>1040</v>
      </c>
      <c r="G96" s="465" t="s">
        <v>980</v>
      </c>
      <c r="H96" s="465" t="s">
        <v>981</v>
      </c>
      <c r="I96" s="465" t="s">
        <v>830</v>
      </c>
    </row>
    <row r="97" hidden="1" ht="15.95" customHeight="1">
      <c r="A97" s="465" t="s">
        <v>1045</v>
      </c>
      <c r="B97" s="465" t="s">
        <v>1046</v>
      </c>
      <c r="C97" s="465"/>
      <c r="D97" s="465" t="s">
        <v>855</v>
      </c>
      <c r="E97" s="465" t="s">
        <v>1039</v>
      </c>
      <c r="F97" s="465" t="s">
        <v>1040</v>
      </c>
      <c r="G97" s="465" t="s">
        <v>980</v>
      </c>
      <c r="H97" s="465" t="s">
        <v>981</v>
      </c>
      <c r="I97" s="465" t="s">
        <v>830</v>
      </c>
    </row>
    <row r="98" hidden="1" ht="15.95" customHeight="1">
      <c r="A98" s="465" t="s">
        <v>1047</v>
      </c>
      <c r="B98" s="465" t="s">
        <v>1048</v>
      </c>
      <c r="C98" s="465"/>
      <c r="D98" s="465" t="s">
        <v>855</v>
      </c>
      <c r="E98" s="465" t="s">
        <v>1039</v>
      </c>
      <c r="F98" s="465" t="s">
        <v>1040</v>
      </c>
      <c r="G98" s="465" t="s">
        <v>980</v>
      </c>
      <c r="H98" s="465" t="s">
        <v>981</v>
      </c>
      <c r="I98" s="465" t="s">
        <v>830</v>
      </c>
    </row>
    <row r="99" hidden="1" ht="15.95" customHeight="1">
      <c r="A99" s="465" t="s">
        <v>1049</v>
      </c>
      <c r="B99" s="465" t="s">
        <v>1050</v>
      </c>
      <c r="C99" s="465"/>
      <c r="D99" s="465" t="s">
        <v>855</v>
      </c>
      <c r="E99" s="465" t="s">
        <v>1039</v>
      </c>
      <c r="F99" s="465" t="s">
        <v>1040</v>
      </c>
      <c r="G99" s="465" t="s">
        <v>980</v>
      </c>
      <c r="H99" s="465" t="s">
        <v>981</v>
      </c>
      <c r="I99" s="465" t="s">
        <v>830</v>
      </c>
    </row>
    <row r="100" hidden="1" ht="15.95" customHeight="1">
      <c r="A100" s="465" t="s">
        <v>1051</v>
      </c>
      <c r="B100" s="465" t="s">
        <v>1052</v>
      </c>
      <c r="C100" s="465"/>
      <c r="D100" s="465" t="s">
        <v>855</v>
      </c>
      <c r="E100" s="465" t="s">
        <v>1039</v>
      </c>
      <c r="F100" s="465" t="s">
        <v>1040</v>
      </c>
      <c r="G100" s="465" t="s">
        <v>980</v>
      </c>
      <c r="H100" s="465" t="s">
        <v>981</v>
      </c>
      <c r="I100" s="465" t="s">
        <v>830</v>
      </c>
    </row>
    <row r="101" hidden="1" ht="15.95" customHeight="1">
      <c r="A101" s="465" t="s">
        <v>1053</v>
      </c>
      <c r="B101" s="465" t="s">
        <v>1054</v>
      </c>
      <c r="C101" s="465"/>
      <c r="D101" s="465" t="s">
        <v>855</v>
      </c>
      <c r="E101" s="465" t="s">
        <v>1039</v>
      </c>
      <c r="F101" s="465" t="s">
        <v>1040</v>
      </c>
      <c r="G101" s="465" t="s">
        <v>980</v>
      </c>
      <c r="H101" s="465" t="s">
        <v>981</v>
      </c>
      <c r="I101" s="465" t="s">
        <v>830</v>
      </c>
    </row>
    <row r="102" hidden="1" ht="15.95" customHeight="1">
      <c r="A102" s="465" t="s">
        <v>1055</v>
      </c>
      <c r="B102" s="465" t="s">
        <v>1056</v>
      </c>
      <c r="C102" s="465"/>
      <c r="D102" s="465" t="s">
        <v>855</v>
      </c>
      <c r="E102" s="465" t="s">
        <v>1039</v>
      </c>
      <c r="F102" s="465" t="s">
        <v>1040</v>
      </c>
      <c r="G102" s="465" t="s">
        <v>980</v>
      </c>
      <c r="H102" s="465" t="s">
        <v>981</v>
      </c>
      <c r="I102" s="465" t="s">
        <v>830</v>
      </c>
    </row>
    <row r="103" hidden="1" ht="15.95" customHeight="1">
      <c r="A103" s="465" t="s">
        <v>1057</v>
      </c>
      <c r="B103" s="465" t="s">
        <v>1058</v>
      </c>
      <c r="C103" s="465"/>
      <c r="D103" s="465" t="s">
        <v>855</v>
      </c>
      <c r="E103" s="465" t="s">
        <v>1039</v>
      </c>
      <c r="F103" s="465" t="s">
        <v>1040</v>
      </c>
      <c r="G103" s="465" t="s">
        <v>980</v>
      </c>
      <c r="H103" s="465" t="s">
        <v>981</v>
      </c>
      <c r="I103" s="465" t="s">
        <v>830</v>
      </c>
    </row>
    <row r="104" hidden="1" ht="15.95" customHeight="1">
      <c r="A104" s="465" t="s">
        <v>1059</v>
      </c>
      <c r="B104" s="465" t="s">
        <v>1060</v>
      </c>
      <c r="C104" s="465"/>
      <c r="D104" s="465" t="s">
        <v>855</v>
      </c>
      <c r="E104" s="465" t="s">
        <v>1039</v>
      </c>
      <c r="F104" s="465" t="s">
        <v>1040</v>
      </c>
      <c r="G104" s="465" t="s">
        <v>980</v>
      </c>
      <c r="H104" s="465" t="s">
        <v>981</v>
      </c>
      <c r="I104" s="465" t="s">
        <v>830</v>
      </c>
    </row>
    <row r="105" hidden="1" ht="15.95" customHeight="1">
      <c r="A105" s="465" t="s">
        <v>1061</v>
      </c>
      <c r="B105" s="465" t="s">
        <v>1062</v>
      </c>
      <c r="C105" s="465"/>
      <c r="D105" s="465" t="s">
        <v>855</v>
      </c>
      <c r="E105" s="465" t="s">
        <v>1039</v>
      </c>
      <c r="F105" s="465" t="s">
        <v>1040</v>
      </c>
      <c r="G105" s="465" t="s">
        <v>980</v>
      </c>
      <c r="H105" s="465" t="s">
        <v>981</v>
      </c>
      <c r="I105" s="465" t="s">
        <v>830</v>
      </c>
    </row>
    <row r="106" hidden="1" ht="15.95" customHeight="1">
      <c r="A106" s="465" t="s">
        <v>1063</v>
      </c>
      <c r="B106" s="465" t="s">
        <v>1064</v>
      </c>
      <c r="C106" s="465"/>
      <c r="D106" s="465" t="s">
        <v>884</v>
      </c>
      <c r="E106" s="465" t="s">
        <v>1065</v>
      </c>
      <c r="F106" s="465" t="s">
        <v>1066</v>
      </c>
      <c r="G106" s="465" t="s">
        <v>980</v>
      </c>
      <c r="H106" s="465" t="s">
        <v>981</v>
      </c>
      <c r="I106" s="465" t="s">
        <v>830</v>
      </c>
    </row>
    <row r="107" hidden="1" ht="15.95" customHeight="1">
      <c r="A107" s="465" t="s">
        <v>1067</v>
      </c>
      <c r="B107" s="465" t="s">
        <v>1068</v>
      </c>
      <c r="C107" s="465"/>
      <c r="D107" s="465" t="s">
        <v>855</v>
      </c>
      <c r="E107" s="465" t="s">
        <v>1065</v>
      </c>
      <c r="F107" s="465" t="s">
        <v>1066</v>
      </c>
      <c r="G107" s="465" t="s">
        <v>980</v>
      </c>
      <c r="H107" s="465" t="s">
        <v>981</v>
      </c>
      <c r="I107" s="465" t="s">
        <v>830</v>
      </c>
    </row>
    <row r="108" hidden="1" ht="15.95" customHeight="1">
      <c r="A108" s="465" t="s">
        <v>1069</v>
      </c>
      <c r="B108" s="465" t="s">
        <v>1070</v>
      </c>
      <c r="C108" s="465"/>
      <c r="D108" s="465" t="s">
        <v>855</v>
      </c>
      <c r="E108" s="465" t="s">
        <v>1065</v>
      </c>
      <c r="F108" s="465" t="s">
        <v>1066</v>
      </c>
      <c r="G108" s="465" t="s">
        <v>980</v>
      </c>
      <c r="H108" s="465" t="s">
        <v>981</v>
      </c>
      <c r="I108" s="465" t="s">
        <v>830</v>
      </c>
    </row>
    <row r="109" hidden="1" ht="15.95" customHeight="1">
      <c r="A109" s="465" t="s">
        <v>1071</v>
      </c>
      <c r="B109" s="465" t="s">
        <v>1072</v>
      </c>
      <c r="C109" s="465"/>
      <c r="D109" s="465" t="s">
        <v>855</v>
      </c>
      <c r="E109" s="465" t="s">
        <v>1065</v>
      </c>
      <c r="F109" s="465" t="s">
        <v>1066</v>
      </c>
      <c r="G109" s="465" t="s">
        <v>980</v>
      </c>
      <c r="H109" s="465" t="s">
        <v>981</v>
      </c>
      <c r="I109" s="465" t="s">
        <v>830</v>
      </c>
    </row>
    <row r="110" hidden="1" ht="15.95" customHeight="1">
      <c r="A110" s="465" t="s">
        <v>1073</v>
      </c>
      <c r="B110" s="465" t="s">
        <v>1074</v>
      </c>
      <c r="C110" s="465"/>
      <c r="D110" s="465" t="s">
        <v>855</v>
      </c>
      <c r="E110" s="465" t="s">
        <v>1065</v>
      </c>
      <c r="F110" s="465" t="s">
        <v>1066</v>
      </c>
      <c r="G110" s="465" t="s">
        <v>980</v>
      </c>
      <c r="H110" s="465" t="s">
        <v>981</v>
      </c>
      <c r="I110" s="465" t="s">
        <v>830</v>
      </c>
    </row>
    <row r="111" hidden="1" ht="15.95" customHeight="1">
      <c r="A111" s="465" t="s">
        <v>1075</v>
      </c>
      <c r="B111" s="465" t="s">
        <v>1076</v>
      </c>
      <c r="C111" s="465"/>
      <c r="D111" s="465" t="s">
        <v>855</v>
      </c>
      <c r="E111" s="465" t="s">
        <v>1065</v>
      </c>
      <c r="F111" s="465" t="s">
        <v>1066</v>
      </c>
      <c r="G111" s="465" t="s">
        <v>980</v>
      </c>
      <c r="H111" s="465" t="s">
        <v>981</v>
      </c>
      <c r="I111" s="465" t="s">
        <v>830</v>
      </c>
    </row>
    <row r="112" hidden="1" ht="15.95" customHeight="1">
      <c r="A112" s="465" t="s">
        <v>1077</v>
      </c>
      <c r="B112" s="465" t="s">
        <v>1078</v>
      </c>
      <c r="C112" s="465"/>
      <c r="D112" s="465" t="s">
        <v>855</v>
      </c>
      <c r="E112" s="465" t="s">
        <v>1065</v>
      </c>
      <c r="F112" s="465" t="s">
        <v>1066</v>
      </c>
      <c r="G112" s="465" t="s">
        <v>980</v>
      </c>
      <c r="H112" s="465" t="s">
        <v>981</v>
      </c>
      <c r="I112" s="465" t="s">
        <v>830</v>
      </c>
    </row>
    <row r="113" hidden="1" ht="15.95" customHeight="1">
      <c r="A113" s="465" t="s">
        <v>1079</v>
      </c>
      <c r="B113" s="465" t="s">
        <v>1080</v>
      </c>
      <c r="C113" s="465"/>
      <c r="D113" s="465" t="s">
        <v>855</v>
      </c>
      <c r="E113" s="465" t="s">
        <v>1065</v>
      </c>
      <c r="F113" s="465" t="s">
        <v>1066</v>
      </c>
      <c r="G113" s="465" t="s">
        <v>980</v>
      </c>
      <c r="H113" s="465" t="s">
        <v>981</v>
      </c>
      <c r="I113" s="465" t="s">
        <v>830</v>
      </c>
    </row>
    <row r="114" hidden="1" ht="15.95" customHeight="1">
      <c r="A114" s="465" t="s">
        <v>1081</v>
      </c>
      <c r="B114" s="465" t="s">
        <v>1082</v>
      </c>
      <c r="C114" s="465"/>
      <c r="D114" s="465" t="s">
        <v>855</v>
      </c>
      <c r="E114" s="465" t="s">
        <v>1065</v>
      </c>
      <c r="F114" s="465" t="s">
        <v>1066</v>
      </c>
      <c r="G114" s="465" t="s">
        <v>980</v>
      </c>
      <c r="H114" s="465" t="s">
        <v>981</v>
      </c>
      <c r="I114" s="465" t="s">
        <v>830</v>
      </c>
    </row>
    <row r="115" hidden="1" ht="15.95" customHeight="1">
      <c r="A115" s="465" t="s">
        <v>1083</v>
      </c>
      <c r="B115" s="465" t="s">
        <v>1084</v>
      </c>
      <c r="C115" s="465"/>
      <c r="D115" s="465" t="s">
        <v>884</v>
      </c>
      <c r="E115" s="465" t="s">
        <v>1065</v>
      </c>
      <c r="F115" s="465" t="s">
        <v>1066</v>
      </c>
      <c r="G115" s="465" t="s">
        <v>980</v>
      </c>
      <c r="H115" s="465" t="s">
        <v>981</v>
      </c>
      <c r="I115" s="465" t="s">
        <v>830</v>
      </c>
    </row>
    <row r="116" hidden="1" ht="15.95" customHeight="1">
      <c r="A116" s="465" t="s">
        <v>1085</v>
      </c>
      <c r="B116" s="465" t="s">
        <v>1086</v>
      </c>
      <c r="C116" s="465"/>
      <c r="D116" s="465" t="s">
        <v>855</v>
      </c>
      <c r="E116" s="465" t="s">
        <v>1065</v>
      </c>
      <c r="F116" s="465" t="s">
        <v>1066</v>
      </c>
      <c r="G116" s="465" t="s">
        <v>980</v>
      </c>
      <c r="H116" s="465" t="s">
        <v>981</v>
      </c>
      <c r="I116" s="465" t="s">
        <v>830</v>
      </c>
    </row>
    <row r="117" hidden="1" ht="15.95" customHeight="1">
      <c r="A117" s="465" t="s">
        <v>1087</v>
      </c>
      <c r="B117" s="465" t="s">
        <v>1088</v>
      </c>
      <c r="C117" s="465"/>
      <c r="D117" s="465" t="s">
        <v>855</v>
      </c>
      <c r="E117" s="465" t="s">
        <v>1065</v>
      </c>
      <c r="F117" s="465" t="s">
        <v>1066</v>
      </c>
      <c r="G117" s="465" t="s">
        <v>980</v>
      </c>
      <c r="H117" s="465" t="s">
        <v>981</v>
      </c>
      <c r="I117" s="465" t="s">
        <v>830</v>
      </c>
    </row>
    <row r="118" hidden="1" ht="15.95" customHeight="1">
      <c r="A118" s="465" t="s">
        <v>1089</v>
      </c>
      <c r="B118" s="465" t="s">
        <v>1090</v>
      </c>
      <c r="C118" s="465"/>
      <c r="D118" s="465" t="s">
        <v>855</v>
      </c>
      <c r="E118" s="465" t="s">
        <v>1065</v>
      </c>
      <c r="F118" s="465" t="s">
        <v>1066</v>
      </c>
      <c r="G118" s="465" t="s">
        <v>980</v>
      </c>
      <c r="H118" s="465" t="s">
        <v>981</v>
      </c>
      <c r="I118" s="465" t="s">
        <v>830</v>
      </c>
    </row>
    <row r="119" hidden="1" ht="15.95" customHeight="1">
      <c r="A119" s="465" t="s">
        <v>1091</v>
      </c>
      <c r="B119" s="465" t="s">
        <v>1092</v>
      </c>
      <c r="C119" s="465"/>
      <c r="D119" s="465" t="s">
        <v>855</v>
      </c>
      <c r="E119" s="465" t="s">
        <v>1065</v>
      </c>
      <c r="F119" s="465" t="s">
        <v>1066</v>
      </c>
      <c r="G119" s="465" t="s">
        <v>980</v>
      </c>
      <c r="H119" s="465" t="s">
        <v>981</v>
      </c>
      <c r="I119" s="465" t="s">
        <v>830</v>
      </c>
    </row>
    <row r="120" hidden="1" ht="15.95" customHeight="1">
      <c r="A120" s="465" t="s">
        <v>1093</v>
      </c>
      <c r="B120" s="465" t="s">
        <v>1094</v>
      </c>
      <c r="C120" s="465"/>
      <c r="D120" s="465" t="s">
        <v>855</v>
      </c>
      <c r="E120" s="465" t="s">
        <v>1065</v>
      </c>
      <c r="F120" s="465" t="s">
        <v>1066</v>
      </c>
      <c r="G120" s="465" t="s">
        <v>980</v>
      </c>
      <c r="H120" s="465" t="s">
        <v>981</v>
      </c>
      <c r="I120" s="465" t="s">
        <v>830</v>
      </c>
    </row>
    <row r="121" hidden="1" ht="15.95" customHeight="1">
      <c r="A121" s="465" t="s">
        <v>1095</v>
      </c>
      <c r="B121" s="465" t="s">
        <v>1096</v>
      </c>
      <c r="C121" s="465"/>
      <c r="D121" s="465" t="s">
        <v>855</v>
      </c>
      <c r="E121" s="465" t="s">
        <v>1065</v>
      </c>
      <c r="F121" s="465" t="s">
        <v>1066</v>
      </c>
      <c r="G121" s="465" t="s">
        <v>980</v>
      </c>
      <c r="H121" s="465" t="s">
        <v>981</v>
      </c>
      <c r="I121" s="465" t="s">
        <v>830</v>
      </c>
    </row>
    <row r="122" hidden="1" ht="15.95" customHeight="1">
      <c r="A122" s="465" t="s">
        <v>1097</v>
      </c>
      <c r="B122" s="465" t="s">
        <v>1098</v>
      </c>
      <c r="C122" s="465"/>
      <c r="D122" s="465" t="s">
        <v>855</v>
      </c>
      <c r="E122" s="465" t="s">
        <v>1065</v>
      </c>
      <c r="F122" s="465" t="s">
        <v>1066</v>
      </c>
      <c r="G122" s="465" t="s">
        <v>980</v>
      </c>
      <c r="H122" s="465" t="s">
        <v>981</v>
      </c>
      <c r="I122" s="465" t="s">
        <v>830</v>
      </c>
    </row>
    <row r="123" hidden="1" ht="15.95" customHeight="1">
      <c r="A123" s="465" t="s">
        <v>1099</v>
      </c>
      <c r="B123" s="465" t="s">
        <v>1100</v>
      </c>
      <c r="C123" s="465"/>
      <c r="D123" s="465" t="s">
        <v>855</v>
      </c>
      <c r="E123" s="465" t="s">
        <v>1065</v>
      </c>
      <c r="F123" s="465" t="s">
        <v>1066</v>
      </c>
      <c r="G123" s="465" t="s">
        <v>980</v>
      </c>
      <c r="H123" s="465" t="s">
        <v>981</v>
      </c>
      <c r="I123" s="465" t="s">
        <v>830</v>
      </c>
    </row>
    <row r="124" hidden="1" ht="15.95" customHeight="1">
      <c r="A124" s="465" t="s">
        <v>1101</v>
      </c>
      <c r="B124" s="465" t="s">
        <v>1102</v>
      </c>
      <c r="C124" s="465"/>
      <c r="D124" s="465" t="s">
        <v>884</v>
      </c>
      <c r="E124" s="465" t="s">
        <v>1103</v>
      </c>
      <c r="F124" s="465" t="s">
        <v>1104</v>
      </c>
      <c r="G124" s="465" t="s">
        <v>980</v>
      </c>
      <c r="H124" s="465" t="s">
        <v>981</v>
      </c>
      <c r="I124" s="465" t="s">
        <v>830</v>
      </c>
    </row>
    <row r="125" hidden="1" ht="15.95" customHeight="1">
      <c r="A125" s="465" t="s">
        <v>1105</v>
      </c>
      <c r="B125" s="465" t="s">
        <v>1106</v>
      </c>
      <c r="C125" s="465"/>
      <c r="D125" s="465" t="s">
        <v>884</v>
      </c>
      <c r="E125" s="465" t="s">
        <v>1103</v>
      </c>
      <c r="F125" s="465" t="s">
        <v>1104</v>
      </c>
      <c r="G125" s="465" t="s">
        <v>980</v>
      </c>
      <c r="H125" s="465" t="s">
        <v>981</v>
      </c>
      <c r="I125" s="465" t="s">
        <v>830</v>
      </c>
    </row>
    <row r="126" hidden="1" ht="15.95" customHeight="1">
      <c r="A126" s="465" t="s">
        <v>1107</v>
      </c>
      <c r="B126" s="465" t="s">
        <v>1108</v>
      </c>
      <c r="C126" s="465"/>
      <c r="D126" s="465" t="s">
        <v>855</v>
      </c>
      <c r="E126" s="465" t="s">
        <v>1103</v>
      </c>
      <c r="F126" s="465" t="s">
        <v>1104</v>
      </c>
      <c r="G126" s="465" t="s">
        <v>980</v>
      </c>
      <c r="H126" s="465" t="s">
        <v>981</v>
      </c>
      <c r="I126" s="465" t="s">
        <v>830</v>
      </c>
    </row>
    <row r="127" hidden="1" ht="15.95" customHeight="1">
      <c r="A127" s="465" t="s">
        <v>1109</v>
      </c>
      <c r="B127" s="465" t="s">
        <v>1110</v>
      </c>
      <c r="C127" s="465"/>
      <c r="D127" s="465" t="s">
        <v>855</v>
      </c>
      <c r="E127" s="465" t="s">
        <v>1103</v>
      </c>
      <c r="F127" s="465" t="s">
        <v>1104</v>
      </c>
      <c r="G127" s="465" t="s">
        <v>980</v>
      </c>
      <c r="H127" s="465" t="s">
        <v>981</v>
      </c>
      <c r="I127" s="465" t="s">
        <v>830</v>
      </c>
    </row>
    <row r="128" hidden="1" ht="15.95" customHeight="1">
      <c r="A128" s="465" t="s">
        <v>1111</v>
      </c>
      <c r="B128" s="465" t="s">
        <v>1112</v>
      </c>
      <c r="C128" s="465"/>
      <c r="D128" s="465" t="s">
        <v>855</v>
      </c>
      <c r="E128" s="465" t="s">
        <v>1103</v>
      </c>
      <c r="F128" s="465" t="s">
        <v>1104</v>
      </c>
      <c r="G128" s="465" t="s">
        <v>980</v>
      </c>
      <c r="H128" s="465" t="s">
        <v>981</v>
      </c>
      <c r="I128" s="465" t="s">
        <v>830</v>
      </c>
    </row>
    <row r="129" hidden="1" ht="15.95" customHeight="1">
      <c r="A129" s="465" t="s">
        <v>1113</v>
      </c>
      <c r="B129" s="465" t="s">
        <v>1114</v>
      </c>
      <c r="C129" s="465"/>
      <c r="D129" s="465" t="s">
        <v>855</v>
      </c>
      <c r="E129" s="465" t="s">
        <v>1103</v>
      </c>
      <c r="F129" s="465" t="s">
        <v>1104</v>
      </c>
      <c r="G129" s="465" t="s">
        <v>980</v>
      </c>
      <c r="H129" s="465" t="s">
        <v>981</v>
      </c>
      <c r="I129" s="465" t="s">
        <v>830</v>
      </c>
    </row>
    <row r="130" hidden="1" ht="15.95" customHeight="1">
      <c r="A130" s="465" t="s">
        <v>1115</v>
      </c>
      <c r="B130" s="465" t="s">
        <v>1116</v>
      </c>
      <c r="C130" s="465"/>
      <c r="D130" s="465" t="s">
        <v>855</v>
      </c>
      <c r="E130" s="465" t="s">
        <v>1103</v>
      </c>
      <c r="F130" s="465" t="s">
        <v>1104</v>
      </c>
      <c r="G130" s="465" t="s">
        <v>980</v>
      </c>
      <c r="H130" s="465" t="s">
        <v>981</v>
      </c>
      <c r="I130" s="465" t="s">
        <v>830</v>
      </c>
    </row>
    <row r="131" hidden="1" ht="15.95" customHeight="1">
      <c r="A131" s="465" t="s">
        <v>1117</v>
      </c>
      <c r="B131" s="465" t="s">
        <v>1118</v>
      </c>
      <c r="C131" s="465"/>
      <c r="D131" s="465" t="s">
        <v>855</v>
      </c>
      <c r="E131" s="465" t="s">
        <v>1103</v>
      </c>
      <c r="F131" s="465" t="s">
        <v>1104</v>
      </c>
      <c r="G131" s="465" t="s">
        <v>980</v>
      </c>
      <c r="H131" s="465" t="s">
        <v>981</v>
      </c>
      <c r="I131" s="465" t="s">
        <v>830</v>
      </c>
    </row>
    <row r="132" hidden="1" ht="15.95" customHeight="1">
      <c r="A132" s="465" t="s">
        <v>1119</v>
      </c>
      <c r="B132" s="465" t="s">
        <v>1120</v>
      </c>
      <c r="C132" s="465"/>
      <c r="D132" s="465" t="s">
        <v>855</v>
      </c>
      <c r="E132" s="465" t="s">
        <v>1103</v>
      </c>
      <c r="F132" s="465" t="s">
        <v>1104</v>
      </c>
      <c r="G132" s="465" t="s">
        <v>980</v>
      </c>
      <c r="H132" s="465" t="s">
        <v>981</v>
      </c>
      <c r="I132" s="465" t="s">
        <v>830</v>
      </c>
    </row>
    <row r="133" hidden="1" ht="15.95" customHeight="1">
      <c r="A133" s="465" t="s">
        <v>1121</v>
      </c>
      <c r="B133" s="465" t="s">
        <v>1122</v>
      </c>
      <c r="C133" s="465"/>
      <c r="D133" s="465" t="s">
        <v>855</v>
      </c>
      <c r="E133" s="465" t="s">
        <v>1103</v>
      </c>
      <c r="F133" s="465" t="s">
        <v>1104</v>
      </c>
      <c r="G133" s="465" t="s">
        <v>980</v>
      </c>
      <c r="H133" s="465" t="s">
        <v>981</v>
      </c>
      <c r="I133" s="465" t="s">
        <v>830</v>
      </c>
    </row>
    <row r="134" hidden="1" ht="15.95" customHeight="1">
      <c r="A134" s="465" t="s">
        <v>1123</v>
      </c>
      <c r="B134" s="465" t="s">
        <v>1124</v>
      </c>
      <c r="C134" s="465"/>
      <c r="D134" s="465" t="s">
        <v>855</v>
      </c>
      <c r="E134" s="465" t="s">
        <v>1103</v>
      </c>
      <c r="F134" s="465" t="s">
        <v>1104</v>
      </c>
      <c r="G134" s="465" t="s">
        <v>980</v>
      </c>
      <c r="H134" s="465" t="s">
        <v>981</v>
      </c>
      <c r="I134" s="465" t="s">
        <v>830</v>
      </c>
    </row>
    <row r="135" hidden="1" ht="15.95" customHeight="1">
      <c r="A135" s="465" t="s">
        <v>1125</v>
      </c>
      <c r="B135" s="465" t="s">
        <v>1126</v>
      </c>
      <c r="C135" s="465"/>
      <c r="D135" s="465" t="s">
        <v>855</v>
      </c>
      <c r="E135" s="465" t="s">
        <v>1103</v>
      </c>
      <c r="F135" s="465" t="s">
        <v>1104</v>
      </c>
      <c r="G135" s="465" t="s">
        <v>980</v>
      </c>
      <c r="H135" s="465" t="s">
        <v>981</v>
      </c>
      <c r="I135" s="465" t="s">
        <v>830</v>
      </c>
    </row>
    <row r="136" hidden="1" ht="15.95" customHeight="1">
      <c r="A136" s="465" t="s">
        <v>1127</v>
      </c>
      <c r="B136" s="465" t="s">
        <v>1128</v>
      </c>
      <c r="C136" s="465"/>
      <c r="D136" s="465" t="s">
        <v>855</v>
      </c>
      <c r="E136" s="465" t="s">
        <v>1103</v>
      </c>
      <c r="F136" s="465" t="s">
        <v>1104</v>
      </c>
      <c r="G136" s="465" t="s">
        <v>980</v>
      </c>
      <c r="H136" s="465" t="s">
        <v>981</v>
      </c>
      <c r="I136" s="465" t="s">
        <v>830</v>
      </c>
    </row>
    <row r="137" hidden="1" ht="15.95" customHeight="1">
      <c r="A137" s="465" t="s">
        <v>1129</v>
      </c>
      <c r="B137" s="465" t="s">
        <v>1130</v>
      </c>
      <c r="C137" s="465"/>
      <c r="D137" s="465" t="s">
        <v>855</v>
      </c>
      <c r="E137" s="465" t="s">
        <v>1103</v>
      </c>
      <c r="F137" s="465" t="s">
        <v>1104</v>
      </c>
      <c r="G137" s="465" t="s">
        <v>980</v>
      </c>
      <c r="H137" s="465" t="s">
        <v>981</v>
      </c>
      <c r="I137" s="465" t="s">
        <v>830</v>
      </c>
    </row>
    <row r="138" hidden="1" ht="15.95" customHeight="1">
      <c r="A138" s="465" t="s">
        <v>1131</v>
      </c>
      <c r="B138" s="465" t="s">
        <v>1132</v>
      </c>
      <c r="C138" s="465"/>
      <c r="D138" s="465" t="s">
        <v>855</v>
      </c>
      <c r="E138" s="465" t="s">
        <v>1103</v>
      </c>
      <c r="F138" s="465" t="s">
        <v>1104</v>
      </c>
      <c r="G138" s="465" t="s">
        <v>980</v>
      </c>
      <c r="H138" s="465" t="s">
        <v>981</v>
      </c>
      <c r="I138" s="465" t="s">
        <v>830</v>
      </c>
    </row>
    <row r="139" hidden="1" ht="15.95" customHeight="1">
      <c r="A139" s="465" t="s">
        <v>1133</v>
      </c>
      <c r="B139" s="465" t="s">
        <v>1134</v>
      </c>
      <c r="C139" s="465"/>
      <c r="D139" s="465" t="s">
        <v>855</v>
      </c>
      <c r="E139" s="465" t="s">
        <v>1103</v>
      </c>
      <c r="F139" s="465" t="s">
        <v>1104</v>
      </c>
      <c r="G139" s="465" t="s">
        <v>980</v>
      </c>
      <c r="H139" s="465" t="s">
        <v>981</v>
      </c>
      <c r="I139" s="465" t="s">
        <v>830</v>
      </c>
    </row>
    <row r="140" hidden="1" ht="15.95" customHeight="1">
      <c r="A140" s="465" t="s">
        <v>1135</v>
      </c>
      <c r="B140" s="465" t="s">
        <v>1136</v>
      </c>
      <c r="C140" s="465"/>
      <c r="D140" s="465" t="s">
        <v>855</v>
      </c>
      <c r="E140" s="465" t="s">
        <v>1103</v>
      </c>
      <c r="F140" s="465" t="s">
        <v>1104</v>
      </c>
      <c r="G140" s="465" t="s">
        <v>980</v>
      </c>
      <c r="H140" s="465" t="s">
        <v>981</v>
      </c>
      <c r="I140" s="465" t="s">
        <v>830</v>
      </c>
    </row>
    <row r="141" hidden="1" ht="15.95" customHeight="1">
      <c r="A141" s="465" t="s">
        <v>1137</v>
      </c>
      <c r="B141" s="465" t="s">
        <v>1138</v>
      </c>
      <c r="C141" s="465"/>
      <c r="D141" s="465" t="s">
        <v>884</v>
      </c>
      <c r="E141" s="465" t="s">
        <v>1139</v>
      </c>
      <c r="F141" s="465" t="s">
        <v>1140</v>
      </c>
      <c r="G141" s="465" t="s">
        <v>980</v>
      </c>
      <c r="H141" s="465" t="s">
        <v>981</v>
      </c>
      <c r="I141" s="465" t="s">
        <v>830</v>
      </c>
    </row>
    <row r="142" hidden="1" ht="15.95" customHeight="1">
      <c r="A142" s="465" t="s">
        <v>1141</v>
      </c>
      <c r="B142" s="465" t="s">
        <v>1142</v>
      </c>
      <c r="C142" s="465"/>
      <c r="D142" s="465" t="s">
        <v>855</v>
      </c>
      <c r="E142" s="465" t="s">
        <v>1139</v>
      </c>
      <c r="F142" s="465" t="s">
        <v>1140</v>
      </c>
      <c r="G142" s="465" t="s">
        <v>980</v>
      </c>
      <c r="H142" s="465" t="s">
        <v>981</v>
      </c>
      <c r="I142" s="465" t="s">
        <v>830</v>
      </c>
    </row>
    <row r="143" hidden="1" ht="15.95" customHeight="1">
      <c r="A143" s="465" t="s">
        <v>1143</v>
      </c>
      <c r="B143" s="465" t="s">
        <v>1144</v>
      </c>
      <c r="C143" s="465"/>
      <c r="D143" s="465" t="s">
        <v>855</v>
      </c>
      <c r="E143" s="465" t="s">
        <v>1139</v>
      </c>
      <c r="F143" s="465" t="s">
        <v>1140</v>
      </c>
      <c r="G143" s="465" t="s">
        <v>980</v>
      </c>
      <c r="H143" s="465" t="s">
        <v>981</v>
      </c>
      <c r="I143" s="465" t="s">
        <v>830</v>
      </c>
    </row>
    <row r="144" hidden="1" ht="15.95" customHeight="1">
      <c r="A144" s="465" t="s">
        <v>1145</v>
      </c>
      <c r="B144" s="465" t="s">
        <v>1146</v>
      </c>
      <c r="C144" s="465"/>
      <c r="D144" s="465" t="s">
        <v>855</v>
      </c>
      <c r="E144" s="465" t="s">
        <v>1139</v>
      </c>
      <c r="F144" s="465" t="s">
        <v>1140</v>
      </c>
      <c r="G144" s="465" t="s">
        <v>980</v>
      </c>
      <c r="H144" s="465" t="s">
        <v>981</v>
      </c>
      <c r="I144" s="465" t="s">
        <v>830</v>
      </c>
    </row>
    <row r="145" hidden="1" ht="15.95" customHeight="1">
      <c r="A145" s="465" t="s">
        <v>1147</v>
      </c>
      <c r="B145" s="465" t="s">
        <v>1148</v>
      </c>
      <c r="C145" s="465"/>
      <c r="D145" s="465" t="s">
        <v>855</v>
      </c>
      <c r="E145" s="465" t="s">
        <v>1139</v>
      </c>
      <c r="F145" s="465" t="s">
        <v>1140</v>
      </c>
      <c r="G145" s="465" t="s">
        <v>980</v>
      </c>
      <c r="H145" s="465" t="s">
        <v>981</v>
      </c>
      <c r="I145" s="465" t="s">
        <v>830</v>
      </c>
    </row>
    <row r="146" hidden="1" ht="15.95" customHeight="1">
      <c r="A146" s="465" t="s">
        <v>1149</v>
      </c>
      <c r="B146" s="465" t="s">
        <v>1150</v>
      </c>
      <c r="C146" s="465"/>
      <c r="D146" s="465" t="s">
        <v>855</v>
      </c>
      <c r="E146" s="465" t="s">
        <v>1139</v>
      </c>
      <c r="F146" s="465" t="s">
        <v>1140</v>
      </c>
      <c r="G146" s="465" t="s">
        <v>980</v>
      </c>
      <c r="H146" s="465" t="s">
        <v>981</v>
      </c>
      <c r="I146" s="465" t="s">
        <v>830</v>
      </c>
    </row>
    <row r="147" hidden="1" ht="15.95" customHeight="1">
      <c r="A147" s="465" t="s">
        <v>1151</v>
      </c>
      <c r="B147" s="465" t="s">
        <v>1152</v>
      </c>
      <c r="C147" s="465"/>
      <c r="D147" s="465" t="s">
        <v>855</v>
      </c>
      <c r="E147" s="465" t="s">
        <v>1139</v>
      </c>
      <c r="F147" s="465" t="s">
        <v>1140</v>
      </c>
      <c r="G147" s="465" t="s">
        <v>980</v>
      </c>
      <c r="H147" s="465" t="s">
        <v>981</v>
      </c>
      <c r="I147" s="465" t="s">
        <v>830</v>
      </c>
    </row>
    <row r="148" hidden="1" ht="15.95" customHeight="1">
      <c r="A148" s="465" t="s">
        <v>1153</v>
      </c>
      <c r="B148" s="465" t="s">
        <v>1154</v>
      </c>
      <c r="C148" s="465"/>
      <c r="D148" s="465" t="s">
        <v>855</v>
      </c>
      <c r="E148" s="465" t="s">
        <v>1139</v>
      </c>
      <c r="F148" s="465" t="s">
        <v>1140</v>
      </c>
      <c r="G148" s="465" t="s">
        <v>980</v>
      </c>
      <c r="H148" s="465" t="s">
        <v>981</v>
      </c>
      <c r="I148" s="465" t="s">
        <v>830</v>
      </c>
    </row>
    <row r="149" hidden="1" ht="15.95" customHeight="1">
      <c r="A149" s="465" t="s">
        <v>1155</v>
      </c>
      <c r="B149" s="465" t="s">
        <v>1156</v>
      </c>
      <c r="C149" s="465"/>
      <c r="D149" s="465" t="s">
        <v>855</v>
      </c>
      <c r="E149" s="465" t="s">
        <v>1139</v>
      </c>
      <c r="F149" s="465" t="s">
        <v>1140</v>
      </c>
      <c r="G149" s="465" t="s">
        <v>980</v>
      </c>
      <c r="H149" s="465" t="s">
        <v>981</v>
      </c>
      <c r="I149" s="465" t="s">
        <v>830</v>
      </c>
    </row>
    <row r="150" hidden="1" ht="15.95" customHeight="1">
      <c r="A150" s="465" t="s">
        <v>1157</v>
      </c>
      <c r="B150" s="465" t="s">
        <v>1158</v>
      </c>
      <c r="C150" s="465"/>
      <c r="D150" s="465" t="s">
        <v>855</v>
      </c>
      <c r="E150" s="465" t="s">
        <v>1139</v>
      </c>
      <c r="F150" s="465" t="s">
        <v>1140</v>
      </c>
      <c r="G150" s="465" t="s">
        <v>980</v>
      </c>
      <c r="H150" s="465" t="s">
        <v>981</v>
      </c>
      <c r="I150" s="465" t="s">
        <v>830</v>
      </c>
    </row>
    <row r="151" hidden="1" ht="15.95" customHeight="1">
      <c r="A151" s="465" t="s">
        <v>1159</v>
      </c>
      <c r="B151" s="465" t="s">
        <v>1160</v>
      </c>
      <c r="C151" s="465"/>
      <c r="D151" s="465" t="s">
        <v>855</v>
      </c>
      <c r="E151" s="465" t="s">
        <v>1139</v>
      </c>
      <c r="F151" s="465" t="s">
        <v>1140</v>
      </c>
      <c r="G151" s="465" t="s">
        <v>980</v>
      </c>
      <c r="H151" s="465" t="s">
        <v>981</v>
      </c>
      <c r="I151" s="465" t="s">
        <v>830</v>
      </c>
    </row>
    <row r="152" hidden="1" ht="15.95" customHeight="1">
      <c r="A152" s="465" t="s">
        <v>1161</v>
      </c>
      <c r="B152" s="465" t="s">
        <v>1162</v>
      </c>
      <c r="C152" s="465"/>
      <c r="D152" s="465" t="s">
        <v>855</v>
      </c>
      <c r="E152" s="465" t="s">
        <v>1139</v>
      </c>
      <c r="F152" s="465" t="s">
        <v>1140</v>
      </c>
      <c r="G152" s="465" t="s">
        <v>980</v>
      </c>
      <c r="H152" s="465" t="s">
        <v>981</v>
      </c>
      <c r="I152" s="465" t="s">
        <v>830</v>
      </c>
    </row>
    <row r="153" hidden="1" ht="15.95" customHeight="1">
      <c r="A153" s="465" t="s">
        <v>1163</v>
      </c>
      <c r="B153" s="465" t="s">
        <v>1164</v>
      </c>
      <c r="C153" s="465"/>
      <c r="D153" s="465" t="s">
        <v>855</v>
      </c>
      <c r="E153" s="465" t="s">
        <v>1139</v>
      </c>
      <c r="F153" s="465" t="s">
        <v>1140</v>
      </c>
      <c r="G153" s="465" t="s">
        <v>980</v>
      </c>
      <c r="H153" s="465" t="s">
        <v>981</v>
      </c>
      <c r="I153" s="465" t="s">
        <v>830</v>
      </c>
    </row>
    <row r="154" hidden="1" ht="15.95" customHeight="1">
      <c r="A154" s="465" t="s">
        <v>1165</v>
      </c>
      <c r="B154" s="465" t="s">
        <v>1166</v>
      </c>
      <c r="C154" s="465"/>
      <c r="D154" s="465" t="s">
        <v>884</v>
      </c>
      <c r="E154" s="465" t="s">
        <v>1167</v>
      </c>
      <c r="F154" s="465" t="s">
        <v>1168</v>
      </c>
      <c r="G154" s="465" t="s">
        <v>980</v>
      </c>
      <c r="H154" s="465" t="s">
        <v>981</v>
      </c>
      <c r="I154" s="465" t="s">
        <v>830</v>
      </c>
    </row>
    <row r="155" hidden="1" ht="15.95" customHeight="1">
      <c r="A155" s="465" t="s">
        <v>1169</v>
      </c>
      <c r="B155" s="465" t="s">
        <v>1170</v>
      </c>
      <c r="C155" s="465"/>
      <c r="D155" s="465" t="s">
        <v>855</v>
      </c>
      <c r="E155" s="465" t="s">
        <v>1167</v>
      </c>
      <c r="F155" s="465" t="s">
        <v>1168</v>
      </c>
      <c r="G155" s="465" t="s">
        <v>980</v>
      </c>
      <c r="H155" s="465" t="s">
        <v>981</v>
      </c>
      <c r="I155" s="465" t="s">
        <v>830</v>
      </c>
    </row>
    <row r="156" hidden="1" ht="15.95" customHeight="1">
      <c r="A156" s="465" t="s">
        <v>1171</v>
      </c>
      <c r="B156" s="465" t="s">
        <v>1172</v>
      </c>
      <c r="C156" s="465"/>
      <c r="D156" s="465" t="s">
        <v>855</v>
      </c>
      <c r="E156" s="465" t="s">
        <v>1167</v>
      </c>
      <c r="F156" s="465" t="s">
        <v>1168</v>
      </c>
      <c r="G156" s="465" t="s">
        <v>980</v>
      </c>
      <c r="H156" s="465" t="s">
        <v>981</v>
      </c>
      <c r="I156" s="465" t="s">
        <v>830</v>
      </c>
    </row>
    <row r="157" hidden="1" ht="15.95" customHeight="1">
      <c r="A157" s="465" t="s">
        <v>1173</v>
      </c>
      <c r="B157" s="465" t="s">
        <v>1174</v>
      </c>
      <c r="C157" s="465"/>
      <c r="D157" s="465" t="s">
        <v>855</v>
      </c>
      <c r="E157" s="465" t="s">
        <v>1167</v>
      </c>
      <c r="F157" s="465" t="s">
        <v>1168</v>
      </c>
      <c r="G157" s="465" t="s">
        <v>980</v>
      </c>
      <c r="H157" s="465" t="s">
        <v>981</v>
      </c>
      <c r="I157" s="465" t="s">
        <v>830</v>
      </c>
    </row>
    <row r="158" hidden="1" ht="15.95" customHeight="1">
      <c r="A158" s="465" t="s">
        <v>1175</v>
      </c>
      <c r="B158" s="465" t="s">
        <v>1176</v>
      </c>
      <c r="C158" s="465"/>
      <c r="D158" s="465" t="s">
        <v>855</v>
      </c>
      <c r="E158" s="465" t="s">
        <v>1167</v>
      </c>
      <c r="F158" s="465" t="s">
        <v>1168</v>
      </c>
      <c r="G158" s="465" t="s">
        <v>980</v>
      </c>
      <c r="H158" s="465" t="s">
        <v>981</v>
      </c>
      <c r="I158" s="465" t="s">
        <v>830</v>
      </c>
    </row>
    <row r="159" hidden="1" ht="15.95" customHeight="1">
      <c r="A159" s="465" t="s">
        <v>1177</v>
      </c>
      <c r="B159" s="465" t="s">
        <v>1178</v>
      </c>
      <c r="C159" s="465"/>
      <c r="D159" s="465" t="s">
        <v>855</v>
      </c>
      <c r="E159" s="465" t="s">
        <v>1167</v>
      </c>
      <c r="F159" s="465" t="s">
        <v>1168</v>
      </c>
      <c r="G159" s="465" t="s">
        <v>980</v>
      </c>
      <c r="H159" s="465" t="s">
        <v>981</v>
      </c>
      <c r="I159" s="465" t="s">
        <v>830</v>
      </c>
    </row>
    <row r="160" hidden="1" ht="15.95" customHeight="1">
      <c r="A160" s="465" t="s">
        <v>1179</v>
      </c>
      <c r="B160" s="465" t="s">
        <v>1180</v>
      </c>
      <c r="C160" s="465"/>
      <c r="D160" s="465" t="s">
        <v>855</v>
      </c>
      <c r="E160" s="465" t="s">
        <v>1167</v>
      </c>
      <c r="F160" s="465" t="s">
        <v>1168</v>
      </c>
      <c r="G160" s="465" t="s">
        <v>980</v>
      </c>
      <c r="H160" s="465" t="s">
        <v>981</v>
      </c>
      <c r="I160" s="465" t="s">
        <v>830</v>
      </c>
    </row>
    <row r="161" hidden="1" ht="15.95" customHeight="1">
      <c r="A161" s="465" t="s">
        <v>1181</v>
      </c>
      <c r="B161" s="465" t="s">
        <v>1182</v>
      </c>
      <c r="C161" s="465"/>
      <c r="D161" s="465" t="s">
        <v>855</v>
      </c>
      <c r="E161" s="465" t="s">
        <v>1167</v>
      </c>
      <c r="F161" s="465" t="s">
        <v>1168</v>
      </c>
      <c r="G161" s="465" t="s">
        <v>980</v>
      </c>
      <c r="H161" s="465" t="s">
        <v>981</v>
      </c>
      <c r="I161" s="465" t="s">
        <v>830</v>
      </c>
    </row>
    <row r="162" hidden="1" ht="15.95" customHeight="1">
      <c r="A162" s="465" t="s">
        <v>1183</v>
      </c>
      <c r="B162" s="465" t="s">
        <v>1184</v>
      </c>
      <c r="C162" s="465"/>
      <c r="D162" s="465" t="s">
        <v>855</v>
      </c>
      <c r="E162" s="465" t="s">
        <v>1167</v>
      </c>
      <c r="F162" s="465" t="s">
        <v>1168</v>
      </c>
      <c r="G162" s="465" t="s">
        <v>980</v>
      </c>
      <c r="H162" s="465" t="s">
        <v>981</v>
      </c>
      <c r="I162" s="465" t="s">
        <v>830</v>
      </c>
    </row>
    <row r="163" hidden="1" ht="15.95" customHeight="1">
      <c r="A163" s="465" t="s">
        <v>1185</v>
      </c>
      <c r="B163" s="465" t="s">
        <v>1186</v>
      </c>
      <c r="C163" s="465"/>
      <c r="D163" s="465" t="s">
        <v>855</v>
      </c>
      <c r="E163" s="465" t="s">
        <v>1167</v>
      </c>
      <c r="F163" s="465" t="s">
        <v>1168</v>
      </c>
      <c r="G163" s="465" t="s">
        <v>980</v>
      </c>
      <c r="H163" s="465" t="s">
        <v>981</v>
      </c>
      <c r="I163" s="465" t="s">
        <v>830</v>
      </c>
    </row>
    <row r="164" hidden="1" ht="15.95" customHeight="1">
      <c r="A164" s="465" t="s">
        <v>1187</v>
      </c>
      <c r="B164" s="465" t="s">
        <v>1188</v>
      </c>
      <c r="C164" s="465"/>
      <c r="D164" s="465" t="s">
        <v>855</v>
      </c>
      <c r="E164" s="465" t="s">
        <v>1167</v>
      </c>
      <c r="F164" s="465" t="s">
        <v>1168</v>
      </c>
      <c r="G164" s="465" t="s">
        <v>980</v>
      </c>
      <c r="H164" s="465" t="s">
        <v>981</v>
      </c>
      <c r="I164" s="465" t="s">
        <v>830</v>
      </c>
    </row>
    <row r="165" hidden="1" ht="15.95" customHeight="1">
      <c r="A165" s="465" t="s">
        <v>1189</v>
      </c>
      <c r="B165" s="465" t="s">
        <v>1190</v>
      </c>
      <c r="C165" s="465"/>
      <c r="D165" s="465" t="s">
        <v>855</v>
      </c>
      <c r="E165" s="465" t="s">
        <v>1167</v>
      </c>
      <c r="F165" s="465" t="s">
        <v>1168</v>
      </c>
      <c r="G165" s="465" t="s">
        <v>980</v>
      </c>
      <c r="H165" s="465" t="s">
        <v>981</v>
      </c>
      <c r="I165" s="465" t="s">
        <v>830</v>
      </c>
    </row>
    <row r="166" hidden="1" ht="15.95" customHeight="1">
      <c r="A166" s="465" t="s">
        <v>1191</v>
      </c>
      <c r="B166" s="465" t="s">
        <v>1192</v>
      </c>
      <c r="C166" s="465"/>
      <c r="D166" s="465" t="s">
        <v>855</v>
      </c>
      <c r="E166" s="465" t="s">
        <v>1167</v>
      </c>
      <c r="F166" s="465" t="s">
        <v>1168</v>
      </c>
      <c r="G166" s="465" t="s">
        <v>980</v>
      </c>
      <c r="H166" s="465" t="s">
        <v>981</v>
      </c>
      <c r="I166" s="465" t="s">
        <v>830</v>
      </c>
    </row>
    <row r="167" hidden="1" ht="15.95" customHeight="1">
      <c r="A167" s="465" t="s">
        <v>1193</v>
      </c>
      <c r="B167" s="465" t="s">
        <v>1194</v>
      </c>
      <c r="C167" s="465"/>
      <c r="D167" s="465" t="s">
        <v>855</v>
      </c>
      <c r="E167" s="465" t="s">
        <v>1167</v>
      </c>
      <c r="F167" s="465" t="s">
        <v>1168</v>
      </c>
      <c r="G167" s="465" t="s">
        <v>980</v>
      </c>
      <c r="H167" s="465" t="s">
        <v>981</v>
      </c>
      <c r="I167" s="465" t="s">
        <v>830</v>
      </c>
    </row>
    <row r="168" hidden="1" ht="15.95" customHeight="1">
      <c r="A168" s="465" t="s">
        <v>1195</v>
      </c>
      <c r="B168" s="465" t="s">
        <v>1196</v>
      </c>
      <c r="C168" s="465"/>
      <c r="D168" s="465" t="s">
        <v>884</v>
      </c>
      <c r="E168" s="465" t="s">
        <v>1197</v>
      </c>
      <c r="F168" s="465" t="s">
        <v>1198</v>
      </c>
      <c r="G168" s="465" t="s">
        <v>980</v>
      </c>
      <c r="H168" s="465" t="s">
        <v>981</v>
      </c>
      <c r="I168" s="465" t="s">
        <v>830</v>
      </c>
    </row>
    <row r="169" hidden="1" ht="15.95" customHeight="1">
      <c r="A169" s="465" t="s">
        <v>1199</v>
      </c>
      <c r="B169" s="465" t="s">
        <v>1200</v>
      </c>
      <c r="C169" s="465"/>
      <c r="D169" s="465" t="s">
        <v>884</v>
      </c>
      <c r="E169" s="465" t="s">
        <v>1197</v>
      </c>
      <c r="F169" s="465" t="s">
        <v>1198</v>
      </c>
      <c r="G169" s="465" t="s">
        <v>980</v>
      </c>
      <c r="H169" s="465" t="s">
        <v>981</v>
      </c>
      <c r="I169" s="465" t="s">
        <v>830</v>
      </c>
    </row>
    <row r="170" hidden="1" ht="15.95" customHeight="1">
      <c r="A170" s="465" t="s">
        <v>1201</v>
      </c>
      <c r="B170" s="465" t="s">
        <v>1202</v>
      </c>
      <c r="C170" s="465"/>
      <c r="D170" s="465" t="s">
        <v>855</v>
      </c>
      <c r="E170" s="465" t="s">
        <v>1197</v>
      </c>
      <c r="F170" s="465" t="s">
        <v>1198</v>
      </c>
      <c r="G170" s="465" t="s">
        <v>980</v>
      </c>
      <c r="H170" s="465" t="s">
        <v>981</v>
      </c>
      <c r="I170" s="465" t="s">
        <v>830</v>
      </c>
    </row>
    <row r="171" hidden="1" ht="15.95" customHeight="1">
      <c r="A171" s="465" t="s">
        <v>1203</v>
      </c>
      <c r="B171" s="465" t="s">
        <v>1204</v>
      </c>
      <c r="C171" s="465"/>
      <c r="D171" s="465" t="s">
        <v>855</v>
      </c>
      <c r="E171" s="465" t="s">
        <v>1197</v>
      </c>
      <c r="F171" s="465" t="s">
        <v>1198</v>
      </c>
      <c r="G171" s="465" t="s">
        <v>980</v>
      </c>
      <c r="H171" s="465" t="s">
        <v>981</v>
      </c>
      <c r="I171" s="465" t="s">
        <v>830</v>
      </c>
    </row>
    <row r="172" hidden="1" ht="15.95" customHeight="1">
      <c r="A172" s="465" t="s">
        <v>1205</v>
      </c>
      <c r="B172" s="465" t="s">
        <v>1206</v>
      </c>
      <c r="C172" s="465"/>
      <c r="D172" s="465" t="s">
        <v>855</v>
      </c>
      <c r="E172" s="465" t="s">
        <v>1197</v>
      </c>
      <c r="F172" s="465" t="s">
        <v>1198</v>
      </c>
      <c r="G172" s="465" t="s">
        <v>980</v>
      </c>
      <c r="H172" s="465" t="s">
        <v>981</v>
      </c>
      <c r="I172" s="465" t="s">
        <v>830</v>
      </c>
    </row>
    <row r="173" hidden="1" ht="15.95" customHeight="1">
      <c r="A173" s="465" t="s">
        <v>1207</v>
      </c>
      <c r="B173" s="465" t="s">
        <v>1208</v>
      </c>
      <c r="C173" s="465"/>
      <c r="D173" s="465" t="s">
        <v>855</v>
      </c>
      <c r="E173" s="465" t="s">
        <v>1197</v>
      </c>
      <c r="F173" s="465" t="s">
        <v>1198</v>
      </c>
      <c r="G173" s="465" t="s">
        <v>980</v>
      </c>
      <c r="H173" s="465" t="s">
        <v>981</v>
      </c>
      <c r="I173" s="465" t="s">
        <v>830</v>
      </c>
    </row>
    <row r="174" hidden="1" ht="15.95" customHeight="1">
      <c r="A174" s="465" t="s">
        <v>1209</v>
      </c>
      <c r="B174" s="465" t="s">
        <v>1210</v>
      </c>
      <c r="C174" s="465"/>
      <c r="D174" s="465" t="s">
        <v>855</v>
      </c>
      <c r="E174" s="465" t="s">
        <v>1197</v>
      </c>
      <c r="F174" s="465" t="s">
        <v>1198</v>
      </c>
      <c r="G174" s="465" t="s">
        <v>980</v>
      </c>
      <c r="H174" s="465" t="s">
        <v>981</v>
      </c>
      <c r="I174" s="465" t="s">
        <v>830</v>
      </c>
    </row>
    <row r="175" hidden="1" ht="15.95" customHeight="1">
      <c r="A175" s="465" t="s">
        <v>1211</v>
      </c>
      <c r="B175" s="465" t="s">
        <v>1212</v>
      </c>
      <c r="C175" s="465"/>
      <c r="D175" s="465" t="s">
        <v>855</v>
      </c>
      <c r="E175" s="465" t="s">
        <v>1197</v>
      </c>
      <c r="F175" s="465" t="s">
        <v>1198</v>
      </c>
      <c r="G175" s="465" t="s">
        <v>980</v>
      </c>
      <c r="H175" s="465" t="s">
        <v>981</v>
      </c>
      <c r="I175" s="465" t="s">
        <v>830</v>
      </c>
    </row>
    <row r="176" hidden="1" ht="15.95" customHeight="1">
      <c r="A176" s="465" t="s">
        <v>1213</v>
      </c>
      <c r="B176" s="465" t="s">
        <v>1214</v>
      </c>
      <c r="C176" s="465"/>
      <c r="D176" s="465" t="s">
        <v>855</v>
      </c>
      <c r="E176" s="465" t="s">
        <v>1197</v>
      </c>
      <c r="F176" s="465" t="s">
        <v>1198</v>
      </c>
      <c r="G176" s="465" t="s">
        <v>980</v>
      </c>
      <c r="H176" s="465" t="s">
        <v>981</v>
      </c>
      <c r="I176" s="465" t="s">
        <v>830</v>
      </c>
    </row>
    <row r="177" hidden="1" ht="15.95" customHeight="1">
      <c r="A177" s="465" t="s">
        <v>1215</v>
      </c>
      <c r="B177" s="465" t="s">
        <v>1216</v>
      </c>
      <c r="C177" s="465"/>
      <c r="D177" s="465" t="s">
        <v>855</v>
      </c>
      <c r="E177" s="465" t="s">
        <v>1197</v>
      </c>
      <c r="F177" s="465" t="s">
        <v>1198</v>
      </c>
      <c r="G177" s="465" t="s">
        <v>980</v>
      </c>
      <c r="H177" s="465" t="s">
        <v>981</v>
      </c>
      <c r="I177" s="465" t="s">
        <v>830</v>
      </c>
    </row>
    <row r="178" hidden="1" ht="15.95" customHeight="1">
      <c r="A178" s="465" t="s">
        <v>1217</v>
      </c>
      <c r="B178" s="465" t="s">
        <v>1218</v>
      </c>
      <c r="C178" s="465"/>
      <c r="D178" s="465" t="s">
        <v>855</v>
      </c>
      <c r="E178" s="465" t="s">
        <v>1197</v>
      </c>
      <c r="F178" s="465" t="s">
        <v>1198</v>
      </c>
      <c r="G178" s="465" t="s">
        <v>980</v>
      </c>
      <c r="H178" s="465" t="s">
        <v>981</v>
      </c>
      <c r="I178" s="465" t="s">
        <v>830</v>
      </c>
    </row>
    <row r="179" hidden="1" ht="15.95" customHeight="1">
      <c r="A179" s="465" t="s">
        <v>1219</v>
      </c>
      <c r="B179" s="465" t="s">
        <v>1220</v>
      </c>
      <c r="C179" s="465"/>
      <c r="D179" s="465" t="s">
        <v>855</v>
      </c>
      <c r="E179" s="465" t="s">
        <v>1197</v>
      </c>
      <c r="F179" s="465" t="s">
        <v>1198</v>
      </c>
      <c r="G179" s="465" t="s">
        <v>980</v>
      </c>
      <c r="H179" s="465" t="s">
        <v>981</v>
      </c>
      <c r="I179" s="465" t="s">
        <v>830</v>
      </c>
    </row>
    <row r="180" hidden="1" ht="15.95" customHeight="1">
      <c r="A180" s="465" t="s">
        <v>1221</v>
      </c>
      <c r="B180" s="465" t="s">
        <v>1222</v>
      </c>
      <c r="C180" s="465"/>
      <c r="D180" s="465" t="s">
        <v>855</v>
      </c>
      <c r="E180" s="465" t="s">
        <v>1197</v>
      </c>
      <c r="F180" s="465" t="s">
        <v>1198</v>
      </c>
      <c r="G180" s="465" t="s">
        <v>980</v>
      </c>
      <c r="H180" s="465" t="s">
        <v>981</v>
      </c>
      <c r="I180" s="465" t="s">
        <v>830</v>
      </c>
    </row>
    <row r="181" hidden="1" ht="15.95" customHeight="1">
      <c r="A181" s="465" t="s">
        <v>1223</v>
      </c>
      <c r="B181" s="465" t="s">
        <v>1224</v>
      </c>
      <c r="C181" s="465"/>
      <c r="D181" s="465" t="s">
        <v>884</v>
      </c>
      <c r="E181" s="465" t="s">
        <v>1225</v>
      </c>
      <c r="F181" s="465" t="s">
        <v>1226</v>
      </c>
      <c r="G181" s="465" t="s">
        <v>980</v>
      </c>
      <c r="H181" s="465" t="s">
        <v>981</v>
      </c>
      <c r="I181" s="465" t="s">
        <v>830</v>
      </c>
    </row>
    <row r="182" hidden="1" ht="15.95" customHeight="1">
      <c r="A182" s="465" t="s">
        <v>1227</v>
      </c>
      <c r="B182" s="465" t="s">
        <v>1228</v>
      </c>
      <c r="C182" s="465"/>
      <c r="D182" s="465" t="s">
        <v>884</v>
      </c>
      <c r="E182" s="465" t="s">
        <v>1225</v>
      </c>
      <c r="F182" s="465" t="s">
        <v>1226</v>
      </c>
      <c r="G182" s="465" t="s">
        <v>980</v>
      </c>
      <c r="H182" s="465" t="s">
        <v>981</v>
      </c>
      <c r="I182" s="465" t="s">
        <v>830</v>
      </c>
    </row>
    <row r="183" hidden="1" ht="15.95" customHeight="1">
      <c r="A183" s="465" t="s">
        <v>1229</v>
      </c>
      <c r="B183" s="465" t="s">
        <v>1230</v>
      </c>
      <c r="C183" s="465"/>
      <c r="D183" s="465" t="s">
        <v>855</v>
      </c>
      <c r="E183" s="465" t="s">
        <v>1225</v>
      </c>
      <c r="F183" s="465" t="s">
        <v>1226</v>
      </c>
      <c r="G183" s="465" t="s">
        <v>980</v>
      </c>
      <c r="H183" s="465" t="s">
        <v>981</v>
      </c>
      <c r="I183" s="465" t="s">
        <v>830</v>
      </c>
    </row>
    <row r="184" hidden="1" ht="15.95" customHeight="1">
      <c r="A184" s="465" t="s">
        <v>1231</v>
      </c>
      <c r="B184" s="465" t="s">
        <v>1232</v>
      </c>
      <c r="C184" s="465"/>
      <c r="D184" s="465" t="s">
        <v>855</v>
      </c>
      <c r="E184" s="465" t="s">
        <v>1225</v>
      </c>
      <c r="F184" s="465" t="s">
        <v>1226</v>
      </c>
      <c r="G184" s="465" t="s">
        <v>980</v>
      </c>
      <c r="H184" s="465" t="s">
        <v>981</v>
      </c>
      <c r="I184" s="465" t="s">
        <v>830</v>
      </c>
    </row>
    <row r="185" hidden="1" ht="15.95" customHeight="1">
      <c r="A185" s="465" t="s">
        <v>1233</v>
      </c>
      <c r="B185" s="465" t="s">
        <v>1234</v>
      </c>
      <c r="C185" s="465"/>
      <c r="D185" s="465" t="s">
        <v>855</v>
      </c>
      <c r="E185" s="465" t="s">
        <v>1225</v>
      </c>
      <c r="F185" s="465" t="s">
        <v>1226</v>
      </c>
      <c r="G185" s="465" t="s">
        <v>980</v>
      </c>
      <c r="H185" s="465" t="s">
        <v>981</v>
      </c>
      <c r="I185" s="465" t="s">
        <v>830</v>
      </c>
    </row>
    <row r="186" hidden="1" ht="15.95" customHeight="1">
      <c r="A186" s="465" t="s">
        <v>1235</v>
      </c>
      <c r="B186" s="465" t="s">
        <v>1236</v>
      </c>
      <c r="C186" s="465"/>
      <c r="D186" s="465" t="s">
        <v>855</v>
      </c>
      <c r="E186" s="465" t="s">
        <v>1225</v>
      </c>
      <c r="F186" s="465" t="s">
        <v>1226</v>
      </c>
      <c r="G186" s="465" t="s">
        <v>980</v>
      </c>
      <c r="H186" s="465" t="s">
        <v>981</v>
      </c>
      <c r="I186" s="465" t="s">
        <v>830</v>
      </c>
    </row>
    <row r="187" hidden="1" ht="15.95" customHeight="1">
      <c r="A187" s="465" t="s">
        <v>1237</v>
      </c>
      <c r="B187" s="465" t="s">
        <v>1238</v>
      </c>
      <c r="C187" s="465"/>
      <c r="D187" s="465" t="s">
        <v>855</v>
      </c>
      <c r="E187" s="465" t="s">
        <v>1225</v>
      </c>
      <c r="F187" s="465" t="s">
        <v>1226</v>
      </c>
      <c r="G187" s="465" t="s">
        <v>980</v>
      </c>
      <c r="H187" s="465" t="s">
        <v>981</v>
      </c>
      <c r="I187" s="465" t="s">
        <v>830</v>
      </c>
    </row>
    <row r="188" hidden="1" ht="15.95" customHeight="1">
      <c r="A188" s="465" t="s">
        <v>1239</v>
      </c>
      <c r="B188" s="465" t="s">
        <v>1218</v>
      </c>
      <c r="C188" s="465"/>
      <c r="D188" s="465" t="s">
        <v>855</v>
      </c>
      <c r="E188" s="465" t="s">
        <v>1225</v>
      </c>
      <c r="F188" s="465" t="s">
        <v>1226</v>
      </c>
      <c r="G188" s="465" t="s">
        <v>980</v>
      </c>
      <c r="H188" s="465" t="s">
        <v>981</v>
      </c>
      <c r="I188" s="465" t="s">
        <v>830</v>
      </c>
    </row>
    <row r="189" hidden="1" ht="15.95" customHeight="1">
      <c r="A189" s="465" t="s">
        <v>1240</v>
      </c>
      <c r="B189" s="465" t="s">
        <v>1241</v>
      </c>
      <c r="C189" s="465"/>
      <c r="D189" s="465" t="s">
        <v>855</v>
      </c>
      <c r="E189" s="465" t="s">
        <v>1225</v>
      </c>
      <c r="F189" s="465" t="s">
        <v>1226</v>
      </c>
      <c r="G189" s="465" t="s">
        <v>980</v>
      </c>
      <c r="H189" s="465" t="s">
        <v>981</v>
      </c>
      <c r="I189" s="465" t="s">
        <v>830</v>
      </c>
    </row>
    <row r="190" hidden="1" ht="15.95" customHeight="1">
      <c r="A190" s="465" t="s">
        <v>1242</v>
      </c>
      <c r="B190" s="465" t="s">
        <v>1243</v>
      </c>
      <c r="C190" s="465"/>
      <c r="D190" s="465" t="s">
        <v>855</v>
      </c>
      <c r="E190" s="465" t="s">
        <v>1225</v>
      </c>
      <c r="F190" s="465" t="s">
        <v>1226</v>
      </c>
      <c r="G190" s="465" t="s">
        <v>980</v>
      </c>
      <c r="H190" s="465" t="s">
        <v>981</v>
      </c>
      <c r="I190" s="465" t="s">
        <v>830</v>
      </c>
    </row>
    <row r="191" hidden="1" ht="15.95" customHeight="1">
      <c r="A191" s="465" t="s">
        <v>1244</v>
      </c>
      <c r="B191" s="465" t="s">
        <v>1245</v>
      </c>
      <c r="C191" s="465"/>
      <c r="D191" s="465" t="s">
        <v>855</v>
      </c>
      <c r="E191" s="465" t="s">
        <v>1246</v>
      </c>
      <c r="F191" s="465" t="s">
        <v>1247</v>
      </c>
      <c r="G191" s="465" t="s">
        <v>980</v>
      </c>
      <c r="H191" s="465" t="s">
        <v>981</v>
      </c>
      <c r="I191" s="465" t="s">
        <v>830</v>
      </c>
    </row>
    <row r="192" hidden="1" ht="15.95" customHeight="1">
      <c r="A192" s="465" t="s">
        <v>1248</v>
      </c>
      <c r="B192" s="465" t="s">
        <v>1249</v>
      </c>
      <c r="C192" s="465"/>
      <c r="D192" s="465" t="s">
        <v>855</v>
      </c>
      <c r="E192" s="465" t="s">
        <v>1246</v>
      </c>
      <c r="F192" s="465" t="s">
        <v>1247</v>
      </c>
      <c r="G192" s="465" t="s">
        <v>980</v>
      </c>
      <c r="H192" s="465" t="s">
        <v>981</v>
      </c>
      <c r="I192" s="465" t="s">
        <v>830</v>
      </c>
    </row>
    <row r="193" hidden="1" ht="15.95" customHeight="1">
      <c r="A193" s="465" t="s">
        <v>1250</v>
      </c>
      <c r="B193" s="465" t="s">
        <v>1251</v>
      </c>
      <c r="C193" s="465"/>
      <c r="D193" s="465" t="s">
        <v>855</v>
      </c>
      <c r="E193" s="465" t="s">
        <v>1246</v>
      </c>
      <c r="F193" s="465" t="s">
        <v>1247</v>
      </c>
      <c r="G193" s="465" t="s">
        <v>980</v>
      </c>
      <c r="H193" s="465" t="s">
        <v>981</v>
      </c>
      <c r="I193" s="465" t="s">
        <v>830</v>
      </c>
    </row>
    <row r="194" hidden="1" ht="15.95" customHeight="1">
      <c r="A194" s="465" t="s">
        <v>1252</v>
      </c>
      <c r="B194" s="465" t="s">
        <v>1253</v>
      </c>
      <c r="C194" s="465"/>
      <c r="D194" s="465" t="s">
        <v>825</v>
      </c>
      <c r="E194" s="465" t="s">
        <v>1254</v>
      </c>
      <c r="F194" s="465" t="s">
        <v>1255</v>
      </c>
      <c r="G194" s="465" t="s">
        <v>1256</v>
      </c>
      <c r="H194" s="465" t="s">
        <v>1257</v>
      </c>
      <c r="I194" s="465" t="s">
        <v>830</v>
      </c>
    </row>
    <row r="195" hidden="1" ht="15.95" customHeight="1">
      <c r="A195" s="465" t="s">
        <v>1258</v>
      </c>
      <c r="B195" s="465" t="s">
        <v>449</v>
      </c>
      <c r="C195" s="465"/>
      <c r="D195" s="465" t="s">
        <v>825</v>
      </c>
      <c r="E195" s="465" t="s">
        <v>1254</v>
      </c>
      <c r="F195" s="465" t="s">
        <v>1255</v>
      </c>
      <c r="G195" s="465" t="s">
        <v>1256</v>
      </c>
      <c r="H195" s="465" t="s">
        <v>1257</v>
      </c>
      <c r="I195" s="465" t="s">
        <v>830</v>
      </c>
    </row>
    <row r="196" hidden="1" ht="15.95" customHeight="1">
      <c r="A196" s="465" t="s">
        <v>1259</v>
      </c>
      <c r="B196" s="465" t="s">
        <v>1260</v>
      </c>
      <c r="C196" s="465"/>
      <c r="D196" s="465" t="s">
        <v>825</v>
      </c>
      <c r="E196" s="465" t="s">
        <v>1254</v>
      </c>
      <c r="F196" s="465" t="s">
        <v>1255</v>
      </c>
      <c r="G196" s="465" t="s">
        <v>1256</v>
      </c>
      <c r="H196" s="465" t="s">
        <v>1257</v>
      </c>
      <c r="I196" s="465" t="s">
        <v>830</v>
      </c>
    </row>
    <row r="197" hidden="1" ht="15.95" customHeight="1">
      <c r="A197" s="465" t="s">
        <v>1261</v>
      </c>
      <c r="B197" s="465" t="s">
        <v>1262</v>
      </c>
      <c r="C197" s="465"/>
      <c r="D197" s="465" t="s">
        <v>825</v>
      </c>
      <c r="E197" s="465" t="s">
        <v>1254</v>
      </c>
      <c r="F197" s="465" t="s">
        <v>1255</v>
      </c>
      <c r="G197" s="465" t="s">
        <v>1256</v>
      </c>
      <c r="H197" s="465" t="s">
        <v>1257</v>
      </c>
      <c r="I197" s="465" t="s">
        <v>830</v>
      </c>
    </row>
    <row r="198" hidden="1" ht="15.95" customHeight="1">
      <c r="A198" s="465" t="s">
        <v>1263</v>
      </c>
      <c r="B198" s="465" t="s">
        <v>1264</v>
      </c>
      <c r="C198" s="465"/>
      <c r="D198" s="465" t="s">
        <v>825</v>
      </c>
      <c r="E198" s="465" t="s">
        <v>1254</v>
      </c>
      <c r="F198" s="465" t="s">
        <v>1255</v>
      </c>
      <c r="G198" s="465" t="s">
        <v>1256</v>
      </c>
      <c r="H198" s="465" t="s">
        <v>1257</v>
      </c>
      <c r="I198" s="465" t="s">
        <v>830</v>
      </c>
    </row>
    <row r="199" hidden="1" ht="15.95" customHeight="1">
      <c r="A199" s="465" t="s">
        <v>1265</v>
      </c>
      <c r="B199" s="465" t="s">
        <v>1266</v>
      </c>
      <c r="C199" s="465"/>
      <c r="D199" s="465" t="s">
        <v>825</v>
      </c>
      <c r="E199" s="465" t="s">
        <v>1254</v>
      </c>
      <c r="F199" s="465" t="s">
        <v>1255</v>
      </c>
      <c r="G199" s="465" t="s">
        <v>1256</v>
      </c>
      <c r="H199" s="465" t="s">
        <v>1257</v>
      </c>
      <c r="I199" s="465" t="s">
        <v>830</v>
      </c>
    </row>
    <row r="200" hidden="1" ht="15.95" customHeight="1">
      <c r="A200" s="465" t="s">
        <v>1267</v>
      </c>
      <c r="B200" s="465" t="s">
        <v>1268</v>
      </c>
      <c r="C200" s="465"/>
      <c r="D200" s="465" t="s">
        <v>825</v>
      </c>
      <c r="E200" s="465" t="s">
        <v>1254</v>
      </c>
      <c r="F200" s="465" t="s">
        <v>1255</v>
      </c>
      <c r="G200" s="465" t="s">
        <v>1256</v>
      </c>
      <c r="H200" s="465" t="s">
        <v>1257</v>
      </c>
      <c r="I200" s="465" t="s">
        <v>830</v>
      </c>
    </row>
    <row r="201" hidden="1" ht="15.95" customHeight="1">
      <c r="A201" s="465" t="s">
        <v>1269</v>
      </c>
      <c r="B201" s="465" t="s">
        <v>1270</v>
      </c>
      <c r="C201" s="465"/>
      <c r="D201" s="465" t="s">
        <v>825</v>
      </c>
      <c r="E201" s="465" t="s">
        <v>1254</v>
      </c>
      <c r="F201" s="465" t="s">
        <v>1255</v>
      </c>
      <c r="G201" s="465" t="s">
        <v>1256</v>
      </c>
      <c r="H201" s="465" t="s">
        <v>1257</v>
      </c>
      <c r="I201" s="465" t="s">
        <v>830</v>
      </c>
    </row>
    <row r="202" hidden="1" ht="15.95" customHeight="1">
      <c r="A202" s="465" t="s">
        <v>1271</v>
      </c>
      <c r="B202" s="465" t="s">
        <v>1272</v>
      </c>
      <c r="C202" s="465"/>
      <c r="D202" s="465" t="s">
        <v>825</v>
      </c>
      <c r="E202" s="465" t="s">
        <v>1254</v>
      </c>
      <c r="F202" s="465" t="s">
        <v>1255</v>
      </c>
      <c r="G202" s="465" t="s">
        <v>1256</v>
      </c>
      <c r="H202" s="465" t="s">
        <v>1257</v>
      </c>
      <c r="I202" s="465" t="s">
        <v>830</v>
      </c>
    </row>
    <row r="203" hidden="1" ht="15.95" customHeight="1">
      <c r="A203" s="465" t="s">
        <v>1273</v>
      </c>
      <c r="B203" s="465" t="s">
        <v>1274</v>
      </c>
      <c r="C203" s="465"/>
      <c r="D203" s="465" t="s">
        <v>825</v>
      </c>
      <c r="E203" s="465" t="s">
        <v>1254</v>
      </c>
      <c r="F203" s="465" t="s">
        <v>1255</v>
      </c>
      <c r="G203" s="465" t="s">
        <v>1256</v>
      </c>
      <c r="H203" s="465" t="s">
        <v>1257</v>
      </c>
      <c r="I203" s="465" t="s">
        <v>830</v>
      </c>
    </row>
    <row r="204" hidden="1" ht="15.95" customHeight="1">
      <c r="A204" s="465" t="s">
        <v>1275</v>
      </c>
      <c r="B204" s="465" t="s">
        <v>1276</v>
      </c>
      <c r="C204" s="465"/>
      <c r="D204" s="465" t="s">
        <v>825</v>
      </c>
      <c r="E204" s="465" t="s">
        <v>1254</v>
      </c>
      <c r="F204" s="465" t="s">
        <v>1255</v>
      </c>
      <c r="G204" s="465" t="s">
        <v>1256</v>
      </c>
      <c r="H204" s="465" t="s">
        <v>1257</v>
      </c>
      <c r="I204" s="465" t="s">
        <v>830</v>
      </c>
    </row>
    <row r="205" hidden="1" ht="15.95" customHeight="1">
      <c r="A205" s="465" t="s">
        <v>1277</v>
      </c>
      <c r="B205" s="465" t="s">
        <v>1278</v>
      </c>
      <c r="C205" s="465"/>
      <c r="D205" s="465" t="s">
        <v>825</v>
      </c>
      <c r="E205" s="465" t="s">
        <v>1254</v>
      </c>
      <c r="F205" s="465" t="s">
        <v>1255</v>
      </c>
      <c r="G205" s="465" t="s">
        <v>1256</v>
      </c>
      <c r="H205" s="465" t="s">
        <v>1257</v>
      </c>
      <c r="I205" s="465" t="s">
        <v>830</v>
      </c>
    </row>
    <row r="206" hidden="1" ht="15.95" customHeight="1">
      <c r="A206" s="465" t="s">
        <v>1279</v>
      </c>
      <c r="B206" s="465" t="s">
        <v>1280</v>
      </c>
      <c r="C206" s="465"/>
      <c r="D206" s="465" t="s">
        <v>855</v>
      </c>
      <c r="E206" s="465" t="s">
        <v>1254</v>
      </c>
      <c r="F206" s="465" t="s">
        <v>1255</v>
      </c>
      <c r="G206" s="465" t="s">
        <v>1256</v>
      </c>
      <c r="H206" s="465" t="s">
        <v>1257</v>
      </c>
      <c r="I206" s="465" t="s">
        <v>830</v>
      </c>
    </row>
    <row r="207" hidden="1" ht="15.95" customHeight="1">
      <c r="A207" s="465" t="s">
        <v>1281</v>
      </c>
      <c r="B207" s="465" t="s">
        <v>1282</v>
      </c>
      <c r="C207" s="465"/>
      <c r="D207" s="465" t="s">
        <v>855</v>
      </c>
      <c r="E207" s="465" t="s">
        <v>1254</v>
      </c>
      <c r="F207" s="465" t="s">
        <v>1255</v>
      </c>
      <c r="G207" s="465" t="s">
        <v>1256</v>
      </c>
      <c r="H207" s="465" t="s">
        <v>1257</v>
      </c>
      <c r="I207" s="465" t="s">
        <v>830</v>
      </c>
    </row>
    <row r="208" hidden="1" ht="15.95" customHeight="1">
      <c r="A208" s="465" t="s">
        <v>1283</v>
      </c>
      <c r="B208" s="465" t="s">
        <v>1284</v>
      </c>
      <c r="C208" s="465"/>
      <c r="D208" s="465" t="s">
        <v>855</v>
      </c>
      <c r="E208" s="465" t="s">
        <v>1254</v>
      </c>
      <c r="F208" s="465" t="s">
        <v>1255</v>
      </c>
      <c r="G208" s="465" t="s">
        <v>1256</v>
      </c>
      <c r="H208" s="465" t="s">
        <v>1257</v>
      </c>
      <c r="I208" s="465" t="s">
        <v>830</v>
      </c>
    </row>
    <row r="209" hidden="1" ht="15.95" customHeight="1">
      <c r="A209" s="465" t="s">
        <v>1285</v>
      </c>
      <c r="B209" s="465" t="s">
        <v>1286</v>
      </c>
      <c r="C209" s="465"/>
      <c r="D209" s="465" t="s">
        <v>855</v>
      </c>
      <c r="E209" s="465" t="s">
        <v>1254</v>
      </c>
      <c r="F209" s="465" t="s">
        <v>1255</v>
      </c>
      <c r="G209" s="465" t="s">
        <v>1256</v>
      </c>
      <c r="H209" s="465" t="s">
        <v>1257</v>
      </c>
      <c r="I209" s="465" t="s">
        <v>830</v>
      </c>
    </row>
    <row r="210" hidden="1" ht="15.95" customHeight="1">
      <c r="A210" s="465" t="s">
        <v>1287</v>
      </c>
      <c r="B210" s="465" t="s">
        <v>1288</v>
      </c>
      <c r="C210" s="465"/>
      <c r="D210" s="465" t="s">
        <v>825</v>
      </c>
      <c r="E210" s="465" t="s">
        <v>1289</v>
      </c>
      <c r="F210" s="465" t="s">
        <v>1290</v>
      </c>
      <c r="G210" s="465" t="s">
        <v>1256</v>
      </c>
      <c r="H210" s="465" t="s">
        <v>1257</v>
      </c>
      <c r="I210" s="465" t="s">
        <v>830</v>
      </c>
    </row>
    <row r="211" hidden="1" ht="15.95" customHeight="1">
      <c r="A211" s="465" t="s">
        <v>1291</v>
      </c>
      <c r="B211" s="465" t="s">
        <v>1292</v>
      </c>
      <c r="C211" s="465"/>
      <c r="D211" s="465" t="s">
        <v>825</v>
      </c>
      <c r="E211" s="465" t="s">
        <v>1289</v>
      </c>
      <c r="F211" s="465" t="s">
        <v>1290</v>
      </c>
      <c r="G211" s="465" t="s">
        <v>1256</v>
      </c>
      <c r="H211" s="465" t="s">
        <v>1257</v>
      </c>
      <c r="I211" s="465" t="s">
        <v>830</v>
      </c>
    </row>
    <row r="212" hidden="1" ht="15.95" customHeight="1">
      <c r="A212" s="465" t="s">
        <v>1293</v>
      </c>
      <c r="B212" s="465" t="s">
        <v>1264</v>
      </c>
      <c r="C212" s="465"/>
      <c r="D212" s="465" t="s">
        <v>825</v>
      </c>
      <c r="E212" s="465" t="s">
        <v>1289</v>
      </c>
      <c r="F212" s="465" t="s">
        <v>1290</v>
      </c>
      <c r="G212" s="465" t="s">
        <v>1256</v>
      </c>
      <c r="H212" s="465" t="s">
        <v>1257</v>
      </c>
      <c r="I212" s="465" t="s">
        <v>830</v>
      </c>
    </row>
    <row r="213" hidden="1" ht="15.95" customHeight="1">
      <c r="A213" s="465" t="s">
        <v>1294</v>
      </c>
      <c r="B213" s="465" t="s">
        <v>1266</v>
      </c>
      <c r="C213" s="465"/>
      <c r="D213" s="465" t="s">
        <v>825</v>
      </c>
      <c r="E213" s="465" t="s">
        <v>1289</v>
      </c>
      <c r="F213" s="465" t="s">
        <v>1290</v>
      </c>
      <c r="G213" s="465" t="s">
        <v>1256</v>
      </c>
      <c r="H213" s="465" t="s">
        <v>1257</v>
      </c>
      <c r="I213" s="465" t="s">
        <v>830</v>
      </c>
    </row>
    <row r="214" hidden="1" ht="15.95" customHeight="1">
      <c r="A214" s="465" t="s">
        <v>1295</v>
      </c>
      <c r="B214" s="465" t="s">
        <v>1296</v>
      </c>
      <c r="C214" s="465"/>
      <c r="D214" s="465" t="s">
        <v>825</v>
      </c>
      <c r="E214" s="465" t="s">
        <v>1289</v>
      </c>
      <c r="F214" s="465" t="s">
        <v>1290</v>
      </c>
      <c r="G214" s="465" t="s">
        <v>1256</v>
      </c>
      <c r="H214" s="465" t="s">
        <v>1257</v>
      </c>
      <c r="I214" s="465" t="s">
        <v>830</v>
      </c>
    </row>
    <row r="215" hidden="1" ht="15.95" customHeight="1">
      <c r="A215" s="465" t="s">
        <v>1297</v>
      </c>
      <c r="B215" s="465" t="s">
        <v>1298</v>
      </c>
      <c r="C215" s="465"/>
      <c r="D215" s="465" t="s">
        <v>825</v>
      </c>
      <c r="E215" s="465" t="s">
        <v>1289</v>
      </c>
      <c r="F215" s="465" t="s">
        <v>1290</v>
      </c>
      <c r="G215" s="465" t="s">
        <v>1256</v>
      </c>
      <c r="H215" s="465" t="s">
        <v>1257</v>
      </c>
      <c r="I215" s="465" t="s">
        <v>830</v>
      </c>
    </row>
    <row r="216" hidden="1" ht="15.95" customHeight="1">
      <c r="A216" s="465" t="s">
        <v>1299</v>
      </c>
      <c r="B216" s="465" t="s">
        <v>1300</v>
      </c>
      <c r="C216" s="465"/>
      <c r="D216" s="465" t="s">
        <v>855</v>
      </c>
      <c r="E216" s="465" t="s">
        <v>1289</v>
      </c>
      <c r="F216" s="465" t="s">
        <v>1290</v>
      </c>
      <c r="G216" s="465" t="s">
        <v>1256</v>
      </c>
      <c r="H216" s="465" t="s">
        <v>1257</v>
      </c>
      <c r="I216" s="465" t="s">
        <v>830</v>
      </c>
    </row>
    <row r="217" hidden="1" ht="15.95" customHeight="1">
      <c r="A217" s="465" t="s">
        <v>1301</v>
      </c>
      <c r="B217" s="465" t="s">
        <v>1302</v>
      </c>
      <c r="C217" s="465"/>
      <c r="D217" s="465" t="s">
        <v>855</v>
      </c>
      <c r="E217" s="465" t="s">
        <v>1289</v>
      </c>
      <c r="F217" s="465" t="s">
        <v>1290</v>
      </c>
      <c r="G217" s="465" t="s">
        <v>1256</v>
      </c>
      <c r="H217" s="465" t="s">
        <v>1257</v>
      </c>
      <c r="I217" s="465" t="s">
        <v>830</v>
      </c>
    </row>
    <row r="218" hidden="1" ht="15.95" customHeight="1">
      <c r="A218" s="465" t="s">
        <v>1303</v>
      </c>
      <c r="B218" s="465" t="s">
        <v>1304</v>
      </c>
      <c r="C218" s="465"/>
      <c r="D218" s="465" t="s">
        <v>855</v>
      </c>
      <c r="E218" s="465" t="s">
        <v>1289</v>
      </c>
      <c r="F218" s="465" t="s">
        <v>1290</v>
      </c>
      <c r="G218" s="465" t="s">
        <v>1256</v>
      </c>
      <c r="H218" s="465" t="s">
        <v>1257</v>
      </c>
      <c r="I218" s="465" t="s">
        <v>830</v>
      </c>
    </row>
    <row r="219" hidden="1" ht="15.95" customHeight="1">
      <c r="A219" s="465" t="s">
        <v>1305</v>
      </c>
      <c r="B219" s="465" t="s">
        <v>1306</v>
      </c>
      <c r="C219" s="465"/>
      <c r="D219" s="465" t="s">
        <v>855</v>
      </c>
      <c r="E219" s="465" t="s">
        <v>1289</v>
      </c>
      <c r="F219" s="465" t="s">
        <v>1290</v>
      </c>
      <c r="G219" s="465" t="s">
        <v>1256</v>
      </c>
      <c r="H219" s="465" t="s">
        <v>1257</v>
      </c>
      <c r="I219" s="465" t="s">
        <v>830</v>
      </c>
    </row>
    <row r="220" hidden="1" ht="15.95" customHeight="1">
      <c r="A220" s="465" t="s">
        <v>1307</v>
      </c>
      <c r="B220" s="465" t="s">
        <v>1308</v>
      </c>
      <c r="C220" s="465"/>
      <c r="D220" s="465" t="s">
        <v>855</v>
      </c>
      <c r="E220" s="465" t="s">
        <v>1289</v>
      </c>
      <c r="F220" s="465" t="s">
        <v>1290</v>
      </c>
      <c r="G220" s="465" t="s">
        <v>1256</v>
      </c>
      <c r="H220" s="465" t="s">
        <v>1257</v>
      </c>
      <c r="I220" s="465" t="s">
        <v>830</v>
      </c>
    </row>
    <row r="221" hidden="1" ht="15.95" customHeight="1">
      <c r="A221" s="465" t="s">
        <v>1309</v>
      </c>
      <c r="B221" s="465" t="s">
        <v>1310</v>
      </c>
      <c r="C221" s="465"/>
      <c r="D221" s="465" t="s">
        <v>855</v>
      </c>
      <c r="E221" s="465" t="s">
        <v>1311</v>
      </c>
      <c r="F221" s="465" t="s">
        <v>1312</v>
      </c>
      <c r="G221" s="465" t="s">
        <v>1256</v>
      </c>
      <c r="H221" s="465" t="s">
        <v>1257</v>
      </c>
      <c r="I221" s="465" t="s">
        <v>830</v>
      </c>
    </row>
    <row r="222" hidden="1" ht="15.95" customHeight="1">
      <c r="A222" s="465" t="s">
        <v>1313</v>
      </c>
      <c r="B222" s="465" t="s">
        <v>1314</v>
      </c>
      <c r="C222" s="465"/>
      <c r="D222" s="465" t="s">
        <v>855</v>
      </c>
      <c r="E222" s="465" t="s">
        <v>1311</v>
      </c>
      <c r="F222" s="465" t="s">
        <v>1312</v>
      </c>
      <c r="G222" s="465" t="s">
        <v>1256</v>
      </c>
      <c r="H222" s="465" t="s">
        <v>1257</v>
      </c>
      <c r="I222" s="465" t="s">
        <v>830</v>
      </c>
    </row>
    <row r="223" hidden="1" ht="15.95" customHeight="1">
      <c r="A223" s="465" t="s">
        <v>1315</v>
      </c>
      <c r="B223" s="465" t="s">
        <v>1316</v>
      </c>
      <c r="C223" s="465"/>
      <c r="D223" s="465" t="s">
        <v>855</v>
      </c>
      <c r="E223" s="465" t="s">
        <v>1311</v>
      </c>
      <c r="F223" s="465" t="s">
        <v>1312</v>
      </c>
      <c r="G223" s="465" t="s">
        <v>1256</v>
      </c>
      <c r="H223" s="465" t="s">
        <v>1257</v>
      </c>
      <c r="I223" s="465" t="s">
        <v>830</v>
      </c>
    </row>
    <row r="224" hidden="1" ht="15.95" customHeight="1">
      <c r="A224" s="465" t="s">
        <v>1317</v>
      </c>
      <c r="B224" s="465" t="s">
        <v>1318</v>
      </c>
      <c r="C224" s="465"/>
      <c r="D224" s="465" t="s">
        <v>855</v>
      </c>
      <c r="E224" s="465" t="s">
        <v>1311</v>
      </c>
      <c r="F224" s="465" t="s">
        <v>1312</v>
      </c>
      <c r="G224" s="465" t="s">
        <v>1256</v>
      </c>
      <c r="H224" s="465" t="s">
        <v>1257</v>
      </c>
      <c r="I224" s="465" t="s">
        <v>830</v>
      </c>
    </row>
    <row r="225" hidden="1" ht="15.95" customHeight="1">
      <c r="A225" s="465" t="s">
        <v>1319</v>
      </c>
      <c r="B225" s="465" t="s">
        <v>1320</v>
      </c>
      <c r="C225" s="465"/>
      <c r="D225" s="465" t="s">
        <v>855</v>
      </c>
      <c r="E225" s="465" t="s">
        <v>1311</v>
      </c>
      <c r="F225" s="465" t="s">
        <v>1312</v>
      </c>
      <c r="G225" s="465" t="s">
        <v>1256</v>
      </c>
      <c r="H225" s="465" t="s">
        <v>1257</v>
      </c>
      <c r="I225" s="465" t="s">
        <v>830</v>
      </c>
    </row>
    <row r="226" hidden="1" ht="15.95" customHeight="1">
      <c r="A226" s="465" t="s">
        <v>1321</v>
      </c>
      <c r="B226" s="465" t="s">
        <v>1322</v>
      </c>
      <c r="C226" s="465"/>
      <c r="D226" s="465" t="s">
        <v>855</v>
      </c>
      <c r="E226" s="465" t="s">
        <v>1311</v>
      </c>
      <c r="F226" s="465" t="s">
        <v>1312</v>
      </c>
      <c r="G226" s="465" t="s">
        <v>1256</v>
      </c>
      <c r="H226" s="465" t="s">
        <v>1257</v>
      </c>
      <c r="I226" s="465" t="s">
        <v>830</v>
      </c>
    </row>
    <row r="227" hidden="1" ht="15.95" customHeight="1">
      <c r="A227" s="465" t="s">
        <v>1323</v>
      </c>
      <c r="B227" s="465" t="s">
        <v>1324</v>
      </c>
      <c r="C227" s="465"/>
      <c r="D227" s="465" t="s">
        <v>855</v>
      </c>
      <c r="E227" s="465" t="s">
        <v>1311</v>
      </c>
      <c r="F227" s="465" t="s">
        <v>1312</v>
      </c>
      <c r="G227" s="465" t="s">
        <v>1256</v>
      </c>
      <c r="H227" s="465" t="s">
        <v>1257</v>
      </c>
      <c r="I227" s="465" t="s">
        <v>830</v>
      </c>
    </row>
    <row r="228" hidden="1" ht="15.95" customHeight="1">
      <c r="A228" s="465" t="s">
        <v>1325</v>
      </c>
      <c r="B228" s="465" t="s">
        <v>1326</v>
      </c>
      <c r="C228" s="465"/>
      <c r="D228" s="465" t="s">
        <v>855</v>
      </c>
      <c r="E228" s="465" t="s">
        <v>1311</v>
      </c>
      <c r="F228" s="465" t="s">
        <v>1312</v>
      </c>
      <c r="G228" s="465" t="s">
        <v>1256</v>
      </c>
      <c r="H228" s="465" t="s">
        <v>1257</v>
      </c>
      <c r="I228" s="465" t="s">
        <v>830</v>
      </c>
    </row>
    <row r="229" hidden="1" ht="15.95" customHeight="1">
      <c r="A229" s="465" t="s">
        <v>1327</v>
      </c>
      <c r="B229" s="465" t="s">
        <v>1328</v>
      </c>
      <c r="C229" s="465" t="s">
        <v>1329</v>
      </c>
      <c r="D229" s="465" t="s">
        <v>884</v>
      </c>
      <c r="E229" s="465" t="s">
        <v>1330</v>
      </c>
      <c r="F229" s="465" t="s">
        <v>1331</v>
      </c>
      <c r="G229" s="465" t="s">
        <v>1256</v>
      </c>
      <c r="H229" s="465" t="s">
        <v>1257</v>
      </c>
      <c r="I229" s="465" t="s">
        <v>830</v>
      </c>
    </row>
    <row r="230" hidden="1" ht="15.95" customHeight="1">
      <c r="A230" s="465" t="s">
        <v>1332</v>
      </c>
      <c r="B230" s="465" t="s">
        <v>1333</v>
      </c>
      <c r="C230" s="465"/>
      <c r="D230" s="465" t="s">
        <v>855</v>
      </c>
      <c r="E230" s="465" t="s">
        <v>1330</v>
      </c>
      <c r="F230" s="465" t="s">
        <v>1331</v>
      </c>
      <c r="G230" s="465" t="s">
        <v>1256</v>
      </c>
      <c r="H230" s="465" t="s">
        <v>1257</v>
      </c>
      <c r="I230" s="465" t="s">
        <v>830</v>
      </c>
    </row>
    <row r="231" hidden="1" ht="15.95" customHeight="1">
      <c r="A231" s="465" t="s">
        <v>1334</v>
      </c>
      <c r="B231" s="465" t="s">
        <v>1335</v>
      </c>
      <c r="C231" s="465" t="s">
        <v>1336</v>
      </c>
      <c r="D231" s="465" t="s">
        <v>855</v>
      </c>
      <c r="E231" s="465" t="s">
        <v>1330</v>
      </c>
      <c r="F231" s="465" t="s">
        <v>1331</v>
      </c>
      <c r="G231" s="465" t="s">
        <v>1256</v>
      </c>
      <c r="H231" s="465" t="s">
        <v>1257</v>
      </c>
      <c r="I231" s="465" t="s">
        <v>830</v>
      </c>
    </row>
    <row r="232" hidden="1" ht="15.95" customHeight="1">
      <c r="A232" s="465" t="s">
        <v>1337</v>
      </c>
      <c r="B232" s="465" t="s">
        <v>1338</v>
      </c>
      <c r="C232" s="465"/>
      <c r="D232" s="465" t="s">
        <v>855</v>
      </c>
      <c r="E232" s="465" t="s">
        <v>1330</v>
      </c>
      <c r="F232" s="465" t="s">
        <v>1331</v>
      </c>
      <c r="G232" s="465" t="s">
        <v>1256</v>
      </c>
      <c r="H232" s="465" t="s">
        <v>1257</v>
      </c>
      <c r="I232" s="465" t="s">
        <v>830</v>
      </c>
    </row>
    <row r="233" hidden="1" ht="15.95" customHeight="1">
      <c r="A233" s="465" t="s">
        <v>1339</v>
      </c>
      <c r="B233" s="465" t="s">
        <v>1340</v>
      </c>
      <c r="C233" s="465"/>
      <c r="D233" s="465" t="s">
        <v>855</v>
      </c>
      <c r="E233" s="465" t="s">
        <v>1330</v>
      </c>
      <c r="F233" s="465" t="s">
        <v>1331</v>
      </c>
      <c r="G233" s="465" t="s">
        <v>1256</v>
      </c>
      <c r="H233" s="465" t="s">
        <v>1257</v>
      </c>
      <c r="I233" s="465" t="s">
        <v>830</v>
      </c>
    </row>
    <row r="234" hidden="1" ht="15.95" customHeight="1">
      <c r="A234" s="465" t="s">
        <v>1341</v>
      </c>
      <c r="B234" s="465" t="s">
        <v>1342</v>
      </c>
      <c r="C234" s="465"/>
      <c r="D234" s="465" t="s">
        <v>855</v>
      </c>
      <c r="E234" s="465" t="s">
        <v>1330</v>
      </c>
      <c r="F234" s="465" t="s">
        <v>1331</v>
      </c>
      <c r="G234" s="465" t="s">
        <v>1256</v>
      </c>
      <c r="H234" s="465" t="s">
        <v>1257</v>
      </c>
      <c r="I234" s="465" t="s">
        <v>830</v>
      </c>
    </row>
    <row r="235" hidden="1" ht="15.95" customHeight="1">
      <c r="A235" s="465" t="s">
        <v>1343</v>
      </c>
      <c r="B235" s="465" t="s">
        <v>1344</v>
      </c>
      <c r="C235" s="465"/>
      <c r="D235" s="465" t="s">
        <v>884</v>
      </c>
      <c r="E235" s="465" t="s">
        <v>1345</v>
      </c>
      <c r="F235" s="465" t="s">
        <v>1346</v>
      </c>
      <c r="G235" s="465" t="s">
        <v>1256</v>
      </c>
      <c r="H235" s="465" t="s">
        <v>1257</v>
      </c>
      <c r="I235" s="465" t="s">
        <v>830</v>
      </c>
    </row>
    <row r="236" hidden="1" ht="15.95" customHeight="1">
      <c r="A236" s="465" t="s">
        <v>1347</v>
      </c>
      <c r="B236" s="465" t="s">
        <v>1348</v>
      </c>
      <c r="C236" s="465"/>
      <c r="D236" s="465" t="s">
        <v>884</v>
      </c>
      <c r="E236" s="465" t="s">
        <v>1345</v>
      </c>
      <c r="F236" s="465" t="s">
        <v>1346</v>
      </c>
      <c r="G236" s="465" t="s">
        <v>1256</v>
      </c>
      <c r="H236" s="465" t="s">
        <v>1257</v>
      </c>
      <c r="I236" s="465" t="s">
        <v>830</v>
      </c>
    </row>
    <row r="237" hidden="1" ht="15.95" customHeight="1">
      <c r="A237" s="465" t="s">
        <v>1349</v>
      </c>
      <c r="B237" s="465" t="s">
        <v>1350</v>
      </c>
      <c r="C237" s="465"/>
      <c r="D237" s="465" t="s">
        <v>855</v>
      </c>
      <c r="E237" s="465" t="s">
        <v>1345</v>
      </c>
      <c r="F237" s="465" t="s">
        <v>1346</v>
      </c>
      <c r="G237" s="465" t="s">
        <v>1256</v>
      </c>
      <c r="H237" s="465" t="s">
        <v>1257</v>
      </c>
      <c r="I237" s="465" t="s">
        <v>830</v>
      </c>
    </row>
    <row r="238" hidden="1" ht="15.95" customHeight="1">
      <c r="A238" s="465" t="s">
        <v>1351</v>
      </c>
      <c r="B238" s="465" t="s">
        <v>1352</v>
      </c>
      <c r="C238" s="465"/>
      <c r="D238" s="465" t="s">
        <v>855</v>
      </c>
      <c r="E238" s="465" t="s">
        <v>1345</v>
      </c>
      <c r="F238" s="465" t="s">
        <v>1346</v>
      </c>
      <c r="G238" s="465" t="s">
        <v>1256</v>
      </c>
      <c r="H238" s="465" t="s">
        <v>1257</v>
      </c>
      <c r="I238" s="465" t="s">
        <v>830</v>
      </c>
    </row>
    <row r="239" hidden="1" ht="15.95" customHeight="1">
      <c r="A239" s="465" t="s">
        <v>1353</v>
      </c>
      <c r="B239" s="465" t="s">
        <v>1354</v>
      </c>
      <c r="C239" s="465"/>
      <c r="D239" s="465" t="s">
        <v>855</v>
      </c>
      <c r="E239" s="465" t="s">
        <v>1345</v>
      </c>
      <c r="F239" s="465" t="s">
        <v>1346</v>
      </c>
      <c r="G239" s="465" t="s">
        <v>1256</v>
      </c>
      <c r="H239" s="465" t="s">
        <v>1257</v>
      </c>
      <c r="I239" s="465" t="s">
        <v>830</v>
      </c>
    </row>
    <row r="240" hidden="1" ht="15.95" customHeight="1">
      <c r="A240" s="465" t="s">
        <v>1355</v>
      </c>
      <c r="B240" s="465" t="s">
        <v>1356</v>
      </c>
      <c r="C240" s="465"/>
      <c r="D240" s="465" t="s">
        <v>855</v>
      </c>
      <c r="E240" s="465" t="s">
        <v>1345</v>
      </c>
      <c r="F240" s="465" t="s">
        <v>1346</v>
      </c>
      <c r="G240" s="465" t="s">
        <v>1256</v>
      </c>
      <c r="H240" s="465" t="s">
        <v>1257</v>
      </c>
      <c r="I240" s="465" t="s">
        <v>830</v>
      </c>
    </row>
    <row r="241" hidden="1" ht="15.95" customHeight="1">
      <c r="A241" s="465" t="s">
        <v>1357</v>
      </c>
      <c r="B241" s="465" t="s">
        <v>1358</v>
      </c>
      <c r="C241" s="465"/>
      <c r="D241" s="465" t="s">
        <v>855</v>
      </c>
      <c r="E241" s="465" t="s">
        <v>1345</v>
      </c>
      <c r="F241" s="465" t="s">
        <v>1346</v>
      </c>
      <c r="G241" s="465" t="s">
        <v>1256</v>
      </c>
      <c r="H241" s="465" t="s">
        <v>1257</v>
      </c>
      <c r="I241" s="465" t="s">
        <v>830</v>
      </c>
    </row>
    <row r="242" hidden="1" ht="15.95" customHeight="1">
      <c r="A242" s="465" t="s">
        <v>1359</v>
      </c>
      <c r="B242" s="465" t="s">
        <v>1360</v>
      </c>
      <c r="C242" s="465"/>
      <c r="D242" s="465" t="s">
        <v>855</v>
      </c>
      <c r="E242" s="465" t="s">
        <v>1345</v>
      </c>
      <c r="F242" s="465" t="s">
        <v>1346</v>
      </c>
      <c r="G242" s="465" t="s">
        <v>1256</v>
      </c>
      <c r="H242" s="465" t="s">
        <v>1257</v>
      </c>
      <c r="I242" s="465" t="s">
        <v>830</v>
      </c>
    </row>
    <row r="243" hidden="1" ht="15.95" customHeight="1">
      <c r="A243" s="465" t="s">
        <v>1361</v>
      </c>
      <c r="B243" s="465" t="s">
        <v>1362</v>
      </c>
      <c r="C243" s="465"/>
      <c r="D243" s="465" t="s">
        <v>855</v>
      </c>
      <c r="E243" s="465" t="s">
        <v>1345</v>
      </c>
      <c r="F243" s="465" t="s">
        <v>1346</v>
      </c>
      <c r="G243" s="465" t="s">
        <v>1256</v>
      </c>
      <c r="H243" s="465" t="s">
        <v>1257</v>
      </c>
      <c r="I243" s="465" t="s">
        <v>830</v>
      </c>
    </row>
    <row r="244" hidden="1" ht="15.95" customHeight="1">
      <c r="A244" s="465" t="s">
        <v>1363</v>
      </c>
      <c r="B244" s="465" t="s">
        <v>1364</v>
      </c>
      <c r="C244" s="465"/>
      <c r="D244" s="465" t="s">
        <v>855</v>
      </c>
      <c r="E244" s="465" t="s">
        <v>1345</v>
      </c>
      <c r="F244" s="465" t="s">
        <v>1346</v>
      </c>
      <c r="G244" s="465" t="s">
        <v>1256</v>
      </c>
      <c r="H244" s="465" t="s">
        <v>1257</v>
      </c>
      <c r="I244" s="465" t="s">
        <v>830</v>
      </c>
    </row>
    <row r="245" hidden="1" ht="15.95" customHeight="1">
      <c r="A245" s="465" t="s">
        <v>1365</v>
      </c>
      <c r="B245" s="465" t="s">
        <v>1366</v>
      </c>
      <c r="C245" s="465"/>
      <c r="D245" s="465" t="s">
        <v>855</v>
      </c>
      <c r="E245" s="465" t="s">
        <v>1345</v>
      </c>
      <c r="F245" s="465" t="s">
        <v>1346</v>
      </c>
      <c r="G245" s="465" t="s">
        <v>1256</v>
      </c>
      <c r="H245" s="465" t="s">
        <v>1257</v>
      </c>
      <c r="I245" s="465" t="s">
        <v>830</v>
      </c>
    </row>
    <row r="246" hidden="1" ht="15.95" customHeight="1">
      <c r="A246" s="465" t="s">
        <v>1367</v>
      </c>
      <c r="B246" s="465" t="s">
        <v>1368</v>
      </c>
      <c r="C246" s="465"/>
      <c r="D246" s="465" t="s">
        <v>855</v>
      </c>
      <c r="E246" s="465" t="s">
        <v>1345</v>
      </c>
      <c r="F246" s="465" t="s">
        <v>1346</v>
      </c>
      <c r="G246" s="465" t="s">
        <v>1256</v>
      </c>
      <c r="H246" s="465" t="s">
        <v>1257</v>
      </c>
      <c r="I246" s="465" t="s">
        <v>830</v>
      </c>
    </row>
    <row r="247" hidden="1" ht="15.95" customHeight="1">
      <c r="A247" s="465" t="s">
        <v>1369</v>
      </c>
      <c r="B247" s="465" t="s">
        <v>1218</v>
      </c>
      <c r="C247" s="465"/>
      <c r="D247" s="465" t="s">
        <v>855</v>
      </c>
      <c r="E247" s="465" t="s">
        <v>1345</v>
      </c>
      <c r="F247" s="465" t="s">
        <v>1346</v>
      </c>
      <c r="G247" s="465" t="s">
        <v>1256</v>
      </c>
      <c r="H247" s="465" t="s">
        <v>1257</v>
      </c>
      <c r="I247" s="465" t="s">
        <v>830</v>
      </c>
    </row>
    <row r="248" hidden="1" ht="15.95" customHeight="1">
      <c r="A248" s="465" t="s">
        <v>1370</v>
      </c>
      <c r="B248" s="465" t="s">
        <v>1371</v>
      </c>
      <c r="C248" s="465"/>
      <c r="D248" s="465" t="s">
        <v>855</v>
      </c>
      <c r="E248" s="465" t="s">
        <v>1345</v>
      </c>
      <c r="F248" s="465" t="s">
        <v>1346</v>
      </c>
      <c r="G248" s="465" t="s">
        <v>1256</v>
      </c>
      <c r="H248" s="465" t="s">
        <v>1257</v>
      </c>
      <c r="I248" s="465" t="s">
        <v>830</v>
      </c>
    </row>
    <row r="249" hidden="1" ht="15.95" customHeight="1">
      <c r="A249" s="465" t="s">
        <v>1372</v>
      </c>
      <c r="B249" s="465" t="s">
        <v>1373</v>
      </c>
      <c r="C249" s="465"/>
      <c r="D249" s="465" t="s">
        <v>855</v>
      </c>
      <c r="E249" s="465" t="s">
        <v>1345</v>
      </c>
      <c r="F249" s="465" t="s">
        <v>1346</v>
      </c>
      <c r="G249" s="465" t="s">
        <v>1256</v>
      </c>
      <c r="H249" s="465" t="s">
        <v>1257</v>
      </c>
      <c r="I249" s="465" t="s">
        <v>830</v>
      </c>
    </row>
    <row r="250" hidden="1" ht="15.95" customHeight="1">
      <c r="A250" s="465" t="s">
        <v>1374</v>
      </c>
      <c r="B250" s="465" t="s">
        <v>1375</v>
      </c>
      <c r="C250" s="465"/>
      <c r="D250" s="465" t="s">
        <v>855</v>
      </c>
      <c r="E250" s="465" t="s">
        <v>1345</v>
      </c>
      <c r="F250" s="465" t="s">
        <v>1346</v>
      </c>
      <c r="G250" s="465" t="s">
        <v>1256</v>
      </c>
      <c r="H250" s="465" t="s">
        <v>1257</v>
      </c>
      <c r="I250" s="465" t="s">
        <v>830</v>
      </c>
    </row>
    <row r="251" hidden="1" ht="15.95" customHeight="1">
      <c r="A251" s="465" t="s">
        <v>1376</v>
      </c>
      <c r="B251" s="465" t="s">
        <v>1377</v>
      </c>
      <c r="C251" s="465"/>
      <c r="D251" s="465" t="s">
        <v>884</v>
      </c>
      <c r="E251" s="465" t="s">
        <v>1378</v>
      </c>
      <c r="F251" s="465" t="s">
        <v>1379</v>
      </c>
      <c r="G251" s="465" t="s">
        <v>1256</v>
      </c>
      <c r="H251" s="465" t="s">
        <v>1257</v>
      </c>
      <c r="I251" s="465" t="s">
        <v>830</v>
      </c>
    </row>
    <row r="252" hidden="1" ht="15.95" customHeight="1">
      <c r="A252" s="465" t="s">
        <v>1380</v>
      </c>
      <c r="B252" s="465" t="s">
        <v>1381</v>
      </c>
      <c r="C252" s="465"/>
      <c r="D252" s="465" t="s">
        <v>884</v>
      </c>
      <c r="E252" s="465" t="s">
        <v>1378</v>
      </c>
      <c r="F252" s="465" t="s">
        <v>1379</v>
      </c>
      <c r="G252" s="465" t="s">
        <v>1256</v>
      </c>
      <c r="H252" s="465" t="s">
        <v>1257</v>
      </c>
      <c r="I252" s="465" t="s">
        <v>830</v>
      </c>
    </row>
    <row r="253" hidden="1" ht="15.95" customHeight="1">
      <c r="A253" s="465" t="s">
        <v>1382</v>
      </c>
      <c r="B253" s="465" t="s">
        <v>1383</v>
      </c>
      <c r="C253" s="465"/>
      <c r="D253" s="465" t="s">
        <v>855</v>
      </c>
      <c r="E253" s="465" t="s">
        <v>1378</v>
      </c>
      <c r="F253" s="465" t="s">
        <v>1379</v>
      </c>
      <c r="G253" s="465" t="s">
        <v>1256</v>
      </c>
      <c r="H253" s="465" t="s">
        <v>1257</v>
      </c>
      <c r="I253" s="465" t="s">
        <v>830</v>
      </c>
    </row>
    <row r="254" hidden="1" ht="15.95" customHeight="1">
      <c r="A254" s="465" t="s">
        <v>1384</v>
      </c>
      <c r="B254" s="465" t="s">
        <v>1385</v>
      </c>
      <c r="C254" s="465"/>
      <c r="D254" s="465" t="s">
        <v>855</v>
      </c>
      <c r="E254" s="465" t="s">
        <v>1378</v>
      </c>
      <c r="F254" s="465" t="s">
        <v>1379</v>
      </c>
      <c r="G254" s="465" t="s">
        <v>1256</v>
      </c>
      <c r="H254" s="465" t="s">
        <v>1257</v>
      </c>
      <c r="I254" s="465" t="s">
        <v>830</v>
      </c>
    </row>
    <row r="255" hidden="1" ht="15.95" customHeight="1">
      <c r="A255" s="465" t="s">
        <v>1386</v>
      </c>
      <c r="B255" s="465" t="s">
        <v>1387</v>
      </c>
      <c r="C255" s="465"/>
      <c r="D255" s="465" t="s">
        <v>855</v>
      </c>
      <c r="E255" s="465" t="s">
        <v>1378</v>
      </c>
      <c r="F255" s="465" t="s">
        <v>1379</v>
      </c>
      <c r="G255" s="465" t="s">
        <v>1256</v>
      </c>
      <c r="H255" s="465" t="s">
        <v>1257</v>
      </c>
      <c r="I255" s="465" t="s">
        <v>830</v>
      </c>
    </row>
    <row r="256" hidden="1" ht="15.95" customHeight="1">
      <c r="A256" s="465" t="s">
        <v>1388</v>
      </c>
      <c r="B256" s="465" t="s">
        <v>1389</v>
      </c>
      <c r="C256" s="465"/>
      <c r="D256" s="465" t="s">
        <v>855</v>
      </c>
      <c r="E256" s="465" t="s">
        <v>1378</v>
      </c>
      <c r="F256" s="465" t="s">
        <v>1379</v>
      </c>
      <c r="G256" s="465" t="s">
        <v>1256</v>
      </c>
      <c r="H256" s="465" t="s">
        <v>1257</v>
      </c>
      <c r="I256" s="465" t="s">
        <v>830</v>
      </c>
    </row>
    <row r="257" hidden="1" ht="15.95" customHeight="1">
      <c r="A257" s="465" t="s">
        <v>1390</v>
      </c>
      <c r="B257" s="465" t="s">
        <v>1391</v>
      </c>
      <c r="C257" s="465"/>
      <c r="D257" s="465" t="s">
        <v>855</v>
      </c>
      <c r="E257" s="465" t="s">
        <v>1378</v>
      </c>
      <c r="F257" s="465" t="s">
        <v>1379</v>
      </c>
      <c r="G257" s="465" t="s">
        <v>1256</v>
      </c>
      <c r="H257" s="465" t="s">
        <v>1257</v>
      </c>
      <c r="I257" s="465" t="s">
        <v>830</v>
      </c>
    </row>
    <row r="258" hidden="1" ht="15.95" customHeight="1">
      <c r="A258" s="465" t="s">
        <v>1392</v>
      </c>
      <c r="B258" s="465" t="s">
        <v>1393</v>
      </c>
      <c r="C258" s="465"/>
      <c r="D258" s="465" t="s">
        <v>855</v>
      </c>
      <c r="E258" s="465" t="s">
        <v>1378</v>
      </c>
      <c r="F258" s="465" t="s">
        <v>1379</v>
      </c>
      <c r="G258" s="465" t="s">
        <v>1256</v>
      </c>
      <c r="H258" s="465" t="s">
        <v>1257</v>
      </c>
      <c r="I258" s="465" t="s">
        <v>830</v>
      </c>
    </row>
    <row r="259" hidden="1" ht="15.95" customHeight="1">
      <c r="A259" s="465" t="s">
        <v>1394</v>
      </c>
      <c r="B259" s="465" t="s">
        <v>1395</v>
      </c>
      <c r="C259" s="465"/>
      <c r="D259" s="465" t="s">
        <v>855</v>
      </c>
      <c r="E259" s="465" t="s">
        <v>1378</v>
      </c>
      <c r="F259" s="465" t="s">
        <v>1379</v>
      </c>
      <c r="G259" s="465" t="s">
        <v>1256</v>
      </c>
      <c r="H259" s="465" t="s">
        <v>1257</v>
      </c>
      <c r="I259" s="465" t="s">
        <v>830</v>
      </c>
    </row>
    <row r="260" hidden="1" ht="15.95" customHeight="1">
      <c r="A260" s="465" t="s">
        <v>1396</v>
      </c>
      <c r="B260" s="465" t="s">
        <v>1397</v>
      </c>
      <c r="C260" s="465"/>
      <c r="D260" s="465" t="s">
        <v>855</v>
      </c>
      <c r="E260" s="465" t="s">
        <v>1378</v>
      </c>
      <c r="F260" s="465" t="s">
        <v>1379</v>
      </c>
      <c r="G260" s="465" t="s">
        <v>1256</v>
      </c>
      <c r="H260" s="465" t="s">
        <v>1257</v>
      </c>
      <c r="I260" s="465" t="s">
        <v>830</v>
      </c>
    </row>
    <row r="261" hidden="1" ht="15.95" customHeight="1">
      <c r="A261" s="465" t="s">
        <v>1398</v>
      </c>
      <c r="B261" s="465" t="s">
        <v>1399</v>
      </c>
      <c r="C261" s="465"/>
      <c r="D261" s="465" t="s">
        <v>884</v>
      </c>
      <c r="E261" s="465" t="s">
        <v>1400</v>
      </c>
      <c r="F261" s="465" t="s">
        <v>1401</v>
      </c>
      <c r="G261" s="465" t="s">
        <v>1256</v>
      </c>
      <c r="H261" s="465" t="s">
        <v>1257</v>
      </c>
      <c r="I261" s="465" t="s">
        <v>830</v>
      </c>
    </row>
    <row r="262" hidden="1" ht="15.95" customHeight="1">
      <c r="A262" s="465" t="s">
        <v>1402</v>
      </c>
      <c r="B262" s="465" t="s">
        <v>1403</v>
      </c>
      <c r="C262" s="465"/>
      <c r="D262" s="465" t="s">
        <v>855</v>
      </c>
      <c r="E262" s="465" t="s">
        <v>1400</v>
      </c>
      <c r="F262" s="465" t="s">
        <v>1401</v>
      </c>
      <c r="G262" s="465" t="s">
        <v>1256</v>
      </c>
      <c r="H262" s="465" t="s">
        <v>1257</v>
      </c>
      <c r="I262" s="465" t="s">
        <v>830</v>
      </c>
    </row>
    <row r="263" hidden="1" ht="15.95" customHeight="1">
      <c r="A263" s="465" t="s">
        <v>1404</v>
      </c>
      <c r="B263" s="465" t="s">
        <v>1405</v>
      </c>
      <c r="C263" s="465"/>
      <c r="D263" s="465" t="s">
        <v>855</v>
      </c>
      <c r="E263" s="465" t="s">
        <v>1400</v>
      </c>
      <c r="F263" s="465" t="s">
        <v>1401</v>
      </c>
      <c r="G263" s="465" t="s">
        <v>1256</v>
      </c>
      <c r="H263" s="465" t="s">
        <v>1257</v>
      </c>
      <c r="I263" s="465" t="s">
        <v>830</v>
      </c>
    </row>
    <row r="264" hidden="1" ht="15.95" customHeight="1">
      <c r="A264" s="465" t="s">
        <v>1406</v>
      </c>
      <c r="B264" s="465" t="s">
        <v>1407</v>
      </c>
      <c r="C264" s="465"/>
      <c r="D264" s="465" t="s">
        <v>855</v>
      </c>
      <c r="E264" s="465" t="s">
        <v>1400</v>
      </c>
      <c r="F264" s="465" t="s">
        <v>1401</v>
      </c>
      <c r="G264" s="465" t="s">
        <v>1256</v>
      </c>
      <c r="H264" s="465" t="s">
        <v>1257</v>
      </c>
      <c r="I264" s="465" t="s">
        <v>830</v>
      </c>
    </row>
    <row r="265" hidden="1" ht="15.95" customHeight="1">
      <c r="A265" s="465" t="s">
        <v>1408</v>
      </c>
      <c r="B265" s="465" t="s">
        <v>1060</v>
      </c>
      <c r="C265" s="465"/>
      <c r="D265" s="465" t="s">
        <v>855</v>
      </c>
      <c r="E265" s="465" t="s">
        <v>1400</v>
      </c>
      <c r="F265" s="465" t="s">
        <v>1401</v>
      </c>
      <c r="G265" s="465" t="s">
        <v>1256</v>
      </c>
      <c r="H265" s="465" t="s">
        <v>1257</v>
      </c>
      <c r="I265" s="465" t="s">
        <v>830</v>
      </c>
    </row>
    <row r="266" hidden="1" ht="15.95" customHeight="1">
      <c r="A266" s="465" t="s">
        <v>1409</v>
      </c>
      <c r="B266" s="465" t="s">
        <v>1410</v>
      </c>
      <c r="C266" s="465"/>
      <c r="D266" s="465" t="s">
        <v>855</v>
      </c>
      <c r="E266" s="465" t="s">
        <v>1400</v>
      </c>
      <c r="F266" s="465" t="s">
        <v>1401</v>
      </c>
      <c r="G266" s="465" t="s">
        <v>1256</v>
      </c>
      <c r="H266" s="465" t="s">
        <v>1257</v>
      </c>
      <c r="I266" s="465" t="s">
        <v>830</v>
      </c>
    </row>
    <row r="267" hidden="1" ht="15.95" customHeight="1">
      <c r="A267" s="465" t="s">
        <v>1411</v>
      </c>
      <c r="B267" s="465" t="s">
        <v>1412</v>
      </c>
      <c r="C267" s="465"/>
      <c r="D267" s="465" t="s">
        <v>855</v>
      </c>
      <c r="E267" s="465" t="s">
        <v>1400</v>
      </c>
      <c r="F267" s="465" t="s">
        <v>1401</v>
      </c>
      <c r="G267" s="465" t="s">
        <v>1256</v>
      </c>
      <c r="H267" s="465" t="s">
        <v>1257</v>
      </c>
      <c r="I267" s="465" t="s">
        <v>830</v>
      </c>
    </row>
    <row r="268" hidden="1" ht="15.95" customHeight="1">
      <c r="A268" s="465" t="s">
        <v>1413</v>
      </c>
      <c r="B268" s="465" t="s">
        <v>1164</v>
      </c>
      <c r="C268" s="465"/>
      <c r="D268" s="465" t="s">
        <v>855</v>
      </c>
      <c r="E268" s="465" t="s">
        <v>1400</v>
      </c>
      <c r="F268" s="465" t="s">
        <v>1401</v>
      </c>
      <c r="G268" s="465" t="s">
        <v>1256</v>
      </c>
      <c r="H268" s="465" t="s">
        <v>1257</v>
      </c>
      <c r="I268" s="465" t="s">
        <v>830</v>
      </c>
    </row>
    <row r="269" hidden="1" ht="15.95" customHeight="1">
      <c r="A269" s="465" t="s">
        <v>1414</v>
      </c>
      <c r="B269" s="465" t="s">
        <v>1415</v>
      </c>
      <c r="C269" s="465"/>
      <c r="D269" s="465" t="s">
        <v>855</v>
      </c>
      <c r="E269" s="465" t="s">
        <v>1400</v>
      </c>
      <c r="F269" s="465" t="s">
        <v>1401</v>
      </c>
      <c r="G269" s="465" t="s">
        <v>1256</v>
      </c>
      <c r="H269" s="465" t="s">
        <v>1257</v>
      </c>
      <c r="I269" s="465" t="s">
        <v>830</v>
      </c>
    </row>
    <row r="270" hidden="1" ht="15.95" customHeight="1">
      <c r="A270" s="465" t="s">
        <v>1416</v>
      </c>
      <c r="B270" s="465" t="s">
        <v>1417</v>
      </c>
      <c r="C270" s="465"/>
      <c r="D270" s="465" t="s">
        <v>855</v>
      </c>
      <c r="E270" s="465" t="s">
        <v>1400</v>
      </c>
      <c r="F270" s="465" t="s">
        <v>1401</v>
      </c>
      <c r="G270" s="465" t="s">
        <v>1256</v>
      </c>
      <c r="H270" s="465" t="s">
        <v>1257</v>
      </c>
      <c r="I270" s="465" t="s">
        <v>830</v>
      </c>
    </row>
    <row r="271" hidden="1" ht="15.95" customHeight="1">
      <c r="A271" s="465" t="s">
        <v>1418</v>
      </c>
      <c r="B271" s="465" t="s">
        <v>1419</v>
      </c>
      <c r="C271" s="465"/>
      <c r="D271" s="465" t="s">
        <v>855</v>
      </c>
      <c r="E271" s="465" t="s">
        <v>1400</v>
      </c>
      <c r="F271" s="465" t="s">
        <v>1401</v>
      </c>
      <c r="G271" s="465" t="s">
        <v>1256</v>
      </c>
      <c r="H271" s="465" t="s">
        <v>1257</v>
      </c>
      <c r="I271" s="465" t="s">
        <v>830</v>
      </c>
    </row>
    <row r="272" hidden="1" ht="15.95" customHeight="1">
      <c r="A272" s="465" t="s">
        <v>1420</v>
      </c>
      <c r="B272" s="465" t="s">
        <v>1421</v>
      </c>
      <c r="C272" s="465"/>
      <c r="D272" s="465" t="s">
        <v>855</v>
      </c>
      <c r="E272" s="465" t="s">
        <v>1400</v>
      </c>
      <c r="F272" s="465" t="s">
        <v>1401</v>
      </c>
      <c r="G272" s="465" t="s">
        <v>1256</v>
      </c>
      <c r="H272" s="465" t="s">
        <v>1257</v>
      </c>
      <c r="I272" s="465" t="s">
        <v>830</v>
      </c>
    </row>
    <row r="273" hidden="1" ht="15.95" customHeight="1">
      <c r="A273" s="465" t="s">
        <v>1422</v>
      </c>
      <c r="B273" s="465" t="s">
        <v>1423</v>
      </c>
      <c r="C273" s="465"/>
      <c r="D273" s="465" t="s">
        <v>855</v>
      </c>
      <c r="E273" s="465" t="s">
        <v>1400</v>
      </c>
      <c r="F273" s="465" t="s">
        <v>1401</v>
      </c>
      <c r="G273" s="465" t="s">
        <v>1256</v>
      </c>
      <c r="H273" s="465" t="s">
        <v>1257</v>
      </c>
      <c r="I273" s="465" t="s">
        <v>830</v>
      </c>
    </row>
    <row r="274" hidden="1" ht="15.95" customHeight="1">
      <c r="A274" s="465" t="s">
        <v>1424</v>
      </c>
      <c r="B274" s="465" t="s">
        <v>1425</v>
      </c>
      <c r="C274" s="465"/>
      <c r="D274" s="465" t="s">
        <v>855</v>
      </c>
      <c r="E274" s="465" t="s">
        <v>1400</v>
      </c>
      <c r="F274" s="465" t="s">
        <v>1401</v>
      </c>
      <c r="G274" s="465" t="s">
        <v>1256</v>
      </c>
      <c r="H274" s="465" t="s">
        <v>1257</v>
      </c>
      <c r="I274" s="465" t="s">
        <v>830</v>
      </c>
    </row>
    <row r="275" hidden="1" ht="15.95" customHeight="1">
      <c r="A275" s="465" t="s">
        <v>1426</v>
      </c>
      <c r="B275" s="465" t="s">
        <v>1427</v>
      </c>
      <c r="C275" s="465"/>
      <c r="D275" s="465" t="s">
        <v>855</v>
      </c>
      <c r="E275" s="465" t="s">
        <v>1400</v>
      </c>
      <c r="F275" s="465" t="s">
        <v>1401</v>
      </c>
      <c r="G275" s="465" t="s">
        <v>1256</v>
      </c>
      <c r="H275" s="465" t="s">
        <v>1257</v>
      </c>
      <c r="I275" s="465" t="s">
        <v>830</v>
      </c>
    </row>
    <row r="276" hidden="1" ht="15.95" customHeight="1">
      <c r="A276" s="465" t="s">
        <v>1428</v>
      </c>
      <c r="B276" s="465" t="s">
        <v>1429</v>
      </c>
      <c r="C276" s="465"/>
      <c r="D276" s="465" t="s">
        <v>884</v>
      </c>
      <c r="E276" s="465" t="s">
        <v>1430</v>
      </c>
      <c r="F276" s="465" t="s">
        <v>1431</v>
      </c>
      <c r="G276" s="465" t="s">
        <v>1256</v>
      </c>
      <c r="H276" s="465" t="s">
        <v>1257</v>
      </c>
      <c r="I276" s="465" t="s">
        <v>830</v>
      </c>
    </row>
    <row r="277" hidden="1" ht="15.95" customHeight="1">
      <c r="A277" s="465" t="s">
        <v>1432</v>
      </c>
      <c r="B277" s="465" t="s">
        <v>1433</v>
      </c>
      <c r="C277" s="465"/>
      <c r="D277" s="465" t="s">
        <v>855</v>
      </c>
      <c r="E277" s="465" t="s">
        <v>1430</v>
      </c>
      <c r="F277" s="465" t="s">
        <v>1431</v>
      </c>
      <c r="G277" s="465" t="s">
        <v>1256</v>
      </c>
      <c r="H277" s="465" t="s">
        <v>1257</v>
      </c>
      <c r="I277" s="465" t="s">
        <v>830</v>
      </c>
    </row>
    <row r="278" hidden="1" ht="15.95" customHeight="1">
      <c r="A278" s="465" t="s">
        <v>1434</v>
      </c>
      <c r="B278" s="465" t="s">
        <v>1435</v>
      </c>
      <c r="C278" s="465"/>
      <c r="D278" s="465" t="s">
        <v>855</v>
      </c>
      <c r="E278" s="465" t="s">
        <v>1430</v>
      </c>
      <c r="F278" s="465" t="s">
        <v>1431</v>
      </c>
      <c r="G278" s="465" t="s">
        <v>1256</v>
      </c>
      <c r="H278" s="465" t="s">
        <v>1257</v>
      </c>
      <c r="I278" s="465" t="s">
        <v>830</v>
      </c>
    </row>
    <row r="279" hidden="1" ht="15.95" customHeight="1">
      <c r="A279" s="465" t="s">
        <v>1436</v>
      </c>
      <c r="B279" s="465" t="s">
        <v>1437</v>
      </c>
      <c r="C279" s="465"/>
      <c r="D279" s="465" t="s">
        <v>855</v>
      </c>
      <c r="E279" s="465" t="s">
        <v>1430</v>
      </c>
      <c r="F279" s="465" t="s">
        <v>1431</v>
      </c>
      <c r="G279" s="465" t="s">
        <v>1256</v>
      </c>
      <c r="H279" s="465" t="s">
        <v>1257</v>
      </c>
      <c r="I279" s="465" t="s">
        <v>830</v>
      </c>
    </row>
    <row r="280" hidden="1" ht="15.95" customHeight="1">
      <c r="A280" s="465" t="s">
        <v>1438</v>
      </c>
      <c r="B280" s="465" t="s">
        <v>1439</v>
      </c>
      <c r="C280" s="465"/>
      <c r="D280" s="465" t="s">
        <v>855</v>
      </c>
      <c r="E280" s="465" t="s">
        <v>1430</v>
      </c>
      <c r="F280" s="465" t="s">
        <v>1431</v>
      </c>
      <c r="G280" s="465" t="s">
        <v>1256</v>
      </c>
      <c r="H280" s="465" t="s">
        <v>1257</v>
      </c>
      <c r="I280" s="465" t="s">
        <v>830</v>
      </c>
    </row>
    <row r="281" hidden="1" ht="15.95" customHeight="1">
      <c r="A281" s="465" t="s">
        <v>1440</v>
      </c>
      <c r="B281" s="465" t="s">
        <v>1441</v>
      </c>
      <c r="C281" s="465"/>
      <c r="D281" s="465" t="s">
        <v>855</v>
      </c>
      <c r="E281" s="465" t="s">
        <v>1430</v>
      </c>
      <c r="F281" s="465" t="s">
        <v>1431</v>
      </c>
      <c r="G281" s="465" t="s">
        <v>1256</v>
      </c>
      <c r="H281" s="465" t="s">
        <v>1257</v>
      </c>
      <c r="I281" s="465" t="s">
        <v>830</v>
      </c>
    </row>
    <row r="282" hidden="1" ht="15.95" customHeight="1">
      <c r="A282" s="465" t="s">
        <v>1442</v>
      </c>
      <c r="B282" s="465" t="s">
        <v>1443</v>
      </c>
      <c r="C282" s="465"/>
      <c r="D282" s="465" t="s">
        <v>855</v>
      </c>
      <c r="E282" s="465" t="s">
        <v>1430</v>
      </c>
      <c r="F282" s="465" t="s">
        <v>1431</v>
      </c>
      <c r="G282" s="465" t="s">
        <v>1256</v>
      </c>
      <c r="H282" s="465" t="s">
        <v>1257</v>
      </c>
      <c r="I282" s="465" t="s">
        <v>830</v>
      </c>
    </row>
    <row r="283" hidden="1" ht="15.95" customHeight="1">
      <c r="A283" s="465" t="s">
        <v>1444</v>
      </c>
      <c r="B283" s="465" t="s">
        <v>1445</v>
      </c>
      <c r="C283" s="465"/>
      <c r="D283" s="465" t="s">
        <v>855</v>
      </c>
      <c r="E283" s="465" t="s">
        <v>1430</v>
      </c>
      <c r="F283" s="465" t="s">
        <v>1431</v>
      </c>
      <c r="G283" s="465" t="s">
        <v>1256</v>
      </c>
      <c r="H283" s="465" t="s">
        <v>1257</v>
      </c>
      <c r="I283" s="465" t="s">
        <v>830</v>
      </c>
    </row>
    <row r="284" hidden="1" ht="15.95" customHeight="1">
      <c r="A284" s="465" t="s">
        <v>1446</v>
      </c>
      <c r="B284" s="465" t="s">
        <v>1447</v>
      </c>
      <c r="C284" s="465"/>
      <c r="D284" s="465" t="s">
        <v>855</v>
      </c>
      <c r="E284" s="465" t="s">
        <v>1430</v>
      </c>
      <c r="F284" s="465" t="s">
        <v>1431</v>
      </c>
      <c r="G284" s="465" t="s">
        <v>1256</v>
      </c>
      <c r="H284" s="465" t="s">
        <v>1257</v>
      </c>
      <c r="I284" s="465" t="s">
        <v>830</v>
      </c>
    </row>
    <row r="285" hidden="1" ht="15.95" customHeight="1">
      <c r="A285" s="465" t="s">
        <v>1448</v>
      </c>
      <c r="B285" s="465" t="s">
        <v>1449</v>
      </c>
      <c r="C285" s="465"/>
      <c r="D285" s="465" t="s">
        <v>855</v>
      </c>
      <c r="E285" s="465" t="s">
        <v>1430</v>
      </c>
      <c r="F285" s="465" t="s">
        <v>1431</v>
      </c>
      <c r="G285" s="465" t="s">
        <v>1256</v>
      </c>
      <c r="H285" s="465" t="s">
        <v>1257</v>
      </c>
      <c r="I285" s="465" t="s">
        <v>830</v>
      </c>
    </row>
    <row r="286" hidden="1" ht="15.95" customHeight="1">
      <c r="A286" s="465" t="s">
        <v>1450</v>
      </c>
      <c r="B286" s="465" t="s">
        <v>1451</v>
      </c>
      <c r="C286" s="465"/>
      <c r="D286" s="465" t="s">
        <v>855</v>
      </c>
      <c r="E286" s="465" t="s">
        <v>1430</v>
      </c>
      <c r="F286" s="465" t="s">
        <v>1431</v>
      </c>
      <c r="G286" s="465" t="s">
        <v>1256</v>
      </c>
      <c r="H286" s="465" t="s">
        <v>1257</v>
      </c>
      <c r="I286" s="465" t="s">
        <v>830</v>
      </c>
    </row>
    <row r="287" hidden="1" ht="15.95" customHeight="1">
      <c r="A287" s="465" t="s">
        <v>1452</v>
      </c>
      <c r="B287" s="465" t="s">
        <v>1453</v>
      </c>
      <c r="C287" s="465"/>
      <c r="D287" s="465" t="s">
        <v>855</v>
      </c>
      <c r="E287" s="465" t="s">
        <v>1430</v>
      </c>
      <c r="F287" s="465" t="s">
        <v>1431</v>
      </c>
      <c r="G287" s="465" t="s">
        <v>1256</v>
      </c>
      <c r="H287" s="465" t="s">
        <v>1257</v>
      </c>
      <c r="I287" s="465" t="s">
        <v>830</v>
      </c>
    </row>
    <row r="288" hidden="1" ht="15.95" customHeight="1">
      <c r="A288" s="465" t="s">
        <v>1454</v>
      </c>
      <c r="B288" s="465" t="s">
        <v>1455</v>
      </c>
      <c r="C288" s="465"/>
      <c r="D288" s="465" t="s">
        <v>855</v>
      </c>
      <c r="E288" s="465" t="s">
        <v>1430</v>
      </c>
      <c r="F288" s="465" t="s">
        <v>1431</v>
      </c>
      <c r="G288" s="465" t="s">
        <v>1256</v>
      </c>
      <c r="H288" s="465" t="s">
        <v>1257</v>
      </c>
      <c r="I288" s="465" t="s">
        <v>830</v>
      </c>
    </row>
    <row r="289" hidden="1" ht="15.95" customHeight="1">
      <c r="A289" s="465" t="s">
        <v>1456</v>
      </c>
      <c r="B289" s="465" t="s">
        <v>1457</v>
      </c>
      <c r="C289" s="465"/>
      <c r="D289" s="465" t="s">
        <v>855</v>
      </c>
      <c r="E289" s="465" t="s">
        <v>1430</v>
      </c>
      <c r="F289" s="465" t="s">
        <v>1431</v>
      </c>
      <c r="G289" s="465" t="s">
        <v>1256</v>
      </c>
      <c r="H289" s="465" t="s">
        <v>1257</v>
      </c>
      <c r="I289" s="465" t="s">
        <v>830</v>
      </c>
    </row>
    <row r="290" hidden="1" ht="15.95" customHeight="1">
      <c r="A290" s="465" t="s">
        <v>1458</v>
      </c>
      <c r="B290" s="465" t="s">
        <v>1459</v>
      </c>
      <c r="C290" s="465"/>
      <c r="D290" s="465" t="s">
        <v>855</v>
      </c>
      <c r="E290" s="465" t="s">
        <v>1430</v>
      </c>
      <c r="F290" s="465" t="s">
        <v>1431</v>
      </c>
      <c r="G290" s="465" t="s">
        <v>1256</v>
      </c>
      <c r="H290" s="465" t="s">
        <v>1257</v>
      </c>
      <c r="I290" s="465" t="s">
        <v>830</v>
      </c>
    </row>
    <row r="291" hidden="1" ht="15.95" customHeight="1">
      <c r="A291" s="465" t="s">
        <v>1460</v>
      </c>
      <c r="B291" s="465" t="s">
        <v>1461</v>
      </c>
      <c r="C291" s="465"/>
      <c r="D291" s="465" t="s">
        <v>855</v>
      </c>
      <c r="E291" s="465" t="s">
        <v>1430</v>
      </c>
      <c r="F291" s="465" t="s">
        <v>1431</v>
      </c>
      <c r="G291" s="465" t="s">
        <v>1256</v>
      </c>
      <c r="H291" s="465" t="s">
        <v>1257</v>
      </c>
      <c r="I291" s="465" t="s">
        <v>830</v>
      </c>
    </row>
    <row r="292" hidden="1" ht="15.95" customHeight="1">
      <c r="A292" s="465" t="s">
        <v>1462</v>
      </c>
      <c r="B292" s="465" t="s">
        <v>1463</v>
      </c>
      <c r="C292" s="465"/>
      <c r="D292" s="465" t="s">
        <v>855</v>
      </c>
      <c r="E292" s="465" t="s">
        <v>1430</v>
      </c>
      <c r="F292" s="465" t="s">
        <v>1431</v>
      </c>
      <c r="G292" s="465" t="s">
        <v>1256</v>
      </c>
      <c r="H292" s="465" t="s">
        <v>1257</v>
      </c>
      <c r="I292" s="465" t="s">
        <v>830</v>
      </c>
    </row>
    <row r="293" hidden="1" ht="15.95" customHeight="1">
      <c r="A293" s="465" t="s">
        <v>1464</v>
      </c>
      <c r="B293" s="465" t="s">
        <v>1465</v>
      </c>
      <c r="C293" s="465"/>
      <c r="D293" s="465" t="s">
        <v>855</v>
      </c>
      <c r="E293" s="465" t="s">
        <v>1430</v>
      </c>
      <c r="F293" s="465" t="s">
        <v>1431</v>
      </c>
      <c r="G293" s="465" t="s">
        <v>1256</v>
      </c>
      <c r="H293" s="465" t="s">
        <v>1257</v>
      </c>
      <c r="I293" s="465" t="s">
        <v>830</v>
      </c>
    </row>
    <row r="294" hidden="1" ht="15.95" customHeight="1">
      <c r="A294" s="465" t="s">
        <v>1466</v>
      </c>
      <c r="B294" s="465" t="s">
        <v>1467</v>
      </c>
      <c r="C294" s="465"/>
      <c r="D294" s="465" t="s">
        <v>855</v>
      </c>
      <c r="E294" s="465" t="s">
        <v>1430</v>
      </c>
      <c r="F294" s="465" t="s">
        <v>1431</v>
      </c>
      <c r="G294" s="465" t="s">
        <v>1256</v>
      </c>
      <c r="H294" s="465" t="s">
        <v>1257</v>
      </c>
      <c r="I294" s="465" t="s">
        <v>830</v>
      </c>
    </row>
    <row r="295" hidden="1" ht="15.95" customHeight="1">
      <c r="A295" s="465" t="s">
        <v>1468</v>
      </c>
      <c r="B295" s="465" t="s">
        <v>1469</v>
      </c>
      <c r="C295" s="465"/>
      <c r="D295" s="465" t="s">
        <v>884</v>
      </c>
      <c r="E295" s="465" t="s">
        <v>1470</v>
      </c>
      <c r="F295" s="465" t="s">
        <v>1471</v>
      </c>
      <c r="G295" s="465" t="s">
        <v>1256</v>
      </c>
      <c r="H295" s="465" t="s">
        <v>1257</v>
      </c>
      <c r="I295" s="465" t="s">
        <v>830</v>
      </c>
    </row>
    <row r="296" hidden="1" ht="15.95" customHeight="1">
      <c r="A296" s="465" t="s">
        <v>1472</v>
      </c>
      <c r="B296" s="465" t="s">
        <v>1473</v>
      </c>
      <c r="C296" s="465"/>
      <c r="D296" s="465" t="s">
        <v>855</v>
      </c>
      <c r="E296" s="465" t="s">
        <v>1470</v>
      </c>
      <c r="F296" s="465" t="s">
        <v>1471</v>
      </c>
      <c r="G296" s="465" t="s">
        <v>1256</v>
      </c>
      <c r="H296" s="465" t="s">
        <v>1257</v>
      </c>
      <c r="I296" s="465" t="s">
        <v>830</v>
      </c>
    </row>
    <row r="297" hidden="1" ht="15.95" customHeight="1">
      <c r="A297" s="465" t="s">
        <v>1474</v>
      </c>
      <c r="B297" s="465" t="s">
        <v>1475</v>
      </c>
      <c r="C297" s="465"/>
      <c r="D297" s="465" t="s">
        <v>855</v>
      </c>
      <c r="E297" s="465" t="s">
        <v>1470</v>
      </c>
      <c r="F297" s="465" t="s">
        <v>1471</v>
      </c>
      <c r="G297" s="465" t="s">
        <v>1256</v>
      </c>
      <c r="H297" s="465" t="s">
        <v>1257</v>
      </c>
      <c r="I297" s="465" t="s">
        <v>830</v>
      </c>
    </row>
    <row r="298" hidden="1" ht="15.95" customHeight="1">
      <c r="A298" s="465" t="s">
        <v>1476</v>
      </c>
      <c r="B298" s="465" t="s">
        <v>1477</v>
      </c>
      <c r="C298" s="465"/>
      <c r="D298" s="465" t="s">
        <v>855</v>
      </c>
      <c r="E298" s="465" t="s">
        <v>1470</v>
      </c>
      <c r="F298" s="465" t="s">
        <v>1471</v>
      </c>
      <c r="G298" s="465" t="s">
        <v>1256</v>
      </c>
      <c r="H298" s="465" t="s">
        <v>1257</v>
      </c>
      <c r="I298" s="465" t="s">
        <v>830</v>
      </c>
    </row>
    <row r="299" hidden="1" ht="15.95" customHeight="1">
      <c r="A299" s="465" t="s">
        <v>1478</v>
      </c>
      <c r="B299" s="465" t="s">
        <v>1479</v>
      </c>
      <c r="C299" s="465"/>
      <c r="D299" s="465" t="s">
        <v>855</v>
      </c>
      <c r="E299" s="465" t="s">
        <v>1470</v>
      </c>
      <c r="F299" s="465" t="s">
        <v>1471</v>
      </c>
      <c r="G299" s="465" t="s">
        <v>1256</v>
      </c>
      <c r="H299" s="465" t="s">
        <v>1257</v>
      </c>
      <c r="I299" s="465" t="s">
        <v>830</v>
      </c>
    </row>
    <row r="300" hidden="1" ht="15.95" customHeight="1">
      <c r="A300" s="465" t="s">
        <v>1480</v>
      </c>
      <c r="B300" s="465" t="s">
        <v>1481</v>
      </c>
      <c r="C300" s="465"/>
      <c r="D300" s="465" t="s">
        <v>855</v>
      </c>
      <c r="E300" s="465" t="s">
        <v>1470</v>
      </c>
      <c r="F300" s="465" t="s">
        <v>1471</v>
      </c>
      <c r="G300" s="465" t="s">
        <v>1256</v>
      </c>
      <c r="H300" s="465" t="s">
        <v>1257</v>
      </c>
      <c r="I300" s="465" t="s">
        <v>830</v>
      </c>
    </row>
    <row r="301" hidden="1" ht="15.95" customHeight="1">
      <c r="A301" s="465" t="s">
        <v>1482</v>
      </c>
      <c r="B301" s="465" t="s">
        <v>1483</v>
      </c>
      <c r="C301" s="465"/>
      <c r="D301" s="465" t="s">
        <v>855</v>
      </c>
      <c r="E301" s="465" t="s">
        <v>1470</v>
      </c>
      <c r="F301" s="465" t="s">
        <v>1471</v>
      </c>
      <c r="G301" s="465" t="s">
        <v>1256</v>
      </c>
      <c r="H301" s="465" t="s">
        <v>1257</v>
      </c>
      <c r="I301" s="465" t="s">
        <v>830</v>
      </c>
    </row>
    <row r="302" hidden="1" ht="15.95" customHeight="1">
      <c r="A302" s="465" t="s">
        <v>1484</v>
      </c>
      <c r="B302" s="465" t="s">
        <v>1485</v>
      </c>
      <c r="C302" s="465"/>
      <c r="D302" s="465" t="s">
        <v>855</v>
      </c>
      <c r="E302" s="465" t="s">
        <v>1470</v>
      </c>
      <c r="F302" s="465" t="s">
        <v>1471</v>
      </c>
      <c r="G302" s="465" t="s">
        <v>1256</v>
      </c>
      <c r="H302" s="465" t="s">
        <v>1257</v>
      </c>
      <c r="I302" s="465" t="s">
        <v>830</v>
      </c>
    </row>
    <row r="303" hidden="1" ht="15.95" customHeight="1">
      <c r="A303" s="465" t="s">
        <v>1486</v>
      </c>
      <c r="B303" s="465" t="s">
        <v>1487</v>
      </c>
      <c r="C303" s="465"/>
      <c r="D303" s="465" t="s">
        <v>855</v>
      </c>
      <c r="E303" s="465" t="s">
        <v>1470</v>
      </c>
      <c r="F303" s="465" t="s">
        <v>1471</v>
      </c>
      <c r="G303" s="465" t="s">
        <v>1256</v>
      </c>
      <c r="H303" s="465" t="s">
        <v>1257</v>
      </c>
      <c r="I303" s="465" t="s">
        <v>830</v>
      </c>
    </row>
    <row r="304" hidden="1" ht="15.95" customHeight="1">
      <c r="A304" s="465" t="s">
        <v>1488</v>
      </c>
      <c r="B304" s="465" t="s">
        <v>1489</v>
      </c>
      <c r="C304" s="465"/>
      <c r="D304" s="465" t="s">
        <v>855</v>
      </c>
      <c r="E304" s="465" t="s">
        <v>1470</v>
      </c>
      <c r="F304" s="465" t="s">
        <v>1471</v>
      </c>
      <c r="G304" s="465" t="s">
        <v>1256</v>
      </c>
      <c r="H304" s="465" t="s">
        <v>1257</v>
      </c>
      <c r="I304" s="465" t="s">
        <v>830</v>
      </c>
    </row>
    <row r="305" hidden="1" ht="15.95" customHeight="1">
      <c r="A305" s="465" t="s">
        <v>1490</v>
      </c>
      <c r="B305" s="465" t="s">
        <v>1491</v>
      </c>
      <c r="C305" s="465"/>
      <c r="D305" s="465" t="s">
        <v>855</v>
      </c>
      <c r="E305" s="465" t="s">
        <v>1470</v>
      </c>
      <c r="F305" s="465" t="s">
        <v>1471</v>
      </c>
      <c r="G305" s="465" t="s">
        <v>1256</v>
      </c>
      <c r="H305" s="465" t="s">
        <v>1257</v>
      </c>
      <c r="I305" s="465" t="s">
        <v>830</v>
      </c>
    </row>
    <row r="306" hidden="1" ht="15.95" customHeight="1">
      <c r="A306" s="465" t="s">
        <v>1492</v>
      </c>
      <c r="B306" s="465" t="s">
        <v>1493</v>
      </c>
      <c r="C306" s="465"/>
      <c r="D306" s="465" t="s">
        <v>855</v>
      </c>
      <c r="E306" s="465" t="s">
        <v>1470</v>
      </c>
      <c r="F306" s="465" t="s">
        <v>1471</v>
      </c>
      <c r="G306" s="465" t="s">
        <v>1256</v>
      </c>
      <c r="H306" s="465" t="s">
        <v>1257</v>
      </c>
      <c r="I306" s="465" t="s">
        <v>830</v>
      </c>
    </row>
    <row r="307" hidden="1" ht="15.95" customHeight="1">
      <c r="A307" s="465" t="s">
        <v>1494</v>
      </c>
      <c r="B307" s="465" t="s">
        <v>1495</v>
      </c>
      <c r="C307" s="465"/>
      <c r="D307" s="465" t="s">
        <v>855</v>
      </c>
      <c r="E307" s="465" t="s">
        <v>1470</v>
      </c>
      <c r="F307" s="465" t="s">
        <v>1471</v>
      </c>
      <c r="G307" s="465" t="s">
        <v>1256</v>
      </c>
      <c r="H307" s="465" t="s">
        <v>1257</v>
      </c>
      <c r="I307" s="465" t="s">
        <v>830</v>
      </c>
    </row>
    <row r="308" hidden="1" ht="15.95" customHeight="1">
      <c r="A308" s="465" t="s">
        <v>1496</v>
      </c>
      <c r="B308" s="465" t="s">
        <v>1497</v>
      </c>
      <c r="C308" s="465"/>
      <c r="D308" s="465" t="s">
        <v>855</v>
      </c>
      <c r="E308" s="465" t="s">
        <v>1470</v>
      </c>
      <c r="F308" s="465" t="s">
        <v>1471</v>
      </c>
      <c r="G308" s="465" t="s">
        <v>1256</v>
      </c>
      <c r="H308" s="465" t="s">
        <v>1257</v>
      </c>
      <c r="I308" s="465" t="s">
        <v>830</v>
      </c>
    </row>
    <row r="309" hidden="1" ht="15.95" customHeight="1">
      <c r="A309" s="465" t="s">
        <v>1498</v>
      </c>
      <c r="B309" s="465" t="s">
        <v>1499</v>
      </c>
      <c r="C309" s="465"/>
      <c r="D309" s="465" t="s">
        <v>884</v>
      </c>
      <c r="E309" s="465" t="s">
        <v>1500</v>
      </c>
      <c r="F309" s="465" t="s">
        <v>1501</v>
      </c>
      <c r="G309" s="465" t="s">
        <v>1256</v>
      </c>
      <c r="H309" s="465" t="s">
        <v>1257</v>
      </c>
      <c r="I309" s="465" t="s">
        <v>830</v>
      </c>
    </row>
    <row r="310" hidden="1" ht="15.95" customHeight="1">
      <c r="A310" s="465" t="s">
        <v>1502</v>
      </c>
      <c r="B310" s="465" t="s">
        <v>1503</v>
      </c>
      <c r="C310" s="465"/>
      <c r="D310" s="465" t="s">
        <v>884</v>
      </c>
      <c r="E310" s="465" t="s">
        <v>1500</v>
      </c>
      <c r="F310" s="465" t="s">
        <v>1501</v>
      </c>
      <c r="G310" s="465" t="s">
        <v>1256</v>
      </c>
      <c r="H310" s="465" t="s">
        <v>1257</v>
      </c>
      <c r="I310" s="465" t="s">
        <v>830</v>
      </c>
    </row>
    <row r="311" hidden="1" ht="15.95" customHeight="1">
      <c r="A311" s="465" t="s">
        <v>1504</v>
      </c>
      <c r="B311" s="465" t="s">
        <v>1505</v>
      </c>
      <c r="C311" s="465"/>
      <c r="D311" s="465" t="s">
        <v>855</v>
      </c>
      <c r="E311" s="465" t="s">
        <v>1500</v>
      </c>
      <c r="F311" s="465" t="s">
        <v>1501</v>
      </c>
      <c r="G311" s="465" t="s">
        <v>1256</v>
      </c>
      <c r="H311" s="465" t="s">
        <v>1257</v>
      </c>
      <c r="I311" s="465" t="s">
        <v>830</v>
      </c>
    </row>
    <row r="312" hidden="1" ht="15.95" customHeight="1">
      <c r="A312" s="465" t="s">
        <v>1506</v>
      </c>
      <c r="B312" s="465" t="s">
        <v>1507</v>
      </c>
      <c r="C312" s="465"/>
      <c r="D312" s="465" t="s">
        <v>855</v>
      </c>
      <c r="E312" s="465" t="s">
        <v>1500</v>
      </c>
      <c r="F312" s="465" t="s">
        <v>1501</v>
      </c>
      <c r="G312" s="465" t="s">
        <v>1256</v>
      </c>
      <c r="H312" s="465" t="s">
        <v>1257</v>
      </c>
      <c r="I312" s="465" t="s">
        <v>830</v>
      </c>
    </row>
    <row r="313" hidden="1" ht="15.95" customHeight="1">
      <c r="A313" s="465" t="s">
        <v>1508</v>
      </c>
      <c r="B313" s="465" t="s">
        <v>1509</v>
      </c>
      <c r="C313" s="465"/>
      <c r="D313" s="465" t="s">
        <v>855</v>
      </c>
      <c r="E313" s="465" t="s">
        <v>1500</v>
      </c>
      <c r="F313" s="465" t="s">
        <v>1501</v>
      </c>
      <c r="G313" s="465" t="s">
        <v>1256</v>
      </c>
      <c r="H313" s="465" t="s">
        <v>1257</v>
      </c>
      <c r="I313" s="465" t="s">
        <v>830</v>
      </c>
    </row>
    <row r="314" hidden="1" ht="15.95" customHeight="1">
      <c r="A314" s="465" t="s">
        <v>1510</v>
      </c>
      <c r="B314" s="465" t="s">
        <v>1511</v>
      </c>
      <c r="C314" s="465"/>
      <c r="D314" s="465" t="s">
        <v>855</v>
      </c>
      <c r="E314" s="465" t="s">
        <v>1500</v>
      </c>
      <c r="F314" s="465" t="s">
        <v>1501</v>
      </c>
      <c r="G314" s="465" t="s">
        <v>1256</v>
      </c>
      <c r="H314" s="465" t="s">
        <v>1257</v>
      </c>
      <c r="I314" s="465" t="s">
        <v>830</v>
      </c>
    </row>
    <row r="315" hidden="1" ht="15.95" customHeight="1">
      <c r="A315" s="465" t="s">
        <v>1512</v>
      </c>
      <c r="B315" s="465" t="s">
        <v>1513</v>
      </c>
      <c r="C315" s="465"/>
      <c r="D315" s="465" t="s">
        <v>855</v>
      </c>
      <c r="E315" s="465" t="s">
        <v>1500</v>
      </c>
      <c r="F315" s="465" t="s">
        <v>1501</v>
      </c>
      <c r="G315" s="465" t="s">
        <v>1256</v>
      </c>
      <c r="H315" s="465" t="s">
        <v>1257</v>
      </c>
      <c r="I315" s="465" t="s">
        <v>830</v>
      </c>
    </row>
    <row r="316" hidden="1" ht="15.95" customHeight="1">
      <c r="A316" s="465" t="s">
        <v>1514</v>
      </c>
      <c r="B316" s="465" t="s">
        <v>1515</v>
      </c>
      <c r="C316" s="465"/>
      <c r="D316" s="465" t="s">
        <v>855</v>
      </c>
      <c r="E316" s="465" t="s">
        <v>1500</v>
      </c>
      <c r="F316" s="465" t="s">
        <v>1501</v>
      </c>
      <c r="G316" s="465" t="s">
        <v>1256</v>
      </c>
      <c r="H316" s="465" t="s">
        <v>1257</v>
      </c>
      <c r="I316" s="465" t="s">
        <v>830</v>
      </c>
    </row>
    <row r="317" hidden="1" ht="15.95" customHeight="1">
      <c r="A317" s="465" t="s">
        <v>1516</v>
      </c>
      <c r="B317" s="465" t="s">
        <v>1517</v>
      </c>
      <c r="C317" s="465"/>
      <c r="D317" s="465" t="s">
        <v>855</v>
      </c>
      <c r="E317" s="465" t="s">
        <v>1500</v>
      </c>
      <c r="F317" s="465" t="s">
        <v>1501</v>
      </c>
      <c r="G317" s="465" t="s">
        <v>1256</v>
      </c>
      <c r="H317" s="465" t="s">
        <v>1257</v>
      </c>
      <c r="I317" s="465" t="s">
        <v>830</v>
      </c>
    </row>
    <row r="318" hidden="1" ht="15.95" customHeight="1">
      <c r="A318" s="465" t="s">
        <v>1518</v>
      </c>
      <c r="B318" s="465" t="s">
        <v>1519</v>
      </c>
      <c r="C318" s="465"/>
      <c r="D318" s="465" t="s">
        <v>855</v>
      </c>
      <c r="E318" s="465" t="s">
        <v>1500</v>
      </c>
      <c r="F318" s="465" t="s">
        <v>1501</v>
      </c>
      <c r="G318" s="465" t="s">
        <v>1256</v>
      </c>
      <c r="H318" s="465" t="s">
        <v>1257</v>
      </c>
      <c r="I318" s="465" t="s">
        <v>830</v>
      </c>
    </row>
    <row r="319" hidden="1" ht="15.95" customHeight="1">
      <c r="A319" s="465" t="s">
        <v>1520</v>
      </c>
      <c r="B319" s="465" t="s">
        <v>1521</v>
      </c>
      <c r="C319" s="465"/>
      <c r="D319" s="465" t="s">
        <v>884</v>
      </c>
      <c r="E319" s="465" t="s">
        <v>1522</v>
      </c>
      <c r="F319" s="465" t="s">
        <v>1523</v>
      </c>
      <c r="G319" s="465" t="s">
        <v>1256</v>
      </c>
      <c r="H319" s="465" t="s">
        <v>1257</v>
      </c>
      <c r="I319" s="465" t="s">
        <v>830</v>
      </c>
    </row>
    <row r="320" hidden="1" ht="15.95" customHeight="1">
      <c r="A320" s="465" t="s">
        <v>1524</v>
      </c>
      <c r="B320" s="465" t="s">
        <v>1525</v>
      </c>
      <c r="C320" s="465"/>
      <c r="D320" s="465" t="s">
        <v>855</v>
      </c>
      <c r="E320" s="465" t="s">
        <v>1522</v>
      </c>
      <c r="F320" s="465" t="s">
        <v>1523</v>
      </c>
      <c r="G320" s="465" t="s">
        <v>1256</v>
      </c>
      <c r="H320" s="465" t="s">
        <v>1257</v>
      </c>
      <c r="I320" s="465" t="s">
        <v>830</v>
      </c>
    </row>
    <row r="321" hidden="1" ht="15.95" customHeight="1">
      <c r="A321" s="465" t="s">
        <v>1526</v>
      </c>
      <c r="B321" s="465" t="s">
        <v>1527</v>
      </c>
      <c r="C321" s="465"/>
      <c r="D321" s="465" t="s">
        <v>855</v>
      </c>
      <c r="E321" s="465" t="s">
        <v>1522</v>
      </c>
      <c r="F321" s="465" t="s">
        <v>1523</v>
      </c>
      <c r="G321" s="465" t="s">
        <v>1256</v>
      </c>
      <c r="H321" s="465" t="s">
        <v>1257</v>
      </c>
      <c r="I321" s="465" t="s">
        <v>830</v>
      </c>
    </row>
    <row r="322" hidden="1" ht="15.95" customHeight="1">
      <c r="A322" s="465" t="s">
        <v>1528</v>
      </c>
      <c r="B322" s="465" t="s">
        <v>1529</v>
      </c>
      <c r="C322" s="465"/>
      <c r="D322" s="465" t="s">
        <v>855</v>
      </c>
      <c r="E322" s="465" t="s">
        <v>1522</v>
      </c>
      <c r="F322" s="465" t="s">
        <v>1523</v>
      </c>
      <c r="G322" s="465" t="s">
        <v>1256</v>
      </c>
      <c r="H322" s="465" t="s">
        <v>1257</v>
      </c>
      <c r="I322" s="465" t="s">
        <v>830</v>
      </c>
    </row>
    <row r="323" hidden="1" ht="15.95" customHeight="1">
      <c r="A323" s="465" t="s">
        <v>1530</v>
      </c>
      <c r="B323" s="465" t="s">
        <v>1531</v>
      </c>
      <c r="C323" s="465"/>
      <c r="D323" s="465" t="s">
        <v>855</v>
      </c>
      <c r="E323" s="465" t="s">
        <v>1522</v>
      </c>
      <c r="F323" s="465" t="s">
        <v>1523</v>
      </c>
      <c r="G323" s="465" t="s">
        <v>1256</v>
      </c>
      <c r="H323" s="465" t="s">
        <v>1257</v>
      </c>
      <c r="I323" s="465" t="s">
        <v>830</v>
      </c>
    </row>
    <row r="324" hidden="1" ht="15.95" customHeight="1">
      <c r="A324" s="465" t="s">
        <v>1532</v>
      </c>
      <c r="B324" s="465" t="s">
        <v>1533</v>
      </c>
      <c r="C324" s="465"/>
      <c r="D324" s="465" t="s">
        <v>855</v>
      </c>
      <c r="E324" s="465" t="s">
        <v>1522</v>
      </c>
      <c r="F324" s="465" t="s">
        <v>1523</v>
      </c>
      <c r="G324" s="465" t="s">
        <v>1256</v>
      </c>
      <c r="H324" s="465" t="s">
        <v>1257</v>
      </c>
      <c r="I324" s="465" t="s">
        <v>830</v>
      </c>
    </row>
    <row r="325" hidden="1" ht="15.95" customHeight="1">
      <c r="A325" s="465" t="s">
        <v>1534</v>
      </c>
      <c r="B325" s="465" t="s">
        <v>1535</v>
      </c>
      <c r="C325" s="465"/>
      <c r="D325" s="465" t="s">
        <v>855</v>
      </c>
      <c r="E325" s="465" t="s">
        <v>1522</v>
      </c>
      <c r="F325" s="465" t="s">
        <v>1523</v>
      </c>
      <c r="G325" s="465" t="s">
        <v>1256</v>
      </c>
      <c r="H325" s="465" t="s">
        <v>1257</v>
      </c>
      <c r="I325" s="465" t="s">
        <v>830</v>
      </c>
    </row>
    <row r="326" hidden="1" ht="15.95" customHeight="1">
      <c r="A326" s="465" t="s">
        <v>1536</v>
      </c>
      <c r="B326" s="465" t="s">
        <v>1537</v>
      </c>
      <c r="C326" s="465"/>
      <c r="D326" s="465" t="s">
        <v>855</v>
      </c>
      <c r="E326" s="465" t="s">
        <v>1522</v>
      </c>
      <c r="F326" s="465" t="s">
        <v>1523</v>
      </c>
      <c r="G326" s="465" t="s">
        <v>1256</v>
      </c>
      <c r="H326" s="465" t="s">
        <v>1257</v>
      </c>
      <c r="I326" s="465" t="s">
        <v>830</v>
      </c>
    </row>
    <row r="327" hidden="1" ht="15.95" customHeight="1">
      <c r="A327" s="465" t="s">
        <v>1538</v>
      </c>
      <c r="B327" s="465" t="s">
        <v>1539</v>
      </c>
      <c r="C327" s="465"/>
      <c r="D327" s="465" t="s">
        <v>855</v>
      </c>
      <c r="E327" s="465" t="s">
        <v>1522</v>
      </c>
      <c r="F327" s="465" t="s">
        <v>1523</v>
      </c>
      <c r="G327" s="465" t="s">
        <v>1256</v>
      </c>
      <c r="H327" s="465" t="s">
        <v>1257</v>
      </c>
      <c r="I327" s="465" t="s">
        <v>830</v>
      </c>
    </row>
    <row r="328" hidden="1" ht="15.95" customHeight="1">
      <c r="A328" s="465" t="s">
        <v>1540</v>
      </c>
      <c r="B328" s="465" t="s">
        <v>1541</v>
      </c>
      <c r="C328" s="465"/>
      <c r="D328" s="465" t="s">
        <v>855</v>
      </c>
      <c r="E328" s="465" t="s">
        <v>1522</v>
      </c>
      <c r="F328" s="465" t="s">
        <v>1523</v>
      </c>
      <c r="G328" s="465" t="s">
        <v>1256</v>
      </c>
      <c r="H328" s="465" t="s">
        <v>1257</v>
      </c>
      <c r="I328" s="465" t="s">
        <v>830</v>
      </c>
    </row>
    <row r="329" hidden="1" ht="15.95" customHeight="1">
      <c r="A329" s="465" t="s">
        <v>1542</v>
      </c>
      <c r="B329" s="465" t="s">
        <v>1543</v>
      </c>
      <c r="C329" s="465"/>
      <c r="D329" s="465" t="s">
        <v>855</v>
      </c>
      <c r="E329" s="465" t="s">
        <v>1522</v>
      </c>
      <c r="F329" s="465" t="s">
        <v>1523</v>
      </c>
      <c r="G329" s="465" t="s">
        <v>1256</v>
      </c>
      <c r="H329" s="465" t="s">
        <v>1257</v>
      </c>
      <c r="I329" s="465" t="s">
        <v>830</v>
      </c>
    </row>
    <row r="330" hidden="1" ht="15.95" customHeight="1">
      <c r="A330" s="465" t="s">
        <v>1544</v>
      </c>
      <c r="B330" s="465" t="s">
        <v>1545</v>
      </c>
      <c r="C330" s="465"/>
      <c r="D330" s="465" t="s">
        <v>884</v>
      </c>
      <c r="E330" s="465" t="s">
        <v>1546</v>
      </c>
      <c r="F330" s="465" t="s">
        <v>1547</v>
      </c>
      <c r="G330" s="465" t="s">
        <v>1256</v>
      </c>
      <c r="H330" s="465" t="s">
        <v>1257</v>
      </c>
      <c r="I330" s="465" t="s">
        <v>830</v>
      </c>
    </row>
    <row r="331" hidden="1" ht="15.95" customHeight="1">
      <c r="A331" s="465" t="s">
        <v>1548</v>
      </c>
      <c r="B331" s="465" t="s">
        <v>1549</v>
      </c>
      <c r="C331" s="465"/>
      <c r="D331" s="465" t="s">
        <v>855</v>
      </c>
      <c r="E331" s="465" t="s">
        <v>1546</v>
      </c>
      <c r="F331" s="465" t="s">
        <v>1547</v>
      </c>
      <c r="G331" s="465" t="s">
        <v>1256</v>
      </c>
      <c r="H331" s="465" t="s">
        <v>1257</v>
      </c>
      <c r="I331" s="465" t="s">
        <v>830</v>
      </c>
    </row>
    <row r="332" hidden="1" ht="15.95" customHeight="1">
      <c r="A332" s="465" t="s">
        <v>1550</v>
      </c>
      <c r="B332" s="465" t="s">
        <v>1551</v>
      </c>
      <c r="C332" s="465"/>
      <c r="D332" s="465" t="s">
        <v>855</v>
      </c>
      <c r="E332" s="465" t="s">
        <v>1546</v>
      </c>
      <c r="F332" s="465" t="s">
        <v>1547</v>
      </c>
      <c r="G332" s="465" t="s">
        <v>1256</v>
      </c>
      <c r="H332" s="465" t="s">
        <v>1257</v>
      </c>
      <c r="I332" s="465" t="s">
        <v>830</v>
      </c>
    </row>
    <row r="333" hidden="1" ht="15.95" customHeight="1">
      <c r="A333" s="465" t="s">
        <v>1552</v>
      </c>
      <c r="B333" s="465" t="s">
        <v>1553</v>
      </c>
      <c r="C333" s="465"/>
      <c r="D333" s="465" t="s">
        <v>855</v>
      </c>
      <c r="E333" s="465" t="s">
        <v>1546</v>
      </c>
      <c r="F333" s="465" t="s">
        <v>1547</v>
      </c>
      <c r="G333" s="465" t="s">
        <v>1256</v>
      </c>
      <c r="H333" s="465" t="s">
        <v>1257</v>
      </c>
      <c r="I333" s="465" t="s">
        <v>830</v>
      </c>
    </row>
    <row r="334" hidden="1" ht="15.95" customHeight="1">
      <c r="A334" s="465" t="s">
        <v>1554</v>
      </c>
      <c r="B334" s="465" t="s">
        <v>1555</v>
      </c>
      <c r="C334" s="465"/>
      <c r="D334" s="465" t="s">
        <v>855</v>
      </c>
      <c r="E334" s="465" t="s">
        <v>1546</v>
      </c>
      <c r="F334" s="465" t="s">
        <v>1547</v>
      </c>
      <c r="G334" s="465" t="s">
        <v>1256</v>
      </c>
      <c r="H334" s="465" t="s">
        <v>1257</v>
      </c>
      <c r="I334" s="465" t="s">
        <v>830</v>
      </c>
    </row>
    <row r="335" hidden="1" ht="15.95" customHeight="1">
      <c r="A335" s="465" t="s">
        <v>1556</v>
      </c>
      <c r="B335" s="465" t="s">
        <v>1557</v>
      </c>
      <c r="C335" s="465"/>
      <c r="D335" s="465" t="s">
        <v>855</v>
      </c>
      <c r="E335" s="465" t="s">
        <v>1546</v>
      </c>
      <c r="F335" s="465" t="s">
        <v>1547</v>
      </c>
      <c r="G335" s="465" t="s">
        <v>1256</v>
      </c>
      <c r="H335" s="465" t="s">
        <v>1257</v>
      </c>
      <c r="I335" s="465" t="s">
        <v>830</v>
      </c>
    </row>
    <row r="336" hidden="1" ht="15.95" customHeight="1">
      <c r="A336" s="465" t="s">
        <v>1558</v>
      </c>
      <c r="B336" s="465" t="s">
        <v>1559</v>
      </c>
      <c r="C336" s="465"/>
      <c r="D336" s="465" t="s">
        <v>855</v>
      </c>
      <c r="E336" s="465" t="s">
        <v>1546</v>
      </c>
      <c r="F336" s="465" t="s">
        <v>1547</v>
      </c>
      <c r="G336" s="465" t="s">
        <v>1256</v>
      </c>
      <c r="H336" s="465" t="s">
        <v>1257</v>
      </c>
      <c r="I336" s="465" t="s">
        <v>830</v>
      </c>
    </row>
    <row r="337" hidden="1" ht="15.95" customHeight="1">
      <c r="A337" s="465" t="s">
        <v>1560</v>
      </c>
      <c r="B337" s="465" t="s">
        <v>1561</v>
      </c>
      <c r="C337" s="465"/>
      <c r="D337" s="465" t="s">
        <v>855</v>
      </c>
      <c r="E337" s="465" t="s">
        <v>1546</v>
      </c>
      <c r="F337" s="465" t="s">
        <v>1547</v>
      </c>
      <c r="G337" s="465" t="s">
        <v>1256</v>
      </c>
      <c r="H337" s="465" t="s">
        <v>1257</v>
      </c>
      <c r="I337" s="465" t="s">
        <v>830</v>
      </c>
    </row>
    <row r="338" hidden="1" ht="15.95" customHeight="1">
      <c r="A338" s="465" t="s">
        <v>1562</v>
      </c>
      <c r="B338" s="465" t="s">
        <v>1563</v>
      </c>
      <c r="C338" s="465"/>
      <c r="D338" s="465" t="s">
        <v>855</v>
      </c>
      <c r="E338" s="465" t="s">
        <v>1546</v>
      </c>
      <c r="F338" s="465" t="s">
        <v>1547</v>
      </c>
      <c r="G338" s="465" t="s">
        <v>1256</v>
      </c>
      <c r="H338" s="465" t="s">
        <v>1257</v>
      </c>
      <c r="I338" s="465" t="s">
        <v>830</v>
      </c>
    </row>
    <row r="339" hidden="1" ht="15.95" customHeight="1">
      <c r="A339" s="465" t="s">
        <v>1564</v>
      </c>
      <c r="B339" s="465" t="s">
        <v>1565</v>
      </c>
      <c r="C339" s="465"/>
      <c r="D339" s="465" t="s">
        <v>855</v>
      </c>
      <c r="E339" s="465" t="s">
        <v>1546</v>
      </c>
      <c r="F339" s="465" t="s">
        <v>1547</v>
      </c>
      <c r="G339" s="465" t="s">
        <v>1256</v>
      </c>
      <c r="H339" s="465" t="s">
        <v>1257</v>
      </c>
      <c r="I339" s="465" t="s">
        <v>830</v>
      </c>
    </row>
    <row r="340" hidden="1" ht="15.95" customHeight="1">
      <c r="A340" s="465" t="s">
        <v>1566</v>
      </c>
      <c r="B340" s="465" t="s">
        <v>1567</v>
      </c>
      <c r="C340" s="465"/>
      <c r="D340" s="465" t="s">
        <v>855</v>
      </c>
      <c r="E340" s="465" t="s">
        <v>1546</v>
      </c>
      <c r="F340" s="465" t="s">
        <v>1547</v>
      </c>
      <c r="G340" s="465" t="s">
        <v>1256</v>
      </c>
      <c r="H340" s="465" t="s">
        <v>1257</v>
      </c>
      <c r="I340" s="465" t="s">
        <v>830</v>
      </c>
    </row>
    <row r="341" hidden="1" ht="15.95" customHeight="1">
      <c r="A341" s="465" t="s">
        <v>1568</v>
      </c>
      <c r="B341" s="465" t="s">
        <v>1569</v>
      </c>
      <c r="C341" s="465"/>
      <c r="D341" s="465" t="s">
        <v>825</v>
      </c>
      <c r="E341" s="465" t="s">
        <v>1570</v>
      </c>
      <c r="F341" s="465" t="s">
        <v>1571</v>
      </c>
      <c r="G341" s="465" t="s">
        <v>1572</v>
      </c>
      <c r="H341" s="465" t="s">
        <v>1573</v>
      </c>
      <c r="I341" s="465" t="s">
        <v>830</v>
      </c>
    </row>
    <row r="342" hidden="1" ht="15.95" customHeight="1">
      <c r="A342" s="465" t="s">
        <v>1574</v>
      </c>
      <c r="B342" s="465" t="s">
        <v>1575</v>
      </c>
      <c r="C342" s="465"/>
      <c r="D342" s="465" t="s">
        <v>825</v>
      </c>
      <c r="E342" s="465" t="s">
        <v>1570</v>
      </c>
      <c r="F342" s="465" t="s">
        <v>1571</v>
      </c>
      <c r="G342" s="465" t="s">
        <v>1572</v>
      </c>
      <c r="H342" s="465" t="s">
        <v>1573</v>
      </c>
      <c r="I342" s="465" t="s">
        <v>830</v>
      </c>
    </row>
    <row r="343" hidden="1" ht="15.95" customHeight="1">
      <c r="A343" s="465" t="s">
        <v>1576</v>
      </c>
      <c r="B343" s="465" t="s">
        <v>1577</v>
      </c>
      <c r="C343" s="465"/>
      <c r="D343" s="465" t="s">
        <v>825</v>
      </c>
      <c r="E343" s="465" t="s">
        <v>1570</v>
      </c>
      <c r="F343" s="465" t="s">
        <v>1571</v>
      </c>
      <c r="G343" s="465" t="s">
        <v>1572</v>
      </c>
      <c r="H343" s="465" t="s">
        <v>1573</v>
      </c>
      <c r="I343" s="465" t="s">
        <v>830</v>
      </c>
    </row>
    <row r="344" hidden="1" ht="15.95" customHeight="1">
      <c r="A344" s="465" t="s">
        <v>1578</v>
      </c>
      <c r="B344" s="465" t="s">
        <v>1579</v>
      </c>
      <c r="C344" s="465"/>
      <c r="D344" s="465" t="s">
        <v>825</v>
      </c>
      <c r="E344" s="465" t="s">
        <v>1570</v>
      </c>
      <c r="F344" s="465" t="s">
        <v>1571</v>
      </c>
      <c r="G344" s="465" t="s">
        <v>1572</v>
      </c>
      <c r="H344" s="465" t="s">
        <v>1573</v>
      </c>
      <c r="I344" s="465" t="s">
        <v>830</v>
      </c>
    </row>
    <row r="345" hidden="1" ht="15.95" customHeight="1">
      <c r="A345" s="465" t="s">
        <v>1580</v>
      </c>
      <c r="B345" s="465" t="s">
        <v>1581</v>
      </c>
      <c r="C345" s="465"/>
      <c r="D345" s="465" t="s">
        <v>825</v>
      </c>
      <c r="E345" s="465" t="s">
        <v>1570</v>
      </c>
      <c r="F345" s="465" t="s">
        <v>1571</v>
      </c>
      <c r="G345" s="465" t="s">
        <v>1572</v>
      </c>
      <c r="H345" s="465" t="s">
        <v>1573</v>
      </c>
      <c r="I345" s="465" t="s">
        <v>830</v>
      </c>
    </row>
    <row r="346" hidden="1" ht="15.95" customHeight="1">
      <c r="A346" s="465" t="s">
        <v>1582</v>
      </c>
      <c r="B346" s="465" t="s">
        <v>1583</v>
      </c>
      <c r="C346" s="465"/>
      <c r="D346" s="465" t="s">
        <v>855</v>
      </c>
      <c r="E346" s="465" t="s">
        <v>1570</v>
      </c>
      <c r="F346" s="465" t="s">
        <v>1571</v>
      </c>
      <c r="G346" s="465" t="s">
        <v>1572</v>
      </c>
      <c r="H346" s="465" t="s">
        <v>1573</v>
      </c>
      <c r="I346" s="465" t="s">
        <v>830</v>
      </c>
    </row>
    <row r="347" hidden="1" ht="15.95" customHeight="1">
      <c r="A347" s="465" t="s">
        <v>1584</v>
      </c>
      <c r="B347" s="465" t="s">
        <v>1585</v>
      </c>
      <c r="C347" s="465"/>
      <c r="D347" s="465" t="s">
        <v>855</v>
      </c>
      <c r="E347" s="465" t="s">
        <v>1570</v>
      </c>
      <c r="F347" s="465" t="s">
        <v>1571</v>
      </c>
      <c r="G347" s="465" t="s">
        <v>1572</v>
      </c>
      <c r="H347" s="465" t="s">
        <v>1573</v>
      </c>
      <c r="I347" s="465" t="s">
        <v>830</v>
      </c>
    </row>
    <row r="348" hidden="1" ht="15.95" customHeight="1">
      <c r="A348" s="465" t="s">
        <v>1586</v>
      </c>
      <c r="B348" s="465" t="s">
        <v>1587</v>
      </c>
      <c r="C348" s="465"/>
      <c r="D348" s="465" t="s">
        <v>825</v>
      </c>
      <c r="E348" s="465" t="s">
        <v>1588</v>
      </c>
      <c r="F348" s="465" t="s">
        <v>1589</v>
      </c>
      <c r="G348" s="465" t="s">
        <v>1572</v>
      </c>
      <c r="H348" s="465" t="s">
        <v>1573</v>
      </c>
      <c r="I348" s="465" t="s">
        <v>830</v>
      </c>
    </row>
    <row r="349" hidden="1" ht="15.95" customHeight="1">
      <c r="A349" s="465" t="s">
        <v>1590</v>
      </c>
      <c r="B349" s="465" t="s">
        <v>1591</v>
      </c>
      <c r="C349" s="465"/>
      <c r="D349" s="465" t="s">
        <v>825</v>
      </c>
      <c r="E349" s="465" t="s">
        <v>1588</v>
      </c>
      <c r="F349" s="465" t="s">
        <v>1589</v>
      </c>
      <c r="G349" s="465" t="s">
        <v>1572</v>
      </c>
      <c r="H349" s="465" t="s">
        <v>1573</v>
      </c>
      <c r="I349" s="465" t="s">
        <v>830</v>
      </c>
    </row>
    <row r="350" hidden="1" ht="15.95" customHeight="1">
      <c r="A350" s="465" t="s">
        <v>1592</v>
      </c>
      <c r="B350" s="465" t="s">
        <v>1593</v>
      </c>
      <c r="C350" s="465"/>
      <c r="D350" s="465" t="s">
        <v>825</v>
      </c>
      <c r="E350" s="465" t="s">
        <v>1588</v>
      </c>
      <c r="F350" s="465" t="s">
        <v>1589</v>
      </c>
      <c r="G350" s="465" t="s">
        <v>1572</v>
      </c>
      <c r="H350" s="465" t="s">
        <v>1573</v>
      </c>
      <c r="I350" s="465" t="s">
        <v>830</v>
      </c>
    </row>
    <row r="351" hidden="1" ht="15.95" customHeight="1">
      <c r="A351" s="465" t="s">
        <v>1594</v>
      </c>
      <c r="B351" s="465" t="s">
        <v>1595</v>
      </c>
      <c r="C351" s="465"/>
      <c r="D351" s="465" t="s">
        <v>825</v>
      </c>
      <c r="E351" s="465" t="s">
        <v>1588</v>
      </c>
      <c r="F351" s="465" t="s">
        <v>1589</v>
      </c>
      <c r="G351" s="465" t="s">
        <v>1572</v>
      </c>
      <c r="H351" s="465" t="s">
        <v>1573</v>
      </c>
      <c r="I351" s="465" t="s">
        <v>830</v>
      </c>
    </row>
    <row r="352" hidden="1" ht="15.95" customHeight="1">
      <c r="A352" s="465" t="s">
        <v>1596</v>
      </c>
      <c r="B352" s="465" t="s">
        <v>1023</v>
      </c>
      <c r="C352" s="465"/>
      <c r="D352" s="465" t="s">
        <v>825</v>
      </c>
      <c r="E352" s="465" t="s">
        <v>1588</v>
      </c>
      <c r="F352" s="465" t="s">
        <v>1589</v>
      </c>
      <c r="G352" s="465" t="s">
        <v>1572</v>
      </c>
      <c r="H352" s="465" t="s">
        <v>1573</v>
      </c>
      <c r="I352" s="465" t="s">
        <v>830</v>
      </c>
    </row>
    <row r="353" hidden="1" ht="15.95" customHeight="1">
      <c r="A353" s="465" t="s">
        <v>1597</v>
      </c>
      <c r="B353" s="465" t="s">
        <v>1164</v>
      </c>
      <c r="C353" s="465"/>
      <c r="D353" s="465" t="s">
        <v>855</v>
      </c>
      <c r="E353" s="465" t="s">
        <v>1588</v>
      </c>
      <c r="F353" s="465" t="s">
        <v>1589</v>
      </c>
      <c r="G353" s="465" t="s">
        <v>1572</v>
      </c>
      <c r="H353" s="465" t="s">
        <v>1573</v>
      </c>
      <c r="I353" s="465" t="s">
        <v>830</v>
      </c>
    </row>
    <row r="354" hidden="1" ht="15.95" customHeight="1">
      <c r="A354" s="465" t="s">
        <v>1598</v>
      </c>
      <c r="B354" s="465" t="s">
        <v>1015</v>
      </c>
      <c r="C354" s="465"/>
      <c r="D354" s="465" t="s">
        <v>855</v>
      </c>
      <c r="E354" s="465" t="s">
        <v>1588</v>
      </c>
      <c r="F354" s="465" t="s">
        <v>1589</v>
      </c>
      <c r="G354" s="465" t="s">
        <v>1572</v>
      </c>
      <c r="H354" s="465" t="s">
        <v>1573</v>
      </c>
      <c r="I354" s="465" t="s">
        <v>830</v>
      </c>
    </row>
    <row r="355" hidden="1" ht="15.95" customHeight="1">
      <c r="A355" s="465" t="s">
        <v>1599</v>
      </c>
      <c r="B355" s="465" t="s">
        <v>1600</v>
      </c>
      <c r="C355" s="465"/>
      <c r="D355" s="465" t="s">
        <v>855</v>
      </c>
      <c r="E355" s="465" t="s">
        <v>1588</v>
      </c>
      <c r="F355" s="465" t="s">
        <v>1589</v>
      </c>
      <c r="G355" s="465" t="s">
        <v>1572</v>
      </c>
      <c r="H355" s="465" t="s">
        <v>1573</v>
      </c>
      <c r="I355" s="465" t="s">
        <v>830</v>
      </c>
    </row>
    <row r="356" hidden="1" ht="15.95" customHeight="1">
      <c r="A356" s="465" t="s">
        <v>1601</v>
      </c>
      <c r="B356" s="465" t="s">
        <v>1602</v>
      </c>
      <c r="C356" s="465"/>
      <c r="D356" s="465" t="s">
        <v>825</v>
      </c>
      <c r="E356" s="465" t="s">
        <v>1603</v>
      </c>
      <c r="F356" s="465" t="s">
        <v>1604</v>
      </c>
      <c r="G356" s="465" t="s">
        <v>1572</v>
      </c>
      <c r="H356" s="465" t="s">
        <v>1573</v>
      </c>
      <c r="I356" s="465" t="s">
        <v>830</v>
      </c>
    </row>
    <row r="357" hidden="1" ht="15.95" customHeight="1">
      <c r="A357" s="465" t="s">
        <v>1605</v>
      </c>
      <c r="B357" s="465" t="s">
        <v>1606</v>
      </c>
      <c r="C357" s="465"/>
      <c r="D357" s="465" t="s">
        <v>825</v>
      </c>
      <c r="E357" s="465" t="s">
        <v>1603</v>
      </c>
      <c r="F357" s="465" t="s">
        <v>1604</v>
      </c>
      <c r="G357" s="465" t="s">
        <v>1572</v>
      </c>
      <c r="H357" s="465" t="s">
        <v>1573</v>
      </c>
      <c r="I357" s="465" t="s">
        <v>830</v>
      </c>
    </row>
    <row r="358" hidden="1" ht="15.95" customHeight="1">
      <c r="A358" s="465" t="s">
        <v>1607</v>
      </c>
      <c r="B358" s="465" t="s">
        <v>1608</v>
      </c>
      <c r="C358" s="465"/>
      <c r="D358" s="465" t="s">
        <v>825</v>
      </c>
      <c r="E358" s="465" t="s">
        <v>1603</v>
      </c>
      <c r="F358" s="465" t="s">
        <v>1604</v>
      </c>
      <c r="G358" s="465" t="s">
        <v>1572</v>
      </c>
      <c r="H358" s="465" t="s">
        <v>1573</v>
      </c>
      <c r="I358" s="465" t="s">
        <v>830</v>
      </c>
    </row>
    <row r="359" hidden="1" ht="15.95" customHeight="1">
      <c r="A359" s="465" t="s">
        <v>1609</v>
      </c>
      <c r="B359" s="465" t="s">
        <v>1610</v>
      </c>
      <c r="C359" s="465"/>
      <c r="D359" s="465" t="s">
        <v>825</v>
      </c>
      <c r="E359" s="465" t="s">
        <v>1603</v>
      </c>
      <c r="F359" s="465" t="s">
        <v>1604</v>
      </c>
      <c r="G359" s="465" t="s">
        <v>1572</v>
      </c>
      <c r="H359" s="465" t="s">
        <v>1573</v>
      </c>
      <c r="I359" s="465" t="s">
        <v>830</v>
      </c>
    </row>
    <row r="360" hidden="1" ht="15.95" customHeight="1">
      <c r="A360" s="465" t="s">
        <v>1611</v>
      </c>
      <c r="B360" s="465" t="s">
        <v>1612</v>
      </c>
      <c r="C360" s="465"/>
      <c r="D360" s="465" t="s">
        <v>855</v>
      </c>
      <c r="E360" s="465" t="s">
        <v>1603</v>
      </c>
      <c r="F360" s="465" t="s">
        <v>1604</v>
      </c>
      <c r="G360" s="465" t="s">
        <v>1572</v>
      </c>
      <c r="H360" s="465" t="s">
        <v>1573</v>
      </c>
      <c r="I360" s="465" t="s">
        <v>830</v>
      </c>
    </row>
    <row r="361" hidden="1" ht="15.95" customHeight="1">
      <c r="A361" s="465" t="s">
        <v>1613</v>
      </c>
      <c r="B361" s="465" t="s">
        <v>1614</v>
      </c>
      <c r="C361" s="465"/>
      <c r="D361" s="465" t="s">
        <v>855</v>
      </c>
      <c r="E361" s="465" t="s">
        <v>1603</v>
      </c>
      <c r="F361" s="465" t="s">
        <v>1604</v>
      </c>
      <c r="G361" s="465" t="s">
        <v>1572</v>
      </c>
      <c r="H361" s="465" t="s">
        <v>1573</v>
      </c>
      <c r="I361" s="465" t="s">
        <v>830</v>
      </c>
    </row>
    <row r="362" hidden="1" ht="15.95" customHeight="1">
      <c r="A362" s="465" t="s">
        <v>1615</v>
      </c>
      <c r="B362" s="465" t="s">
        <v>1616</v>
      </c>
      <c r="C362" s="465"/>
      <c r="D362" s="465" t="s">
        <v>855</v>
      </c>
      <c r="E362" s="465" t="s">
        <v>1617</v>
      </c>
      <c r="F362" s="465" t="s">
        <v>1618</v>
      </c>
      <c r="G362" s="465" t="s">
        <v>1572</v>
      </c>
      <c r="H362" s="465" t="s">
        <v>1573</v>
      </c>
      <c r="I362" s="465" t="s">
        <v>830</v>
      </c>
    </row>
    <row r="363" hidden="1" ht="15.95" customHeight="1">
      <c r="A363" s="465" t="s">
        <v>1619</v>
      </c>
      <c r="B363" s="465" t="s">
        <v>1620</v>
      </c>
      <c r="C363" s="465"/>
      <c r="D363" s="465" t="s">
        <v>855</v>
      </c>
      <c r="E363" s="465" t="s">
        <v>1617</v>
      </c>
      <c r="F363" s="465" t="s">
        <v>1618</v>
      </c>
      <c r="G363" s="465" t="s">
        <v>1572</v>
      </c>
      <c r="H363" s="465" t="s">
        <v>1573</v>
      </c>
      <c r="I363" s="465" t="s">
        <v>830</v>
      </c>
    </row>
    <row r="364" hidden="1" ht="15.95" customHeight="1">
      <c r="A364" s="465" t="s">
        <v>1621</v>
      </c>
      <c r="B364" s="465" t="s">
        <v>1212</v>
      </c>
      <c r="C364" s="465"/>
      <c r="D364" s="465" t="s">
        <v>855</v>
      </c>
      <c r="E364" s="465" t="s">
        <v>1617</v>
      </c>
      <c r="F364" s="465" t="s">
        <v>1618</v>
      </c>
      <c r="G364" s="465" t="s">
        <v>1572</v>
      </c>
      <c r="H364" s="465" t="s">
        <v>1573</v>
      </c>
      <c r="I364" s="465" t="s">
        <v>830</v>
      </c>
    </row>
    <row r="365" hidden="1" ht="15.95" customHeight="1">
      <c r="A365" s="465" t="s">
        <v>1622</v>
      </c>
      <c r="B365" s="465" t="s">
        <v>1623</v>
      </c>
      <c r="C365" s="465"/>
      <c r="D365" s="465" t="s">
        <v>855</v>
      </c>
      <c r="E365" s="465" t="s">
        <v>1617</v>
      </c>
      <c r="F365" s="465" t="s">
        <v>1618</v>
      </c>
      <c r="G365" s="465" t="s">
        <v>1572</v>
      </c>
      <c r="H365" s="465" t="s">
        <v>1573</v>
      </c>
      <c r="I365" s="465" t="s">
        <v>830</v>
      </c>
    </row>
    <row r="366" hidden="1" ht="15.95" customHeight="1">
      <c r="A366" s="465" t="s">
        <v>1624</v>
      </c>
      <c r="B366" s="465" t="s">
        <v>1625</v>
      </c>
      <c r="C366" s="465"/>
      <c r="D366" s="465" t="s">
        <v>855</v>
      </c>
      <c r="E366" s="465" t="s">
        <v>1617</v>
      </c>
      <c r="F366" s="465" t="s">
        <v>1618</v>
      </c>
      <c r="G366" s="465" t="s">
        <v>1572</v>
      </c>
      <c r="H366" s="465" t="s">
        <v>1573</v>
      </c>
      <c r="I366" s="465" t="s">
        <v>830</v>
      </c>
    </row>
    <row r="367" hidden="1" ht="15.95" customHeight="1">
      <c r="A367" s="465" t="s">
        <v>1626</v>
      </c>
      <c r="B367" s="465" t="s">
        <v>971</v>
      </c>
      <c r="C367" s="465"/>
      <c r="D367" s="465" t="s">
        <v>855</v>
      </c>
      <c r="E367" s="465" t="s">
        <v>1617</v>
      </c>
      <c r="F367" s="465" t="s">
        <v>1618</v>
      </c>
      <c r="G367" s="465" t="s">
        <v>1572</v>
      </c>
      <c r="H367" s="465" t="s">
        <v>1573</v>
      </c>
      <c r="I367" s="465" t="s">
        <v>830</v>
      </c>
    </row>
    <row r="368" hidden="1" ht="15.95" customHeight="1">
      <c r="A368" s="465" t="s">
        <v>1627</v>
      </c>
      <c r="B368" s="465" t="s">
        <v>1628</v>
      </c>
      <c r="C368" s="465"/>
      <c r="D368" s="465" t="s">
        <v>855</v>
      </c>
      <c r="E368" s="465" t="s">
        <v>1617</v>
      </c>
      <c r="F368" s="465" t="s">
        <v>1618</v>
      </c>
      <c r="G368" s="465" t="s">
        <v>1572</v>
      </c>
      <c r="H368" s="465" t="s">
        <v>1573</v>
      </c>
      <c r="I368" s="465" t="s">
        <v>830</v>
      </c>
    </row>
    <row r="369" hidden="1" ht="15.95" customHeight="1">
      <c r="A369" s="465" t="s">
        <v>1629</v>
      </c>
      <c r="B369" s="465" t="s">
        <v>1630</v>
      </c>
      <c r="C369" s="465"/>
      <c r="D369" s="465" t="s">
        <v>855</v>
      </c>
      <c r="E369" s="465" t="s">
        <v>1617</v>
      </c>
      <c r="F369" s="465" t="s">
        <v>1618</v>
      </c>
      <c r="G369" s="465" t="s">
        <v>1572</v>
      </c>
      <c r="H369" s="465" t="s">
        <v>1573</v>
      </c>
      <c r="I369" s="465" t="s">
        <v>830</v>
      </c>
    </row>
    <row r="370" hidden="1" ht="15.95" customHeight="1">
      <c r="A370" s="465" t="s">
        <v>1631</v>
      </c>
      <c r="B370" s="465" t="s">
        <v>1632</v>
      </c>
      <c r="C370" s="465"/>
      <c r="D370" s="465" t="s">
        <v>884</v>
      </c>
      <c r="E370" s="465" t="s">
        <v>1633</v>
      </c>
      <c r="F370" s="465" t="s">
        <v>1634</v>
      </c>
      <c r="G370" s="465" t="s">
        <v>1572</v>
      </c>
      <c r="H370" s="465" t="s">
        <v>1573</v>
      </c>
      <c r="I370" s="465" t="s">
        <v>830</v>
      </c>
    </row>
    <row r="371" hidden="1" ht="15.95" customHeight="1">
      <c r="A371" s="465" t="s">
        <v>1635</v>
      </c>
      <c r="B371" s="465" t="s">
        <v>1636</v>
      </c>
      <c r="C371" s="465"/>
      <c r="D371" s="465" t="s">
        <v>855</v>
      </c>
      <c r="E371" s="465" t="s">
        <v>1633</v>
      </c>
      <c r="F371" s="465" t="s">
        <v>1634</v>
      </c>
      <c r="G371" s="465" t="s">
        <v>1572</v>
      </c>
      <c r="H371" s="465" t="s">
        <v>1573</v>
      </c>
      <c r="I371" s="465" t="s">
        <v>830</v>
      </c>
    </row>
    <row r="372" hidden="1" ht="15.95" customHeight="1">
      <c r="A372" s="465" t="s">
        <v>1637</v>
      </c>
      <c r="B372" s="465" t="s">
        <v>1491</v>
      </c>
      <c r="C372" s="465"/>
      <c r="D372" s="465" t="s">
        <v>855</v>
      </c>
      <c r="E372" s="465" t="s">
        <v>1633</v>
      </c>
      <c r="F372" s="465" t="s">
        <v>1634</v>
      </c>
      <c r="G372" s="465" t="s">
        <v>1572</v>
      </c>
      <c r="H372" s="465" t="s">
        <v>1573</v>
      </c>
      <c r="I372" s="465" t="s">
        <v>830</v>
      </c>
    </row>
    <row r="373" hidden="1" ht="15.95" customHeight="1">
      <c r="A373" s="465" t="s">
        <v>1638</v>
      </c>
      <c r="B373" s="465" t="s">
        <v>1639</v>
      </c>
      <c r="C373" s="465"/>
      <c r="D373" s="465" t="s">
        <v>855</v>
      </c>
      <c r="E373" s="465" t="s">
        <v>1633</v>
      </c>
      <c r="F373" s="465" t="s">
        <v>1634</v>
      </c>
      <c r="G373" s="465" t="s">
        <v>1572</v>
      </c>
      <c r="H373" s="465" t="s">
        <v>1573</v>
      </c>
      <c r="I373" s="465" t="s">
        <v>830</v>
      </c>
    </row>
    <row r="374" hidden="1" ht="15.95" customHeight="1">
      <c r="A374" s="465" t="s">
        <v>1640</v>
      </c>
      <c r="B374" s="465" t="s">
        <v>1641</v>
      </c>
      <c r="C374" s="465" t="s">
        <v>1642</v>
      </c>
      <c r="D374" s="465" t="s">
        <v>855</v>
      </c>
      <c r="E374" s="465" t="s">
        <v>1633</v>
      </c>
      <c r="F374" s="465" t="s">
        <v>1634</v>
      </c>
      <c r="G374" s="465" t="s">
        <v>1572</v>
      </c>
      <c r="H374" s="465" t="s">
        <v>1573</v>
      </c>
      <c r="I374" s="465" t="s">
        <v>830</v>
      </c>
    </row>
    <row r="375" hidden="1" ht="15.95" customHeight="1">
      <c r="A375" s="465" t="s">
        <v>1643</v>
      </c>
      <c r="B375" s="465" t="s">
        <v>1644</v>
      </c>
      <c r="C375" s="465"/>
      <c r="D375" s="465" t="s">
        <v>855</v>
      </c>
      <c r="E375" s="465" t="s">
        <v>1633</v>
      </c>
      <c r="F375" s="465" t="s">
        <v>1634</v>
      </c>
      <c r="G375" s="465" t="s">
        <v>1572</v>
      </c>
      <c r="H375" s="465" t="s">
        <v>1573</v>
      </c>
      <c r="I375" s="465" t="s">
        <v>830</v>
      </c>
    </row>
    <row r="376" hidden="1" ht="15.95" customHeight="1">
      <c r="A376" s="465" t="s">
        <v>1645</v>
      </c>
      <c r="B376" s="465" t="s">
        <v>1646</v>
      </c>
      <c r="C376" s="465"/>
      <c r="D376" s="465" t="s">
        <v>855</v>
      </c>
      <c r="E376" s="465" t="s">
        <v>1633</v>
      </c>
      <c r="F376" s="465" t="s">
        <v>1634</v>
      </c>
      <c r="G376" s="465" t="s">
        <v>1572</v>
      </c>
      <c r="H376" s="465" t="s">
        <v>1573</v>
      </c>
      <c r="I376" s="465" t="s">
        <v>830</v>
      </c>
    </row>
    <row r="377" hidden="1" ht="15.95" customHeight="1">
      <c r="A377" s="465" t="s">
        <v>1647</v>
      </c>
      <c r="B377" s="465" t="s">
        <v>1648</v>
      </c>
      <c r="C377" s="465"/>
      <c r="D377" s="465" t="s">
        <v>855</v>
      </c>
      <c r="E377" s="465" t="s">
        <v>1633</v>
      </c>
      <c r="F377" s="465" t="s">
        <v>1634</v>
      </c>
      <c r="G377" s="465" t="s">
        <v>1572</v>
      </c>
      <c r="H377" s="465" t="s">
        <v>1573</v>
      </c>
      <c r="I377" s="465" t="s">
        <v>830</v>
      </c>
    </row>
    <row r="378" hidden="1" ht="15.95" customHeight="1">
      <c r="A378" s="465" t="s">
        <v>1649</v>
      </c>
      <c r="B378" s="465" t="s">
        <v>1650</v>
      </c>
      <c r="C378" s="465"/>
      <c r="D378" s="465" t="s">
        <v>855</v>
      </c>
      <c r="E378" s="465" t="s">
        <v>1633</v>
      </c>
      <c r="F378" s="465" t="s">
        <v>1634</v>
      </c>
      <c r="G378" s="465" t="s">
        <v>1572</v>
      </c>
      <c r="H378" s="465" t="s">
        <v>1573</v>
      </c>
      <c r="I378" s="465" t="s">
        <v>830</v>
      </c>
    </row>
    <row r="379" hidden="1" ht="15.95" customHeight="1">
      <c r="A379" s="465" t="s">
        <v>1651</v>
      </c>
      <c r="B379" s="465" t="s">
        <v>1477</v>
      </c>
      <c r="C379" s="465"/>
      <c r="D379" s="465" t="s">
        <v>855</v>
      </c>
      <c r="E379" s="465" t="s">
        <v>1633</v>
      </c>
      <c r="F379" s="465" t="s">
        <v>1634</v>
      </c>
      <c r="G379" s="465" t="s">
        <v>1572</v>
      </c>
      <c r="H379" s="465" t="s">
        <v>1573</v>
      </c>
      <c r="I379" s="465" t="s">
        <v>830</v>
      </c>
    </row>
    <row r="380" hidden="1" ht="15.95" customHeight="1">
      <c r="A380" s="465" t="s">
        <v>1652</v>
      </c>
      <c r="B380" s="465" t="s">
        <v>1495</v>
      </c>
      <c r="C380" s="465"/>
      <c r="D380" s="465" t="s">
        <v>855</v>
      </c>
      <c r="E380" s="465" t="s">
        <v>1633</v>
      </c>
      <c r="F380" s="465" t="s">
        <v>1634</v>
      </c>
      <c r="G380" s="465" t="s">
        <v>1572</v>
      </c>
      <c r="H380" s="465" t="s">
        <v>1573</v>
      </c>
      <c r="I380" s="465" t="s">
        <v>830</v>
      </c>
    </row>
    <row r="381" hidden="1" ht="15.95" customHeight="1">
      <c r="A381" s="465" t="s">
        <v>1653</v>
      </c>
      <c r="B381" s="465" t="s">
        <v>1654</v>
      </c>
      <c r="C381" s="465"/>
      <c r="D381" s="465" t="s">
        <v>855</v>
      </c>
      <c r="E381" s="465" t="s">
        <v>1633</v>
      </c>
      <c r="F381" s="465" t="s">
        <v>1634</v>
      </c>
      <c r="G381" s="465" t="s">
        <v>1572</v>
      </c>
      <c r="H381" s="465" t="s">
        <v>1573</v>
      </c>
      <c r="I381" s="465" t="s">
        <v>830</v>
      </c>
    </row>
    <row r="382" hidden="1" ht="15.95" customHeight="1">
      <c r="A382" s="465" t="s">
        <v>1655</v>
      </c>
      <c r="B382" s="465" t="s">
        <v>1656</v>
      </c>
      <c r="C382" s="465"/>
      <c r="D382" s="465" t="s">
        <v>855</v>
      </c>
      <c r="E382" s="465" t="s">
        <v>1633</v>
      </c>
      <c r="F382" s="465" t="s">
        <v>1634</v>
      </c>
      <c r="G382" s="465" t="s">
        <v>1572</v>
      </c>
      <c r="H382" s="465" t="s">
        <v>1573</v>
      </c>
      <c r="I382" s="465" t="s">
        <v>830</v>
      </c>
    </row>
    <row r="383" hidden="1" ht="15.95" customHeight="1">
      <c r="A383" s="465" t="s">
        <v>1657</v>
      </c>
      <c r="B383" s="465" t="s">
        <v>1658</v>
      </c>
      <c r="C383" s="465"/>
      <c r="D383" s="465" t="s">
        <v>855</v>
      </c>
      <c r="E383" s="465" t="s">
        <v>1633</v>
      </c>
      <c r="F383" s="465" t="s">
        <v>1634</v>
      </c>
      <c r="G383" s="465" t="s">
        <v>1572</v>
      </c>
      <c r="H383" s="465" t="s">
        <v>1573</v>
      </c>
      <c r="I383" s="465" t="s">
        <v>830</v>
      </c>
    </row>
    <row r="384" hidden="1" ht="15.95" customHeight="1">
      <c r="A384" s="465" t="s">
        <v>1659</v>
      </c>
      <c r="B384" s="465" t="s">
        <v>1660</v>
      </c>
      <c r="C384" s="465" t="s">
        <v>1661</v>
      </c>
      <c r="D384" s="465" t="s">
        <v>855</v>
      </c>
      <c r="E384" s="465" t="s">
        <v>1633</v>
      </c>
      <c r="F384" s="465" t="s">
        <v>1634</v>
      </c>
      <c r="G384" s="465" t="s">
        <v>1572</v>
      </c>
      <c r="H384" s="465" t="s">
        <v>1573</v>
      </c>
      <c r="I384" s="465" t="s">
        <v>830</v>
      </c>
    </row>
    <row r="385" hidden="1" ht="15.95" customHeight="1">
      <c r="A385" s="465" t="s">
        <v>1662</v>
      </c>
      <c r="B385" s="465" t="s">
        <v>1663</v>
      </c>
      <c r="C385" s="465"/>
      <c r="D385" s="465" t="s">
        <v>855</v>
      </c>
      <c r="E385" s="465" t="s">
        <v>1633</v>
      </c>
      <c r="F385" s="465" t="s">
        <v>1634</v>
      </c>
      <c r="G385" s="465" t="s">
        <v>1572</v>
      </c>
      <c r="H385" s="465" t="s">
        <v>1573</v>
      </c>
      <c r="I385" s="465" t="s">
        <v>830</v>
      </c>
    </row>
    <row r="386" hidden="1" ht="15.95" customHeight="1">
      <c r="A386" s="465" t="s">
        <v>1664</v>
      </c>
      <c r="B386" s="465" t="s">
        <v>1665</v>
      </c>
      <c r="C386" s="465" t="s">
        <v>1666</v>
      </c>
      <c r="D386" s="465" t="s">
        <v>884</v>
      </c>
      <c r="E386" s="465" t="s">
        <v>1667</v>
      </c>
      <c r="F386" s="465" t="s">
        <v>1668</v>
      </c>
      <c r="G386" s="465" t="s">
        <v>1572</v>
      </c>
      <c r="H386" s="465" t="s">
        <v>1573</v>
      </c>
      <c r="I386" s="465" t="s">
        <v>830</v>
      </c>
    </row>
    <row r="387" hidden="1" ht="15.95" customHeight="1">
      <c r="A387" s="465" t="s">
        <v>1669</v>
      </c>
      <c r="B387" s="465" t="s">
        <v>1670</v>
      </c>
      <c r="C387" s="465"/>
      <c r="D387" s="465" t="s">
        <v>855</v>
      </c>
      <c r="E387" s="465" t="s">
        <v>1667</v>
      </c>
      <c r="F387" s="465" t="s">
        <v>1668</v>
      </c>
      <c r="G387" s="465" t="s">
        <v>1572</v>
      </c>
      <c r="H387" s="465" t="s">
        <v>1573</v>
      </c>
      <c r="I387" s="465" t="s">
        <v>830</v>
      </c>
    </row>
    <row r="388" hidden="1" ht="15.95" customHeight="1">
      <c r="A388" s="465" t="s">
        <v>1671</v>
      </c>
      <c r="B388" s="465" t="s">
        <v>1672</v>
      </c>
      <c r="C388" s="465" t="s">
        <v>1673</v>
      </c>
      <c r="D388" s="465" t="s">
        <v>855</v>
      </c>
      <c r="E388" s="465" t="s">
        <v>1667</v>
      </c>
      <c r="F388" s="465" t="s">
        <v>1668</v>
      </c>
      <c r="G388" s="465" t="s">
        <v>1572</v>
      </c>
      <c r="H388" s="465" t="s">
        <v>1573</v>
      </c>
      <c r="I388" s="465" t="s">
        <v>830</v>
      </c>
    </row>
    <row r="389" hidden="1" ht="15.95" customHeight="1">
      <c r="A389" s="465" t="s">
        <v>1674</v>
      </c>
      <c r="B389" s="465" t="s">
        <v>1675</v>
      </c>
      <c r="C389" s="465"/>
      <c r="D389" s="465" t="s">
        <v>855</v>
      </c>
      <c r="E389" s="465" t="s">
        <v>1667</v>
      </c>
      <c r="F389" s="465" t="s">
        <v>1668</v>
      </c>
      <c r="G389" s="465" t="s">
        <v>1572</v>
      </c>
      <c r="H389" s="465" t="s">
        <v>1573</v>
      </c>
      <c r="I389" s="465" t="s">
        <v>830</v>
      </c>
    </row>
    <row r="390" hidden="1" ht="15.95" customHeight="1">
      <c r="A390" s="465" t="s">
        <v>1676</v>
      </c>
      <c r="B390" s="465" t="s">
        <v>1677</v>
      </c>
      <c r="C390" s="465"/>
      <c r="D390" s="465" t="s">
        <v>855</v>
      </c>
      <c r="E390" s="465" t="s">
        <v>1667</v>
      </c>
      <c r="F390" s="465" t="s">
        <v>1668</v>
      </c>
      <c r="G390" s="465" t="s">
        <v>1572</v>
      </c>
      <c r="H390" s="465" t="s">
        <v>1573</v>
      </c>
      <c r="I390" s="465" t="s">
        <v>830</v>
      </c>
    </row>
    <row r="391" hidden="1" ht="15.95" customHeight="1">
      <c r="A391" s="465" t="s">
        <v>1678</v>
      </c>
      <c r="B391" s="465" t="s">
        <v>1164</v>
      </c>
      <c r="C391" s="465"/>
      <c r="D391" s="465" t="s">
        <v>855</v>
      </c>
      <c r="E391" s="465" t="s">
        <v>1667</v>
      </c>
      <c r="F391" s="465" t="s">
        <v>1668</v>
      </c>
      <c r="G391" s="465" t="s">
        <v>1572</v>
      </c>
      <c r="H391" s="465" t="s">
        <v>1573</v>
      </c>
      <c r="I391" s="465" t="s">
        <v>830</v>
      </c>
    </row>
    <row r="392" hidden="1" ht="15.95" customHeight="1">
      <c r="A392" s="465" t="s">
        <v>1679</v>
      </c>
      <c r="B392" s="465" t="s">
        <v>1030</v>
      </c>
      <c r="C392" s="465"/>
      <c r="D392" s="465" t="s">
        <v>855</v>
      </c>
      <c r="E392" s="465" t="s">
        <v>1667</v>
      </c>
      <c r="F392" s="465" t="s">
        <v>1668</v>
      </c>
      <c r="G392" s="465" t="s">
        <v>1572</v>
      </c>
      <c r="H392" s="465" t="s">
        <v>1573</v>
      </c>
      <c r="I392" s="465" t="s">
        <v>830</v>
      </c>
    </row>
    <row r="393" hidden="1" ht="15.95" customHeight="1">
      <c r="A393" s="465" t="s">
        <v>1680</v>
      </c>
      <c r="B393" s="465" t="s">
        <v>1681</v>
      </c>
      <c r="C393" s="465"/>
      <c r="D393" s="465" t="s">
        <v>855</v>
      </c>
      <c r="E393" s="465" t="s">
        <v>1682</v>
      </c>
      <c r="F393" s="465" t="s">
        <v>1683</v>
      </c>
      <c r="G393" s="465" t="s">
        <v>1572</v>
      </c>
      <c r="H393" s="465" t="s">
        <v>1573</v>
      </c>
      <c r="I393" s="465" t="s">
        <v>830</v>
      </c>
    </row>
    <row r="394" hidden="1" ht="15.95" customHeight="1">
      <c r="A394" s="465" t="s">
        <v>1684</v>
      </c>
      <c r="B394" s="465" t="s">
        <v>1685</v>
      </c>
      <c r="C394" s="465"/>
      <c r="D394" s="465" t="s">
        <v>855</v>
      </c>
      <c r="E394" s="465" t="s">
        <v>1682</v>
      </c>
      <c r="F394" s="465" t="s">
        <v>1683</v>
      </c>
      <c r="G394" s="465" t="s">
        <v>1572</v>
      </c>
      <c r="H394" s="465" t="s">
        <v>1573</v>
      </c>
      <c r="I394" s="465" t="s">
        <v>830</v>
      </c>
    </row>
    <row r="395" hidden="1" ht="15.95" customHeight="1">
      <c r="A395" s="465" t="s">
        <v>1686</v>
      </c>
      <c r="B395" s="465" t="s">
        <v>1687</v>
      </c>
      <c r="C395" s="465"/>
      <c r="D395" s="465" t="s">
        <v>855</v>
      </c>
      <c r="E395" s="465" t="s">
        <v>1682</v>
      </c>
      <c r="F395" s="465" t="s">
        <v>1683</v>
      </c>
      <c r="G395" s="465" t="s">
        <v>1572</v>
      </c>
      <c r="H395" s="465" t="s">
        <v>1573</v>
      </c>
      <c r="I395" s="465" t="s">
        <v>830</v>
      </c>
    </row>
    <row r="396" hidden="1" ht="15.95" customHeight="1">
      <c r="A396" s="465" t="s">
        <v>1688</v>
      </c>
      <c r="B396" s="465" t="s">
        <v>1689</v>
      </c>
      <c r="C396" s="465"/>
      <c r="D396" s="465" t="s">
        <v>855</v>
      </c>
      <c r="E396" s="465" t="s">
        <v>1682</v>
      </c>
      <c r="F396" s="465" t="s">
        <v>1683</v>
      </c>
      <c r="G396" s="465" t="s">
        <v>1572</v>
      </c>
      <c r="H396" s="465" t="s">
        <v>1573</v>
      </c>
      <c r="I396" s="465" t="s">
        <v>830</v>
      </c>
    </row>
    <row r="397" hidden="1" ht="15.95" customHeight="1">
      <c r="A397" s="465" t="s">
        <v>1690</v>
      </c>
      <c r="B397" s="465" t="s">
        <v>1691</v>
      </c>
      <c r="C397" s="465"/>
      <c r="D397" s="465" t="s">
        <v>855</v>
      </c>
      <c r="E397" s="465" t="s">
        <v>1682</v>
      </c>
      <c r="F397" s="465" t="s">
        <v>1683</v>
      </c>
      <c r="G397" s="465" t="s">
        <v>1572</v>
      </c>
      <c r="H397" s="465" t="s">
        <v>1573</v>
      </c>
      <c r="I397" s="465" t="s">
        <v>830</v>
      </c>
    </row>
    <row r="398" hidden="1" ht="15.95" customHeight="1">
      <c r="A398" s="465" t="s">
        <v>1692</v>
      </c>
      <c r="B398" s="465" t="s">
        <v>1693</v>
      </c>
      <c r="C398" s="465"/>
      <c r="D398" s="465" t="s">
        <v>855</v>
      </c>
      <c r="E398" s="465" t="s">
        <v>1682</v>
      </c>
      <c r="F398" s="465" t="s">
        <v>1683</v>
      </c>
      <c r="G398" s="465" t="s">
        <v>1572</v>
      </c>
      <c r="H398" s="465" t="s">
        <v>1573</v>
      </c>
      <c r="I398" s="465" t="s">
        <v>830</v>
      </c>
    </row>
    <row r="399" hidden="1" ht="15.95" customHeight="1">
      <c r="A399" s="465" t="s">
        <v>1694</v>
      </c>
      <c r="B399" s="465" t="s">
        <v>1695</v>
      </c>
      <c r="C399" s="465"/>
      <c r="D399" s="465" t="s">
        <v>855</v>
      </c>
      <c r="E399" s="465" t="s">
        <v>1682</v>
      </c>
      <c r="F399" s="465" t="s">
        <v>1683</v>
      </c>
      <c r="G399" s="465" t="s">
        <v>1572</v>
      </c>
      <c r="H399" s="465" t="s">
        <v>1573</v>
      </c>
      <c r="I399" s="465" t="s">
        <v>830</v>
      </c>
    </row>
    <row r="400" hidden="1" ht="15.95" customHeight="1">
      <c r="A400" s="465" t="s">
        <v>1696</v>
      </c>
      <c r="B400" s="465" t="s">
        <v>1697</v>
      </c>
      <c r="C400" s="465"/>
      <c r="D400" s="465" t="s">
        <v>855</v>
      </c>
      <c r="E400" s="465" t="s">
        <v>1682</v>
      </c>
      <c r="F400" s="465" t="s">
        <v>1683</v>
      </c>
      <c r="G400" s="465" t="s">
        <v>1572</v>
      </c>
      <c r="H400" s="465" t="s">
        <v>1573</v>
      </c>
      <c r="I400" s="465" t="s">
        <v>830</v>
      </c>
    </row>
    <row r="401" hidden="1" ht="15.95" customHeight="1">
      <c r="A401" s="465" t="s">
        <v>1698</v>
      </c>
      <c r="B401" s="465" t="s">
        <v>1699</v>
      </c>
      <c r="C401" s="465"/>
      <c r="D401" s="465" t="s">
        <v>855</v>
      </c>
      <c r="E401" s="465" t="s">
        <v>1682</v>
      </c>
      <c r="F401" s="465" t="s">
        <v>1683</v>
      </c>
      <c r="G401" s="465" t="s">
        <v>1572</v>
      </c>
      <c r="H401" s="465" t="s">
        <v>1573</v>
      </c>
      <c r="I401" s="465" t="s">
        <v>830</v>
      </c>
    </row>
    <row r="402" hidden="1" ht="15.95" customHeight="1">
      <c r="A402" s="465" t="s">
        <v>1700</v>
      </c>
      <c r="B402" s="465" t="s">
        <v>1701</v>
      </c>
      <c r="C402" s="465"/>
      <c r="D402" s="465" t="s">
        <v>855</v>
      </c>
      <c r="E402" s="465" t="s">
        <v>1682</v>
      </c>
      <c r="F402" s="465" t="s">
        <v>1683</v>
      </c>
      <c r="G402" s="465" t="s">
        <v>1572</v>
      </c>
      <c r="H402" s="465" t="s">
        <v>1573</v>
      </c>
      <c r="I402" s="465" t="s">
        <v>830</v>
      </c>
    </row>
    <row r="403" hidden="1" ht="15.95" customHeight="1">
      <c r="A403" s="465" t="s">
        <v>1702</v>
      </c>
      <c r="B403" s="465" t="s">
        <v>1703</v>
      </c>
      <c r="C403" s="465"/>
      <c r="D403" s="465" t="s">
        <v>855</v>
      </c>
      <c r="E403" s="465" t="s">
        <v>1682</v>
      </c>
      <c r="F403" s="465" t="s">
        <v>1683</v>
      </c>
      <c r="G403" s="465" t="s">
        <v>1572</v>
      </c>
      <c r="H403" s="465" t="s">
        <v>1573</v>
      </c>
      <c r="I403" s="465" t="s">
        <v>830</v>
      </c>
    </row>
    <row r="404" hidden="1" ht="15.95" customHeight="1">
      <c r="A404" s="465" t="s">
        <v>1704</v>
      </c>
      <c r="B404" s="465" t="s">
        <v>1705</v>
      </c>
      <c r="C404" s="465" t="s">
        <v>1706</v>
      </c>
      <c r="D404" s="465" t="s">
        <v>855</v>
      </c>
      <c r="E404" s="465" t="s">
        <v>1682</v>
      </c>
      <c r="F404" s="465" t="s">
        <v>1683</v>
      </c>
      <c r="G404" s="465" t="s">
        <v>1572</v>
      </c>
      <c r="H404" s="465" t="s">
        <v>1573</v>
      </c>
      <c r="I404" s="465" t="s">
        <v>830</v>
      </c>
    </row>
    <row r="405" hidden="1" ht="15.95" customHeight="1">
      <c r="A405" s="465" t="s">
        <v>1707</v>
      </c>
      <c r="B405" s="465" t="s">
        <v>1708</v>
      </c>
      <c r="C405" s="465"/>
      <c r="D405" s="465" t="s">
        <v>855</v>
      </c>
      <c r="E405" s="465" t="s">
        <v>1682</v>
      </c>
      <c r="F405" s="465" t="s">
        <v>1683</v>
      </c>
      <c r="G405" s="465" t="s">
        <v>1572</v>
      </c>
      <c r="H405" s="465" t="s">
        <v>1573</v>
      </c>
      <c r="I405" s="465" t="s">
        <v>830</v>
      </c>
    </row>
    <row r="406" hidden="1" ht="15.95" customHeight="1">
      <c r="A406" s="465" t="s">
        <v>1709</v>
      </c>
      <c r="B406" s="465" t="s">
        <v>1710</v>
      </c>
      <c r="C406" s="465"/>
      <c r="D406" s="465" t="s">
        <v>884</v>
      </c>
      <c r="E406" s="465" t="s">
        <v>1711</v>
      </c>
      <c r="F406" s="465" t="s">
        <v>1712</v>
      </c>
      <c r="G406" s="465" t="s">
        <v>1572</v>
      </c>
      <c r="H406" s="465" t="s">
        <v>1573</v>
      </c>
      <c r="I406" s="465" t="s">
        <v>830</v>
      </c>
    </row>
    <row r="407" hidden="1" ht="15.95" customHeight="1">
      <c r="A407" s="465" t="s">
        <v>1713</v>
      </c>
      <c r="B407" s="465" t="s">
        <v>1714</v>
      </c>
      <c r="C407" s="465"/>
      <c r="D407" s="465" t="s">
        <v>855</v>
      </c>
      <c r="E407" s="465" t="s">
        <v>1711</v>
      </c>
      <c r="F407" s="465" t="s">
        <v>1712</v>
      </c>
      <c r="G407" s="465" t="s">
        <v>1572</v>
      </c>
      <c r="H407" s="465" t="s">
        <v>1573</v>
      </c>
      <c r="I407" s="465" t="s">
        <v>830</v>
      </c>
    </row>
    <row r="408" hidden="1" ht="15.95" customHeight="1">
      <c r="A408" s="465" t="s">
        <v>1715</v>
      </c>
      <c r="B408" s="465" t="s">
        <v>1716</v>
      </c>
      <c r="C408" s="465"/>
      <c r="D408" s="465" t="s">
        <v>855</v>
      </c>
      <c r="E408" s="465" t="s">
        <v>1711</v>
      </c>
      <c r="F408" s="465" t="s">
        <v>1712</v>
      </c>
      <c r="G408" s="465" t="s">
        <v>1572</v>
      </c>
      <c r="H408" s="465" t="s">
        <v>1573</v>
      </c>
      <c r="I408" s="465" t="s">
        <v>830</v>
      </c>
    </row>
    <row r="409" hidden="1" ht="15.95" customHeight="1">
      <c r="A409" s="465" t="s">
        <v>1717</v>
      </c>
      <c r="B409" s="465" t="s">
        <v>1035</v>
      </c>
      <c r="C409" s="465"/>
      <c r="D409" s="465" t="s">
        <v>855</v>
      </c>
      <c r="E409" s="465" t="s">
        <v>1711</v>
      </c>
      <c r="F409" s="465" t="s">
        <v>1712</v>
      </c>
      <c r="G409" s="465" t="s">
        <v>1572</v>
      </c>
      <c r="H409" s="465" t="s">
        <v>1573</v>
      </c>
      <c r="I409" s="465" t="s">
        <v>830</v>
      </c>
    </row>
    <row r="410" hidden="1" ht="15.95" customHeight="1">
      <c r="A410" s="465" t="s">
        <v>1718</v>
      </c>
      <c r="B410" s="465" t="s">
        <v>1691</v>
      </c>
      <c r="C410" s="465"/>
      <c r="D410" s="465" t="s">
        <v>855</v>
      </c>
      <c r="E410" s="465" t="s">
        <v>1711</v>
      </c>
      <c r="F410" s="465" t="s">
        <v>1712</v>
      </c>
      <c r="G410" s="465" t="s">
        <v>1572</v>
      </c>
      <c r="H410" s="465" t="s">
        <v>1573</v>
      </c>
      <c r="I410" s="465" t="s">
        <v>830</v>
      </c>
    </row>
    <row r="411" hidden="1" ht="15.95" customHeight="1">
      <c r="A411" s="465" t="s">
        <v>1719</v>
      </c>
      <c r="B411" s="465" t="s">
        <v>1689</v>
      </c>
      <c r="C411" s="465"/>
      <c r="D411" s="465" t="s">
        <v>855</v>
      </c>
      <c r="E411" s="465" t="s">
        <v>1711</v>
      </c>
      <c r="F411" s="465" t="s">
        <v>1712</v>
      </c>
      <c r="G411" s="465" t="s">
        <v>1572</v>
      </c>
      <c r="H411" s="465" t="s">
        <v>1573</v>
      </c>
      <c r="I411" s="465" t="s">
        <v>830</v>
      </c>
    </row>
    <row r="412" hidden="1" ht="15.95" customHeight="1">
      <c r="A412" s="465" t="s">
        <v>1720</v>
      </c>
      <c r="B412" s="465" t="s">
        <v>1156</v>
      </c>
      <c r="C412" s="465"/>
      <c r="D412" s="465" t="s">
        <v>855</v>
      </c>
      <c r="E412" s="465" t="s">
        <v>1711</v>
      </c>
      <c r="F412" s="465" t="s">
        <v>1712</v>
      </c>
      <c r="G412" s="465" t="s">
        <v>1572</v>
      </c>
      <c r="H412" s="465" t="s">
        <v>1573</v>
      </c>
      <c r="I412" s="465" t="s">
        <v>830</v>
      </c>
    </row>
    <row r="413" hidden="1" ht="15.95" customHeight="1">
      <c r="A413" s="465" t="s">
        <v>1721</v>
      </c>
      <c r="B413" s="465" t="s">
        <v>1722</v>
      </c>
      <c r="C413" s="465"/>
      <c r="D413" s="465" t="s">
        <v>855</v>
      </c>
      <c r="E413" s="465" t="s">
        <v>1711</v>
      </c>
      <c r="F413" s="465" t="s">
        <v>1712</v>
      </c>
      <c r="G413" s="465" t="s">
        <v>1572</v>
      </c>
      <c r="H413" s="465" t="s">
        <v>1573</v>
      </c>
      <c r="I413" s="465" t="s">
        <v>830</v>
      </c>
    </row>
    <row r="414" hidden="1" ht="15.95" customHeight="1">
      <c r="A414" s="465" t="s">
        <v>1723</v>
      </c>
      <c r="B414" s="465" t="s">
        <v>1724</v>
      </c>
      <c r="C414" s="465"/>
      <c r="D414" s="465" t="s">
        <v>855</v>
      </c>
      <c r="E414" s="465" t="s">
        <v>1711</v>
      </c>
      <c r="F414" s="465" t="s">
        <v>1712</v>
      </c>
      <c r="G414" s="465" t="s">
        <v>1572</v>
      </c>
      <c r="H414" s="465" t="s">
        <v>1573</v>
      </c>
      <c r="I414" s="465" t="s">
        <v>830</v>
      </c>
    </row>
    <row r="415" hidden="1" ht="15.95" customHeight="1">
      <c r="A415" s="465" t="s">
        <v>1725</v>
      </c>
      <c r="B415" s="465" t="s">
        <v>1726</v>
      </c>
      <c r="C415" s="465"/>
      <c r="D415" s="465" t="s">
        <v>855</v>
      </c>
      <c r="E415" s="465" t="s">
        <v>1711</v>
      </c>
      <c r="F415" s="465" t="s">
        <v>1712</v>
      </c>
      <c r="G415" s="465" t="s">
        <v>1572</v>
      </c>
      <c r="H415" s="465" t="s">
        <v>1573</v>
      </c>
      <c r="I415" s="465" t="s">
        <v>830</v>
      </c>
    </row>
    <row r="416" hidden="1" ht="15.95" customHeight="1">
      <c r="A416" s="465" t="s">
        <v>1727</v>
      </c>
      <c r="B416" s="465" t="s">
        <v>1030</v>
      </c>
      <c r="C416" s="465"/>
      <c r="D416" s="465" t="s">
        <v>855</v>
      </c>
      <c r="E416" s="465" t="s">
        <v>1711</v>
      </c>
      <c r="F416" s="465" t="s">
        <v>1712</v>
      </c>
      <c r="G416" s="465" t="s">
        <v>1572</v>
      </c>
      <c r="H416" s="465" t="s">
        <v>1573</v>
      </c>
      <c r="I416" s="465" t="s">
        <v>830</v>
      </c>
    </row>
    <row r="417" hidden="1" ht="15.95" customHeight="1">
      <c r="A417" s="465" t="s">
        <v>1728</v>
      </c>
      <c r="B417" s="465" t="s">
        <v>1729</v>
      </c>
      <c r="C417" s="465"/>
      <c r="D417" s="465" t="s">
        <v>884</v>
      </c>
      <c r="E417" s="465" t="s">
        <v>1730</v>
      </c>
      <c r="F417" s="465" t="s">
        <v>1731</v>
      </c>
      <c r="G417" s="465" t="s">
        <v>1572</v>
      </c>
      <c r="H417" s="465" t="s">
        <v>1573</v>
      </c>
      <c r="I417" s="465" t="s">
        <v>830</v>
      </c>
    </row>
    <row r="418" hidden="1" ht="15.95" customHeight="1">
      <c r="A418" s="465" t="s">
        <v>1732</v>
      </c>
      <c r="B418" s="465" t="s">
        <v>1733</v>
      </c>
      <c r="C418" s="465"/>
      <c r="D418" s="465" t="s">
        <v>855</v>
      </c>
      <c r="E418" s="465" t="s">
        <v>1730</v>
      </c>
      <c r="F418" s="465" t="s">
        <v>1731</v>
      </c>
      <c r="G418" s="465" t="s">
        <v>1572</v>
      </c>
      <c r="H418" s="465" t="s">
        <v>1573</v>
      </c>
      <c r="I418" s="465" t="s">
        <v>830</v>
      </c>
    </row>
    <row r="419" hidden="1" ht="15.95" customHeight="1">
      <c r="A419" s="465" t="s">
        <v>1734</v>
      </c>
      <c r="B419" s="465" t="s">
        <v>1735</v>
      </c>
      <c r="C419" s="465"/>
      <c r="D419" s="465" t="s">
        <v>855</v>
      </c>
      <c r="E419" s="465" t="s">
        <v>1730</v>
      </c>
      <c r="F419" s="465" t="s">
        <v>1731</v>
      </c>
      <c r="G419" s="465" t="s">
        <v>1572</v>
      </c>
      <c r="H419" s="465" t="s">
        <v>1573</v>
      </c>
      <c r="I419" s="465" t="s">
        <v>830</v>
      </c>
    </row>
    <row r="420" hidden="1" ht="15.95" customHeight="1">
      <c r="A420" s="465" t="s">
        <v>1736</v>
      </c>
      <c r="B420" s="465" t="s">
        <v>1350</v>
      </c>
      <c r="C420" s="465" t="s">
        <v>1737</v>
      </c>
      <c r="D420" s="465" t="s">
        <v>855</v>
      </c>
      <c r="E420" s="465" t="s">
        <v>1730</v>
      </c>
      <c r="F420" s="465" t="s">
        <v>1731</v>
      </c>
      <c r="G420" s="465" t="s">
        <v>1572</v>
      </c>
      <c r="H420" s="465" t="s">
        <v>1573</v>
      </c>
      <c r="I420" s="465" t="s">
        <v>830</v>
      </c>
    </row>
    <row r="421" hidden="1" ht="15.95" customHeight="1">
      <c r="A421" s="465" t="s">
        <v>1738</v>
      </c>
      <c r="B421" s="465" t="s">
        <v>1739</v>
      </c>
      <c r="C421" s="465"/>
      <c r="D421" s="465" t="s">
        <v>855</v>
      </c>
      <c r="E421" s="465" t="s">
        <v>1730</v>
      </c>
      <c r="F421" s="465" t="s">
        <v>1731</v>
      </c>
      <c r="G421" s="465" t="s">
        <v>1572</v>
      </c>
      <c r="H421" s="465" t="s">
        <v>1573</v>
      </c>
      <c r="I421" s="465" t="s">
        <v>830</v>
      </c>
    </row>
    <row r="422" hidden="1" ht="15.95" customHeight="1">
      <c r="A422" s="465" t="s">
        <v>1740</v>
      </c>
      <c r="B422" s="465" t="s">
        <v>1741</v>
      </c>
      <c r="C422" s="465"/>
      <c r="D422" s="465" t="s">
        <v>855</v>
      </c>
      <c r="E422" s="465" t="s">
        <v>1730</v>
      </c>
      <c r="F422" s="465" t="s">
        <v>1731</v>
      </c>
      <c r="G422" s="465" t="s">
        <v>1572</v>
      </c>
      <c r="H422" s="465" t="s">
        <v>1573</v>
      </c>
      <c r="I422" s="465" t="s">
        <v>830</v>
      </c>
    </row>
    <row r="423" hidden="1" ht="15.95" customHeight="1">
      <c r="A423" s="465" t="s">
        <v>1742</v>
      </c>
      <c r="B423" s="465" t="s">
        <v>1743</v>
      </c>
      <c r="C423" s="465"/>
      <c r="D423" s="465" t="s">
        <v>855</v>
      </c>
      <c r="E423" s="465" t="s">
        <v>1730</v>
      </c>
      <c r="F423" s="465" t="s">
        <v>1731</v>
      </c>
      <c r="G423" s="465" t="s">
        <v>1572</v>
      </c>
      <c r="H423" s="465" t="s">
        <v>1573</v>
      </c>
      <c r="I423" s="465" t="s">
        <v>830</v>
      </c>
    </row>
    <row r="424" hidden="1" ht="15.95" customHeight="1">
      <c r="A424" s="465" t="s">
        <v>1744</v>
      </c>
      <c r="B424" s="465" t="s">
        <v>1745</v>
      </c>
      <c r="C424" s="465"/>
      <c r="D424" s="465" t="s">
        <v>855</v>
      </c>
      <c r="E424" s="465" t="s">
        <v>1730</v>
      </c>
      <c r="F424" s="465" t="s">
        <v>1731</v>
      </c>
      <c r="G424" s="465" t="s">
        <v>1572</v>
      </c>
      <c r="H424" s="465" t="s">
        <v>1573</v>
      </c>
      <c r="I424" s="465" t="s">
        <v>830</v>
      </c>
    </row>
    <row r="425" hidden="1" ht="15.95" customHeight="1">
      <c r="A425" s="465" t="s">
        <v>1746</v>
      </c>
      <c r="B425" s="465" t="s">
        <v>1517</v>
      </c>
      <c r="C425" s="465"/>
      <c r="D425" s="465" t="s">
        <v>855</v>
      </c>
      <c r="E425" s="465" t="s">
        <v>1730</v>
      </c>
      <c r="F425" s="465" t="s">
        <v>1731</v>
      </c>
      <c r="G425" s="465" t="s">
        <v>1572</v>
      </c>
      <c r="H425" s="465" t="s">
        <v>1573</v>
      </c>
      <c r="I425" s="465" t="s">
        <v>830</v>
      </c>
    </row>
    <row r="426" hidden="1" ht="15.95" customHeight="1">
      <c r="A426" s="465" t="s">
        <v>1747</v>
      </c>
      <c r="B426" s="465" t="s">
        <v>1748</v>
      </c>
      <c r="C426" s="465"/>
      <c r="D426" s="465" t="s">
        <v>855</v>
      </c>
      <c r="E426" s="465" t="s">
        <v>1730</v>
      </c>
      <c r="F426" s="465" t="s">
        <v>1731</v>
      </c>
      <c r="G426" s="465" t="s">
        <v>1572</v>
      </c>
      <c r="H426" s="465" t="s">
        <v>1573</v>
      </c>
      <c r="I426" s="465" t="s">
        <v>830</v>
      </c>
    </row>
    <row r="427" hidden="1" ht="15.95" customHeight="1">
      <c r="A427" s="465" t="s">
        <v>1749</v>
      </c>
      <c r="B427" s="465" t="s">
        <v>1750</v>
      </c>
      <c r="C427" s="465"/>
      <c r="D427" s="465" t="s">
        <v>855</v>
      </c>
      <c r="E427" s="465" t="s">
        <v>1730</v>
      </c>
      <c r="F427" s="465" t="s">
        <v>1731</v>
      </c>
      <c r="G427" s="465" t="s">
        <v>1572</v>
      </c>
      <c r="H427" s="465" t="s">
        <v>1573</v>
      </c>
      <c r="I427" s="465" t="s">
        <v>830</v>
      </c>
    </row>
    <row r="428" hidden="1" ht="15.95" customHeight="1">
      <c r="A428" s="465" t="s">
        <v>1751</v>
      </c>
      <c r="B428" s="465" t="s">
        <v>1752</v>
      </c>
      <c r="C428" s="465"/>
      <c r="D428" s="465" t="s">
        <v>855</v>
      </c>
      <c r="E428" s="465" t="s">
        <v>1730</v>
      </c>
      <c r="F428" s="465" t="s">
        <v>1731</v>
      </c>
      <c r="G428" s="465" t="s">
        <v>1572</v>
      </c>
      <c r="H428" s="465" t="s">
        <v>1573</v>
      </c>
      <c r="I428" s="465" t="s">
        <v>830</v>
      </c>
    </row>
    <row r="429" hidden="1" ht="15.95" customHeight="1">
      <c r="A429" s="465" t="s">
        <v>1753</v>
      </c>
      <c r="B429" s="465" t="s">
        <v>1754</v>
      </c>
      <c r="C429" s="465"/>
      <c r="D429" s="465" t="s">
        <v>855</v>
      </c>
      <c r="E429" s="465" t="s">
        <v>1730</v>
      </c>
      <c r="F429" s="465" t="s">
        <v>1731</v>
      </c>
      <c r="G429" s="465" t="s">
        <v>1572</v>
      </c>
      <c r="H429" s="465" t="s">
        <v>1573</v>
      </c>
      <c r="I429" s="465" t="s">
        <v>830</v>
      </c>
    </row>
    <row r="430" hidden="1" ht="15.95" customHeight="1">
      <c r="A430" s="465" t="s">
        <v>1755</v>
      </c>
      <c r="B430" s="465" t="s">
        <v>1756</v>
      </c>
      <c r="C430" s="465"/>
      <c r="D430" s="465" t="s">
        <v>855</v>
      </c>
      <c r="E430" s="465" t="s">
        <v>1730</v>
      </c>
      <c r="F430" s="465" t="s">
        <v>1731</v>
      </c>
      <c r="G430" s="465" t="s">
        <v>1572</v>
      </c>
      <c r="H430" s="465" t="s">
        <v>1573</v>
      </c>
      <c r="I430" s="465" t="s">
        <v>830</v>
      </c>
    </row>
    <row r="431" hidden="1" ht="15.95" customHeight="1">
      <c r="A431" s="465" t="s">
        <v>1757</v>
      </c>
      <c r="B431" s="465" t="s">
        <v>1758</v>
      </c>
      <c r="C431" s="465"/>
      <c r="D431" s="465" t="s">
        <v>855</v>
      </c>
      <c r="E431" s="465" t="s">
        <v>1730</v>
      </c>
      <c r="F431" s="465" t="s">
        <v>1731</v>
      </c>
      <c r="G431" s="465" t="s">
        <v>1572</v>
      </c>
      <c r="H431" s="465" t="s">
        <v>1573</v>
      </c>
      <c r="I431" s="465" t="s">
        <v>830</v>
      </c>
    </row>
    <row r="432" hidden="1" ht="15.95" customHeight="1">
      <c r="A432" s="465" t="s">
        <v>1759</v>
      </c>
      <c r="B432" s="465" t="s">
        <v>927</v>
      </c>
      <c r="C432" s="465"/>
      <c r="D432" s="465" t="s">
        <v>855</v>
      </c>
      <c r="E432" s="465" t="s">
        <v>1730</v>
      </c>
      <c r="F432" s="465" t="s">
        <v>1731</v>
      </c>
      <c r="G432" s="465" t="s">
        <v>1572</v>
      </c>
      <c r="H432" s="465" t="s">
        <v>1573</v>
      </c>
      <c r="I432" s="465" t="s">
        <v>830</v>
      </c>
    </row>
    <row r="433" hidden="1" ht="15.95" customHeight="1">
      <c r="A433" s="465" t="s">
        <v>1760</v>
      </c>
      <c r="B433" s="465" t="s">
        <v>1761</v>
      </c>
      <c r="C433" s="465"/>
      <c r="D433" s="465" t="s">
        <v>884</v>
      </c>
      <c r="E433" s="465" t="s">
        <v>1762</v>
      </c>
      <c r="F433" s="465" t="s">
        <v>1763</v>
      </c>
      <c r="G433" s="465" t="s">
        <v>1572</v>
      </c>
      <c r="H433" s="465" t="s">
        <v>1573</v>
      </c>
      <c r="I433" s="465" t="s">
        <v>830</v>
      </c>
    </row>
    <row r="434" hidden="1" ht="15.95" customHeight="1">
      <c r="A434" s="465" t="s">
        <v>1764</v>
      </c>
      <c r="B434" s="465" t="s">
        <v>1765</v>
      </c>
      <c r="C434" s="465" t="s">
        <v>1766</v>
      </c>
      <c r="D434" s="465" t="s">
        <v>855</v>
      </c>
      <c r="E434" s="465" t="s">
        <v>1762</v>
      </c>
      <c r="F434" s="465" t="s">
        <v>1763</v>
      </c>
      <c r="G434" s="465" t="s">
        <v>1572</v>
      </c>
      <c r="H434" s="465" t="s">
        <v>1573</v>
      </c>
      <c r="I434" s="465" t="s">
        <v>830</v>
      </c>
    </row>
    <row r="435" hidden="1" ht="15.95" customHeight="1">
      <c r="A435" s="465" t="s">
        <v>1767</v>
      </c>
      <c r="B435" s="465" t="s">
        <v>1768</v>
      </c>
      <c r="C435" s="465"/>
      <c r="D435" s="465" t="s">
        <v>855</v>
      </c>
      <c r="E435" s="465" t="s">
        <v>1762</v>
      </c>
      <c r="F435" s="465" t="s">
        <v>1763</v>
      </c>
      <c r="G435" s="465" t="s">
        <v>1572</v>
      </c>
      <c r="H435" s="465" t="s">
        <v>1573</v>
      </c>
      <c r="I435" s="465" t="s">
        <v>830</v>
      </c>
    </row>
    <row r="436" hidden="1" ht="15.95" customHeight="1">
      <c r="A436" s="465" t="s">
        <v>1769</v>
      </c>
      <c r="B436" s="465" t="s">
        <v>1770</v>
      </c>
      <c r="C436" s="465"/>
      <c r="D436" s="465" t="s">
        <v>855</v>
      </c>
      <c r="E436" s="465" t="s">
        <v>1762</v>
      </c>
      <c r="F436" s="465" t="s">
        <v>1763</v>
      </c>
      <c r="G436" s="465" t="s">
        <v>1572</v>
      </c>
      <c r="H436" s="465" t="s">
        <v>1573</v>
      </c>
      <c r="I436" s="465" t="s">
        <v>830</v>
      </c>
    </row>
    <row r="437" hidden="1" ht="15.95" customHeight="1">
      <c r="A437" s="465" t="s">
        <v>1771</v>
      </c>
      <c r="B437" s="465" t="s">
        <v>1745</v>
      </c>
      <c r="C437" s="465"/>
      <c r="D437" s="465" t="s">
        <v>855</v>
      </c>
      <c r="E437" s="465" t="s">
        <v>1762</v>
      </c>
      <c r="F437" s="465" t="s">
        <v>1763</v>
      </c>
      <c r="G437" s="465" t="s">
        <v>1572</v>
      </c>
      <c r="H437" s="465" t="s">
        <v>1573</v>
      </c>
      <c r="I437" s="465" t="s">
        <v>830</v>
      </c>
    </row>
    <row r="438" hidden="1" ht="15.95" customHeight="1">
      <c r="A438" s="465" t="s">
        <v>1772</v>
      </c>
      <c r="B438" s="465" t="s">
        <v>1773</v>
      </c>
      <c r="C438" s="465"/>
      <c r="D438" s="465" t="s">
        <v>855</v>
      </c>
      <c r="E438" s="465" t="s">
        <v>1762</v>
      </c>
      <c r="F438" s="465" t="s">
        <v>1763</v>
      </c>
      <c r="G438" s="465" t="s">
        <v>1572</v>
      </c>
      <c r="H438" s="465" t="s">
        <v>1573</v>
      </c>
      <c r="I438" s="465" t="s">
        <v>830</v>
      </c>
    </row>
    <row r="439" hidden="1" ht="15.95" customHeight="1">
      <c r="A439" s="465" t="s">
        <v>1774</v>
      </c>
      <c r="B439" s="465" t="s">
        <v>1775</v>
      </c>
      <c r="C439" s="465"/>
      <c r="D439" s="465" t="s">
        <v>855</v>
      </c>
      <c r="E439" s="465" t="s">
        <v>1762</v>
      </c>
      <c r="F439" s="465" t="s">
        <v>1763</v>
      </c>
      <c r="G439" s="465" t="s">
        <v>1572</v>
      </c>
      <c r="H439" s="465" t="s">
        <v>1573</v>
      </c>
      <c r="I439" s="465" t="s">
        <v>830</v>
      </c>
    </row>
    <row r="440" hidden="1" ht="15.95" customHeight="1">
      <c r="A440" s="465" t="s">
        <v>1776</v>
      </c>
      <c r="B440" s="465" t="s">
        <v>1777</v>
      </c>
      <c r="C440" s="465"/>
      <c r="D440" s="465" t="s">
        <v>855</v>
      </c>
      <c r="E440" s="465" t="s">
        <v>1762</v>
      </c>
      <c r="F440" s="465" t="s">
        <v>1763</v>
      </c>
      <c r="G440" s="465" t="s">
        <v>1572</v>
      </c>
      <c r="H440" s="465" t="s">
        <v>1573</v>
      </c>
      <c r="I440" s="465" t="s">
        <v>830</v>
      </c>
    </row>
    <row r="441" hidden="1" ht="15.95" customHeight="1">
      <c r="A441" s="465" t="s">
        <v>1778</v>
      </c>
      <c r="B441" s="465" t="s">
        <v>1779</v>
      </c>
      <c r="C441" s="465"/>
      <c r="D441" s="465" t="s">
        <v>855</v>
      </c>
      <c r="E441" s="465" t="s">
        <v>1762</v>
      </c>
      <c r="F441" s="465" t="s">
        <v>1763</v>
      </c>
      <c r="G441" s="465" t="s">
        <v>1572</v>
      </c>
      <c r="H441" s="465" t="s">
        <v>1573</v>
      </c>
      <c r="I441" s="465" t="s">
        <v>830</v>
      </c>
    </row>
    <row r="442" hidden="1" ht="15.95" customHeight="1">
      <c r="A442" s="465" t="s">
        <v>1780</v>
      </c>
      <c r="B442" s="465" t="s">
        <v>1781</v>
      </c>
      <c r="C442" s="465"/>
      <c r="D442" s="465" t="s">
        <v>855</v>
      </c>
      <c r="E442" s="465" t="s">
        <v>1782</v>
      </c>
      <c r="F442" s="465" t="s">
        <v>1783</v>
      </c>
      <c r="G442" s="465" t="s">
        <v>1572</v>
      </c>
      <c r="H442" s="465" t="s">
        <v>1573</v>
      </c>
      <c r="I442" s="465" t="s">
        <v>830</v>
      </c>
    </row>
    <row r="443" hidden="1" ht="15.95" customHeight="1">
      <c r="A443" s="465" t="s">
        <v>1784</v>
      </c>
      <c r="B443" s="465" t="s">
        <v>1094</v>
      </c>
      <c r="C443" s="465"/>
      <c r="D443" s="465" t="s">
        <v>855</v>
      </c>
      <c r="E443" s="465" t="s">
        <v>1782</v>
      </c>
      <c r="F443" s="465" t="s">
        <v>1783</v>
      </c>
      <c r="G443" s="465" t="s">
        <v>1572</v>
      </c>
      <c r="H443" s="465" t="s">
        <v>1573</v>
      </c>
      <c r="I443" s="465" t="s">
        <v>830</v>
      </c>
    </row>
    <row r="444" hidden="1" ht="15.95" customHeight="1">
      <c r="A444" s="465" t="s">
        <v>1785</v>
      </c>
      <c r="B444" s="465" t="s">
        <v>1786</v>
      </c>
      <c r="C444" s="465"/>
      <c r="D444" s="465" t="s">
        <v>855</v>
      </c>
      <c r="E444" s="465" t="s">
        <v>1782</v>
      </c>
      <c r="F444" s="465" t="s">
        <v>1783</v>
      </c>
      <c r="G444" s="465" t="s">
        <v>1572</v>
      </c>
      <c r="H444" s="465" t="s">
        <v>1573</v>
      </c>
      <c r="I444" s="465" t="s">
        <v>830</v>
      </c>
    </row>
    <row r="445" hidden="1" ht="15.95" customHeight="1">
      <c r="A445" s="465" t="s">
        <v>1787</v>
      </c>
      <c r="B445" s="465" t="s">
        <v>1788</v>
      </c>
      <c r="C445" s="465"/>
      <c r="D445" s="465" t="s">
        <v>855</v>
      </c>
      <c r="E445" s="465" t="s">
        <v>1782</v>
      </c>
      <c r="F445" s="465" t="s">
        <v>1783</v>
      </c>
      <c r="G445" s="465" t="s">
        <v>1572</v>
      </c>
      <c r="H445" s="465" t="s">
        <v>1573</v>
      </c>
      <c r="I445" s="465" t="s">
        <v>830</v>
      </c>
    </row>
    <row r="446" hidden="1" ht="15.95" customHeight="1">
      <c r="A446" s="465" t="s">
        <v>1789</v>
      </c>
      <c r="B446" s="465" t="s">
        <v>869</v>
      </c>
      <c r="C446" s="465"/>
      <c r="D446" s="465" t="s">
        <v>855</v>
      </c>
      <c r="E446" s="465" t="s">
        <v>1782</v>
      </c>
      <c r="F446" s="465" t="s">
        <v>1783</v>
      </c>
      <c r="G446" s="465" t="s">
        <v>1572</v>
      </c>
      <c r="H446" s="465" t="s">
        <v>1573</v>
      </c>
      <c r="I446" s="465" t="s">
        <v>830</v>
      </c>
    </row>
    <row r="447" hidden="1" ht="15.95" customHeight="1">
      <c r="A447" s="465" t="s">
        <v>1790</v>
      </c>
      <c r="B447" s="465" t="s">
        <v>1791</v>
      </c>
      <c r="C447" s="465"/>
      <c r="D447" s="465" t="s">
        <v>855</v>
      </c>
      <c r="E447" s="465" t="s">
        <v>1782</v>
      </c>
      <c r="F447" s="465" t="s">
        <v>1783</v>
      </c>
      <c r="G447" s="465" t="s">
        <v>1572</v>
      </c>
      <c r="H447" s="465" t="s">
        <v>1573</v>
      </c>
      <c r="I447" s="465" t="s">
        <v>830</v>
      </c>
    </row>
    <row r="448" hidden="1" ht="15.95" customHeight="1">
      <c r="A448" s="465" t="s">
        <v>1792</v>
      </c>
      <c r="B448" s="465" t="s">
        <v>1793</v>
      </c>
      <c r="C448" s="465"/>
      <c r="D448" s="465" t="s">
        <v>855</v>
      </c>
      <c r="E448" s="465" t="s">
        <v>1782</v>
      </c>
      <c r="F448" s="465" t="s">
        <v>1783</v>
      </c>
      <c r="G448" s="465" t="s">
        <v>1572</v>
      </c>
      <c r="H448" s="465" t="s">
        <v>1573</v>
      </c>
      <c r="I448" s="465" t="s">
        <v>830</v>
      </c>
    </row>
    <row r="449" hidden="1" ht="15.95" customHeight="1">
      <c r="A449" s="465" t="s">
        <v>1794</v>
      </c>
      <c r="B449" s="465" t="s">
        <v>1795</v>
      </c>
      <c r="C449" s="465"/>
      <c r="D449" s="465" t="s">
        <v>855</v>
      </c>
      <c r="E449" s="465" t="s">
        <v>1782</v>
      </c>
      <c r="F449" s="465" t="s">
        <v>1783</v>
      </c>
      <c r="G449" s="465" t="s">
        <v>1572</v>
      </c>
      <c r="H449" s="465" t="s">
        <v>1573</v>
      </c>
      <c r="I449" s="465" t="s">
        <v>830</v>
      </c>
    </row>
    <row r="450" hidden="1" ht="15.95" customHeight="1">
      <c r="A450" s="465" t="s">
        <v>1796</v>
      </c>
      <c r="B450" s="465" t="s">
        <v>1797</v>
      </c>
      <c r="C450" s="465"/>
      <c r="D450" s="465" t="s">
        <v>855</v>
      </c>
      <c r="E450" s="465" t="s">
        <v>1782</v>
      </c>
      <c r="F450" s="465" t="s">
        <v>1783</v>
      </c>
      <c r="G450" s="465" t="s">
        <v>1572</v>
      </c>
      <c r="H450" s="465" t="s">
        <v>1573</v>
      </c>
      <c r="I450" s="465" t="s">
        <v>830</v>
      </c>
    </row>
    <row r="451" hidden="1" ht="15.95" customHeight="1">
      <c r="A451" s="465" t="s">
        <v>1798</v>
      </c>
      <c r="B451" s="465" t="s">
        <v>1799</v>
      </c>
      <c r="C451" s="465"/>
      <c r="D451" s="465" t="s">
        <v>855</v>
      </c>
      <c r="E451" s="465" t="s">
        <v>1782</v>
      </c>
      <c r="F451" s="465" t="s">
        <v>1783</v>
      </c>
      <c r="G451" s="465" t="s">
        <v>1572</v>
      </c>
      <c r="H451" s="465" t="s">
        <v>1573</v>
      </c>
      <c r="I451" s="465" t="s">
        <v>830</v>
      </c>
    </row>
    <row r="452" hidden="1" ht="15.95" customHeight="1">
      <c r="A452" s="465" t="s">
        <v>1800</v>
      </c>
      <c r="B452" s="465" t="s">
        <v>1266</v>
      </c>
      <c r="C452" s="465"/>
      <c r="D452" s="465" t="s">
        <v>825</v>
      </c>
      <c r="E452" s="465" t="s">
        <v>1801</v>
      </c>
      <c r="F452" s="465" t="s">
        <v>1802</v>
      </c>
      <c r="G452" s="465" t="s">
        <v>1803</v>
      </c>
      <c r="H452" s="465" t="s">
        <v>1804</v>
      </c>
      <c r="I452" s="465" t="s">
        <v>830</v>
      </c>
    </row>
    <row r="453" hidden="1" ht="15.95" customHeight="1">
      <c r="A453" s="465" t="s">
        <v>1805</v>
      </c>
      <c r="B453" s="465" t="s">
        <v>1278</v>
      </c>
      <c r="C453" s="465"/>
      <c r="D453" s="465" t="s">
        <v>825</v>
      </c>
      <c r="E453" s="465" t="s">
        <v>1801</v>
      </c>
      <c r="F453" s="465" t="s">
        <v>1802</v>
      </c>
      <c r="G453" s="465" t="s">
        <v>1803</v>
      </c>
      <c r="H453" s="465" t="s">
        <v>1804</v>
      </c>
      <c r="I453" s="465" t="s">
        <v>830</v>
      </c>
    </row>
    <row r="454" hidden="1" ht="15.95" customHeight="1">
      <c r="A454" s="465" t="s">
        <v>1806</v>
      </c>
      <c r="B454" s="465" t="s">
        <v>1272</v>
      </c>
      <c r="C454" s="465"/>
      <c r="D454" s="465" t="s">
        <v>825</v>
      </c>
      <c r="E454" s="465" t="s">
        <v>1801</v>
      </c>
      <c r="F454" s="465" t="s">
        <v>1802</v>
      </c>
      <c r="G454" s="465" t="s">
        <v>1803</v>
      </c>
      <c r="H454" s="465" t="s">
        <v>1804</v>
      </c>
      <c r="I454" s="465" t="s">
        <v>830</v>
      </c>
    </row>
    <row r="455" hidden="1" ht="15.95" customHeight="1">
      <c r="A455" s="465" t="s">
        <v>1807</v>
      </c>
      <c r="B455" s="465" t="s">
        <v>1808</v>
      </c>
      <c r="C455" s="465"/>
      <c r="D455" s="465" t="s">
        <v>825</v>
      </c>
      <c r="E455" s="465" t="s">
        <v>1801</v>
      </c>
      <c r="F455" s="465" t="s">
        <v>1802</v>
      </c>
      <c r="G455" s="465" t="s">
        <v>1803</v>
      </c>
      <c r="H455" s="465" t="s">
        <v>1804</v>
      </c>
      <c r="I455" s="465" t="s">
        <v>830</v>
      </c>
    </row>
    <row r="456" hidden="1" ht="15.95" customHeight="1">
      <c r="A456" s="465" t="s">
        <v>1809</v>
      </c>
      <c r="B456" s="465" t="s">
        <v>1264</v>
      </c>
      <c r="C456" s="465"/>
      <c r="D456" s="465" t="s">
        <v>825</v>
      </c>
      <c r="E456" s="465" t="s">
        <v>1801</v>
      </c>
      <c r="F456" s="465" t="s">
        <v>1802</v>
      </c>
      <c r="G456" s="465" t="s">
        <v>1803</v>
      </c>
      <c r="H456" s="465" t="s">
        <v>1804</v>
      </c>
      <c r="I456" s="465" t="s">
        <v>830</v>
      </c>
    </row>
    <row r="457" hidden="1" ht="15.95" customHeight="1">
      <c r="A457" s="465" t="s">
        <v>1810</v>
      </c>
      <c r="B457" s="465" t="s">
        <v>1811</v>
      </c>
      <c r="C457" s="465"/>
      <c r="D457" s="465" t="s">
        <v>855</v>
      </c>
      <c r="E457" s="465" t="s">
        <v>1801</v>
      </c>
      <c r="F457" s="465" t="s">
        <v>1802</v>
      </c>
      <c r="G457" s="465" t="s">
        <v>1803</v>
      </c>
      <c r="H457" s="465" t="s">
        <v>1804</v>
      </c>
      <c r="I457" s="465" t="s">
        <v>830</v>
      </c>
    </row>
    <row r="458" hidden="1" ht="15.95" customHeight="1">
      <c r="A458" s="465" t="s">
        <v>1812</v>
      </c>
      <c r="B458" s="465" t="s">
        <v>1033</v>
      </c>
      <c r="C458" s="465"/>
      <c r="D458" s="465" t="s">
        <v>855</v>
      </c>
      <c r="E458" s="465" t="s">
        <v>1801</v>
      </c>
      <c r="F458" s="465" t="s">
        <v>1802</v>
      </c>
      <c r="G458" s="465" t="s">
        <v>1803</v>
      </c>
      <c r="H458" s="465" t="s">
        <v>1804</v>
      </c>
      <c r="I458" s="465" t="s">
        <v>830</v>
      </c>
    </row>
    <row r="459" hidden="1" ht="15.95" customHeight="1">
      <c r="A459" s="465" t="s">
        <v>1813</v>
      </c>
      <c r="B459" s="465" t="s">
        <v>1741</v>
      </c>
      <c r="C459" s="465"/>
      <c r="D459" s="465" t="s">
        <v>855</v>
      </c>
      <c r="E459" s="465" t="s">
        <v>1801</v>
      </c>
      <c r="F459" s="465" t="s">
        <v>1802</v>
      </c>
      <c r="G459" s="465" t="s">
        <v>1803</v>
      </c>
      <c r="H459" s="465" t="s">
        <v>1804</v>
      </c>
      <c r="I459" s="465" t="s">
        <v>830</v>
      </c>
    </row>
    <row r="460" hidden="1" ht="15.95" customHeight="1">
      <c r="A460" s="465" t="s">
        <v>1814</v>
      </c>
      <c r="B460" s="465" t="s">
        <v>1815</v>
      </c>
      <c r="C460" s="465"/>
      <c r="D460" s="465" t="s">
        <v>825</v>
      </c>
      <c r="E460" s="465" t="s">
        <v>1801</v>
      </c>
      <c r="F460" s="465" t="s">
        <v>1802</v>
      </c>
      <c r="G460" s="465" t="s">
        <v>1803</v>
      </c>
      <c r="H460" s="465" t="s">
        <v>1804</v>
      </c>
      <c r="I460" s="465" t="s">
        <v>830</v>
      </c>
    </row>
    <row r="461" hidden="1" ht="15.95" customHeight="1">
      <c r="A461" s="465" t="s">
        <v>1816</v>
      </c>
      <c r="B461" s="465" t="s">
        <v>1817</v>
      </c>
      <c r="C461" s="465"/>
      <c r="D461" s="465" t="s">
        <v>825</v>
      </c>
      <c r="E461" s="465" t="s">
        <v>1801</v>
      </c>
      <c r="F461" s="465" t="s">
        <v>1802</v>
      </c>
      <c r="G461" s="465" t="s">
        <v>1803</v>
      </c>
      <c r="H461" s="465" t="s">
        <v>1804</v>
      </c>
      <c r="I461" s="465" t="s">
        <v>830</v>
      </c>
    </row>
    <row r="462" hidden="1" ht="15.95" customHeight="1">
      <c r="A462" s="465" t="s">
        <v>1818</v>
      </c>
      <c r="B462" s="465" t="s">
        <v>1819</v>
      </c>
      <c r="C462" s="465"/>
      <c r="D462" s="465" t="s">
        <v>884</v>
      </c>
      <c r="E462" s="465" t="s">
        <v>1820</v>
      </c>
      <c r="F462" s="465" t="s">
        <v>1821</v>
      </c>
      <c r="G462" s="465" t="s">
        <v>1803</v>
      </c>
      <c r="H462" s="465" t="s">
        <v>1804</v>
      </c>
      <c r="I462" s="465" t="s">
        <v>830</v>
      </c>
    </row>
    <row r="463" hidden="1" ht="15.95" customHeight="1">
      <c r="A463" s="465" t="s">
        <v>1822</v>
      </c>
      <c r="B463" s="465" t="s">
        <v>1156</v>
      </c>
      <c r="C463" s="465"/>
      <c r="D463" s="465" t="s">
        <v>855</v>
      </c>
      <c r="E463" s="465" t="s">
        <v>1820</v>
      </c>
      <c r="F463" s="465" t="s">
        <v>1821</v>
      </c>
      <c r="G463" s="465" t="s">
        <v>1803</v>
      </c>
      <c r="H463" s="465" t="s">
        <v>1804</v>
      </c>
      <c r="I463" s="465" t="s">
        <v>830</v>
      </c>
    </row>
    <row r="464" hidden="1" ht="15.95" customHeight="1">
      <c r="A464" s="465" t="s">
        <v>1823</v>
      </c>
      <c r="B464" s="465" t="s">
        <v>1824</v>
      </c>
      <c r="C464" s="465"/>
      <c r="D464" s="465" t="s">
        <v>855</v>
      </c>
      <c r="E464" s="465" t="s">
        <v>1820</v>
      </c>
      <c r="F464" s="465" t="s">
        <v>1821</v>
      </c>
      <c r="G464" s="465" t="s">
        <v>1803</v>
      </c>
      <c r="H464" s="465" t="s">
        <v>1804</v>
      </c>
      <c r="I464" s="465" t="s">
        <v>830</v>
      </c>
    </row>
    <row r="465" hidden="1" ht="15.95" customHeight="1">
      <c r="A465" s="465" t="s">
        <v>1825</v>
      </c>
      <c r="B465" s="465" t="s">
        <v>1033</v>
      </c>
      <c r="C465" s="465"/>
      <c r="D465" s="465" t="s">
        <v>855</v>
      </c>
      <c r="E465" s="465" t="s">
        <v>1820</v>
      </c>
      <c r="F465" s="465" t="s">
        <v>1821</v>
      </c>
      <c r="G465" s="465" t="s">
        <v>1803</v>
      </c>
      <c r="H465" s="465" t="s">
        <v>1804</v>
      </c>
      <c r="I465" s="465" t="s">
        <v>830</v>
      </c>
    </row>
    <row r="466" hidden="1" ht="15.95" customHeight="1">
      <c r="A466" s="465" t="s">
        <v>1826</v>
      </c>
      <c r="B466" s="465" t="s">
        <v>1827</v>
      </c>
      <c r="C466" s="465"/>
      <c r="D466" s="465" t="s">
        <v>855</v>
      </c>
      <c r="E466" s="465" t="s">
        <v>1820</v>
      </c>
      <c r="F466" s="465" t="s">
        <v>1821</v>
      </c>
      <c r="G466" s="465" t="s">
        <v>1803</v>
      </c>
      <c r="H466" s="465" t="s">
        <v>1804</v>
      </c>
      <c r="I466" s="465" t="s">
        <v>830</v>
      </c>
    </row>
    <row r="467" hidden="1" ht="15.95" customHeight="1">
      <c r="A467" s="465" t="s">
        <v>1828</v>
      </c>
      <c r="B467" s="465" t="s">
        <v>1829</v>
      </c>
      <c r="C467" s="465"/>
      <c r="D467" s="465" t="s">
        <v>855</v>
      </c>
      <c r="E467" s="465" t="s">
        <v>1820</v>
      </c>
      <c r="F467" s="465" t="s">
        <v>1821</v>
      </c>
      <c r="G467" s="465" t="s">
        <v>1803</v>
      </c>
      <c r="H467" s="465" t="s">
        <v>1804</v>
      </c>
      <c r="I467" s="465" t="s">
        <v>830</v>
      </c>
    </row>
    <row r="468" hidden="1" ht="15.95" customHeight="1">
      <c r="A468" s="465" t="s">
        <v>1830</v>
      </c>
      <c r="B468" s="465" t="s">
        <v>1831</v>
      </c>
      <c r="C468" s="465"/>
      <c r="D468" s="465" t="s">
        <v>855</v>
      </c>
      <c r="E468" s="465" t="s">
        <v>1820</v>
      </c>
      <c r="F468" s="465" t="s">
        <v>1821</v>
      </c>
      <c r="G468" s="465" t="s">
        <v>1803</v>
      </c>
      <c r="H468" s="465" t="s">
        <v>1804</v>
      </c>
      <c r="I468" s="465" t="s">
        <v>830</v>
      </c>
    </row>
    <row r="469" hidden="1" ht="15.95" customHeight="1">
      <c r="A469" s="465" t="s">
        <v>1832</v>
      </c>
      <c r="B469" s="465" t="s">
        <v>1833</v>
      </c>
      <c r="C469" s="465"/>
      <c r="D469" s="465" t="s">
        <v>855</v>
      </c>
      <c r="E469" s="465" t="s">
        <v>1820</v>
      </c>
      <c r="F469" s="465" t="s">
        <v>1821</v>
      </c>
      <c r="G469" s="465" t="s">
        <v>1803</v>
      </c>
      <c r="H469" s="465" t="s">
        <v>1804</v>
      </c>
      <c r="I469" s="465" t="s">
        <v>830</v>
      </c>
    </row>
    <row r="470" hidden="1" ht="15.95" customHeight="1">
      <c r="A470" s="465" t="s">
        <v>1834</v>
      </c>
      <c r="B470" s="465" t="s">
        <v>1835</v>
      </c>
      <c r="C470" s="465"/>
      <c r="D470" s="465" t="s">
        <v>855</v>
      </c>
      <c r="E470" s="465" t="s">
        <v>1820</v>
      </c>
      <c r="F470" s="465" t="s">
        <v>1821</v>
      </c>
      <c r="G470" s="465" t="s">
        <v>1803</v>
      </c>
      <c r="H470" s="465" t="s">
        <v>1804</v>
      </c>
      <c r="I470" s="465" t="s">
        <v>830</v>
      </c>
    </row>
    <row r="471" hidden="1" ht="15.95" customHeight="1">
      <c r="A471" s="465" t="s">
        <v>1836</v>
      </c>
      <c r="B471" s="465" t="s">
        <v>1837</v>
      </c>
      <c r="C471" s="465"/>
      <c r="D471" s="465" t="s">
        <v>855</v>
      </c>
      <c r="E471" s="465" t="s">
        <v>1820</v>
      </c>
      <c r="F471" s="465" t="s">
        <v>1821</v>
      </c>
      <c r="G471" s="465" t="s">
        <v>1803</v>
      </c>
      <c r="H471" s="465" t="s">
        <v>1804</v>
      </c>
      <c r="I471" s="465" t="s">
        <v>830</v>
      </c>
    </row>
    <row r="472" hidden="1" ht="15.95" customHeight="1">
      <c r="A472" s="465" t="s">
        <v>1838</v>
      </c>
      <c r="B472" s="465" t="s">
        <v>1839</v>
      </c>
      <c r="C472" s="465"/>
      <c r="D472" s="465" t="s">
        <v>884</v>
      </c>
      <c r="E472" s="465" t="s">
        <v>1840</v>
      </c>
      <c r="F472" s="465" t="s">
        <v>1841</v>
      </c>
      <c r="G472" s="465" t="s">
        <v>1803</v>
      </c>
      <c r="H472" s="465" t="s">
        <v>1804</v>
      </c>
      <c r="I472" s="465" t="s">
        <v>830</v>
      </c>
    </row>
    <row r="473" hidden="1" ht="15.95" customHeight="1">
      <c r="A473" s="465" t="s">
        <v>1842</v>
      </c>
      <c r="B473" s="465" t="s">
        <v>1218</v>
      </c>
      <c r="C473" s="465"/>
      <c r="D473" s="465" t="s">
        <v>855</v>
      </c>
      <c r="E473" s="465" t="s">
        <v>1840</v>
      </c>
      <c r="F473" s="465" t="s">
        <v>1841</v>
      </c>
      <c r="G473" s="465" t="s">
        <v>1803</v>
      </c>
      <c r="H473" s="465" t="s">
        <v>1804</v>
      </c>
      <c r="I473" s="465" t="s">
        <v>830</v>
      </c>
    </row>
    <row r="474" hidden="1" ht="15.95" customHeight="1">
      <c r="A474" s="465" t="s">
        <v>1843</v>
      </c>
      <c r="B474" s="465" t="s">
        <v>1844</v>
      </c>
      <c r="C474" s="465"/>
      <c r="D474" s="465" t="s">
        <v>855</v>
      </c>
      <c r="E474" s="465" t="s">
        <v>1840</v>
      </c>
      <c r="F474" s="465" t="s">
        <v>1841</v>
      </c>
      <c r="G474" s="465" t="s">
        <v>1803</v>
      </c>
      <c r="H474" s="465" t="s">
        <v>1804</v>
      </c>
      <c r="I474" s="465" t="s">
        <v>830</v>
      </c>
    </row>
    <row r="475" hidden="1" ht="15.95" customHeight="1">
      <c r="A475" s="465" t="s">
        <v>1845</v>
      </c>
      <c r="B475" s="465" t="s">
        <v>1412</v>
      </c>
      <c r="C475" s="465"/>
      <c r="D475" s="465" t="s">
        <v>855</v>
      </c>
      <c r="E475" s="465" t="s">
        <v>1840</v>
      </c>
      <c r="F475" s="465" t="s">
        <v>1841</v>
      </c>
      <c r="G475" s="465" t="s">
        <v>1803</v>
      </c>
      <c r="H475" s="465" t="s">
        <v>1804</v>
      </c>
      <c r="I475" s="465" t="s">
        <v>830</v>
      </c>
    </row>
    <row r="476" hidden="1" ht="15.95" customHeight="1">
      <c r="A476" s="465" t="s">
        <v>1846</v>
      </c>
      <c r="B476" s="465" t="s">
        <v>1722</v>
      </c>
      <c r="C476" s="465"/>
      <c r="D476" s="465" t="s">
        <v>855</v>
      </c>
      <c r="E476" s="465" t="s">
        <v>1840</v>
      </c>
      <c r="F476" s="465" t="s">
        <v>1841</v>
      </c>
      <c r="G476" s="465" t="s">
        <v>1803</v>
      </c>
      <c r="H476" s="465" t="s">
        <v>1804</v>
      </c>
      <c r="I476" s="465" t="s">
        <v>830</v>
      </c>
    </row>
    <row r="477" hidden="1" ht="15.95" customHeight="1">
      <c r="A477" s="465" t="s">
        <v>1847</v>
      </c>
      <c r="B477" s="465" t="s">
        <v>1848</v>
      </c>
      <c r="C477" s="465"/>
      <c r="D477" s="465" t="s">
        <v>855</v>
      </c>
      <c r="E477" s="465" t="s">
        <v>1840</v>
      </c>
      <c r="F477" s="465" t="s">
        <v>1841</v>
      </c>
      <c r="G477" s="465" t="s">
        <v>1803</v>
      </c>
      <c r="H477" s="465" t="s">
        <v>1804</v>
      </c>
      <c r="I477" s="465" t="s">
        <v>830</v>
      </c>
    </row>
    <row r="478" hidden="1" ht="15.95" customHeight="1">
      <c r="A478" s="465" t="s">
        <v>1849</v>
      </c>
      <c r="B478" s="465" t="s">
        <v>1850</v>
      </c>
      <c r="C478" s="465"/>
      <c r="D478" s="465" t="s">
        <v>855</v>
      </c>
      <c r="E478" s="465" t="s">
        <v>1840</v>
      </c>
      <c r="F478" s="465" t="s">
        <v>1841</v>
      </c>
      <c r="G478" s="465" t="s">
        <v>1803</v>
      </c>
      <c r="H478" s="465" t="s">
        <v>1804</v>
      </c>
      <c r="I478" s="465" t="s">
        <v>830</v>
      </c>
    </row>
    <row r="479" hidden="1" ht="15.95" customHeight="1">
      <c r="A479" s="465" t="s">
        <v>1851</v>
      </c>
      <c r="B479" s="465" t="s">
        <v>1705</v>
      </c>
      <c r="C479" s="465"/>
      <c r="D479" s="465" t="s">
        <v>855</v>
      </c>
      <c r="E479" s="465" t="s">
        <v>1840</v>
      </c>
      <c r="F479" s="465" t="s">
        <v>1841</v>
      </c>
      <c r="G479" s="465" t="s">
        <v>1803</v>
      </c>
      <c r="H479" s="465" t="s">
        <v>1804</v>
      </c>
      <c r="I479" s="465" t="s">
        <v>830</v>
      </c>
    </row>
    <row r="480" hidden="1" ht="15.95" customHeight="1">
      <c r="A480" s="465" t="s">
        <v>1852</v>
      </c>
      <c r="B480" s="465" t="s">
        <v>1853</v>
      </c>
      <c r="C480" s="465"/>
      <c r="D480" s="465" t="s">
        <v>855</v>
      </c>
      <c r="E480" s="465" t="s">
        <v>1840</v>
      </c>
      <c r="F480" s="465" t="s">
        <v>1841</v>
      </c>
      <c r="G480" s="465" t="s">
        <v>1803</v>
      </c>
      <c r="H480" s="465" t="s">
        <v>1804</v>
      </c>
      <c r="I480" s="465" t="s">
        <v>830</v>
      </c>
    </row>
    <row r="481" hidden="1" ht="15.95" customHeight="1">
      <c r="A481" s="465" t="s">
        <v>1854</v>
      </c>
      <c r="B481" s="465" t="s">
        <v>1164</v>
      </c>
      <c r="C481" s="465"/>
      <c r="D481" s="465" t="s">
        <v>855</v>
      </c>
      <c r="E481" s="465" t="s">
        <v>1840</v>
      </c>
      <c r="F481" s="465" t="s">
        <v>1841</v>
      </c>
      <c r="G481" s="465" t="s">
        <v>1803</v>
      </c>
      <c r="H481" s="465" t="s">
        <v>1804</v>
      </c>
      <c r="I481" s="465" t="s">
        <v>830</v>
      </c>
    </row>
    <row r="482" hidden="1" ht="15.95" customHeight="1">
      <c r="A482" s="465" t="s">
        <v>1855</v>
      </c>
      <c r="B482" s="465" t="s">
        <v>1856</v>
      </c>
      <c r="C482" s="465"/>
      <c r="D482" s="465" t="s">
        <v>855</v>
      </c>
      <c r="E482" s="465" t="s">
        <v>1840</v>
      </c>
      <c r="F482" s="465" t="s">
        <v>1841</v>
      </c>
      <c r="G482" s="465" t="s">
        <v>1803</v>
      </c>
      <c r="H482" s="465" t="s">
        <v>1804</v>
      </c>
      <c r="I482" s="465" t="s">
        <v>830</v>
      </c>
    </row>
    <row r="483" hidden="1" ht="15.95" customHeight="1">
      <c r="A483" s="465" t="s">
        <v>1857</v>
      </c>
      <c r="B483" s="465" t="s">
        <v>1691</v>
      </c>
      <c r="C483" s="465"/>
      <c r="D483" s="465" t="s">
        <v>855</v>
      </c>
      <c r="E483" s="465" t="s">
        <v>1840</v>
      </c>
      <c r="F483" s="465" t="s">
        <v>1841</v>
      </c>
      <c r="G483" s="465" t="s">
        <v>1803</v>
      </c>
      <c r="H483" s="465" t="s">
        <v>1804</v>
      </c>
      <c r="I483" s="465" t="s">
        <v>830</v>
      </c>
    </row>
    <row r="484" hidden="1" ht="15.95" customHeight="1">
      <c r="A484" s="465" t="s">
        <v>1858</v>
      </c>
      <c r="B484" s="465" t="s">
        <v>1859</v>
      </c>
      <c r="C484" s="465"/>
      <c r="D484" s="465" t="s">
        <v>884</v>
      </c>
      <c r="E484" s="465" t="s">
        <v>1860</v>
      </c>
      <c r="F484" s="465" t="s">
        <v>1861</v>
      </c>
      <c r="G484" s="465" t="s">
        <v>1803</v>
      </c>
      <c r="H484" s="465" t="s">
        <v>1804</v>
      </c>
      <c r="I484" s="465" t="s">
        <v>830</v>
      </c>
    </row>
    <row r="485" hidden="1" ht="15.95" customHeight="1">
      <c r="A485" s="465" t="s">
        <v>1862</v>
      </c>
      <c r="B485" s="465" t="s">
        <v>1863</v>
      </c>
      <c r="C485" s="465"/>
      <c r="D485" s="465" t="s">
        <v>855</v>
      </c>
      <c r="E485" s="465" t="s">
        <v>1860</v>
      </c>
      <c r="F485" s="465" t="s">
        <v>1861</v>
      </c>
      <c r="G485" s="465" t="s">
        <v>1803</v>
      </c>
      <c r="H485" s="465" t="s">
        <v>1804</v>
      </c>
      <c r="I485" s="465" t="s">
        <v>830</v>
      </c>
    </row>
    <row r="486" hidden="1" ht="15.95" customHeight="1">
      <c r="A486" s="465" t="s">
        <v>1864</v>
      </c>
      <c r="B486" s="465" t="s">
        <v>1865</v>
      </c>
      <c r="C486" s="465"/>
      <c r="D486" s="465" t="s">
        <v>855</v>
      </c>
      <c r="E486" s="465" t="s">
        <v>1860</v>
      </c>
      <c r="F486" s="465" t="s">
        <v>1861</v>
      </c>
      <c r="G486" s="465" t="s">
        <v>1803</v>
      </c>
      <c r="H486" s="465" t="s">
        <v>1804</v>
      </c>
      <c r="I486" s="465" t="s">
        <v>830</v>
      </c>
    </row>
    <row r="487" hidden="1" ht="15.95" customHeight="1">
      <c r="A487" s="465" t="s">
        <v>1866</v>
      </c>
      <c r="B487" s="465" t="s">
        <v>965</v>
      </c>
      <c r="C487" s="465"/>
      <c r="D487" s="465" t="s">
        <v>855</v>
      </c>
      <c r="E487" s="465" t="s">
        <v>1860</v>
      </c>
      <c r="F487" s="465" t="s">
        <v>1861</v>
      </c>
      <c r="G487" s="465" t="s">
        <v>1803</v>
      </c>
      <c r="H487" s="465" t="s">
        <v>1804</v>
      </c>
      <c r="I487" s="465" t="s">
        <v>830</v>
      </c>
    </row>
    <row r="488" hidden="1" ht="15.95" customHeight="1">
      <c r="A488" s="465" t="s">
        <v>1867</v>
      </c>
      <c r="B488" s="465" t="s">
        <v>971</v>
      </c>
      <c r="C488" s="465"/>
      <c r="D488" s="465" t="s">
        <v>855</v>
      </c>
      <c r="E488" s="465" t="s">
        <v>1860</v>
      </c>
      <c r="F488" s="465" t="s">
        <v>1861</v>
      </c>
      <c r="G488" s="465" t="s">
        <v>1803</v>
      </c>
      <c r="H488" s="465" t="s">
        <v>1804</v>
      </c>
      <c r="I488" s="465" t="s">
        <v>830</v>
      </c>
    </row>
    <row r="489" hidden="1" ht="15.95" customHeight="1">
      <c r="A489" s="465" t="s">
        <v>1868</v>
      </c>
      <c r="B489" s="465" t="s">
        <v>1869</v>
      </c>
      <c r="C489" s="465"/>
      <c r="D489" s="465" t="s">
        <v>855</v>
      </c>
      <c r="E489" s="465" t="s">
        <v>1860</v>
      </c>
      <c r="F489" s="465" t="s">
        <v>1861</v>
      </c>
      <c r="G489" s="465" t="s">
        <v>1803</v>
      </c>
      <c r="H489" s="465" t="s">
        <v>1804</v>
      </c>
      <c r="I489" s="465" t="s">
        <v>830</v>
      </c>
    </row>
    <row r="490" hidden="1" ht="15.95" customHeight="1">
      <c r="A490" s="465" t="s">
        <v>1870</v>
      </c>
      <c r="B490" s="465" t="s">
        <v>1871</v>
      </c>
      <c r="C490" s="465"/>
      <c r="D490" s="465" t="s">
        <v>855</v>
      </c>
      <c r="E490" s="465" t="s">
        <v>1860</v>
      </c>
      <c r="F490" s="465" t="s">
        <v>1861</v>
      </c>
      <c r="G490" s="465" t="s">
        <v>1803</v>
      </c>
      <c r="H490" s="465" t="s">
        <v>1804</v>
      </c>
      <c r="I490" s="465" t="s">
        <v>830</v>
      </c>
    </row>
    <row r="491" hidden="1" ht="15.95" customHeight="1">
      <c r="A491" s="465" t="s">
        <v>1872</v>
      </c>
      <c r="B491" s="465" t="s">
        <v>1873</v>
      </c>
      <c r="C491" s="465"/>
      <c r="D491" s="465" t="s">
        <v>855</v>
      </c>
      <c r="E491" s="465" t="s">
        <v>1860</v>
      </c>
      <c r="F491" s="465" t="s">
        <v>1861</v>
      </c>
      <c r="G491" s="465" t="s">
        <v>1803</v>
      </c>
      <c r="H491" s="465" t="s">
        <v>1804</v>
      </c>
      <c r="I491" s="465" t="s">
        <v>830</v>
      </c>
    </row>
    <row r="492" hidden="1" ht="15.95" customHeight="1">
      <c r="A492" s="465" t="s">
        <v>1874</v>
      </c>
      <c r="B492" s="465" t="s">
        <v>1875</v>
      </c>
      <c r="C492" s="465"/>
      <c r="D492" s="465" t="s">
        <v>855</v>
      </c>
      <c r="E492" s="465" t="s">
        <v>1860</v>
      </c>
      <c r="F492" s="465" t="s">
        <v>1861</v>
      </c>
      <c r="G492" s="465" t="s">
        <v>1803</v>
      </c>
      <c r="H492" s="465" t="s">
        <v>1804</v>
      </c>
      <c r="I492" s="465" t="s">
        <v>830</v>
      </c>
    </row>
    <row r="493" hidden="1" ht="15.95" customHeight="1">
      <c r="A493" s="465" t="s">
        <v>1876</v>
      </c>
      <c r="B493" s="465" t="s">
        <v>1877</v>
      </c>
      <c r="C493" s="465"/>
      <c r="D493" s="465" t="s">
        <v>855</v>
      </c>
      <c r="E493" s="465" t="s">
        <v>1860</v>
      </c>
      <c r="F493" s="465" t="s">
        <v>1861</v>
      </c>
      <c r="G493" s="465" t="s">
        <v>1803</v>
      </c>
      <c r="H493" s="465" t="s">
        <v>1804</v>
      </c>
      <c r="I493" s="465" t="s">
        <v>830</v>
      </c>
    </row>
    <row r="494" hidden="1" ht="15.95" customHeight="1">
      <c r="A494" s="465" t="s">
        <v>1878</v>
      </c>
      <c r="B494" s="465" t="s">
        <v>1879</v>
      </c>
      <c r="C494" s="465"/>
      <c r="D494" s="465" t="s">
        <v>855</v>
      </c>
      <c r="E494" s="465" t="s">
        <v>1860</v>
      </c>
      <c r="F494" s="465" t="s">
        <v>1861</v>
      </c>
      <c r="G494" s="465" t="s">
        <v>1803</v>
      </c>
      <c r="H494" s="465" t="s">
        <v>1804</v>
      </c>
      <c r="I494" s="465" t="s">
        <v>830</v>
      </c>
    </row>
    <row r="495" hidden="1" ht="15.95" customHeight="1">
      <c r="A495" s="465" t="s">
        <v>1880</v>
      </c>
      <c r="B495" s="465" t="s">
        <v>1881</v>
      </c>
      <c r="C495" s="465"/>
      <c r="D495" s="465" t="s">
        <v>884</v>
      </c>
      <c r="E495" s="465" t="s">
        <v>1882</v>
      </c>
      <c r="F495" s="465" t="s">
        <v>1883</v>
      </c>
      <c r="G495" s="465" t="s">
        <v>1803</v>
      </c>
      <c r="H495" s="465" t="s">
        <v>1804</v>
      </c>
      <c r="I495" s="465" t="s">
        <v>830</v>
      </c>
    </row>
    <row r="496" hidden="1" ht="15.95" customHeight="1">
      <c r="A496" s="465" t="s">
        <v>1884</v>
      </c>
      <c r="B496" s="465" t="s">
        <v>1885</v>
      </c>
      <c r="C496" s="465"/>
      <c r="D496" s="465" t="s">
        <v>855</v>
      </c>
      <c r="E496" s="465" t="s">
        <v>1882</v>
      </c>
      <c r="F496" s="465" t="s">
        <v>1883</v>
      </c>
      <c r="G496" s="465" t="s">
        <v>1803</v>
      </c>
      <c r="H496" s="465" t="s">
        <v>1804</v>
      </c>
      <c r="I496" s="465" t="s">
        <v>830</v>
      </c>
    </row>
    <row r="497" hidden="1" ht="15.95" customHeight="1">
      <c r="A497" s="465" t="s">
        <v>1886</v>
      </c>
      <c r="B497" s="465" t="s">
        <v>941</v>
      </c>
      <c r="C497" s="465"/>
      <c r="D497" s="465" t="s">
        <v>855</v>
      </c>
      <c r="E497" s="465" t="s">
        <v>1882</v>
      </c>
      <c r="F497" s="465" t="s">
        <v>1883</v>
      </c>
      <c r="G497" s="465" t="s">
        <v>1803</v>
      </c>
      <c r="H497" s="465" t="s">
        <v>1804</v>
      </c>
      <c r="I497" s="465" t="s">
        <v>830</v>
      </c>
    </row>
    <row r="498" hidden="1" ht="15.95" customHeight="1">
      <c r="A498" s="465" t="s">
        <v>1887</v>
      </c>
      <c r="B498" s="465" t="s">
        <v>1888</v>
      </c>
      <c r="C498" s="465"/>
      <c r="D498" s="465" t="s">
        <v>855</v>
      </c>
      <c r="E498" s="465" t="s">
        <v>1882</v>
      </c>
      <c r="F498" s="465" t="s">
        <v>1883</v>
      </c>
      <c r="G498" s="465" t="s">
        <v>1803</v>
      </c>
      <c r="H498" s="465" t="s">
        <v>1804</v>
      </c>
      <c r="I498" s="465" t="s">
        <v>830</v>
      </c>
    </row>
    <row r="499" hidden="1" ht="15.95" customHeight="1">
      <c r="A499" s="465" t="s">
        <v>1889</v>
      </c>
      <c r="B499" s="465" t="s">
        <v>1890</v>
      </c>
      <c r="C499" s="465"/>
      <c r="D499" s="465" t="s">
        <v>855</v>
      </c>
      <c r="E499" s="465" t="s">
        <v>1882</v>
      </c>
      <c r="F499" s="465" t="s">
        <v>1883</v>
      </c>
      <c r="G499" s="465" t="s">
        <v>1803</v>
      </c>
      <c r="H499" s="465" t="s">
        <v>1804</v>
      </c>
      <c r="I499" s="465" t="s">
        <v>830</v>
      </c>
    </row>
    <row r="500" hidden="1" ht="15.95" customHeight="1">
      <c r="A500" s="465" t="s">
        <v>1891</v>
      </c>
      <c r="B500" s="465" t="s">
        <v>1892</v>
      </c>
      <c r="C500" s="465"/>
      <c r="D500" s="465" t="s">
        <v>855</v>
      </c>
      <c r="E500" s="465" t="s">
        <v>1882</v>
      </c>
      <c r="F500" s="465" t="s">
        <v>1883</v>
      </c>
      <c r="G500" s="465" t="s">
        <v>1803</v>
      </c>
      <c r="H500" s="465" t="s">
        <v>1804</v>
      </c>
      <c r="I500" s="465" t="s">
        <v>830</v>
      </c>
    </row>
    <row r="501" hidden="1" ht="15.95" customHeight="1">
      <c r="A501" s="465" t="s">
        <v>1893</v>
      </c>
      <c r="B501" s="465" t="s">
        <v>1894</v>
      </c>
      <c r="C501" s="465"/>
      <c r="D501" s="465" t="s">
        <v>855</v>
      </c>
      <c r="E501" s="465" t="s">
        <v>1882</v>
      </c>
      <c r="F501" s="465" t="s">
        <v>1883</v>
      </c>
      <c r="G501" s="465" t="s">
        <v>1803</v>
      </c>
      <c r="H501" s="465" t="s">
        <v>1804</v>
      </c>
      <c r="I501" s="465" t="s">
        <v>830</v>
      </c>
    </row>
    <row r="502" hidden="1" ht="15.95" customHeight="1">
      <c r="A502" s="465" t="s">
        <v>1895</v>
      </c>
      <c r="B502" s="465" t="s">
        <v>1896</v>
      </c>
      <c r="C502" s="465"/>
      <c r="D502" s="465" t="s">
        <v>855</v>
      </c>
      <c r="E502" s="465" t="s">
        <v>1882</v>
      </c>
      <c r="F502" s="465" t="s">
        <v>1883</v>
      </c>
      <c r="G502" s="465" t="s">
        <v>1803</v>
      </c>
      <c r="H502" s="465" t="s">
        <v>1804</v>
      </c>
      <c r="I502" s="465" t="s">
        <v>830</v>
      </c>
    </row>
    <row r="503" hidden="1" ht="15.95" customHeight="1">
      <c r="A503" s="465" t="s">
        <v>1897</v>
      </c>
      <c r="B503" s="465" t="s">
        <v>1898</v>
      </c>
      <c r="C503" s="465"/>
      <c r="D503" s="465" t="s">
        <v>855</v>
      </c>
      <c r="E503" s="465" t="s">
        <v>1882</v>
      </c>
      <c r="F503" s="465" t="s">
        <v>1883</v>
      </c>
      <c r="G503" s="465" t="s">
        <v>1803</v>
      </c>
      <c r="H503" s="465" t="s">
        <v>1804</v>
      </c>
      <c r="I503" s="465" t="s">
        <v>830</v>
      </c>
    </row>
    <row r="504" hidden="1" ht="15.95" customHeight="1">
      <c r="A504" s="465" t="s">
        <v>1899</v>
      </c>
      <c r="B504" s="465" t="s">
        <v>1900</v>
      </c>
      <c r="C504" s="465"/>
      <c r="D504" s="465" t="s">
        <v>855</v>
      </c>
      <c r="E504" s="465" t="s">
        <v>1882</v>
      </c>
      <c r="F504" s="465" t="s">
        <v>1883</v>
      </c>
      <c r="G504" s="465" t="s">
        <v>1803</v>
      </c>
      <c r="H504" s="465" t="s">
        <v>1804</v>
      </c>
      <c r="I504" s="465" t="s">
        <v>830</v>
      </c>
    </row>
    <row r="505" hidden="1" ht="15.95" customHeight="1">
      <c r="A505" s="465" t="s">
        <v>1901</v>
      </c>
      <c r="B505" s="465" t="s">
        <v>1902</v>
      </c>
      <c r="C505" s="465"/>
      <c r="D505" s="465" t="s">
        <v>855</v>
      </c>
      <c r="E505" s="465" t="s">
        <v>1882</v>
      </c>
      <c r="F505" s="465" t="s">
        <v>1883</v>
      </c>
      <c r="G505" s="465" t="s">
        <v>1803</v>
      </c>
      <c r="H505" s="465" t="s">
        <v>1804</v>
      </c>
      <c r="I505" s="465" t="s">
        <v>830</v>
      </c>
    </row>
    <row r="506" hidden="1" ht="15.95" customHeight="1">
      <c r="A506" s="465" t="s">
        <v>1903</v>
      </c>
      <c r="B506" s="465" t="s">
        <v>1904</v>
      </c>
      <c r="C506" s="465"/>
      <c r="D506" s="465" t="s">
        <v>855</v>
      </c>
      <c r="E506" s="465" t="s">
        <v>1882</v>
      </c>
      <c r="F506" s="465" t="s">
        <v>1883</v>
      </c>
      <c r="G506" s="465" t="s">
        <v>1803</v>
      </c>
      <c r="H506" s="465" t="s">
        <v>1804</v>
      </c>
      <c r="I506" s="465" t="s">
        <v>830</v>
      </c>
    </row>
    <row r="507" hidden="1" ht="15.95" customHeight="1">
      <c r="A507" s="465" t="s">
        <v>1905</v>
      </c>
      <c r="B507" s="465" t="s">
        <v>1906</v>
      </c>
      <c r="C507" s="465"/>
      <c r="D507" s="465" t="s">
        <v>855</v>
      </c>
      <c r="E507" s="465" t="s">
        <v>1882</v>
      </c>
      <c r="F507" s="465" t="s">
        <v>1883</v>
      </c>
      <c r="G507" s="465" t="s">
        <v>1803</v>
      </c>
      <c r="H507" s="465" t="s">
        <v>1804</v>
      </c>
      <c r="I507" s="465" t="s">
        <v>830</v>
      </c>
    </row>
    <row r="508" hidden="1" ht="15.95" customHeight="1">
      <c r="A508" s="465" t="s">
        <v>1907</v>
      </c>
      <c r="B508" s="465" t="s">
        <v>1908</v>
      </c>
      <c r="C508" s="465"/>
      <c r="D508" s="465" t="s">
        <v>855</v>
      </c>
      <c r="E508" s="465" t="s">
        <v>1882</v>
      </c>
      <c r="F508" s="465" t="s">
        <v>1883</v>
      </c>
      <c r="G508" s="465" t="s">
        <v>1803</v>
      </c>
      <c r="H508" s="465" t="s">
        <v>1804</v>
      </c>
      <c r="I508" s="465" t="s">
        <v>830</v>
      </c>
    </row>
    <row r="509" hidden="1" ht="15.95" customHeight="1">
      <c r="A509" s="465" t="s">
        <v>1909</v>
      </c>
      <c r="B509" s="465" t="s">
        <v>1910</v>
      </c>
      <c r="C509" s="465"/>
      <c r="D509" s="465" t="s">
        <v>855</v>
      </c>
      <c r="E509" s="465" t="s">
        <v>1882</v>
      </c>
      <c r="F509" s="465" t="s">
        <v>1883</v>
      </c>
      <c r="G509" s="465" t="s">
        <v>1803</v>
      </c>
      <c r="H509" s="465" t="s">
        <v>1804</v>
      </c>
      <c r="I509" s="465" t="s">
        <v>830</v>
      </c>
    </row>
    <row r="510" hidden="1" ht="15.95" customHeight="1">
      <c r="A510" s="465" t="s">
        <v>1911</v>
      </c>
      <c r="B510" s="465" t="s">
        <v>1912</v>
      </c>
      <c r="C510" s="465"/>
      <c r="D510" s="465" t="s">
        <v>884</v>
      </c>
      <c r="E510" s="465" t="s">
        <v>1913</v>
      </c>
      <c r="F510" s="465" t="s">
        <v>1914</v>
      </c>
      <c r="G510" s="465" t="s">
        <v>1803</v>
      </c>
      <c r="H510" s="465" t="s">
        <v>1804</v>
      </c>
      <c r="I510" s="465" t="s">
        <v>830</v>
      </c>
    </row>
    <row r="511" hidden="1" ht="15.95" customHeight="1">
      <c r="A511" s="465" t="s">
        <v>1915</v>
      </c>
      <c r="B511" s="465" t="s">
        <v>1916</v>
      </c>
      <c r="C511" s="465"/>
      <c r="D511" s="465" t="s">
        <v>855</v>
      </c>
      <c r="E511" s="465" t="s">
        <v>1913</v>
      </c>
      <c r="F511" s="465" t="s">
        <v>1914</v>
      </c>
      <c r="G511" s="465" t="s">
        <v>1803</v>
      </c>
      <c r="H511" s="465" t="s">
        <v>1804</v>
      </c>
      <c r="I511" s="465" t="s">
        <v>830</v>
      </c>
    </row>
    <row r="512" hidden="1" ht="15.95" customHeight="1">
      <c r="A512" s="465" t="s">
        <v>1917</v>
      </c>
      <c r="B512" s="465" t="s">
        <v>1918</v>
      </c>
      <c r="C512" s="465"/>
      <c r="D512" s="465" t="s">
        <v>855</v>
      </c>
      <c r="E512" s="465" t="s">
        <v>1913</v>
      </c>
      <c r="F512" s="465" t="s">
        <v>1914</v>
      </c>
      <c r="G512" s="465" t="s">
        <v>1803</v>
      </c>
      <c r="H512" s="465" t="s">
        <v>1804</v>
      </c>
      <c r="I512" s="465" t="s">
        <v>830</v>
      </c>
    </row>
    <row r="513" hidden="1" ht="15.95" customHeight="1">
      <c r="A513" s="465" t="s">
        <v>1919</v>
      </c>
      <c r="B513" s="465" t="s">
        <v>1920</v>
      </c>
      <c r="C513" s="465"/>
      <c r="D513" s="465" t="s">
        <v>855</v>
      </c>
      <c r="E513" s="465" t="s">
        <v>1913</v>
      </c>
      <c r="F513" s="465" t="s">
        <v>1914</v>
      </c>
      <c r="G513" s="465" t="s">
        <v>1803</v>
      </c>
      <c r="H513" s="465" t="s">
        <v>1804</v>
      </c>
      <c r="I513" s="465" t="s">
        <v>830</v>
      </c>
    </row>
    <row r="514" hidden="1" ht="15.95" customHeight="1">
      <c r="A514" s="465" t="s">
        <v>1921</v>
      </c>
      <c r="B514" s="465" t="s">
        <v>1922</v>
      </c>
      <c r="C514" s="465"/>
      <c r="D514" s="465" t="s">
        <v>855</v>
      </c>
      <c r="E514" s="465" t="s">
        <v>1913</v>
      </c>
      <c r="F514" s="465" t="s">
        <v>1914</v>
      </c>
      <c r="G514" s="465" t="s">
        <v>1803</v>
      </c>
      <c r="H514" s="465" t="s">
        <v>1804</v>
      </c>
      <c r="I514" s="465" t="s">
        <v>830</v>
      </c>
    </row>
    <row r="515" hidden="1" ht="15.95" customHeight="1">
      <c r="A515" s="465" t="s">
        <v>1923</v>
      </c>
      <c r="B515" s="465" t="s">
        <v>1924</v>
      </c>
      <c r="C515" s="465"/>
      <c r="D515" s="465" t="s">
        <v>855</v>
      </c>
      <c r="E515" s="465" t="s">
        <v>1913</v>
      </c>
      <c r="F515" s="465" t="s">
        <v>1914</v>
      </c>
      <c r="G515" s="465" t="s">
        <v>1803</v>
      </c>
      <c r="H515" s="465" t="s">
        <v>1804</v>
      </c>
      <c r="I515" s="465" t="s">
        <v>830</v>
      </c>
    </row>
    <row r="516" hidden="1" ht="15.95" customHeight="1">
      <c r="A516" s="465" t="s">
        <v>1925</v>
      </c>
      <c r="B516" s="465" t="s">
        <v>1926</v>
      </c>
      <c r="C516" s="465"/>
      <c r="D516" s="465" t="s">
        <v>855</v>
      </c>
      <c r="E516" s="465" t="s">
        <v>1913</v>
      </c>
      <c r="F516" s="465" t="s">
        <v>1914</v>
      </c>
      <c r="G516" s="465" t="s">
        <v>1803</v>
      </c>
      <c r="H516" s="465" t="s">
        <v>1804</v>
      </c>
      <c r="I516" s="465" t="s">
        <v>830</v>
      </c>
    </row>
    <row r="517" hidden="1" ht="15.95" customHeight="1">
      <c r="A517" s="465" t="s">
        <v>1927</v>
      </c>
      <c r="B517" s="465" t="s">
        <v>1928</v>
      </c>
      <c r="C517" s="465"/>
      <c r="D517" s="465" t="s">
        <v>855</v>
      </c>
      <c r="E517" s="465" t="s">
        <v>1913</v>
      </c>
      <c r="F517" s="465" t="s">
        <v>1914</v>
      </c>
      <c r="G517" s="465" t="s">
        <v>1803</v>
      </c>
      <c r="H517" s="465" t="s">
        <v>1804</v>
      </c>
      <c r="I517" s="465" t="s">
        <v>830</v>
      </c>
    </row>
    <row r="518" hidden="1" ht="15.95" customHeight="1">
      <c r="A518" s="465" t="s">
        <v>1929</v>
      </c>
      <c r="B518" s="465" t="s">
        <v>1930</v>
      </c>
      <c r="C518" s="465"/>
      <c r="D518" s="465" t="s">
        <v>884</v>
      </c>
      <c r="E518" s="465" t="s">
        <v>1931</v>
      </c>
      <c r="F518" s="465" t="s">
        <v>1932</v>
      </c>
      <c r="G518" s="465" t="s">
        <v>1803</v>
      </c>
      <c r="H518" s="465" t="s">
        <v>1804</v>
      </c>
      <c r="I518" s="465" t="s">
        <v>830</v>
      </c>
    </row>
    <row r="519" hidden="1" ht="15.95" customHeight="1">
      <c r="A519" s="465" t="s">
        <v>1933</v>
      </c>
      <c r="B519" s="465" t="s">
        <v>1934</v>
      </c>
      <c r="C519" s="465"/>
      <c r="D519" s="465" t="s">
        <v>855</v>
      </c>
      <c r="E519" s="465" t="s">
        <v>1931</v>
      </c>
      <c r="F519" s="465" t="s">
        <v>1932</v>
      </c>
      <c r="G519" s="465" t="s">
        <v>1803</v>
      </c>
      <c r="H519" s="465" t="s">
        <v>1804</v>
      </c>
      <c r="I519" s="465" t="s">
        <v>830</v>
      </c>
    </row>
    <row r="520" hidden="1" ht="15.95" customHeight="1">
      <c r="A520" s="465" t="s">
        <v>1935</v>
      </c>
      <c r="B520" s="465" t="s">
        <v>1936</v>
      </c>
      <c r="C520" s="465"/>
      <c r="D520" s="465" t="s">
        <v>855</v>
      </c>
      <c r="E520" s="465" t="s">
        <v>1931</v>
      </c>
      <c r="F520" s="465" t="s">
        <v>1932</v>
      </c>
      <c r="G520" s="465" t="s">
        <v>1803</v>
      </c>
      <c r="H520" s="465" t="s">
        <v>1804</v>
      </c>
      <c r="I520" s="465" t="s">
        <v>830</v>
      </c>
    </row>
    <row r="521" hidden="1" ht="15.95" customHeight="1">
      <c r="A521" s="465" t="s">
        <v>1937</v>
      </c>
      <c r="B521" s="465" t="s">
        <v>1407</v>
      </c>
      <c r="C521" s="465"/>
      <c r="D521" s="465" t="s">
        <v>855</v>
      </c>
      <c r="E521" s="465" t="s">
        <v>1931</v>
      </c>
      <c r="F521" s="465" t="s">
        <v>1932</v>
      </c>
      <c r="G521" s="465" t="s">
        <v>1803</v>
      </c>
      <c r="H521" s="465" t="s">
        <v>1804</v>
      </c>
      <c r="I521" s="465" t="s">
        <v>830</v>
      </c>
    </row>
    <row r="522" hidden="1" ht="15.95" customHeight="1">
      <c r="A522" s="465" t="s">
        <v>1938</v>
      </c>
      <c r="B522" s="465" t="s">
        <v>1939</v>
      </c>
      <c r="C522" s="465"/>
      <c r="D522" s="465" t="s">
        <v>855</v>
      </c>
      <c r="E522" s="465" t="s">
        <v>1931</v>
      </c>
      <c r="F522" s="465" t="s">
        <v>1932</v>
      </c>
      <c r="G522" s="465" t="s">
        <v>1803</v>
      </c>
      <c r="H522" s="465" t="s">
        <v>1804</v>
      </c>
      <c r="I522" s="465" t="s">
        <v>830</v>
      </c>
    </row>
    <row r="523" hidden="1" ht="15.95" customHeight="1">
      <c r="A523" s="465" t="s">
        <v>1940</v>
      </c>
      <c r="B523" s="465" t="s">
        <v>1941</v>
      </c>
      <c r="C523" s="465"/>
      <c r="D523" s="465" t="s">
        <v>855</v>
      </c>
      <c r="E523" s="465" t="s">
        <v>1931</v>
      </c>
      <c r="F523" s="465" t="s">
        <v>1932</v>
      </c>
      <c r="G523" s="465" t="s">
        <v>1803</v>
      </c>
      <c r="H523" s="465" t="s">
        <v>1804</v>
      </c>
      <c r="I523" s="465" t="s">
        <v>830</v>
      </c>
    </row>
    <row r="524" hidden="1" ht="15.95" customHeight="1">
      <c r="A524" s="465" t="s">
        <v>1942</v>
      </c>
      <c r="B524" s="465" t="s">
        <v>1943</v>
      </c>
      <c r="C524" s="465"/>
      <c r="D524" s="465" t="s">
        <v>855</v>
      </c>
      <c r="E524" s="465" t="s">
        <v>1931</v>
      </c>
      <c r="F524" s="465" t="s">
        <v>1932</v>
      </c>
      <c r="G524" s="465" t="s">
        <v>1803</v>
      </c>
      <c r="H524" s="465" t="s">
        <v>1804</v>
      </c>
      <c r="I524" s="465" t="s">
        <v>830</v>
      </c>
    </row>
    <row r="525" hidden="1" ht="15.95" customHeight="1">
      <c r="A525" s="465" t="s">
        <v>1944</v>
      </c>
      <c r="B525" s="465" t="s">
        <v>1945</v>
      </c>
      <c r="C525" s="465"/>
      <c r="D525" s="465" t="s">
        <v>855</v>
      </c>
      <c r="E525" s="465" t="s">
        <v>1931</v>
      </c>
      <c r="F525" s="465" t="s">
        <v>1932</v>
      </c>
      <c r="G525" s="465" t="s">
        <v>1803</v>
      </c>
      <c r="H525" s="465" t="s">
        <v>1804</v>
      </c>
      <c r="I525" s="465" t="s">
        <v>830</v>
      </c>
    </row>
    <row r="526" hidden="1" ht="15.95" customHeight="1">
      <c r="A526" s="465" t="s">
        <v>1946</v>
      </c>
      <c r="B526" s="465" t="s">
        <v>1947</v>
      </c>
      <c r="C526" s="465"/>
      <c r="D526" s="465" t="s">
        <v>855</v>
      </c>
      <c r="E526" s="465" t="s">
        <v>1931</v>
      </c>
      <c r="F526" s="465" t="s">
        <v>1932</v>
      </c>
      <c r="G526" s="465" t="s">
        <v>1803</v>
      </c>
      <c r="H526" s="465" t="s">
        <v>1804</v>
      </c>
      <c r="I526" s="465" t="s">
        <v>830</v>
      </c>
    </row>
    <row r="527" hidden="1" ht="15.95" customHeight="1">
      <c r="A527" s="465" t="s">
        <v>1948</v>
      </c>
      <c r="B527" s="465" t="s">
        <v>1949</v>
      </c>
      <c r="C527" s="465"/>
      <c r="D527" s="465" t="s">
        <v>884</v>
      </c>
      <c r="E527" s="465" t="s">
        <v>1950</v>
      </c>
      <c r="F527" s="465" t="s">
        <v>1951</v>
      </c>
      <c r="G527" s="465" t="s">
        <v>1803</v>
      </c>
      <c r="H527" s="465" t="s">
        <v>1804</v>
      </c>
      <c r="I527" s="465" t="s">
        <v>830</v>
      </c>
    </row>
    <row r="528" hidden="1" ht="15.95" customHeight="1">
      <c r="A528" s="465" t="s">
        <v>1952</v>
      </c>
      <c r="B528" s="465" t="s">
        <v>1953</v>
      </c>
      <c r="C528" s="465"/>
      <c r="D528" s="465" t="s">
        <v>855</v>
      </c>
      <c r="E528" s="465" t="s">
        <v>1950</v>
      </c>
      <c r="F528" s="465" t="s">
        <v>1951</v>
      </c>
      <c r="G528" s="465" t="s">
        <v>1803</v>
      </c>
      <c r="H528" s="465" t="s">
        <v>1804</v>
      </c>
      <c r="I528" s="465" t="s">
        <v>830</v>
      </c>
    </row>
    <row r="529" hidden="1" ht="15.95" customHeight="1">
      <c r="A529" s="465" t="s">
        <v>1954</v>
      </c>
      <c r="B529" s="465" t="s">
        <v>1955</v>
      </c>
      <c r="C529" s="465"/>
      <c r="D529" s="465" t="s">
        <v>855</v>
      </c>
      <c r="E529" s="465" t="s">
        <v>1950</v>
      </c>
      <c r="F529" s="465" t="s">
        <v>1951</v>
      </c>
      <c r="G529" s="465" t="s">
        <v>1803</v>
      </c>
      <c r="H529" s="465" t="s">
        <v>1804</v>
      </c>
      <c r="I529" s="465" t="s">
        <v>830</v>
      </c>
    </row>
    <row r="530" hidden="1" ht="15.95" customHeight="1">
      <c r="A530" s="465" t="s">
        <v>1956</v>
      </c>
      <c r="B530" s="465" t="s">
        <v>1583</v>
      </c>
      <c r="C530" s="465"/>
      <c r="D530" s="465" t="s">
        <v>855</v>
      </c>
      <c r="E530" s="465" t="s">
        <v>1950</v>
      </c>
      <c r="F530" s="465" t="s">
        <v>1951</v>
      </c>
      <c r="G530" s="465" t="s">
        <v>1803</v>
      </c>
      <c r="H530" s="465" t="s">
        <v>1804</v>
      </c>
      <c r="I530" s="465" t="s">
        <v>830</v>
      </c>
    </row>
    <row r="531" hidden="1" ht="15.95" customHeight="1">
      <c r="A531" s="465" t="s">
        <v>1957</v>
      </c>
      <c r="B531" s="465" t="s">
        <v>1958</v>
      </c>
      <c r="C531" s="465"/>
      <c r="D531" s="465" t="s">
        <v>855</v>
      </c>
      <c r="E531" s="465" t="s">
        <v>1950</v>
      </c>
      <c r="F531" s="465" t="s">
        <v>1951</v>
      </c>
      <c r="G531" s="465" t="s">
        <v>1803</v>
      </c>
      <c r="H531" s="465" t="s">
        <v>1804</v>
      </c>
      <c r="I531" s="465" t="s">
        <v>830</v>
      </c>
    </row>
    <row r="532" hidden="1" ht="15.95" customHeight="1">
      <c r="A532" s="465" t="s">
        <v>1959</v>
      </c>
      <c r="B532" s="465" t="s">
        <v>1960</v>
      </c>
      <c r="C532" s="465"/>
      <c r="D532" s="465" t="s">
        <v>855</v>
      </c>
      <c r="E532" s="465" t="s">
        <v>1950</v>
      </c>
      <c r="F532" s="465" t="s">
        <v>1951</v>
      </c>
      <c r="G532" s="465" t="s">
        <v>1803</v>
      </c>
      <c r="H532" s="465" t="s">
        <v>1804</v>
      </c>
      <c r="I532" s="465" t="s">
        <v>830</v>
      </c>
    </row>
    <row r="533" hidden="1" ht="15.95" customHeight="1">
      <c r="A533" s="465" t="s">
        <v>1961</v>
      </c>
      <c r="B533" s="465" t="s">
        <v>1962</v>
      </c>
      <c r="C533" s="465"/>
      <c r="D533" s="465" t="s">
        <v>855</v>
      </c>
      <c r="E533" s="465" t="s">
        <v>1950</v>
      </c>
      <c r="F533" s="465" t="s">
        <v>1951</v>
      </c>
      <c r="G533" s="465" t="s">
        <v>1803</v>
      </c>
      <c r="H533" s="465" t="s">
        <v>1804</v>
      </c>
      <c r="I533" s="465" t="s">
        <v>830</v>
      </c>
    </row>
    <row r="534" hidden="1" ht="15.95" customHeight="1">
      <c r="A534" s="465" t="s">
        <v>1963</v>
      </c>
      <c r="B534" s="465" t="s">
        <v>1964</v>
      </c>
      <c r="C534" s="465"/>
      <c r="D534" s="465" t="s">
        <v>855</v>
      </c>
      <c r="E534" s="465" t="s">
        <v>1950</v>
      </c>
      <c r="F534" s="465" t="s">
        <v>1951</v>
      </c>
      <c r="G534" s="465" t="s">
        <v>1803</v>
      </c>
      <c r="H534" s="465" t="s">
        <v>1804</v>
      </c>
      <c r="I534" s="465" t="s">
        <v>830</v>
      </c>
    </row>
    <row r="535" hidden="1" ht="15.95" customHeight="1">
      <c r="A535" s="465" t="s">
        <v>1965</v>
      </c>
      <c r="B535" s="465" t="s">
        <v>1966</v>
      </c>
      <c r="C535" s="465"/>
      <c r="D535" s="465" t="s">
        <v>855</v>
      </c>
      <c r="E535" s="465" t="s">
        <v>1950</v>
      </c>
      <c r="F535" s="465" t="s">
        <v>1951</v>
      </c>
      <c r="G535" s="465" t="s">
        <v>1803</v>
      </c>
      <c r="H535" s="465" t="s">
        <v>1804</v>
      </c>
      <c r="I535" s="465" t="s">
        <v>830</v>
      </c>
    </row>
    <row r="536" hidden="1" ht="15.95" customHeight="1">
      <c r="A536" s="465" t="s">
        <v>1967</v>
      </c>
      <c r="B536" s="465" t="s">
        <v>1968</v>
      </c>
      <c r="C536" s="465"/>
      <c r="D536" s="465" t="s">
        <v>884</v>
      </c>
      <c r="E536" s="465" t="s">
        <v>1969</v>
      </c>
      <c r="F536" s="465" t="s">
        <v>1970</v>
      </c>
      <c r="G536" s="465" t="s">
        <v>1803</v>
      </c>
      <c r="H536" s="465" t="s">
        <v>1804</v>
      </c>
      <c r="I536" s="465" t="s">
        <v>830</v>
      </c>
    </row>
    <row r="537" hidden="1" ht="15.95" customHeight="1">
      <c r="A537" s="465" t="s">
        <v>1971</v>
      </c>
      <c r="B537" s="465" t="s">
        <v>1972</v>
      </c>
      <c r="C537" s="465"/>
      <c r="D537" s="465" t="s">
        <v>855</v>
      </c>
      <c r="E537" s="465" t="s">
        <v>1969</v>
      </c>
      <c r="F537" s="465" t="s">
        <v>1970</v>
      </c>
      <c r="G537" s="465" t="s">
        <v>1803</v>
      </c>
      <c r="H537" s="465" t="s">
        <v>1804</v>
      </c>
      <c r="I537" s="465" t="s">
        <v>830</v>
      </c>
    </row>
    <row r="538" hidden="1" ht="15.95" customHeight="1">
      <c r="A538" s="465" t="s">
        <v>1973</v>
      </c>
      <c r="B538" s="465" t="s">
        <v>1974</v>
      </c>
      <c r="C538" s="465"/>
      <c r="D538" s="465" t="s">
        <v>855</v>
      </c>
      <c r="E538" s="465" t="s">
        <v>1969</v>
      </c>
      <c r="F538" s="465" t="s">
        <v>1970</v>
      </c>
      <c r="G538" s="465" t="s">
        <v>1803</v>
      </c>
      <c r="H538" s="465" t="s">
        <v>1804</v>
      </c>
      <c r="I538" s="465" t="s">
        <v>830</v>
      </c>
    </row>
    <row r="539" hidden="1" ht="15.95" customHeight="1">
      <c r="A539" s="465" t="s">
        <v>1975</v>
      </c>
      <c r="B539" s="465" t="s">
        <v>1658</v>
      </c>
      <c r="C539" s="465"/>
      <c r="D539" s="465" t="s">
        <v>855</v>
      </c>
      <c r="E539" s="465" t="s">
        <v>1969</v>
      </c>
      <c r="F539" s="465" t="s">
        <v>1970</v>
      </c>
      <c r="G539" s="465" t="s">
        <v>1803</v>
      </c>
      <c r="H539" s="465" t="s">
        <v>1804</v>
      </c>
      <c r="I539" s="465" t="s">
        <v>830</v>
      </c>
    </row>
    <row r="540" hidden="1" ht="15.95" customHeight="1">
      <c r="A540" s="465" t="s">
        <v>1976</v>
      </c>
      <c r="B540" s="465" t="s">
        <v>1977</v>
      </c>
      <c r="C540" s="465"/>
      <c r="D540" s="465" t="s">
        <v>855</v>
      </c>
      <c r="E540" s="465" t="s">
        <v>1969</v>
      </c>
      <c r="F540" s="465" t="s">
        <v>1970</v>
      </c>
      <c r="G540" s="465" t="s">
        <v>1803</v>
      </c>
      <c r="H540" s="465" t="s">
        <v>1804</v>
      </c>
      <c r="I540" s="465" t="s">
        <v>830</v>
      </c>
    </row>
    <row r="541" hidden="1" ht="15.95" customHeight="1">
      <c r="A541" s="465" t="s">
        <v>1978</v>
      </c>
      <c r="B541" s="465" t="s">
        <v>1979</v>
      </c>
      <c r="C541" s="465"/>
      <c r="D541" s="465" t="s">
        <v>855</v>
      </c>
      <c r="E541" s="465" t="s">
        <v>1969</v>
      </c>
      <c r="F541" s="465" t="s">
        <v>1970</v>
      </c>
      <c r="G541" s="465" t="s">
        <v>1803</v>
      </c>
      <c r="H541" s="465" t="s">
        <v>1804</v>
      </c>
      <c r="I541" s="465" t="s">
        <v>830</v>
      </c>
    </row>
    <row r="542" hidden="1" ht="15.95" customHeight="1">
      <c r="A542" s="465" t="s">
        <v>1980</v>
      </c>
      <c r="B542" s="465" t="s">
        <v>1981</v>
      </c>
      <c r="C542" s="465"/>
      <c r="D542" s="465" t="s">
        <v>855</v>
      </c>
      <c r="E542" s="465" t="s">
        <v>1969</v>
      </c>
      <c r="F542" s="465" t="s">
        <v>1970</v>
      </c>
      <c r="G542" s="465" t="s">
        <v>1803</v>
      </c>
      <c r="H542" s="465" t="s">
        <v>1804</v>
      </c>
      <c r="I542" s="465" t="s">
        <v>830</v>
      </c>
    </row>
    <row r="543" hidden="1" ht="15.95" customHeight="1">
      <c r="A543" s="465" t="s">
        <v>1982</v>
      </c>
      <c r="B543" s="465" t="s">
        <v>1060</v>
      </c>
      <c r="C543" s="465"/>
      <c r="D543" s="465" t="s">
        <v>855</v>
      </c>
      <c r="E543" s="465" t="s">
        <v>1969</v>
      </c>
      <c r="F543" s="465" t="s">
        <v>1970</v>
      </c>
      <c r="G543" s="465" t="s">
        <v>1803</v>
      </c>
      <c r="H543" s="465" t="s">
        <v>1804</v>
      </c>
      <c r="I543" s="465" t="s">
        <v>830</v>
      </c>
    </row>
    <row r="544" hidden="1" ht="15.95" customHeight="1">
      <c r="A544" s="465" t="s">
        <v>1983</v>
      </c>
      <c r="B544" s="465" t="s">
        <v>1984</v>
      </c>
      <c r="C544" s="465"/>
      <c r="D544" s="465" t="s">
        <v>855</v>
      </c>
      <c r="E544" s="465" t="s">
        <v>1969</v>
      </c>
      <c r="F544" s="465" t="s">
        <v>1970</v>
      </c>
      <c r="G544" s="465" t="s">
        <v>1803</v>
      </c>
      <c r="H544" s="465" t="s">
        <v>1804</v>
      </c>
      <c r="I544" s="465" t="s">
        <v>830</v>
      </c>
    </row>
    <row r="545" hidden="1" ht="15.95" customHeight="1">
      <c r="A545" s="465" t="s">
        <v>1985</v>
      </c>
      <c r="B545" s="465" t="s">
        <v>1986</v>
      </c>
      <c r="C545" s="465"/>
      <c r="D545" s="465" t="s">
        <v>855</v>
      </c>
      <c r="E545" s="465" t="s">
        <v>1969</v>
      </c>
      <c r="F545" s="465" t="s">
        <v>1970</v>
      </c>
      <c r="G545" s="465" t="s">
        <v>1803</v>
      </c>
      <c r="H545" s="465" t="s">
        <v>1804</v>
      </c>
      <c r="I545" s="465" t="s">
        <v>830</v>
      </c>
    </row>
    <row r="546" hidden="1" ht="15.95" customHeight="1">
      <c r="A546" s="465" t="s">
        <v>1987</v>
      </c>
      <c r="B546" s="465" t="s">
        <v>1988</v>
      </c>
      <c r="C546" s="465"/>
      <c r="D546" s="465" t="s">
        <v>855</v>
      </c>
      <c r="E546" s="465" t="s">
        <v>1969</v>
      </c>
      <c r="F546" s="465" t="s">
        <v>1970</v>
      </c>
      <c r="G546" s="465" t="s">
        <v>1803</v>
      </c>
      <c r="H546" s="465" t="s">
        <v>1804</v>
      </c>
      <c r="I546" s="465" t="s">
        <v>830</v>
      </c>
    </row>
    <row r="547" hidden="1" ht="15.95" customHeight="1">
      <c r="A547" s="465" t="s">
        <v>1989</v>
      </c>
      <c r="B547" s="465" t="s">
        <v>1990</v>
      </c>
      <c r="C547" s="465"/>
      <c r="D547" s="465" t="s">
        <v>825</v>
      </c>
      <c r="E547" s="465" t="s">
        <v>1991</v>
      </c>
      <c r="F547" s="465" t="s">
        <v>1992</v>
      </c>
      <c r="G547" s="465" t="s">
        <v>1993</v>
      </c>
      <c r="H547" s="465" t="s">
        <v>1994</v>
      </c>
      <c r="I547" s="465" t="s">
        <v>830</v>
      </c>
    </row>
    <row r="548" hidden="1" ht="15.95" customHeight="1">
      <c r="A548" s="465" t="s">
        <v>1995</v>
      </c>
      <c r="B548" s="465" t="s">
        <v>1996</v>
      </c>
      <c r="C548" s="465"/>
      <c r="D548" s="465" t="s">
        <v>825</v>
      </c>
      <c r="E548" s="465" t="s">
        <v>1991</v>
      </c>
      <c r="F548" s="465" t="s">
        <v>1992</v>
      </c>
      <c r="G548" s="465" t="s">
        <v>1993</v>
      </c>
      <c r="H548" s="465" t="s">
        <v>1994</v>
      </c>
      <c r="I548" s="465" t="s">
        <v>830</v>
      </c>
    </row>
    <row r="549" hidden="1" ht="15.95" customHeight="1">
      <c r="A549" s="465" t="s">
        <v>1997</v>
      </c>
      <c r="B549" s="465" t="s">
        <v>1998</v>
      </c>
      <c r="C549" s="465"/>
      <c r="D549" s="465" t="s">
        <v>825</v>
      </c>
      <c r="E549" s="465" t="s">
        <v>1991</v>
      </c>
      <c r="F549" s="465" t="s">
        <v>1992</v>
      </c>
      <c r="G549" s="465" t="s">
        <v>1993</v>
      </c>
      <c r="H549" s="465" t="s">
        <v>1994</v>
      </c>
      <c r="I549" s="465" t="s">
        <v>830</v>
      </c>
    </row>
    <row r="550" hidden="1" ht="15.95" customHeight="1">
      <c r="A550" s="465" t="s">
        <v>1999</v>
      </c>
      <c r="B550" s="465" t="s">
        <v>2000</v>
      </c>
      <c r="C550" s="465"/>
      <c r="D550" s="465" t="s">
        <v>825</v>
      </c>
      <c r="E550" s="465" t="s">
        <v>1991</v>
      </c>
      <c r="F550" s="465" t="s">
        <v>1992</v>
      </c>
      <c r="G550" s="465" t="s">
        <v>1993</v>
      </c>
      <c r="H550" s="465" t="s">
        <v>1994</v>
      </c>
      <c r="I550" s="465" t="s">
        <v>830</v>
      </c>
    </row>
    <row r="551" hidden="1" ht="15.95" customHeight="1">
      <c r="A551" s="465" t="s">
        <v>2001</v>
      </c>
      <c r="B551" s="465" t="s">
        <v>2002</v>
      </c>
      <c r="C551" s="465"/>
      <c r="D551" s="465" t="s">
        <v>825</v>
      </c>
      <c r="E551" s="465" t="s">
        <v>1991</v>
      </c>
      <c r="F551" s="465" t="s">
        <v>1992</v>
      </c>
      <c r="G551" s="465" t="s">
        <v>1993</v>
      </c>
      <c r="H551" s="465" t="s">
        <v>1994</v>
      </c>
      <c r="I551" s="465" t="s">
        <v>830</v>
      </c>
    </row>
    <row r="552" hidden="1" ht="15.95" customHeight="1">
      <c r="A552" s="465" t="s">
        <v>2003</v>
      </c>
      <c r="B552" s="465" t="s">
        <v>2004</v>
      </c>
      <c r="C552" s="465"/>
      <c r="D552" s="465" t="s">
        <v>825</v>
      </c>
      <c r="E552" s="465" t="s">
        <v>1991</v>
      </c>
      <c r="F552" s="465" t="s">
        <v>1992</v>
      </c>
      <c r="G552" s="465" t="s">
        <v>1993</v>
      </c>
      <c r="H552" s="465" t="s">
        <v>1994</v>
      </c>
      <c r="I552" s="465" t="s">
        <v>830</v>
      </c>
    </row>
    <row r="553" hidden="1" ht="15.95" customHeight="1">
      <c r="A553" s="465" t="s">
        <v>2005</v>
      </c>
      <c r="B553" s="465" t="s">
        <v>2006</v>
      </c>
      <c r="C553" s="465"/>
      <c r="D553" s="465" t="s">
        <v>825</v>
      </c>
      <c r="E553" s="465" t="s">
        <v>1991</v>
      </c>
      <c r="F553" s="465" t="s">
        <v>1992</v>
      </c>
      <c r="G553" s="465" t="s">
        <v>1993</v>
      </c>
      <c r="H553" s="465" t="s">
        <v>1994</v>
      </c>
      <c r="I553" s="465" t="s">
        <v>830</v>
      </c>
    </row>
    <row r="554" hidden="1" ht="15.95" customHeight="1">
      <c r="A554" s="465" t="s">
        <v>2007</v>
      </c>
      <c r="B554" s="465" t="s">
        <v>2008</v>
      </c>
      <c r="C554" s="465"/>
      <c r="D554" s="465" t="s">
        <v>825</v>
      </c>
      <c r="E554" s="465" t="s">
        <v>1991</v>
      </c>
      <c r="F554" s="465" t="s">
        <v>1992</v>
      </c>
      <c r="G554" s="465" t="s">
        <v>1993</v>
      </c>
      <c r="H554" s="465" t="s">
        <v>1994</v>
      </c>
      <c r="I554" s="465" t="s">
        <v>830</v>
      </c>
    </row>
    <row r="555" hidden="1" ht="15.95" customHeight="1">
      <c r="A555" s="465" t="s">
        <v>2009</v>
      </c>
      <c r="B555" s="465" t="s">
        <v>2010</v>
      </c>
      <c r="C555" s="465"/>
      <c r="D555" s="465" t="s">
        <v>825</v>
      </c>
      <c r="E555" s="465" t="s">
        <v>1991</v>
      </c>
      <c r="F555" s="465" t="s">
        <v>1992</v>
      </c>
      <c r="G555" s="465" t="s">
        <v>1993</v>
      </c>
      <c r="H555" s="465" t="s">
        <v>1994</v>
      </c>
      <c r="I555" s="465" t="s">
        <v>830</v>
      </c>
    </row>
    <row r="556" hidden="1" ht="15.95" customHeight="1">
      <c r="A556" s="465" t="s">
        <v>2011</v>
      </c>
      <c r="B556" s="465" t="s">
        <v>2012</v>
      </c>
      <c r="C556" s="465"/>
      <c r="D556" s="465" t="s">
        <v>825</v>
      </c>
      <c r="E556" s="465" t="s">
        <v>1991</v>
      </c>
      <c r="F556" s="465" t="s">
        <v>1992</v>
      </c>
      <c r="G556" s="465" t="s">
        <v>1993</v>
      </c>
      <c r="H556" s="465" t="s">
        <v>1994</v>
      </c>
      <c r="I556" s="465" t="s">
        <v>830</v>
      </c>
    </row>
    <row r="557" hidden="1" ht="15.95" customHeight="1">
      <c r="A557" s="465" t="s">
        <v>2013</v>
      </c>
      <c r="B557" s="465" t="s">
        <v>1025</v>
      </c>
      <c r="C557" s="465"/>
      <c r="D557" s="465" t="s">
        <v>825</v>
      </c>
      <c r="E557" s="465" t="s">
        <v>1991</v>
      </c>
      <c r="F557" s="465" t="s">
        <v>1992</v>
      </c>
      <c r="G557" s="465" t="s">
        <v>1993</v>
      </c>
      <c r="H557" s="465" t="s">
        <v>1994</v>
      </c>
      <c r="I557" s="465" t="s">
        <v>830</v>
      </c>
    </row>
    <row r="558" hidden="1" ht="15.95" customHeight="1">
      <c r="A558" s="465" t="s">
        <v>2014</v>
      </c>
      <c r="B558" s="465" t="s">
        <v>2015</v>
      </c>
      <c r="C558" s="465"/>
      <c r="D558" s="465" t="s">
        <v>825</v>
      </c>
      <c r="E558" s="465" t="s">
        <v>1991</v>
      </c>
      <c r="F558" s="465" t="s">
        <v>1992</v>
      </c>
      <c r="G558" s="465" t="s">
        <v>1993</v>
      </c>
      <c r="H558" s="465" t="s">
        <v>1994</v>
      </c>
      <c r="I558" s="465" t="s">
        <v>830</v>
      </c>
    </row>
    <row r="559" hidden="1" ht="15.95" customHeight="1">
      <c r="A559" s="465" t="s">
        <v>2016</v>
      </c>
      <c r="B559" s="465" t="s">
        <v>2017</v>
      </c>
      <c r="C559" s="465"/>
      <c r="D559" s="465" t="s">
        <v>825</v>
      </c>
      <c r="E559" s="465" t="s">
        <v>1991</v>
      </c>
      <c r="F559" s="465" t="s">
        <v>1992</v>
      </c>
      <c r="G559" s="465" t="s">
        <v>1993</v>
      </c>
      <c r="H559" s="465" t="s">
        <v>1994</v>
      </c>
      <c r="I559" s="465" t="s">
        <v>830</v>
      </c>
    </row>
    <row r="560" hidden="1" ht="15.95" customHeight="1">
      <c r="A560" s="465" t="s">
        <v>2018</v>
      </c>
      <c r="B560" s="465" t="s">
        <v>2019</v>
      </c>
      <c r="C560" s="465"/>
      <c r="D560" s="465" t="s">
        <v>825</v>
      </c>
      <c r="E560" s="465" t="s">
        <v>1991</v>
      </c>
      <c r="F560" s="465" t="s">
        <v>1992</v>
      </c>
      <c r="G560" s="465" t="s">
        <v>1993</v>
      </c>
      <c r="H560" s="465" t="s">
        <v>1994</v>
      </c>
      <c r="I560" s="465" t="s">
        <v>830</v>
      </c>
    </row>
    <row r="561" hidden="1" ht="15.95" customHeight="1">
      <c r="A561" s="465" t="s">
        <v>2020</v>
      </c>
      <c r="B561" s="465" t="s">
        <v>2021</v>
      </c>
      <c r="C561" s="465"/>
      <c r="D561" s="465" t="s">
        <v>855</v>
      </c>
      <c r="E561" s="465" t="s">
        <v>2022</v>
      </c>
      <c r="F561" s="465" t="s">
        <v>2023</v>
      </c>
      <c r="G561" s="465" t="s">
        <v>1993</v>
      </c>
      <c r="H561" s="465" t="s">
        <v>1994</v>
      </c>
      <c r="I561" s="465" t="s">
        <v>830</v>
      </c>
    </row>
    <row r="562" hidden="1" ht="15.95" customHeight="1">
      <c r="A562" s="465" t="s">
        <v>2024</v>
      </c>
      <c r="B562" s="465" t="s">
        <v>2025</v>
      </c>
      <c r="C562" s="465"/>
      <c r="D562" s="465" t="s">
        <v>855</v>
      </c>
      <c r="E562" s="465" t="s">
        <v>2022</v>
      </c>
      <c r="F562" s="465" t="s">
        <v>2023</v>
      </c>
      <c r="G562" s="465" t="s">
        <v>1993</v>
      </c>
      <c r="H562" s="465" t="s">
        <v>1994</v>
      </c>
      <c r="I562" s="465" t="s">
        <v>830</v>
      </c>
    </row>
    <row r="563" hidden="1" ht="15.95" customHeight="1">
      <c r="A563" s="465" t="s">
        <v>2026</v>
      </c>
      <c r="B563" s="465" t="s">
        <v>2027</v>
      </c>
      <c r="C563" s="465"/>
      <c r="D563" s="465" t="s">
        <v>855</v>
      </c>
      <c r="E563" s="465" t="s">
        <v>2022</v>
      </c>
      <c r="F563" s="465" t="s">
        <v>2023</v>
      </c>
      <c r="G563" s="465" t="s">
        <v>1993</v>
      </c>
      <c r="H563" s="465" t="s">
        <v>1994</v>
      </c>
      <c r="I563" s="465" t="s">
        <v>830</v>
      </c>
    </row>
    <row r="564" hidden="1" ht="15.95" customHeight="1">
      <c r="A564" s="465" t="s">
        <v>2028</v>
      </c>
      <c r="B564" s="465" t="s">
        <v>1691</v>
      </c>
      <c r="C564" s="465"/>
      <c r="D564" s="465" t="s">
        <v>855</v>
      </c>
      <c r="E564" s="465" t="s">
        <v>2022</v>
      </c>
      <c r="F564" s="465" t="s">
        <v>2023</v>
      </c>
      <c r="G564" s="465" t="s">
        <v>1993</v>
      </c>
      <c r="H564" s="465" t="s">
        <v>1994</v>
      </c>
      <c r="I564" s="465" t="s">
        <v>830</v>
      </c>
    </row>
    <row r="565" hidden="1" ht="15.95" customHeight="1">
      <c r="A565" s="465" t="s">
        <v>2029</v>
      </c>
      <c r="B565" s="465" t="s">
        <v>2030</v>
      </c>
      <c r="C565" s="465"/>
      <c r="D565" s="465" t="s">
        <v>855</v>
      </c>
      <c r="E565" s="465" t="s">
        <v>2022</v>
      </c>
      <c r="F565" s="465" t="s">
        <v>2023</v>
      </c>
      <c r="G565" s="465" t="s">
        <v>1993</v>
      </c>
      <c r="H565" s="465" t="s">
        <v>1994</v>
      </c>
      <c r="I565" s="465" t="s">
        <v>830</v>
      </c>
    </row>
    <row r="566" hidden="1" ht="15.95" customHeight="1">
      <c r="A566" s="465" t="s">
        <v>2031</v>
      </c>
      <c r="B566" s="465" t="s">
        <v>2032</v>
      </c>
      <c r="C566" s="465"/>
      <c r="D566" s="465" t="s">
        <v>855</v>
      </c>
      <c r="E566" s="465" t="s">
        <v>2022</v>
      </c>
      <c r="F566" s="465" t="s">
        <v>2023</v>
      </c>
      <c r="G566" s="465" t="s">
        <v>1993</v>
      </c>
      <c r="H566" s="465" t="s">
        <v>1994</v>
      </c>
      <c r="I566" s="465" t="s">
        <v>830</v>
      </c>
    </row>
    <row r="567" hidden="1" ht="15.95" customHeight="1">
      <c r="A567" s="465" t="s">
        <v>2033</v>
      </c>
      <c r="B567" s="465" t="s">
        <v>2034</v>
      </c>
      <c r="C567" s="465"/>
      <c r="D567" s="465" t="s">
        <v>855</v>
      </c>
      <c r="E567" s="465" t="s">
        <v>2022</v>
      </c>
      <c r="F567" s="465" t="s">
        <v>2023</v>
      </c>
      <c r="G567" s="465" t="s">
        <v>1993</v>
      </c>
      <c r="H567" s="465" t="s">
        <v>1994</v>
      </c>
      <c r="I567" s="465" t="s">
        <v>830</v>
      </c>
    </row>
    <row r="568" hidden="1" ht="15.95" customHeight="1">
      <c r="A568" s="465" t="s">
        <v>2035</v>
      </c>
      <c r="B568" s="465" t="s">
        <v>2036</v>
      </c>
      <c r="C568" s="465"/>
      <c r="D568" s="465" t="s">
        <v>884</v>
      </c>
      <c r="E568" s="465" t="s">
        <v>2037</v>
      </c>
      <c r="F568" s="465" t="s">
        <v>2038</v>
      </c>
      <c r="G568" s="465" t="s">
        <v>1993</v>
      </c>
      <c r="H568" s="465" t="s">
        <v>1994</v>
      </c>
      <c r="I568" s="465" t="s">
        <v>830</v>
      </c>
    </row>
    <row r="569" hidden="1" ht="15.95" customHeight="1">
      <c r="A569" s="465" t="s">
        <v>2039</v>
      </c>
      <c r="B569" s="465" t="s">
        <v>2040</v>
      </c>
      <c r="C569" s="465"/>
      <c r="D569" s="465" t="s">
        <v>855</v>
      </c>
      <c r="E569" s="465" t="s">
        <v>2037</v>
      </c>
      <c r="F569" s="465" t="s">
        <v>2038</v>
      </c>
      <c r="G569" s="465" t="s">
        <v>1993</v>
      </c>
      <c r="H569" s="465" t="s">
        <v>1994</v>
      </c>
      <c r="I569" s="465" t="s">
        <v>830</v>
      </c>
    </row>
    <row r="570" hidden="1" ht="15.95" customHeight="1">
      <c r="A570" s="465" t="s">
        <v>2041</v>
      </c>
      <c r="B570" s="465" t="s">
        <v>2042</v>
      </c>
      <c r="C570" s="465"/>
      <c r="D570" s="465" t="s">
        <v>855</v>
      </c>
      <c r="E570" s="465" t="s">
        <v>2037</v>
      </c>
      <c r="F570" s="465" t="s">
        <v>2038</v>
      </c>
      <c r="G570" s="465" t="s">
        <v>1993</v>
      </c>
      <c r="H570" s="465" t="s">
        <v>1994</v>
      </c>
      <c r="I570" s="465" t="s">
        <v>830</v>
      </c>
    </row>
    <row r="571" hidden="1" ht="15.95" customHeight="1">
      <c r="A571" s="465" t="s">
        <v>2043</v>
      </c>
      <c r="B571" s="465" t="s">
        <v>2044</v>
      </c>
      <c r="C571" s="465"/>
      <c r="D571" s="465" t="s">
        <v>855</v>
      </c>
      <c r="E571" s="465" t="s">
        <v>2037</v>
      </c>
      <c r="F571" s="465" t="s">
        <v>2038</v>
      </c>
      <c r="G571" s="465" t="s">
        <v>1993</v>
      </c>
      <c r="H571" s="465" t="s">
        <v>1994</v>
      </c>
      <c r="I571" s="465" t="s">
        <v>830</v>
      </c>
    </row>
    <row r="572" hidden="1" ht="15.95" customHeight="1">
      <c r="A572" s="465" t="s">
        <v>2045</v>
      </c>
      <c r="B572" s="465" t="s">
        <v>2046</v>
      </c>
      <c r="C572" s="465"/>
      <c r="D572" s="465" t="s">
        <v>855</v>
      </c>
      <c r="E572" s="465" t="s">
        <v>2037</v>
      </c>
      <c r="F572" s="465" t="s">
        <v>2038</v>
      </c>
      <c r="G572" s="465" t="s">
        <v>1993</v>
      </c>
      <c r="H572" s="465" t="s">
        <v>1994</v>
      </c>
      <c r="I572" s="465" t="s">
        <v>830</v>
      </c>
    </row>
    <row r="573" hidden="1" ht="15.95" customHeight="1">
      <c r="A573" s="465" t="s">
        <v>2047</v>
      </c>
      <c r="B573" s="465" t="s">
        <v>2048</v>
      </c>
      <c r="C573" s="465"/>
      <c r="D573" s="465" t="s">
        <v>855</v>
      </c>
      <c r="E573" s="465" t="s">
        <v>2037</v>
      </c>
      <c r="F573" s="465" t="s">
        <v>2038</v>
      </c>
      <c r="G573" s="465" t="s">
        <v>1993</v>
      </c>
      <c r="H573" s="465" t="s">
        <v>1994</v>
      </c>
      <c r="I573" s="465" t="s">
        <v>830</v>
      </c>
    </row>
    <row r="574" hidden="1" ht="15.95" customHeight="1">
      <c r="A574" s="465" t="s">
        <v>2049</v>
      </c>
      <c r="B574" s="465" t="s">
        <v>2050</v>
      </c>
      <c r="C574" s="465"/>
      <c r="D574" s="465" t="s">
        <v>855</v>
      </c>
      <c r="E574" s="465" t="s">
        <v>2037</v>
      </c>
      <c r="F574" s="465" t="s">
        <v>2038</v>
      </c>
      <c r="G574" s="465" t="s">
        <v>1993</v>
      </c>
      <c r="H574" s="465" t="s">
        <v>1994</v>
      </c>
      <c r="I574" s="465" t="s">
        <v>830</v>
      </c>
    </row>
    <row r="575" hidden="1" ht="15.95" customHeight="1">
      <c r="A575" s="465" t="s">
        <v>2051</v>
      </c>
      <c r="B575" s="465" t="s">
        <v>2052</v>
      </c>
      <c r="C575" s="465"/>
      <c r="D575" s="465" t="s">
        <v>855</v>
      </c>
      <c r="E575" s="465" t="s">
        <v>2037</v>
      </c>
      <c r="F575" s="465" t="s">
        <v>2038</v>
      </c>
      <c r="G575" s="465" t="s">
        <v>1993</v>
      </c>
      <c r="H575" s="465" t="s">
        <v>1994</v>
      </c>
      <c r="I575" s="465" t="s">
        <v>830</v>
      </c>
    </row>
    <row r="576" hidden="1" ht="15.95" customHeight="1">
      <c r="A576" s="465" t="s">
        <v>2053</v>
      </c>
      <c r="B576" s="465" t="s">
        <v>2054</v>
      </c>
      <c r="C576" s="465"/>
      <c r="D576" s="465" t="s">
        <v>855</v>
      </c>
      <c r="E576" s="465" t="s">
        <v>2037</v>
      </c>
      <c r="F576" s="465" t="s">
        <v>2038</v>
      </c>
      <c r="G576" s="465" t="s">
        <v>1993</v>
      </c>
      <c r="H576" s="465" t="s">
        <v>1994</v>
      </c>
      <c r="I576" s="465" t="s">
        <v>830</v>
      </c>
    </row>
    <row r="577" hidden="1" ht="15.95" customHeight="1">
      <c r="A577" s="465" t="s">
        <v>2055</v>
      </c>
      <c r="B577" s="465" t="s">
        <v>1795</v>
      </c>
      <c r="C577" s="465"/>
      <c r="D577" s="465" t="s">
        <v>855</v>
      </c>
      <c r="E577" s="465" t="s">
        <v>2037</v>
      </c>
      <c r="F577" s="465" t="s">
        <v>2038</v>
      </c>
      <c r="G577" s="465" t="s">
        <v>1993</v>
      </c>
      <c r="H577" s="465" t="s">
        <v>1994</v>
      </c>
      <c r="I577" s="465" t="s">
        <v>830</v>
      </c>
    </row>
    <row r="578" hidden="1" ht="15.95" customHeight="1">
      <c r="A578" s="465" t="s">
        <v>2056</v>
      </c>
      <c r="B578" s="465" t="s">
        <v>1681</v>
      </c>
      <c r="C578" s="465"/>
      <c r="D578" s="465" t="s">
        <v>855</v>
      </c>
      <c r="E578" s="465" t="s">
        <v>2037</v>
      </c>
      <c r="F578" s="465" t="s">
        <v>2038</v>
      </c>
      <c r="G578" s="465" t="s">
        <v>1993</v>
      </c>
      <c r="H578" s="465" t="s">
        <v>1994</v>
      </c>
      <c r="I578" s="465" t="s">
        <v>830</v>
      </c>
    </row>
    <row r="579" hidden="1" ht="15.95" customHeight="1">
      <c r="A579" s="465" t="s">
        <v>2057</v>
      </c>
      <c r="B579" s="465" t="s">
        <v>2058</v>
      </c>
      <c r="C579" s="465"/>
      <c r="D579" s="465" t="s">
        <v>855</v>
      </c>
      <c r="E579" s="465" t="s">
        <v>2037</v>
      </c>
      <c r="F579" s="465" t="s">
        <v>2038</v>
      </c>
      <c r="G579" s="465" t="s">
        <v>1993</v>
      </c>
      <c r="H579" s="465" t="s">
        <v>1994</v>
      </c>
      <c r="I579" s="465" t="s">
        <v>830</v>
      </c>
    </row>
    <row r="580" hidden="1" ht="15.95" customHeight="1">
      <c r="A580" s="465" t="s">
        <v>2059</v>
      </c>
      <c r="B580" s="465" t="s">
        <v>2060</v>
      </c>
      <c r="C580" s="465"/>
      <c r="D580" s="465" t="s">
        <v>825</v>
      </c>
      <c r="E580" s="465" t="s">
        <v>2061</v>
      </c>
      <c r="F580" s="465" t="s">
        <v>2062</v>
      </c>
      <c r="G580" s="465" t="s">
        <v>1993</v>
      </c>
      <c r="H580" s="465" t="s">
        <v>1994</v>
      </c>
      <c r="I580" s="465" t="s">
        <v>830</v>
      </c>
    </row>
    <row r="581" hidden="1" ht="15.95" customHeight="1">
      <c r="A581" s="465" t="s">
        <v>2063</v>
      </c>
      <c r="B581" s="465" t="s">
        <v>2064</v>
      </c>
      <c r="C581" s="465"/>
      <c r="D581" s="465" t="s">
        <v>825</v>
      </c>
      <c r="E581" s="465" t="s">
        <v>2061</v>
      </c>
      <c r="F581" s="465" t="s">
        <v>2062</v>
      </c>
      <c r="G581" s="465" t="s">
        <v>1993</v>
      </c>
      <c r="H581" s="465" t="s">
        <v>1994</v>
      </c>
      <c r="I581" s="465" t="s">
        <v>830</v>
      </c>
    </row>
    <row r="582" hidden="1" ht="15.95" customHeight="1">
      <c r="A582" s="465" t="s">
        <v>2065</v>
      </c>
      <c r="B582" s="465" t="s">
        <v>2066</v>
      </c>
      <c r="C582" s="465"/>
      <c r="D582" s="465" t="s">
        <v>855</v>
      </c>
      <c r="E582" s="465" t="s">
        <v>2061</v>
      </c>
      <c r="F582" s="465" t="s">
        <v>2062</v>
      </c>
      <c r="G582" s="465" t="s">
        <v>1993</v>
      </c>
      <c r="H582" s="465" t="s">
        <v>1994</v>
      </c>
      <c r="I582" s="465" t="s">
        <v>830</v>
      </c>
    </row>
    <row r="583" hidden="1" ht="15.95" customHeight="1">
      <c r="A583" s="465" t="s">
        <v>2067</v>
      </c>
      <c r="B583" s="465" t="s">
        <v>2068</v>
      </c>
      <c r="C583" s="465"/>
      <c r="D583" s="465" t="s">
        <v>855</v>
      </c>
      <c r="E583" s="465" t="s">
        <v>2061</v>
      </c>
      <c r="F583" s="465" t="s">
        <v>2062</v>
      </c>
      <c r="G583" s="465" t="s">
        <v>1993</v>
      </c>
      <c r="H583" s="465" t="s">
        <v>1994</v>
      </c>
      <c r="I583" s="465" t="s">
        <v>830</v>
      </c>
    </row>
    <row r="584" hidden="1" ht="15.95" customHeight="1">
      <c r="A584" s="465" t="s">
        <v>2069</v>
      </c>
      <c r="B584" s="465" t="s">
        <v>2070</v>
      </c>
      <c r="C584" s="465"/>
      <c r="D584" s="465" t="s">
        <v>825</v>
      </c>
      <c r="E584" s="465" t="s">
        <v>2061</v>
      </c>
      <c r="F584" s="465" t="s">
        <v>2062</v>
      </c>
      <c r="G584" s="465" t="s">
        <v>1993</v>
      </c>
      <c r="H584" s="465" t="s">
        <v>1994</v>
      </c>
      <c r="I584" s="465" t="s">
        <v>830</v>
      </c>
    </row>
    <row r="585" hidden="1" ht="15.95" customHeight="1">
      <c r="A585" s="465" t="s">
        <v>2071</v>
      </c>
      <c r="B585" s="465" t="s">
        <v>2072</v>
      </c>
      <c r="C585" s="465"/>
      <c r="D585" s="465" t="s">
        <v>825</v>
      </c>
      <c r="E585" s="465" t="s">
        <v>2061</v>
      </c>
      <c r="F585" s="465" t="s">
        <v>2062</v>
      </c>
      <c r="G585" s="465" t="s">
        <v>1993</v>
      </c>
      <c r="H585" s="465" t="s">
        <v>1994</v>
      </c>
      <c r="I585" s="465" t="s">
        <v>830</v>
      </c>
    </row>
    <row r="586" hidden="1" ht="15.95" customHeight="1">
      <c r="A586" s="465" t="s">
        <v>2073</v>
      </c>
      <c r="B586" s="465" t="s">
        <v>2074</v>
      </c>
      <c r="C586" s="465"/>
      <c r="D586" s="465" t="s">
        <v>825</v>
      </c>
      <c r="E586" s="465" t="s">
        <v>2061</v>
      </c>
      <c r="F586" s="465" t="s">
        <v>2062</v>
      </c>
      <c r="G586" s="465" t="s">
        <v>1993</v>
      </c>
      <c r="H586" s="465" t="s">
        <v>1994</v>
      </c>
      <c r="I586" s="465" t="s">
        <v>830</v>
      </c>
    </row>
    <row r="587" hidden="1" ht="15.95" customHeight="1">
      <c r="A587" s="465" t="s">
        <v>2075</v>
      </c>
      <c r="B587" s="465" t="s">
        <v>2076</v>
      </c>
      <c r="C587" s="465"/>
      <c r="D587" s="465" t="s">
        <v>855</v>
      </c>
      <c r="E587" s="465" t="s">
        <v>2061</v>
      </c>
      <c r="F587" s="465" t="s">
        <v>2062</v>
      </c>
      <c r="G587" s="465" t="s">
        <v>1993</v>
      </c>
      <c r="H587" s="465" t="s">
        <v>1994</v>
      </c>
      <c r="I587" s="465" t="s">
        <v>830</v>
      </c>
    </row>
    <row r="588" hidden="1" ht="15.95" customHeight="1">
      <c r="A588" s="465" t="s">
        <v>2077</v>
      </c>
      <c r="B588" s="465" t="s">
        <v>2078</v>
      </c>
      <c r="C588" s="465"/>
      <c r="D588" s="465" t="s">
        <v>884</v>
      </c>
      <c r="E588" s="465" t="s">
        <v>2079</v>
      </c>
      <c r="F588" s="465" t="s">
        <v>2080</v>
      </c>
      <c r="G588" s="465" t="s">
        <v>1993</v>
      </c>
      <c r="H588" s="465" t="s">
        <v>1994</v>
      </c>
      <c r="I588" s="465" t="s">
        <v>830</v>
      </c>
    </row>
    <row r="589" hidden="1" ht="15.95" customHeight="1">
      <c r="A589" s="465" t="s">
        <v>2081</v>
      </c>
      <c r="B589" s="465" t="s">
        <v>2082</v>
      </c>
      <c r="C589" s="465"/>
      <c r="D589" s="465" t="s">
        <v>855</v>
      </c>
      <c r="E589" s="465" t="s">
        <v>2079</v>
      </c>
      <c r="F589" s="465" t="s">
        <v>2080</v>
      </c>
      <c r="G589" s="465" t="s">
        <v>1993</v>
      </c>
      <c r="H589" s="465" t="s">
        <v>1994</v>
      </c>
      <c r="I589" s="465" t="s">
        <v>830</v>
      </c>
    </row>
    <row r="590" hidden="1" ht="15.95" customHeight="1">
      <c r="A590" s="465" t="s">
        <v>2083</v>
      </c>
      <c r="B590" s="465" t="s">
        <v>2084</v>
      </c>
      <c r="C590" s="465"/>
      <c r="D590" s="465" t="s">
        <v>855</v>
      </c>
      <c r="E590" s="465" t="s">
        <v>2079</v>
      </c>
      <c r="F590" s="465" t="s">
        <v>2080</v>
      </c>
      <c r="G590" s="465" t="s">
        <v>1993</v>
      </c>
      <c r="H590" s="465" t="s">
        <v>1994</v>
      </c>
      <c r="I590" s="465" t="s">
        <v>830</v>
      </c>
    </row>
    <row r="591" hidden="1" ht="15.95" customHeight="1">
      <c r="A591" s="465" t="s">
        <v>2085</v>
      </c>
      <c r="B591" s="465" t="s">
        <v>2086</v>
      </c>
      <c r="C591" s="465" t="s">
        <v>2087</v>
      </c>
      <c r="D591" s="465" t="s">
        <v>855</v>
      </c>
      <c r="E591" s="465" t="s">
        <v>2079</v>
      </c>
      <c r="F591" s="465" t="s">
        <v>2080</v>
      </c>
      <c r="G591" s="465" t="s">
        <v>1993</v>
      </c>
      <c r="H591" s="465" t="s">
        <v>1994</v>
      </c>
      <c r="I591" s="465" t="s">
        <v>830</v>
      </c>
    </row>
    <row r="592" hidden="1" ht="15.95" customHeight="1">
      <c r="A592" s="465" t="s">
        <v>2088</v>
      </c>
      <c r="B592" s="465" t="s">
        <v>2089</v>
      </c>
      <c r="C592" s="465"/>
      <c r="D592" s="465" t="s">
        <v>855</v>
      </c>
      <c r="E592" s="465" t="s">
        <v>2079</v>
      </c>
      <c r="F592" s="465" t="s">
        <v>2080</v>
      </c>
      <c r="G592" s="465" t="s">
        <v>1993</v>
      </c>
      <c r="H592" s="465" t="s">
        <v>1994</v>
      </c>
      <c r="I592" s="465" t="s">
        <v>830</v>
      </c>
    </row>
    <row r="593" hidden="1" ht="15.95" customHeight="1">
      <c r="A593" s="465" t="s">
        <v>2090</v>
      </c>
      <c r="B593" s="465" t="s">
        <v>1902</v>
      </c>
      <c r="C593" s="465"/>
      <c r="D593" s="465" t="s">
        <v>855</v>
      </c>
      <c r="E593" s="465" t="s">
        <v>2079</v>
      </c>
      <c r="F593" s="465" t="s">
        <v>2080</v>
      </c>
      <c r="G593" s="465" t="s">
        <v>1993</v>
      </c>
      <c r="H593" s="465" t="s">
        <v>1994</v>
      </c>
      <c r="I593" s="465" t="s">
        <v>830</v>
      </c>
    </row>
    <row r="594" hidden="1" ht="15.95" customHeight="1">
      <c r="A594" s="465" t="s">
        <v>2091</v>
      </c>
      <c r="B594" s="465" t="s">
        <v>1705</v>
      </c>
      <c r="C594" s="465"/>
      <c r="D594" s="465" t="s">
        <v>855</v>
      </c>
      <c r="E594" s="465" t="s">
        <v>2079</v>
      </c>
      <c r="F594" s="465" t="s">
        <v>2080</v>
      </c>
      <c r="G594" s="465" t="s">
        <v>1993</v>
      </c>
      <c r="H594" s="465" t="s">
        <v>1994</v>
      </c>
      <c r="I594" s="465" t="s">
        <v>830</v>
      </c>
    </row>
    <row r="595" hidden="1" ht="15.95" customHeight="1">
      <c r="A595" s="465" t="s">
        <v>2092</v>
      </c>
      <c r="B595" s="465" t="s">
        <v>2093</v>
      </c>
      <c r="C595" s="465"/>
      <c r="D595" s="465" t="s">
        <v>855</v>
      </c>
      <c r="E595" s="465" t="s">
        <v>2079</v>
      </c>
      <c r="F595" s="465" t="s">
        <v>2080</v>
      </c>
      <c r="G595" s="465" t="s">
        <v>1993</v>
      </c>
      <c r="H595" s="465" t="s">
        <v>1994</v>
      </c>
      <c r="I595" s="465" t="s">
        <v>830</v>
      </c>
    </row>
    <row r="596" hidden="1" ht="15.95" customHeight="1">
      <c r="A596" s="465" t="s">
        <v>2094</v>
      </c>
      <c r="B596" s="465" t="s">
        <v>2095</v>
      </c>
      <c r="C596" s="465"/>
      <c r="D596" s="465" t="s">
        <v>855</v>
      </c>
      <c r="E596" s="465" t="s">
        <v>2079</v>
      </c>
      <c r="F596" s="465" t="s">
        <v>2080</v>
      </c>
      <c r="G596" s="465" t="s">
        <v>1993</v>
      </c>
      <c r="H596" s="465" t="s">
        <v>1994</v>
      </c>
      <c r="I596" s="465" t="s">
        <v>830</v>
      </c>
    </row>
    <row r="597" hidden="1" ht="15.95" customHeight="1">
      <c r="A597" s="465" t="s">
        <v>2096</v>
      </c>
      <c r="B597" s="465" t="s">
        <v>2097</v>
      </c>
      <c r="C597" s="465"/>
      <c r="D597" s="465" t="s">
        <v>855</v>
      </c>
      <c r="E597" s="465" t="s">
        <v>2079</v>
      </c>
      <c r="F597" s="465" t="s">
        <v>2080</v>
      </c>
      <c r="G597" s="465" t="s">
        <v>1993</v>
      </c>
      <c r="H597" s="465" t="s">
        <v>1994</v>
      </c>
      <c r="I597" s="465" t="s">
        <v>830</v>
      </c>
    </row>
    <row r="598" hidden="1" ht="15.95" customHeight="1">
      <c r="A598" s="465" t="s">
        <v>2098</v>
      </c>
      <c r="B598" s="465" t="s">
        <v>867</v>
      </c>
      <c r="C598" s="465"/>
      <c r="D598" s="465" t="s">
        <v>855</v>
      </c>
      <c r="E598" s="465" t="s">
        <v>2079</v>
      </c>
      <c r="F598" s="465" t="s">
        <v>2080</v>
      </c>
      <c r="G598" s="465" t="s">
        <v>1993</v>
      </c>
      <c r="H598" s="465" t="s">
        <v>1994</v>
      </c>
      <c r="I598" s="465" t="s">
        <v>830</v>
      </c>
    </row>
    <row r="599" hidden="1" ht="15.95" customHeight="1">
      <c r="A599" s="465" t="s">
        <v>2099</v>
      </c>
      <c r="B599" s="465" t="s">
        <v>2100</v>
      </c>
      <c r="C599" s="465"/>
      <c r="D599" s="465" t="s">
        <v>825</v>
      </c>
      <c r="E599" s="465" t="s">
        <v>2101</v>
      </c>
      <c r="F599" s="465" t="s">
        <v>2102</v>
      </c>
      <c r="G599" s="465" t="s">
        <v>1993</v>
      </c>
      <c r="H599" s="465" t="s">
        <v>1994</v>
      </c>
      <c r="I599" s="465" t="s">
        <v>830</v>
      </c>
    </row>
    <row r="600" hidden="1" ht="15.95" customHeight="1">
      <c r="A600" s="465" t="s">
        <v>2103</v>
      </c>
      <c r="B600" s="465" t="s">
        <v>2104</v>
      </c>
      <c r="C600" s="465"/>
      <c r="D600" s="465" t="s">
        <v>825</v>
      </c>
      <c r="E600" s="465" t="s">
        <v>2101</v>
      </c>
      <c r="F600" s="465" t="s">
        <v>2102</v>
      </c>
      <c r="G600" s="465" t="s">
        <v>1993</v>
      </c>
      <c r="H600" s="465" t="s">
        <v>1994</v>
      </c>
      <c r="I600" s="465" t="s">
        <v>830</v>
      </c>
    </row>
    <row r="601" hidden="1" ht="15.95" customHeight="1">
      <c r="A601" s="465" t="s">
        <v>2105</v>
      </c>
      <c r="B601" s="465" t="s">
        <v>1050</v>
      </c>
      <c r="C601" s="465"/>
      <c r="D601" s="465" t="s">
        <v>855</v>
      </c>
      <c r="E601" s="465" t="s">
        <v>2101</v>
      </c>
      <c r="F601" s="465" t="s">
        <v>2102</v>
      </c>
      <c r="G601" s="465" t="s">
        <v>1993</v>
      </c>
      <c r="H601" s="465" t="s">
        <v>1994</v>
      </c>
      <c r="I601" s="465" t="s">
        <v>830</v>
      </c>
    </row>
    <row r="602" hidden="1" ht="15.95" customHeight="1">
      <c r="A602" s="465" t="s">
        <v>2106</v>
      </c>
      <c r="B602" s="465" t="s">
        <v>2107</v>
      </c>
      <c r="C602" s="465"/>
      <c r="D602" s="465" t="s">
        <v>855</v>
      </c>
      <c r="E602" s="465" t="s">
        <v>2101</v>
      </c>
      <c r="F602" s="465" t="s">
        <v>2102</v>
      </c>
      <c r="G602" s="465" t="s">
        <v>1993</v>
      </c>
      <c r="H602" s="465" t="s">
        <v>1994</v>
      </c>
      <c r="I602" s="465" t="s">
        <v>830</v>
      </c>
    </row>
    <row r="603" hidden="1" ht="15.95" customHeight="1">
      <c r="A603" s="465" t="s">
        <v>2108</v>
      </c>
      <c r="B603" s="465" t="s">
        <v>2109</v>
      </c>
      <c r="C603" s="465" t="s">
        <v>2110</v>
      </c>
      <c r="D603" s="465" t="s">
        <v>825</v>
      </c>
      <c r="E603" s="465" t="s">
        <v>2101</v>
      </c>
      <c r="F603" s="465" t="s">
        <v>2102</v>
      </c>
      <c r="G603" s="465" t="s">
        <v>1993</v>
      </c>
      <c r="H603" s="465" t="s">
        <v>1994</v>
      </c>
      <c r="I603" s="465" t="s">
        <v>830</v>
      </c>
    </row>
    <row r="604" hidden="1" ht="15.95" customHeight="1">
      <c r="A604" s="465" t="s">
        <v>2111</v>
      </c>
      <c r="B604" s="465" t="s">
        <v>2112</v>
      </c>
      <c r="C604" s="465"/>
      <c r="D604" s="465" t="s">
        <v>825</v>
      </c>
      <c r="E604" s="465" t="s">
        <v>2101</v>
      </c>
      <c r="F604" s="465" t="s">
        <v>2102</v>
      </c>
      <c r="G604" s="465" t="s">
        <v>1993</v>
      </c>
      <c r="H604" s="465" t="s">
        <v>1994</v>
      </c>
      <c r="I604" s="465" t="s">
        <v>830</v>
      </c>
    </row>
    <row r="605" hidden="1" ht="15.95" customHeight="1">
      <c r="A605" s="465" t="s">
        <v>2113</v>
      </c>
      <c r="B605" s="465" t="s">
        <v>2114</v>
      </c>
      <c r="C605" s="465"/>
      <c r="D605" s="465" t="s">
        <v>855</v>
      </c>
      <c r="E605" s="465" t="s">
        <v>2101</v>
      </c>
      <c r="F605" s="465" t="s">
        <v>2102</v>
      </c>
      <c r="G605" s="465" t="s">
        <v>1993</v>
      </c>
      <c r="H605" s="465" t="s">
        <v>1994</v>
      </c>
      <c r="I605" s="465" t="s">
        <v>830</v>
      </c>
    </row>
    <row r="606" hidden="1" ht="15.95" customHeight="1">
      <c r="A606" s="465" t="s">
        <v>2115</v>
      </c>
      <c r="B606" s="465" t="s">
        <v>2116</v>
      </c>
      <c r="C606" s="465"/>
      <c r="D606" s="465" t="s">
        <v>855</v>
      </c>
      <c r="E606" s="465" t="s">
        <v>2101</v>
      </c>
      <c r="F606" s="465" t="s">
        <v>2102</v>
      </c>
      <c r="G606" s="465" t="s">
        <v>1993</v>
      </c>
      <c r="H606" s="465" t="s">
        <v>1994</v>
      </c>
      <c r="I606" s="465" t="s">
        <v>830</v>
      </c>
    </row>
    <row r="607" hidden="1" ht="15.95" customHeight="1">
      <c r="A607" s="465" t="s">
        <v>2117</v>
      </c>
      <c r="B607" s="465" t="s">
        <v>2118</v>
      </c>
      <c r="C607" s="465"/>
      <c r="D607" s="465" t="s">
        <v>855</v>
      </c>
      <c r="E607" s="465" t="s">
        <v>2101</v>
      </c>
      <c r="F607" s="465" t="s">
        <v>2102</v>
      </c>
      <c r="G607" s="465" t="s">
        <v>1993</v>
      </c>
      <c r="H607" s="465" t="s">
        <v>1994</v>
      </c>
      <c r="I607" s="465" t="s">
        <v>830</v>
      </c>
    </row>
    <row r="608" hidden="1" ht="15.95" customHeight="1">
      <c r="A608" s="465" t="s">
        <v>2119</v>
      </c>
      <c r="B608" s="465" t="s">
        <v>2120</v>
      </c>
      <c r="C608" s="465"/>
      <c r="D608" s="465" t="s">
        <v>825</v>
      </c>
      <c r="E608" s="465" t="s">
        <v>2101</v>
      </c>
      <c r="F608" s="465" t="s">
        <v>2102</v>
      </c>
      <c r="G608" s="465" t="s">
        <v>1993</v>
      </c>
      <c r="H608" s="465" t="s">
        <v>1994</v>
      </c>
      <c r="I608" s="465" t="s">
        <v>830</v>
      </c>
    </row>
    <row r="609" hidden="1" ht="15.95" customHeight="1">
      <c r="A609" s="465" t="s">
        <v>2121</v>
      </c>
      <c r="B609" s="465" t="s">
        <v>2122</v>
      </c>
      <c r="C609" s="465" t="s">
        <v>2123</v>
      </c>
      <c r="D609" s="465" t="s">
        <v>855</v>
      </c>
      <c r="E609" s="465" t="s">
        <v>2101</v>
      </c>
      <c r="F609" s="465" t="s">
        <v>2102</v>
      </c>
      <c r="G609" s="465" t="s">
        <v>1993</v>
      </c>
      <c r="H609" s="465" t="s">
        <v>1994</v>
      </c>
      <c r="I609" s="465" t="s">
        <v>830</v>
      </c>
    </row>
    <row r="610" hidden="1" ht="15.95" customHeight="1">
      <c r="A610" s="465" t="s">
        <v>2124</v>
      </c>
      <c r="B610" s="465" t="s">
        <v>2125</v>
      </c>
      <c r="C610" s="465"/>
      <c r="D610" s="465" t="s">
        <v>825</v>
      </c>
      <c r="E610" s="465" t="s">
        <v>2101</v>
      </c>
      <c r="F610" s="465" t="s">
        <v>2102</v>
      </c>
      <c r="G610" s="465" t="s">
        <v>1993</v>
      </c>
      <c r="H610" s="465" t="s">
        <v>1994</v>
      </c>
      <c r="I610" s="465" t="s">
        <v>830</v>
      </c>
    </row>
    <row r="611" hidden="1" ht="15.95" customHeight="1">
      <c r="A611" s="465" t="s">
        <v>2126</v>
      </c>
      <c r="B611" s="465" t="s">
        <v>2127</v>
      </c>
      <c r="C611" s="465"/>
      <c r="D611" s="465" t="s">
        <v>825</v>
      </c>
      <c r="E611" s="465" t="s">
        <v>2128</v>
      </c>
      <c r="F611" s="465" t="s">
        <v>2129</v>
      </c>
      <c r="G611" s="465" t="s">
        <v>1993</v>
      </c>
      <c r="H611" s="465" t="s">
        <v>1994</v>
      </c>
      <c r="I611" s="465" t="s">
        <v>830</v>
      </c>
    </row>
    <row r="612" hidden="1" ht="15.95" customHeight="1">
      <c r="A612" s="465" t="s">
        <v>2130</v>
      </c>
      <c r="B612" s="465" t="s">
        <v>1593</v>
      </c>
      <c r="C612" s="465"/>
      <c r="D612" s="465" t="s">
        <v>825</v>
      </c>
      <c r="E612" s="465" t="s">
        <v>2128</v>
      </c>
      <c r="F612" s="465" t="s">
        <v>2129</v>
      </c>
      <c r="G612" s="465" t="s">
        <v>1993</v>
      </c>
      <c r="H612" s="465" t="s">
        <v>1994</v>
      </c>
      <c r="I612" s="465" t="s">
        <v>830</v>
      </c>
    </row>
    <row r="613" hidden="1" ht="15.95" customHeight="1">
      <c r="A613" s="465" t="s">
        <v>2131</v>
      </c>
      <c r="B613" s="465" t="s">
        <v>2132</v>
      </c>
      <c r="C613" s="465"/>
      <c r="D613" s="465" t="s">
        <v>825</v>
      </c>
      <c r="E613" s="465" t="s">
        <v>2128</v>
      </c>
      <c r="F613" s="465" t="s">
        <v>2129</v>
      </c>
      <c r="G613" s="465" t="s">
        <v>1993</v>
      </c>
      <c r="H613" s="465" t="s">
        <v>1994</v>
      </c>
      <c r="I613" s="465" t="s">
        <v>830</v>
      </c>
    </row>
    <row r="614" hidden="1" ht="15.95" customHeight="1">
      <c r="A614" s="465" t="s">
        <v>2133</v>
      </c>
      <c r="B614" s="465" t="s">
        <v>2134</v>
      </c>
      <c r="C614" s="465"/>
      <c r="D614" s="465" t="s">
        <v>825</v>
      </c>
      <c r="E614" s="465" t="s">
        <v>2128</v>
      </c>
      <c r="F614" s="465" t="s">
        <v>2129</v>
      </c>
      <c r="G614" s="465" t="s">
        <v>1993</v>
      </c>
      <c r="H614" s="465" t="s">
        <v>1994</v>
      </c>
      <c r="I614" s="465" t="s">
        <v>830</v>
      </c>
    </row>
    <row r="615" hidden="1" ht="15.95" customHeight="1">
      <c r="A615" s="465" t="s">
        <v>2135</v>
      </c>
      <c r="B615" s="465" t="s">
        <v>2136</v>
      </c>
      <c r="C615" s="465"/>
      <c r="D615" s="465" t="s">
        <v>825</v>
      </c>
      <c r="E615" s="465" t="s">
        <v>2128</v>
      </c>
      <c r="F615" s="465" t="s">
        <v>2129</v>
      </c>
      <c r="G615" s="465" t="s">
        <v>1993</v>
      </c>
      <c r="H615" s="465" t="s">
        <v>1994</v>
      </c>
      <c r="I615" s="465" t="s">
        <v>830</v>
      </c>
    </row>
    <row r="616" hidden="1" ht="15.95" customHeight="1">
      <c r="A616" s="465" t="s">
        <v>2137</v>
      </c>
      <c r="B616" s="465" t="s">
        <v>2138</v>
      </c>
      <c r="C616" s="465"/>
      <c r="D616" s="465" t="s">
        <v>825</v>
      </c>
      <c r="E616" s="465" t="s">
        <v>2128</v>
      </c>
      <c r="F616" s="465" t="s">
        <v>2129</v>
      </c>
      <c r="G616" s="465" t="s">
        <v>1993</v>
      </c>
      <c r="H616" s="465" t="s">
        <v>1994</v>
      </c>
      <c r="I616" s="465" t="s">
        <v>830</v>
      </c>
    </row>
    <row r="617" hidden="1" ht="15.95" customHeight="1">
      <c r="A617" s="465" t="s">
        <v>2139</v>
      </c>
      <c r="B617" s="465" t="s">
        <v>2140</v>
      </c>
      <c r="C617" s="465"/>
      <c r="D617" s="465" t="s">
        <v>825</v>
      </c>
      <c r="E617" s="465" t="s">
        <v>2128</v>
      </c>
      <c r="F617" s="465" t="s">
        <v>2129</v>
      </c>
      <c r="G617" s="465" t="s">
        <v>1993</v>
      </c>
      <c r="H617" s="465" t="s">
        <v>1994</v>
      </c>
      <c r="I617" s="465" t="s">
        <v>830</v>
      </c>
    </row>
    <row r="618" hidden="1" ht="15.95" customHeight="1">
      <c r="A618" s="465" t="s">
        <v>2141</v>
      </c>
      <c r="B618" s="465" t="s">
        <v>2142</v>
      </c>
      <c r="C618" s="465"/>
      <c r="D618" s="465" t="s">
        <v>825</v>
      </c>
      <c r="E618" s="465" t="s">
        <v>2143</v>
      </c>
      <c r="F618" s="465" t="s">
        <v>2144</v>
      </c>
      <c r="G618" s="465" t="s">
        <v>1993</v>
      </c>
      <c r="H618" s="465" t="s">
        <v>1994</v>
      </c>
      <c r="I618" s="465" t="s">
        <v>830</v>
      </c>
    </row>
    <row r="619" hidden="1" ht="15.95" customHeight="1">
      <c r="A619" s="465" t="s">
        <v>2145</v>
      </c>
      <c r="B619" s="465" t="s">
        <v>2146</v>
      </c>
      <c r="C619" s="465"/>
      <c r="D619" s="465" t="s">
        <v>825</v>
      </c>
      <c r="E619" s="465" t="s">
        <v>2143</v>
      </c>
      <c r="F619" s="465" t="s">
        <v>2144</v>
      </c>
      <c r="G619" s="465" t="s">
        <v>1993</v>
      </c>
      <c r="H619" s="465" t="s">
        <v>1994</v>
      </c>
      <c r="I619" s="465" t="s">
        <v>830</v>
      </c>
    </row>
    <row r="620" hidden="1" ht="15.95" customHeight="1">
      <c r="A620" s="465" t="s">
        <v>2147</v>
      </c>
      <c r="B620" s="465" t="s">
        <v>2148</v>
      </c>
      <c r="C620" s="465"/>
      <c r="D620" s="465" t="s">
        <v>825</v>
      </c>
      <c r="E620" s="465" t="s">
        <v>2143</v>
      </c>
      <c r="F620" s="465" t="s">
        <v>2144</v>
      </c>
      <c r="G620" s="465" t="s">
        <v>1993</v>
      </c>
      <c r="H620" s="465" t="s">
        <v>1994</v>
      </c>
      <c r="I620" s="465" t="s">
        <v>830</v>
      </c>
    </row>
    <row r="621" hidden="1" ht="15.95" customHeight="1">
      <c r="A621" s="465" t="s">
        <v>2149</v>
      </c>
      <c r="B621" s="465" t="s">
        <v>2150</v>
      </c>
      <c r="C621" s="465"/>
      <c r="D621" s="465" t="s">
        <v>825</v>
      </c>
      <c r="E621" s="465" t="s">
        <v>2143</v>
      </c>
      <c r="F621" s="465" t="s">
        <v>2144</v>
      </c>
      <c r="G621" s="465" t="s">
        <v>1993</v>
      </c>
      <c r="H621" s="465" t="s">
        <v>1994</v>
      </c>
      <c r="I621" s="465" t="s">
        <v>830</v>
      </c>
    </row>
    <row r="622" hidden="1" ht="15.95" customHeight="1">
      <c r="A622" s="465" t="s">
        <v>2151</v>
      </c>
      <c r="B622" s="465" t="s">
        <v>185</v>
      </c>
      <c r="C622" s="465"/>
      <c r="D622" s="465" t="s">
        <v>825</v>
      </c>
      <c r="E622" s="465" t="s">
        <v>2143</v>
      </c>
      <c r="F622" s="465" t="s">
        <v>2144</v>
      </c>
      <c r="G622" s="465" t="s">
        <v>1993</v>
      </c>
      <c r="H622" s="465" t="s">
        <v>1994</v>
      </c>
      <c r="I622" s="465" t="s">
        <v>830</v>
      </c>
    </row>
    <row r="623" hidden="1" ht="15.95" customHeight="1">
      <c r="A623" s="465" t="s">
        <v>2152</v>
      </c>
      <c r="B623" s="465" t="s">
        <v>2153</v>
      </c>
      <c r="C623" s="465"/>
      <c r="D623" s="465" t="s">
        <v>825</v>
      </c>
      <c r="E623" s="465" t="s">
        <v>2143</v>
      </c>
      <c r="F623" s="465" t="s">
        <v>2144</v>
      </c>
      <c r="G623" s="465" t="s">
        <v>1993</v>
      </c>
      <c r="H623" s="465" t="s">
        <v>1994</v>
      </c>
      <c r="I623" s="465" t="s">
        <v>830</v>
      </c>
    </row>
    <row r="624" hidden="1" ht="15.95" customHeight="1">
      <c r="A624" s="465" t="s">
        <v>2154</v>
      </c>
      <c r="B624" s="465" t="s">
        <v>2155</v>
      </c>
      <c r="C624" s="465"/>
      <c r="D624" s="465" t="s">
        <v>855</v>
      </c>
      <c r="E624" s="465" t="s">
        <v>2143</v>
      </c>
      <c r="F624" s="465" t="s">
        <v>2144</v>
      </c>
      <c r="G624" s="465" t="s">
        <v>1993</v>
      </c>
      <c r="H624" s="465" t="s">
        <v>1994</v>
      </c>
      <c r="I624" s="465" t="s">
        <v>830</v>
      </c>
    </row>
    <row r="625" hidden="1" ht="15.95" customHeight="1">
      <c r="A625" s="465" t="s">
        <v>2156</v>
      </c>
      <c r="B625" s="465" t="s">
        <v>2157</v>
      </c>
      <c r="C625" s="465"/>
      <c r="D625" s="465" t="s">
        <v>825</v>
      </c>
      <c r="E625" s="465" t="s">
        <v>2143</v>
      </c>
      <c r="F625" s="465" t="s">
        <v>2144</v>
      </c>
      <c r="G625" s="465" t="s">
        <v>1993</v>
      </c>
      <c r="H625" s="465" t="s">
        <v>1994</v>
      </c>
      <c r="I625" s="465" t="s">
        <v>830</v>
      </c>
    </row>
    <row r="626" hidden="1" ht="15.95" customHeight="1">
      <c r="A626" s="465" t="s">
        <v>2158</v>
      </c>
      <c r="B626" s="465" t="s">
        <v>2159</v>
      </c>
      <c r="C626" s="465"/>
      <c r="D626" s="465" t="s">
        <v>825</v>
      </c>
      <c r="E626" s="465" t="s">
        <v>2143</v>
      </c>
      <c r="F626" s="465" t="s">
        <v>2144</v>
      </c>
      <c r="G626" s="465" t="s">
        <v>1993</v>
      </c>
      <c r="H626" s="465" t="s">
        <v>1994</v>
      </c>
      <c r="I626" s="465" t="s">
        <v>830</v>
      </c>
    </row>
    <row r="627" hidden="1" ht="15.95" customHeight="1">
      <c r="A627" s="465" t="s">
        <v>2160</v>
      </c>
      <c r="B627" s="465" t="s">
        <v>2161</v>
      </c>
      <c r="C627" s="465"/>
      <c r="D627" s="465" t="s">
        <v>825</v>
      </c>
      <c r="E627" s="465" t="s">
        <v>2143</v>
      </c>
      <c r="F627" s="465" t="s">
        <v>2144</v>
      </c>
      <c r="G627" s="465" t="s">
        <v>1993</v>
      </c>
      <c r="H627" s="465" t="s">
        <v>1994</v>
      </c>
      <c r="I627" s="465" t="s">
        <v>830</v>
      </c>
    </row>
    <row r="628" hidden="1" ht="15.95" customHeight="1">
      <c r="A628" s="465" t="s">
        <v>2162</v>
      </c>
      <c r="B628" s="465" t="s">
        <v>2163</v>
      </c>
      <c r="C628" s="465"/>
      <c r="D628" s="465" t="s">
        <v>855</v>
      </c>
      <c r="E628" s="465" t="s">
        <v>2164</v>
      </c>
      <c r="F628" s="465" t="s">
        <v>2165</v>
      </c>
      <c r="G628" s="465" t="s">
        <v>1993</v>
      </c>
      <c r="H628" s="465" t="s">
        <v>1994</v>
      </c>
      <c r="I628" s="465" t="s">
        <v>830</v>
      </c>
    </row>
    <row r="629" hidden="1" ht="15.95" customHeight="1">
      <c r="A629" s="465" t="s">
        <v>2166</v>
      </c>
      <c r="B629" s="465" t="s">
        <v>2167</v>
      </c>
      <c r="C629" s="465"/>
      <c r="D629" s="465" t="s">
        <v>855</v>
      </c>
      <c r="E629" s="465" t="s">
        <v>2164</v>
      </c>
      <c r="F629" s="465" t="s">
        <v>2165</v>
      </c>
      <c r="G629" s="465" t="s">
        <v>1993</v>
      </c>
      <c r="H629" s="465" t="s">
        <v>1994</v>
      </c>
      <c r="I629" s="465" t="s">
        <v>830</v>
      </c>
    </row>
    <row r="630" hidden="1" ht="15.95" customHeight="1">
      <c r="A630" s="465" t="s">
        <v>2168</v>
      </c>
      <c r="B630" s="465" t="s">
        <v>1033</v>
      </c>
      <c r="C630" s="465"/>
      <c r="D630" s="465" t="s">
        <v>855</v>
      </c>
      <c r="E630" s="465" t="s">
        <v>2164</v>
      </c>
      <c r="F630" s="465" t="s">
        <v>2165</v>
      </c>
      <c r="G630" s="465" t="s">
        <v>1993</v>
      </c>
      <c r="H630" s="465" t="s">
        <v>1994</v>
      </c>
      <c r="I630" s="465" t="s">
        <v>830</v>
      </c>
    </row>
    <row r="631" hidden="1" ht="15.95" customHeight="1">
      <c r="A631" s="465" t="s">
        <v>2169</v>
      </c>
      <c r="B631" s="465" t="s">
        <v>1156</v>
      </c>
      <c r="C631" s="465"/>
      <c r="D631" s="465" t="s">
        <v>855</v>
      </c>
      <c r="E631" s="465" t="s">
        <v>2164</v>
      </c>
      <c r="F631" s="465" t="s">
        <v>2165</v>
      </c>
      <c r="G631" s="465" t="s">
        <v>1993</v>
      </c>
      <c r="H631" s="465" t="s">
        <v>1994</v>
      </c>
      <c r="I631" s="465" t="s">
        <v>830</v>
      </c>
    </row>
    <row r="632" hidden="1" ht="15.95" customHeight="1">
      <c r="A632" s="465" t="s">
        <v>2170</v>
      </c>
      <c r="B632" s="465" t="s">
        <v>1164</v>
      </c>
      <c r="C632" s="465"/>
      <c r="D632" s="465" t="s">
        <v>855</v>
      </c>
      <c r="E632" s="465" t="s">
        <v>2164</v>
      </c>
      <c r="F632" s="465" t="s">
        <v>2165</v>
      </c>
      <c r="G632" s="465" t="s">
        <v>1993</v>
      </c>
      <c r="H632" s="465" t="s">
        <v>1994</v>
      </c>
      <c r="I632" s="465" t="s">
        <v>830</v>
      </c>
    </row>
    <row r="633" hidden="1" ht="15.95" customHeight="1">
      <c r="A633" s="465" t="s">
        <v>2171</v>
      </c>
      <c r="B633" s="465" t="s">
        <v>2172</v>
      </c>
      <c r="C633" s="465" t="s">
        <v>2173</v>
      </c>
      <c r="D633" s="465" t="s">
        <v>855</v>
      </c>
      <c r="E633" s="465" t="s">
        <v>2164</v>
      </c>
      <c r="F633" s="465" t="s">
        <v>2165</v>
      </c>
      <c r="G633" s="465" t="s">
        <v>1993</v>
      </c>
      <c r="H633" s="465" t="s">
        <v>1994</v>
      </c>
      <c r="I633" s="465" t="s">
        <v>830</v>
      </c>
    </row>
    <row r="634" hidden="1" ht="15.95" customHeight="1">
      <c r="A634" s="465" t="s">
        <v>2174</v>
      </c>
      <c r="B634" s="465" t="s">
        <v>2175</v>
      </c>
      <c r="C634" s="465" t="s">
        <v>2176</v>
      </c>
      <c r="D634" s="465" t="s">
        <v>855</v>
      </c>
      <c r="E634" s="465" t="s">
        <v>2164</v>
      </c>
      <c r="F634" s="465" t="s">
        <v>2165</v>
      </c>
      <c r="G634" s="465" t="s">
        <v>1993</v>
      </c>
      <c r="H634" s="465" t="s">
        <v>1994</v>
      </c>
      <c r="I634" s="465" t="s">
        <v>830</v>
      </c>
    </row>
    <row r="635" hidden="1" ht="15.95" customHeight="1">
      <c r="A635" s="465" t="s">
        <v>2177</v>
      </c>
      <c r="B635" s="465" t="s">
        <v>2178</v>
      </c>
      <c r="C635" s="465"/>
      <c r="D635" s="465" t="s">
        <v>855</v>
      </c>
      <c r="E635" s="465" t="s">
        <v>2164</v>
      </c>
      <c r="F635" s="465" t="s">
        <v>2165</v>
      </c>
      <c r="G635" s="465" t="s">
        <v>1993</v>
      </c>
      <c r="H635" s="465" t="s">
        <v>1994</v>
      </c>
      <c r="I635" s="465" t="s">
        <v>830</v>
      </c>
    </row>
    <row r="636" hidden="1" ht="15.95" customHeight="1">
      <c r="A636" s="465" t="s">
        <v>2179</v>
      </c>
      <c r="B636" s="465" t="s">
        <v>2180</v>
      </c>
      <c r="C636" s="465"/>
      <c r="D636" s="465" t="s">
        <v>855</v>
      </c>
      <c r="E636" s="465" t="s">
        <v>2164</v>
      </c>
      <c r="F636" s="465" t="s">
        <v>2165</v>
      </c>
      <c r="G636" s="465" t="s">
        <v>1993</v>
      </c>
      <c r="H636" s="465" t="s">
        <v>1994</v>
      </c>
      <c r="I636" s="465" t="s">
        <v>830</v>
      </c>
    </row>
    <row r="637" hidden="1" ht="15.95" customHeight="1">
      <c r="A637" s="465" t="s">
        <v>2181</v>
      </c>
      <c r="B637" s="465" t="s">
        <v>2182</v>
      </c>
      <c r="C637" s="465"/>
      <c r="D637" s="465" t="s">
        <v>855</v>
      </c>
      <c r="E637" s="465" t="s">
        <v>2164</v>
      </c>
      <c r="F637" s="465" t="s">
        <v>2165</v>
      </c>
      <c r="G637" s="465" t="s">
        <v>1993</v>
      </c>
      <c r="H637" s="465" t="s">
        <v>1994</v>
      </c>
      <c r="I637" s="465" t="s">
        <v>830</v>
      </c>
    </row>
    <row r="638" hidden="1" ht="15.95" customHeight="1">
      <c r="A638" s="465" t="s">
        <v>2183</v>
      </c>
      <c r="B638" s="465" t="s">
        <v>2184</v>
      </c>
      <c r="C638" s="465"/>
      <c r="D638" s="465" t="s">
        <v>825</v>
      </c>
      <c r="E638" s="465" t="s">
        <v>2185</v>
      </c>
      <c r="F638" s="465" t="s">
        <v>2186</v>
      </c>
      <c r="G638" s="465" t="s">
        <v>2187</v>
      </c>
      <c r="H638" s="465" t="s">
        <v>2188</v>
      </c>
      <c r="I638" s="465" t="s">
        <v>830</v>
      </c>
    </row>
    <row r="639" hidden="1" ht="15.95" customHeight="1">
      <c r="A639" s="465" t="s">
        <v>2189</v>
      </c>
      <c r="B639" s="465" t="s">
        <v>2190</v>
      </c>
      <c r="C639" s="465"/>
      <c r="D639" s="465" t="s">
        <v>825</v>
      </c>
      <c r="E639" s="465" t="s">
        <v>2185</v>
      </c>
      <c r="F639" s="465" t="s">
        <v>2186</v>
      </c>
      <c r="G639" s="465" t="s">
        <v>2187</v>
      </c>
      <c r="H639" s="465" t="s">
        <v>2188</v>
      </c>
      <c r="I639" s="465" t="s">
        <v>830</v>
      </c>
    </row>
    <row r="640" hidden="1" ht="15.95" customHeight="1">
      <c r="A640" s="465" t="s">
        <v>2191</v>
      </c>
      <c r="B640" s="465" t="s">
        <v>2192</v>
      </c>
      <c r="C640" s="465"/>
      <c r="D640" s="465" t="s">
        <v>825</v>
      </c>
      <c r="E640" s="465" t="s">
        <v>2185</v>
      </c>
      <c r="F640" s="465" t="s">
        <v>2186</v>
      </c>
      <c r="G640" s="465" t="s">
        <v>2187</v>
      </c>
      <c r="H640" s="465" t="s">
        <v>2188</v>
      </c>
      <c r="I640" s="465" t="s">
        <v>830</v>
      </c>
    </row>
    <row r="641" hidden="1" ht="15.95" customHeight="1">
      <c r="A641" s="465" t="s">
        <v>2193</v>
      </c>
      <c r="B641" s="465" t="s">
        <v>2194</v>
      </c>
      <c r="C641" s="465"/>
      <c r="D641" s="465" t="s">
        <v>825</v>
      </c>
      <c r="E641" s="465" t="s">
        <v>2185</v>
      </c>
      <c r="F641" s="465" t="s">
        <v>2186</v>
      </c>
      <c r="G641" s="465" t="s">
        <v>2187</v>
      </c>
      <c r="H641" s="465" t="s">
        <v>2188</v>
      </c>
      <c r="I641" s="465" t="s">
        <v>830</v>
      </c>
    </row>
    <row r="642" hidden="1" ht="15.95" customHeight="1">
      <c r="A642" s="465" t="s">
        <v>2195</v>
      </c>
      <c r="B642" s="465" t="s">
        <v>2196</v>
      </c>
      <c r="C642" s="465"/>
      <c r="D642" s="465" t="s">
        <v>825</v>
      </c>
      <c r="E642" s="465" t="s">
        <v>2185</v>
      </c>
      <c r="F642" s="465" t="s">
        <v>2186</v>
      </c>
      <c r="G642" s="465" t="s">
        <v>2187</v>
      </c>
      <c r="H642" s="465" t="s">
        <v>2188</v>
      </c>
      <c r="I642" s="465" t="s">
        <v>830</v>
      </c>
    </row>
    <row r="643" hidden="1" ht="15.95" customHeight="1">
      <c r="A643" s="465" t="s">
        <v>2197</v>
      </c>
      <c r="B643" s="465" t="s">
        <v>2109</v>
      </c>
      <c r="C643" s="465"/>
      <c r="D643" s="465" t="s">
        <v>825</v>
      </c>
      <c r="E643" s="465" t="s">
        <v>2185</v>
      </c>
      <c r="F643" s="465" t="s">
        <v>2186</v>
      </c>
      <c r="G643" s="465" t="s">
        <v>2187</v>
      </c>
      <c r="H643" s="465" t="s">
        <v>2188</v>
      </c>
      <c r="I643" s="465" t="s">
        <v>830</v>
      </c>
    </row>
    <row r="644" hidden="1" ht="15.95" customHeight="1">
      <c r="A644" s="465" t="s">
        <v>2198</v>
      </c>
      <c r="B644" s="465" t="s">
        <v>2199</v>
      </c>
      <c r="C644" s="465"/>
      <c r="D644" s="465" t="s">
        <v>825</v>
      </c>
      <c r="E644" s="465" t="s">
        <v>2185</v>
      </c>
      <c r="F644" s="465" t="s">
        <v>2186</v>
      </c>
      <c r="G644" s="465" t="s">
        <v>2187</v>
      </c>
      <c r="H644" s="465" t="s">
        <v>2188</v>
      </c>
      <c r="I644" s="465" t="s">
        <v>830</v>
      </c>
    </row>
    <row r="645" hidden="1" ht="15.95" customHeight="1">
      <c r="A645" s="465" t="s">
        <v>2200</v>
      </c>
      <c r="B645" s="465" t="s">
        <v>2201</v>
      </c>
      <c r="C645" s="465"/>
      <c r="D645" s="465" t="s">
        <v>825</v>
      </c>
      <c r="E645" s="465" t="s">
        <v>2185</v>
      </c>
      <c r="F645" s="465" t="s">
        <v>2186</v>
      </c>
      <c r="G645" s="465" t="s">
        <v>2187</v>
      </c>
      <c r="H645" s="465" t="s">
        <v>2188</v>
      </c>
      <c r="I645" s="465" t="s">
        <v>830</v>
      </c>
    </row>
    <row r="646" hidden="1" ht="15.95" customHeight="1">
      <c r="A646" s="465" t="s">
        <v>2202</v>
      </c>
      <c r="B646" s="465" t="s">
        <v>2203</v>
      </c>
      <c r="C646" s="465"/>
      <c r="D646" s="465" t="s">
        <v>825</v>
      </c>
      <c r="E646" s="465" t="s">
        <v>2185</v>
      </c>
      <c r="F646" s="465" t="s">
        <v>2186</v>
      </c>
      <c r="G646" s="465" t="s">
        <v>2187</v>
      </c>
      <c r="H646" s="465" t="s">
        <v>2188</v>
      </c>
      <c r="I646" s="465" t="s">
        <v>830</v>
      </c>
    </row>
    <row r="647" hidden="1" ht="15.95" customHeight="1">
      <c r="A647" s="465" t="s">
        <v>2204</v>
      </c>
      <c r="B647" s="465" t="s">
        <v>2205</v>
      </c>
      <c r="C647" s="465"/>
      <c r="D647" s="465" t="s">
        <v>825</v>
      </c>
      <c r="E647" s="465" t="s">
        <v>2185</v>
      </c>
      <c r="F647" s="465" t="s">
        <v>2186</v>
      </c>
      <c r="G647" s="465" t="s">
        <v>2187</v>
      </c>
      <c r="H647" s="465" t="s">
        <v>2188</v>
      </c>
      <c r="I647" s="465" t="s">
        <v>830</v>
      </c>
    </row>
    <row r="648" hidden="1" ht="15.95" customHeight="1">
      <c r="A648" s="465" t="s">
        <v>2206</v>
      </c>
      <c r="B648" s="465" t="s">
        <v>2207</v>
      </c>
      <c r="C648" s="465"/>
      <c r="D648" s="465" t="s">
        <v>825</v>
      </c>
      <c r="E648" s="465" t="s">
        <v>2185</v>
      </c>
      <c r="F648" s="465" t="s">
        <v>2186</v>
      </c>
      <c r="G648" s="465" t="s">
        <v>2187</v>
      </c>
      <c r="H648" s="465" t="s">
        <v>2188</v>
      </c>
      <c r="I648" s="465" t="s">
        <v>830</v>
      </c>
    </row>
    <row r="649" hidden="1" ht="15.95" customHeight="1">
      <c r="A649" s="465" t="s">
        <v>2208</v>
      </c>
      <c r="B649" s="465" t="s">
        <v>2209</v>
      </c>
      <c r="C649" s="465"/>
      <c r="D649" s="465" t="s">
        <v>825</v>
      </c>
      <c r="E649" s="465" t="s">
        <v>2185</v>
      </c>
      <c r="F649" s="465" t="s">
        <v>2186</v>
      </c>
      <c r="G649" s="465" t="s">
        <v>2187</v>
      </c>
      <c r="H649" s="465" t="s">
        <v>2188</v>
      </c>
      <c r="I649" s="465" t="s">
        <v>830</v>
      </c>
    </row>
    <row r="650" hidden="1" ht="15.95" customHeight="1">
      <c r="A650" s="465" t="s">
        <v>2210</v>
      </c>
      <c r="B650" s="465" t="s">
        <v>2211</v>
      </c>
      <c r="C650" s="465"/>
      <c r="D650" s="465" t="s">
        <v>825</v>
      </c>
      <c r="E650" s="465" t="s">
        <v>2185</v>
      </c>
      <c r="F650" s="465" t="s">
        <v>2186</v>
      </c>
      <c r="G650" s="465" t="s">
        <v>2187</v>
      </c>
      <c r="H650" s="465" t="s">
        <v>2188</v>
      </c>
      <c r="I650" s="465" t="s">
        <v>830</v>
      </c>
    </row>
    <row r="651" hidden="1" ht="15.95" customHeight="1">
      <c r="A651" s="465" t="s">
        <v>2212</v>
      </c>
      <c r="B651" s="465" t="s">
        <v>2213</v>
      </c>
      <c r="C651" s="465"/>
      <c r="D651" s="465" t="s">
        <v>825</v>
      </c>
      <c r="E651" s="465" t="s">
        <v>2185</v>
      </c>
      <c r="F651" s="465" t="s">
        <v>2186</v>
      </c>
      <c r="G651" s="465" t="s">
        <v>2187</v>
      </c>
      <c r="H651" s="465" t="s">
        <v>2188</v>
      </c>
      <c r="I651" s="465" t="s">
        <v>830</v>
      </c>
    </row>
    <row r="652" hidden="1" ht="15.95" customHeight="1">
      <c r="A652" s="465" t="s">
        <v>2214</v>
      </c>
      <c r="B652" s="465" t="s">
        <v>2215</v>
      </c>
      <c r="C652" s="465"/>
      <c r="D652" s="465" t="s">
        <v>825</v>
      </c>
      <c r="E652" s="465" t="s">
        <v>2185</v>
      </c>
      <c r="F652" s="465" t="s">
        <v>2186</v>
      </c>
      <c r="G652" s="465" t="s">
        <v>2187</v>
      </c>
      <c r="H652" s="465" t="s">
        <v>2188</v>
      </c>
      <c r="I652" s="465" t="s">
        <v>830</v>
      </c>
    </row>
    <row r="653" hidden="1" ht="15.95" customHeight="1">
      <c r="A653" s="465" t="s">
        <v>2216</v>
      </c>
      <c r="B653" s="465" t="s">
        <v>2217</v>
      </c>
      <c r="C653" s="465"/>
      <c r="D653" s="465" t="s">
        <v>825</v>
      </c>
      <c r="E653" s="465" t="s">
        <v>2185</v>
      </c>
      <c r="F653" s="465" t="s">
        <v>2186</v>
      </c>
      <c r="G653" s="465" t="s">
        <v>2187</v>
      </c>
      <c r="H653" s="465" t="s">
        <v>2188</v>
      </c>
      <c r="I653" s="465" t="s">
        <v>830</v>
      </c>
    </row>
    <row r="654" hidden="1" ht="15.95" customHeight="1">
      <c r="A654" s="465" t="s">
        <v>2218</v>
      </c>
      <c r="B654" s="465" t="s">
        <v>2219</v>
      </c>
      <c r="C654" s="465"/>
      <c r="D654" s="465" t="s">
        <v>825</v>
      </c>
      <c r="E654" s="465" t="s">
        <v>2185</v>
      </c>
      <c r="F654" s="465" t="s">
        <v>2186</v>
      </c>
      <c r="G654" s="465" t="s">
        <v>2187</v>
      </c>
      <c r="H654" s="465" t="s">
        <v>2188</v>
      </c>
      <c r="I654" s="465" t="s">
        <v>830</v>
      </c>
    </row>
    <row r="655" hidden="1" ht="15.95" customHeight="1">
      <c r="A655" s="465" t="s">
        <v>2220</v>
      </c>
      <c r="B655" s="465" t="s">
        <v>2221</v>
      </c>
      <c r="C655" s="465"/>
      <c r="D655" s="465" t="s">
        <v>825</v>
      </c>
      <c r="E655" s="465" t="s">
        <v>2185</v>
      </c>
      <c r="F655" s="465" t="s">
        <v>2186</v>
      </c>
      <c r="G655" s="465" t="s">
        <v>2187</v>
      </c>
      <c r="H655" s="465" t="s">
        <v>2188</v>
      </c>
      <c r="I655" s="465" t="s">
        <v>830</v>
      </c>
    </row>
    <row r="656" hidden="1" ht="15.95" customHeight="1">
      <c r="A656" s="465" t="s">
        <v>2222</v>
      </c>
      <c r="B656" s="465" t="s">
        <v>2223</v>
      </c>
      <c r="C656" s="465"/>
      <c r="D656" s="465" t="s">
        <v>825</v>
      </c>
      <c r="E656" s="465" t="s">
        <v>2185</v>
      </c>
      <c r="F656" s="465" t="s">
        <v>2186</v>
      </c>
      <c r="G656" s="465" t="s">
        <v>2187</v>
      </c>
      <c r="H656" s="465" t="s">
        <v>2188</v>
      </c>
      <c r="I656" s="465" t="s">
        <v>830</v>
      </c>
    </row>
    <row r="657" hidden="1" ht="15.95" customHeight="1">
      <c r="A657" s="465" t="s">
        <v>2224</v>
      </c>
      <c r="B657" s="465" t="s">
        <v>2140</v>
      </c>
      <c r="C657" s="465"/>
      <c r="D657" s="465" t="s">
        <v>825</v>
      </c>
      <c r="E657" s="465" t="s">
        <v>2185</v>
      </c>
      <c r="F657" s="465" t="s">
        <v>2186</v>
      </c>
      <c r="G657" s="465" t="s">
        <v>2187</v>
      </c>
      <c r="H657" s="465" t="s">
        <v>2188</v>
      </c>
      <c r="I657" s="465" t="s">
        <v>830</v>
      </c>
    </row>
    <row r="658" hidden="1" ht="15.95" customHeight="1">
      <c r="A658" s="465" t="s">
        <v>2225</v>
      </c>
      <c r="B658" s="465" t="s">
        <v>2226</v>
      </c>
      <c r="C658" s="465"/>
      <c r="D658" s="465" t="s">
        <v>825</v>
      </c>
      <c r="E658" s="465" t="s">
        <v>2185</v>
      </c>
      <c r="F658" s="465" t="s">
        <v>2186</v>
      </c>
      <c r="G658" s="465" t="s">
        <v>2187</v>
      </c>
      <c r="H658" s="465" t="s">
        <v>2188</v>
      </c>
      <c r="I658" s="465" t="s">
        <v>830</v>
      </c>
    </row>
    <row r="659" hidden="1" ht="15.95" customHeight="1">
      <c r="A659" s="465" t="s">
        <v>2227</v>
      </c>
      <c r="B659" s="465" t="s">
        <v>2228</v>
      </c>
      <c r="C659" s="465"/>
      <c r="D659" s="465" t="s">
        <v>825</v>
      </c>
      <c r="E659" s="465" t="s">
        <v>2185</v>
      </c>
      <c r="F659" s="465" t="s">
        <v>2186</v>
      </c>
      <c r="G659" s="465" t="s">
        <v>2187</v>
      </c>
      <c r="H659" s="465" t="s">
        <v>2188</v>
      </c>
      <c r="I659" s="465" t="s">
        <v>830</v>
      </c>
    </row>
    <row r="660" hidden="1" ht="15.95" customHeight="1">
      <c r="A660" s="465" t="s">
        <v>2229</v>
      </c>
      <c r="B660" s="465" t="s">
        <v>2230</v>
      </c>
      <c r="C660" s="465"/>
      <c r="D660" s="465" t="s">
        <v>825</v>
      </c>
      <c r="E660" s="465" t="s">
        <v>2185</v>
      </c>
      <c r="F660" s="465" t="s">
        <v>2186</v>
      </c>
      <c r="G660" s="465" t="s">
        <v>2187</v>
      </c>
      <c r="H660" s="465" t="s">
        <v>2188</v>
      </c>
      <c r="I660" s="465" t="s">
        <v>830</v>
      </c>
    </row>
    <row r="661" hidden="1" ht="15.95" customHeight="1">
      <c r="A661" s="465" t="s">
        <v>2231</v>
      </c>
      <c r="B661" s="465" t="s">
        <v>2232</v>
      </c>
      <c r="C661" s="465"/>
      <c r="D661" s="465" t="s">
        <v>855</v>
      </c>
      <c r="E661" s="465" t="s">
        <v>2185</v>
      </c>
      <c r="F661" s="465" t="s">
        <v>2186</v>
      </c>
      <c r="G661" s="465" t="s">
        <v>2187</v>
      </c>
      <c r="H661" s="465" t="s">
        <v>2188</v>
      </c>
      <c r="I661" s="465" t="s">
        <v>830</v>
      </c>
    </row>
    <row r="662" hidden="1" ht="15.95" customHeight="1">
      <c r="A662" s="465" t="s">
        <v>2233</v>
      </c>
      <c r="B662" s="465" t="s">
        <v>2234</v>
      </c>
      <c r="C662" s="465"/>
      <c r="D662" s="465" t="s">
        <v>855</v>
      </c>
      <c r="E662" s="465" t="s">
        <v>2185</v>
      </c>
      <c r="F662" s="465" t="s">
        <v>2186</v>
      </c>
      <c r="G662" s="465" t="s">
        <v>2187</v>
      </c>
      <c r="H662" s="465" t="s">
        <v>2188</v>
      </c>
      <c r="I662" s="465" t="s">
        <v>830</v>
      </c>
    </row>
    <row r="663" hidden="1" ht="15.95" customHeight="1">
      <c r="A663" s="465" t="s">
        <v>2235</v>
      </c>
      <c r="B663" s="465" t="s">
        <v>2236</v>
      </c>
      <c r="C663" s="465"/>
      <c r="D663" s="465" t="s">
        <v>855</v>
      </c>
      <c r="E663" s="465" t="s">
        <v>2185</v>
      </c>
      <c r="F663" s="465" t="s">
        <v>2186</v>
      </c>
      <c r="G663" s="465" t="s">
        <v>2187</v>
      </c>
      <c r="H663" s="465" t="s">
        <v>2188</v>
      </c>
      <c r="I663" s="465" t="s">
        <v>830</v>
      </c>
    </row>
    <row r="664" hidden="1" ht="15.95" customHeight="1">
      <c r="A664" s="465" t="s">
        <v>2237</v>
      </c>
      <c r="B664" s="465" t="s">
        <v>1986</v>
      </c>
      <c r="C664" s="465"/>
      <c r="D664" s="465" t="s">
        <v>855</v>
      </c>
      <c r="E664" s="465" t="s">
        <v>2185</v>
      </c>
      <c r="F664" s="465" t="s">
        <v>2186</v>
      </c>
      <c r="G664" s="465" t="s">
        <v>2187</v>
      </c>
      <c r="H664" s="465" t="s">
        <v>2188</v>
      </c>
      <c r="I664" s="465" t="s">
        <v>830</v>
      </c>
    </row>
    <row r="665" hidden="1" ht="15.95" customHeight="1">
      <c r="A665" s="465" t="s">
        <v>2238</v>
      </c>
      <c r="B665" s="465" t="s">
        <v>2239</v>
      </c>
      <c r="C665" s="465"/>
      <c r="D665" s="465" t="s">
        <v>855</v>
      </c>
      <c r="E665" s="465" t="s">
        <v>2185</v>
      </c>
      <c r="F665" s="465" t="s">
        <v>2186</v>
      </c>
      <c r="G665" s="465" t="s">
        <v>2187</v>
      </c>
      <c r="H665" s="465" t="s">
        <v>2188</v>
      </c>
      <c r="I665" s="465" t="s">
        <v>830</v>
      </c>
    </row>
    <row r="666" hidden="1" ht="15.95" customHeight="1">
      <c r="A666" s="465" t="s">
        <v>2240</v>
      </c>
      <c r="B666" s="465" t="s">
        <v>869</v>
      </c>
      <c r="C666" s="465"/>
      <c r="D666" s="465" t="s">
        <v>855</v>
      </c>
      <c r="E666" s="465" t="s">
        <v>2185</v>
      </c>
      <c r="F666" s="465" t="s">
        <v>2186</v>
      </c>
      <c r="G666" s="465" t="s">
        <v>2187</v>
      </c>
      <c r="H666" s="465" t="s">
        <v>2188</v>
      </c>
      <c r="I666" s="465" t="s">
        <v>830</v>
      </c>
    </row>
    <row r="667" hidden="1" ht="15.95" customHeight="1">
      <c r="A667" s="465" t="s">
        <v>2241</v>
      </c>
      <c r="B667" s="465" t="s">
        <v>1788</v>
      </c>
      <c r="C667" s="465"/>
      <c r="D667" s="465" t="s">
        <v>855</v>
      </c>
      <c r="E667" s="465" t="s">
        <v>2185</v>
      </c>
      <c r="F667" s="465" t="s">
        <v>2186</v>
      </c>
      <c r="G667" s="465" t="s">
        <v>2187</v>
      </c>
      <c r="H667" s="465" t="s">
        <v>2188</v>
      </c>
      <c r="I667" s="465" t="s">
        <v>830</v>
      </c>
    </row>
    <row r="668" hidden="1" ht="15.95" customHeight="1">
      <c r="A668" s="465" t="s">
        <v>2242</v>
      </c>
      <c r="B668" s="465" t="s">
        <v>2243</v>
      </c>
      <c r="C668" s="465"/>
      <c r="D668" s="465" t="s">
        <v>825</v>
      </c>
      <c r="E668" s="465" t="s">
        <v>2244</v>
      </c>
      <c r="F668" s="465" t="s">
        <v>2245</v>
      </c>
      <c r="G668" s="465" t="s">
        <v>2187</v>
      </c>
      <c r="H668" s="465" t="s">
        <v>2188</v>
      </c>
      <c r="I668" s="465" t="s">
        <v>830</v>
      </c>
    </row>
    <row r="669" hidden="1" ht="15.95" customHeight="1">
      <c r="A669" s="465" t="s">
        <v>2246</v>
      </c>
      <c r="B669" s="465" t="s">
        <v>2247</v>
      </c>
      <c r="C669" s="465"/>
      <c r="D669" s="465" t="s">
        <v>825</v>
      </c>
      <c r="E669" s="465" t="s">
        <v>2244</v>
      </c>
      <c r="F669" s="465" t="s">
        <v>2245</v>
      </c>
      <c r="G669" s="465" t="s">
        <v>2187</v>
      </c>
      <c r="H669" s="465" t="s">
        <v>2188</v>
      </c>
      <c r="I669" s="465" t="s">
        <v>830</v>
      </c>
    </row>
    <row r="670" hidden="1" ht="15.95" customHeight="1">
      <c r="A670" s="465" t="s">
        <v>2248</v>
      </c>
      <c r="B670" s="465" t="s">
        <v>2249</v>
      </c>
      <c r="C670" s="465"/>
      <c r="D670" s="465" t="s">
        <v>825</v>
      </c>
      <c r="E670" s="465" t="s">
        <v>2244</v>
      </c>
      <c r="F670" s="465" t="s">
        <v>2245</v>
      </c>
      <c r="G670" s="465" t="s">
        <v>2187</v>
      </c>
      <c r="H670" s="465" t="s">
        <v>2188</v>
      </c>
      <c r="I670" s="465" t="s">
        <v>830</v>
      </c>
    </row>
    <row r="671" hidden="1" ht="15.95" customHeight="1">
      <c r="A671" s="465" t="s">
        <v>2250</v>
      </c>
      <c r="B671" s="465" t="s">
        <v>993</v>
      </c>
      <c r="C671" s="465"/>
      <c r="D671" s="465" t="s">
        <v>825</v>
      </c>
      <c r="E671" s="465" t="s">
        <v>2244</v>
      </c>
      <c r="F671" s="465" t="s">
        <v>2245</v>
      </c>
      <c r="G671" s="465" t="s">
        <v>2187</v>
      </c>
      <c r="H671" s="465" t="s">
        <v>2188</v>
      </c>
      <c r="I671" s="465" t="s">
        <v>830</v>
      </c>
    </row>
    <row r="672" hidden="1" ht="15.95" customHeight="1">
      <c r="A672" s="465" t="s">
        <v>2251</v>
      </c>
      <c r="B672" s="465" t="s">
        <v>2252</v>
      </c>
      <c r="C672" s="465"/>
      <c r="D672" s="465" t="s">
        <v>825</v>
      </c>
      <c r="E672" s="465" t="s">
        <v>2244</v>
      </c>
      <c r="F672" s="465" t="s">
        <v>2245</v>
      </c>
      <c r="G672" s="465" t="s">
        <v>2187</v>
      </c>
      <c r="H672" s="465" t="s">
        <v>2188</v>
      </c>
      <c r="I672" s="465" t="s">
        <v>830</v>
      </c>
    </row>
    <row r="673" hidden="1" ht="15.95" customHeight="1">
      <c r="A673" s="465" t="s">
        <v>2253</v>
      </c>
      <c r="B673" s="465" t="s">
        <v>2254</v>
      </c>
      <c r="C673" s="465"/>
      <c r="D673" s="465" t="s">
        <v>825</v>
      </c>
      <c r="E673" s="465" t="s">
        <v>2244</v>
      </c>
      <c r="F673" s="465" t="s">
        <v>2245</v>
      </c>
      <c r="G673" s="465" t="s">
        <v>2187</v>
      </c>
      <c r="H673" s="465" t="s">
        <v>2188</v>
      </c>
      <c r="I673" s="465" t="s">
        <v>830</v>
      </c>
    </row>
    <row r="674" hidden="1" ht="15.95" customHeight="1">
      <c r="A674" s="465" t="s">
        <v>2255</v>
      </c>
      <c r="B674" s="465" t="s">
        <v>2256</v>
      </c>
      <c r="C674" s="465"/>
      <c r="D674" s="465" t="s">
        <v>855</v>
      </c>
      <c r="E674" s="465" t="s">
        <v>2244</v>
      </c>
      <c r="F674" s="465" t="s">
        <v>2245</v>
      </c>
      <c r="G674" s="465" t="s">
        <v>2187</v>
      </c>
      <c r="H674" s="465" t="s">
        <v>2188</v>
      </c>
      <c r="I674" s="465" t="s">
        <v>830</v>
      </c>
    </row>
    <row r="675" hidden="1" ht="15.95" customHeight="1">
      <c r="A675" s="465" t="s">
        <v>2257</v>
      </c>
      <c r="B675" s="465" t="s">
        <v>2258</v>
      </c>
      <c r="C675" s="465"/>
      <c r="D675" s="465" t="s">
        <v>855</v>
      </c>
      <c r="E675" s="465" t="s">
        <v>2244</v>
      </c>
      <c r="F675" s="465" t="s">
        <v>2245</v>
      </c>
      <c r="G675" s="465" t="s">
        <v>2187</v>
      </c>
      <c r="H675" s="465" t="s">
        <v>2188</v>
      </c>
      <c r="I675" s="465" t="s">
        <v>830</v>
      </c>
    </row>
    <row r="676" hidden="1" ht="15.95" customHeight="1">
      <c r="A676" s="465" t="s">
        <v>2259</v>
      </c>
      <c r="B676" s="465" t="s">
        <v>2260</v>
      </c>
      <c r="C676" s="465"/>
      <c r="D676" s="465" t="s">
        <v>855</v>
      </c>
      <c r="E676" s="465" t="s">
        <v>2244</v>
      </c>
      <c r="F676" s="465" t="s">
        <v>2245</v>
      </c>
      <c r="G676" s="465" t="s">
        <v>2187</v>
      </c>
      <c r="H676" s="465" t="s">
        <v>2188</v>
      </c>
      <c r="I676" s="465" t="s">
        <v>830</v>
      </c>
    </row>
    <row r="677" hidden="1" ht="15.95" customHeight="1">
      <c r="A677" s="465" t="s">
        <v>2261</v>
      </c>
      <c r="B677" s="465" t="s">
        <v>2262</v>
      </c>
      <c r="C677" s="465"/>
      <c r="D677" s="465" t="s">
        <v>855</v>
      </c>
      <c r="E677" s="465" t="s">
        <v>2244</v>
      </c>
      <c r="F677" s="465" t="s">
        <v>2245</v>
      </c>
      <c r="G677" s="465" t="s">
        <v>2187</v>
      </c>
      <c r="H677" s="465" t="s">
        <v>2188</v>
      </c>
      <c r="I677" s="465" t="s">
        <v>830</v>
      </c>
    </row>
    <row r="678" hidden="1" ht="15.95" customHeight="1">
      <c r="A678" s="465" t="s">
        <v>2263</v>
      </c>
      <c r="B678" s="465" t="s">
        <v>2264</v>
      </c>
      <c r="C678" s="465"/>
      <c r="D678" s="465" t="s">
        <v>855</v>
      </c>
      <c r="E678" s="465" t="s">
        <v>2244</v>
      </c>
      <c r="F678" s="465" t="s">
        <v>2245</v>
      </c>
      <c r="G678" s="465" t="s">
        <v>2187</v>
      </c>
      <c r="H678" s="465" t="s">
        <v>2188</v>
      </c>
      <c r="I678" s="465" t="s">
        <v>830</v>
      </c>
    </row>
    <row r="679" hidden="1" ht="15.95" customHeight="1">
      <c r="A679" s="465" t="s">
        <v>2265</v>
      </c>
      <c r="B679" s="465" t="s">
        <v>2266</v>
      </c>
      <c r="C679" s="465"/>
      <c r="D679" s="465" t="s">
        <v>855</v>
      </c>
      <c r="E679" s="465" t="s">
        <v>2244</v>
      </c>
      <c r="F679" s="465" t="s">
        <v>2245</v>
      </c>
      <c r="G679" s="465" t="s">
        <v>2187</v>
      </c>
      <c r="H679" s="465" t="s">
        <v>2188</v>
      </c>
      <c r="I679" s="465" t="s">
        <v>830</v>
      </c>
    </row>
    <row r="680" hidden="1" ht="15.95" customHeight="1">
      <c r="A680" s="465" t="s">
        <v>2267</v>
      </c>
      <c r="B680" s="465" t="s">
        <v>2268</v>
      </c>
      <c r="C680" s="465"/>
      <c r="D680" s="465" t="s">
        <v>855</v>
      </c>
      <c r="E680" s="465" t="s">
        <v>2244</v>
      </c>
      <c r="F680" s="465" t="s">
        <v>2245</v>
      </c>
      <c r="G680" s="465" t="s">
        <v>2187</v>
      </c>
      <c r="H680" s="465" t="s">
        <v>2188</v>
      </c>
      <c r="I680" s="465" t="s">
        <v>830</v>
      </c>
    </row>
    <row r="681" hidden="1" ht="15.95" customHeight="1">
      <c r="A681" s="465" t="s">
        <v>2269</v>
      </c>
      <c r="B681" s="465" t="s">
        <v>2270</v>
      </c>
      <c r="C681" s="465"/>
      <c r="D681" s="465" t="s">
        <v>855</v>
      </c>
      <c r="E681" s="465" t="s">
        <v>2244</v>
      </c>
      <c r="F681" s="465" t="s">
        <v>2245</v>
      </c>
      <c r="G681" s="465" t="s">
        <v>2187</v>
      </c>
      <c r="H681" s="465" t="s">
        <v>2188</v>
      </c>
      <c r="I681" s="465" t="s">
        <v>830</v>
      </c>
    </row>
    <row r="682" hidden="1" ht="15.95" customHeight="1">
      <c r="A682" s="465" t="s">
        <v>2271</v>
      </c>
      <c r="B682" s="465" t="s">
        <v>2272</v>
      </c>
      <c r="C682" s="465"/>
      <c r="D682" s="465" t="s">
        <v>855</v>
      </c>
      <c r="E682" s="465" t="s">
        <v>2244</v>
      </c>
      <c r="F682" s="465" t="s">
        <v>2245</v>
      </c>
      <c r="G682" s="465" t="s">
        <v>2187</v>
      </c>
      <c r="H682" s="465" t="s">
        <v>2188</v>
      </c>
      <c r="I682" s="465" t="s">
        <v>830</v>
      </c>
    </row>
    <row r="683" hidden="1" ht="15.95" customHeight="1">
      <c r="A683" s="465" t="s">
        <v>2273</v>
      </c>
      <c r="B683" s="465" t="s">
        <v>1710</v>
      </c>
      <c r="C683" s="465"/>
      <c r="D683" s="465" t="s">
        <v>884</v>
      </c>
      <c r="E683" s="465" t="s">
        <v>2274</v>
      </c>
      <c r="F683" s="465" t="s">
        <v>2275</v>
      </c>
      <c r="G683" s="465" t="s">
        <v>2187</v>
      </c>
      <c r="H683" s="465" t="s">
        <v>2188</v>
      </c>
      <c r="I683" s="465" t="s">
        <v>830</v>
      </c>
    </row>
    <row r="684" hidden="1" ht="15.95" customHeight="1">
      <c r="A684" s="465" t="s">
        <v>2276</v>
      </c>
      <c r="B684" s="465" t="s">
        <v>2277</v>
      </c>
      <c r="C684" s="465"/>
      <c r="D684" s="465" t="s">
        <v>855</v>
      </c>
      <c r="E684" s="465" t="s">
        <v>2274</v>
      </c>
      <c r="F684" s="465" t="s">
        <v>2275</v>
      </c>
      <c r="G684" s="465" t="s">
        <v>2187</v>
      </c>
      <c r="H684" s="465" t="s">
        <v>2188</v>
      </c>
      <c r="I684" s="465" t="s">
        <v>830</v>
      </c>
    </row>
    <row r="685" hidden="1" ht="15.95" customHeight="1">
      <c r="A685" s="465" t="s">
        <v>2278</v>
      </c>
      <c r="B685" s="465" t="s">
        <v>2279</v>
      </c>
      <c r="C685" s="465"/>
      <c r="D685" s="465" t="s">
        <v>855</v>
      </c>
      <c r="E685" s="465" t="s">
        <v>2274</v>
      </c>
      <c r="F685" s="465" t="s">
        <v>2275</v>
      </c>
      <c r="G685" s="465" t="s">
        <v>2187</v>
      </c>
      <c r="H685" s="465" t="s">
        <v>2188</v>
      </c>
      <c r="I685" s="465" t="s">
        <v>830</v>
      </c>
    </row>
    <row r="686" hidden="1" ht="15.95" customHeight="1">
      <c r="A686" s="465" t="s">
        <v>2280</v>
      </c>
      <c r="B686" s="465" t="s">
        <v>2076</v>
      </c>
      <c r="C686" s="465"/>
      <c r="D686" s="465" t="s">
        <v>855</v>
      </c>
      <c r="E686" s="465" t="s">
        <v>2274</v>
      </c>
      <c r="F686" s="465" t="s">
        <v>2275</v>
      </c>
      <c r="G686" s="465" t="s">
        <v>2187</v>
      </c>
      <c r="H686" s="465" t="s">
        <v>2188</v>
      </c>
      <c r="I686" s="465" t="s">
        <v>830</v>
      </c>
    </row>
    <row r="687" hidden="1" ht="15.95" customHeight="1">
      <c r="A687" s="465" t="s">
        <v>2281</v>
      </c>
      <c r="B687" s="465" t="s">
        <v>2282</v>
      </c>
      <c r="C687" s="465"/>
      <c r="D687" s="465" t="s">
        <v>855</v>
      </c>
      <c r="E687" s="465" t="s">
        <v>2274</v>
      </c>
      <c r="F687" s="465" t="s">
        <v>2275</v>
      </c>
      <c r="G687" s="465" t="s">
        <v>2187</v>
      </c>
      <c r="H687" s="465" t="s">
        <v>2188</v>
      </c>
      <c r="I687" s="465" t="s">
        <v>830</v>
      </c>
    </row>
    <row r="688" hidden="1" ht="15.95" customHeight="1">
      <c r="A688" s="465" t="s">
        <v>2283</v>
      </c>
      <c r="B688" s="465" t="s">
        <v>2284</v>
      </c>
      <c r="C688" s="465"/>
      <c r="D688" s="465" t="s">
        <v>855</v>
      </c>
      <c r="E688" s="465" t="s">
        <v>2274</v>
      </c>
      <c r="F688" s="465" t="s">
        <v>2275</v>
      </c>
      <c r="G688" s="465" t="s">
        <v>2187</v>
      </c>
      <c r="H688" s="465" t="s">
        <v>2188</v>
      </c>
      <c r="I688" s="465" t="s">
        <v>830</v>
      </c>
    </row>
    <row r="689" hidden="1" ht="15.95" customHeight="1">
      <c r="A689" s="465" t="s">
        <v>2285</v>
      </c>
      <c r="B689" s="465" t="s">
        <v>2286</v>
      </c>
      <c r="C689" s="465"/>
      <c r="D689" s="465" t="s">
        <v>855</v>
      </c>
      <c r="E689" s="465" t="s">
        <v>2274</v>
      </c>
      <c r="F689" s="465" t="s">
        <v>2275</v>
      </c>
      <c r="G689" s="465" t="s">
        <v>2187</v>
      </c>
      <c r="H689" s="465" t="s">
        <v>2188</v>
      </c>
      <c r="I689" s="465" t="s">
        <v>830</v>
      </c>
    </row>
    <row r="690" hidden="1" ht="15.95" customHeight="1">
      <c r="A690" s="465" t="s">
        <v>2287</v>
      </c>
      <c r="B690" s="465" t="s">
        <v>1350</v>
      </c>
      <c r="C690" s="465"/>
      <c r="D690" s="465" t="s">
        <v>855</v>
      </c>
      <c r="E690" s="465" t="s">
        <v>2274</v>
      </c>
      <c r="F690" s="465" t="s">
        <v>2275</v>
      </c>
      <c r="G690" s="465" t="s">
        <v>2187</v>
      </c>
      <c r="H690" s="465" t="s">
        <v>2188</v>
      </c>
      <c r="I690" s="465" t="s">
        <v>830</v>
      </c>
    </row>
    <row r="691" hidden="1" ht="15.95" customHeight="1">
      <c r="A691" s="465" t="s">
        <v>2288</v>
      </c>
      <c r="B691" s="465" t="s">
        <v>2289</v>
      </c>
      <c r="C691" s="465"/>
      <c r="D691" s="465" t="s">
        <v>855</v>
      </c>
      <c r="E691" s="465" t="s">
        <v>2274</v>
      </c>
      <c r="F691" s="465" t="s">
        <v>2275</v>
      </c>
      <c r="G691" s="465" t="s">
        <v>2187</v>
      </c>
      <c r="H691" s="465" t="s">
        <v>2188</v>
      </c>
      <c r="I691" s="465" t="s">
        <v>830</v>
      </c>
    </row>
    <row r="692" hidden="1" ht="15.95" customHeight="1">
      <c r="A692" s="465" t="s">
        <v>2290</v>
      </c>
      <c r="B692" s="465" t="s">
        <v>2291</v>
      </c>
      <c r="C692" s="465"/>
      <c r="D692" s="465" t="s">
        <v>855</v>
      </c>
      <c r="E692" s="465" t="s">
        <v>2274</v>
      </c>
      <c r="F692" s="465" t="s">
        <v>2275</v>
      </c>
      <c r="G692" s="465" t="s">
        <v>2187</v>
      </c>
      <c r="H692" s="465" t="s">
        <v>2188</v>
      </c>
      <c r="I692" s="465" t="s">
        <v>830</v>
      </c>
    </row>
    <row r="693" hidden="1" ht="15.95" customHeight="1">
      <c r="A693" s="465" t="s">
        <v>2292</v>
      </c>
      <c r="B693" s="465" t="s">
        <v>1797</v>
      </c>
      <c r="C693" s="465"/>
      <c r="D693" s="465" t="s">
        <v>855</v>
      </c>
      <c r="E693" s="465" t="s">
        <v>2274</v>
      </c>
      <c r="F693" s="465" t="s">
        <v>2275</v>
      </c>
      <c r="G693" s="465" t="s">
        <v>2187</v>
      </c>
      <c r="H693" s="465" t="s">
        <v>2188</v>
      </c>
      <c r="I693" s="465" t="s">
        <v>830</v>
      </c>
    </row>
    <row r="694" hidden="1" ht="15.95" customHeight="1">
      <c r="A694" s="465" t="s">
        <v>2293</v>
      </c>
      <c r="B694" s="465" t="s">
        <v>2294</v>
      </c>
      <c r="C694" s="465"/>
      <c r="D694" s="465" t="s">
        <v>855</v>
      </c>
      <c r="E694" s="465" t="s">
        <v>2274</v>
      </c>
      <c r="F694" s="465" t="s">
        <v>2275</v>
      </c>
      <c r="G694" s="465" t="s">
        <v>2187</v>
      </c>
      <c r="H694" s="465" t="s">
        <v>2188</v>
      </c>
      <c r="I694" s="465" t="s">
        <v>830</v>
      </c>
    </row>
    <row r="695" hidden="1" ht="15.95" customHeight="1">
      <c r="A695" s="465" t="s">
        <v>2295</v>
      </c>
      <c r="B695" s="465" t="s">
        <v>2296</v>
      </c>
      <c r="C695" s="465"/>
      <c r="D695" s="465" t="s">
        <v>855</v>
      </c>
      <c r="E695" s="465" t="s">
        <v>2274</v>
      </c>
      <c r="F695" s="465" t="s">
        <v>2275</v>
      </c>
      <c r="G695" s="465" t="s">
        <v>2187</v>
      </c>
      <c r="H695" s="465" t="s">
        <v>2188</v>
      </c>
      <c r="I695" s="465" t="s">
        <v>830</v>
      </c>
    </row>
    <row r="696" hidden="1" ht="15.95" customHeight="1">
      <c r="A696" s="465" t="s">
        <v>2297</v>
      </c>
      <c r="B696" s="465" t="s">
        <v>2298</v>
      </c>
      <c r="C696" s="465"/>
      <c r="D696" s="465" t="s">
        <v>855</v>
      </c>
      <c r="E696" s="465" t="s">
        <v>2274</v>
      </c>
      <c r="F696" s="465" t="s">
        <v>2275</v>
      </c>
      <c r="G696" s="465" t="s">
        <v>2187</v>
      </c>
      <c r="H696" s="465" t="s">
        <v>2188</v>
      </c>
      <c r="I696" s="465" t="s">
        <v>830</v>
      </c>
    </row>
    <row r="697" hidden="1" ht="15.95" customHeight="1">
      <c r="A697" s="465" t="s">
        <v>2299</v>
      </c>
      <c r="B697" s="465" t="s">
        <v>2300</v>
      </c>
      <c r="C697" s="465"/>
      <c r="D697" s="465" t="s">
        <v>855</v>
      </c>
      <c r="E697" s="465" t="s">
        <v>2274</v>
      </c>
      <c r="F697" s="465" t="s">
        <v>2275</v>
      </c>
      <c r="G697" s="465" t="s">
        <v>2187</v>
      </c>
      <c r="H697" s="465" t="s">
        <v>2188</v>
      </c>
      <c r="I697" s="465" t="s">
        <v>830</v>
      </c>
    </row>
    <row r="698" hidden="1" ht="15.95" customHeight="1">
      <c r="A698" s="465" t="s">
        <v>2301</v>
      </c>
      <c r="B698" s="465" t="s">
        <v>2302</v>
      </c>
      <c r="C698" s="465"/>
      <c r="D698" s="465" t="s">
        <v>855</v>
      </c>
      <c r="E698" s="465" t="s">
        <v>2274</v>
      </c>
      <c r="F698" s="465" t="s">
        <v>2275</v>
      </c>
      <c r="G698" s="465" t="s">
        <v>2187</v>
      </c>
      <c r="H698" s="465" t="s">
        <v>2188</v>
      </c>
      <c r="I698" s="465" t="s">
        <v>830</v>
      </c>
    </row>
    <row r="699" hidden="1" ht="15.95" customHeight="1">
      <c r="A699" s="465" t="s">
        <v>2303</v>
      </c>
      <c r="B699" s="465" t="s">
        <v>2304</v>
      </c>
      <c r="C699" s="465"/>
      <c r="D699" s="465" t="s">
        <v>855</v>
      </c>
      <c r="E699" s="465" t="s">
        <v>2274</v>
      </c>
      <c r="F699" s="465" t="s">
        <v>2275</v>
      </c>
      <c r="G699" s="465" t="s">
        <v>2187</v>
      </c>
      <c r="H699" s="465" t="s">
        <v>2188</v>
      </c>
      <c r="I699" s="465" t="s">
        <v>830</v>
      </c>
    </row>
    <row r="700" hidden="1" ht="15.95" customHeight="1">
      <c r="A700" s="465" t="s">
        <v>2305</v>
      </c>
      <c r="B700" s="465" t="s">
        <v>2306</v>
      </c>
      <c r="C700" s="465"/>
      <c r="D700" s="465" t="s">
        <v>855</v>
      </c>
      <c r="E700" s="465" t="s">
        <v>2274</v>
      </c>
      <c r="F700" s="465" t="s">
        <v>2275</v>
      </c>
      <c r="G700" s="465" t="s">
        <v>2187</v>
      </c>
      <c r="H700" s="465" t="s">
        <v>2188</v>
      </c>
      <c r="I700" s="465" t="s">
        <v>830</v>
      </c>
    </row>
    <row r="701" hidden="1" ht="15.95" customHeight="1">
      <c r="A701" s="465" t="s">
        <v>2307</v>
      </c>
      <c r="B701" s="465" t="s">
        <v>2308</v>
      </c>
      <c r="C701" s="465"/>
      <c r="D701" s="465" t="s">
        <v>884</v>
      </c>
      <c r="E701" s="465" t="s">
        <v>2309</v>
      </c>
      <c r="F701" s="465" t="s">
        <v>2310</v>
      </c>
      <c r="G701" s="465" t="s">
        <v>2187</v>
      </c>
      <c r="H701" s="465" t="s">
        <v>2188</v>
      </c>
      <c r="I701" s="465" t="s">
        <v>830</v>
      </c>
    </row>
    <row r="702" hidden="1" ht="15.95" customHeight="1">
      <c r="A702" s="465" t="s">
        <v>2311</v>
      </c>
      <c r="B702" s="465" t="s">
        <v>2312</v>
      </c>
      <c r="C702" s="465"/>
      <c r="D702" s="465" t="s">
        <v>855</v>
      </c>
      <c r="E702" s="465" t="s">
        <v>2309</v>
      </c>
      <c r="F702" s="465" t="s">
        <v>2310</v>
      </c>
      <c r="G702" s="465" t="s">
        <v>2187</v>
      </c>
      <c r="H702" s="465" t="s">
        <v>2188</v>
      </c>
      <c r="I702" s="465" t="s">
        <v>830</v>
      </c>
    </row>
    <row r="703" hidden="1" ht="15.95" customHeight="1">
      <c r="A703" s="465" t="s">
        <v>2313</v>
      </c>
      <c r="B703" s="465" t="s">
        <v>2314</v>
      </c>
      <c r="C703" s="465"/>
      <c r="D703" s="465" t="s">
        <v>855</v>
      </c>
      <c r="E703" s="465" t="s">
        <v>2309</v>
      </c>
      <c r="F703" s="465" t="s">
        <v>2310</v>
      </c>
      <c r="G703" s="465" t="s">
        <v>2187</v>
      </c>
      <c r="H703" s="465" t="s">
        <v>2188</v>
      </c>
      <c r="I703" s="465" t="s">
        <v>830</v>
      </c>
    </row>
    <row r="704" hidden="1" ht="15.95" customHeight="1">
      <c r="A704" s="465" t="s">
        <v>2315</v>
      </c>
      <c r="B704" s="465" t="s">
        <v>2316</v>
      </c>
      <c r="C704" s="465"/>
      <c r="D704" s="465" t="s">
        <v>855</v>
      </c>
      <c r="E704" s="465" t="s">
        <v>2309</v>
      </c>
      <c r="F704" s="465" t="s">
        <v>2310</v>
      </c>
      <c r="G704" s="465" t="s">
        <v>2187</v>
      </c>
      <c r="H704" s="465" t="s">
        <v>2188</v>
      </c>
      <c r="I704" s="465" t="s">
        <v>830</v>
      </c>
    </row>
    <row r="705" hidden="1" ht="15.95" customHeight="1">
      <c r="A705" s="465" t="s">
        <v>2317</v>
      </c>
      <c r="B705" s="465" t="s">
        <v>1050</v>
      </c>
      <c r="C705" s="465"/>
      <c r="D705" s="465" t="s">
        <v>855</v>
      </c>
      <c r="E705" s="465" t="s">
        <v>2309</v>
      </c>
      <c r="F705" s="465" t="s">
        <v>2310</v>
      </c>
      <c r="G705" s="465" t="s">
        <v>2187</v>
      </c>
      <c r="H705" s="465" t="s">
        <v>2188</v>
      </c>
      <c r="I705" s="465" t="s">
        <v>830</v>
      </c>
    </row>
    <row r="706" hidden="1" ht="15.95" customHeight="1">
      <c r="A706" s="465" t="s">
        <v>2318</v>
      </c>
      <c r="B706" s="465" t="s">
        <v>2319</v>
      </c>
      <c r="C706" s="465"/>
      <c r="D706" s="465" t="s">
        <v>855</v>
      </c>
      <c r="E706" s="465" t="s">
        <v>2309</v>
      </c>
      <c r="F706" s="465" t="s">
        <v>2310</v>
      </c>
      <c r="G706" s="465" t="s">
        <v>2187</v>
      </c>
      <c r="H706" s="465" t="s">
        <v>2188</v>
      </c>
      <c r="I706" s="465" t="s">
        <v>830</v>
      </c>
    </row>
    <row r="707" hidden="1" ht="15.95" customHeight="1">
      <c r="A707" s="465" t="s">
        <v>2320</v>
      </c>
      <c r="B707" s="465" t="s">
        <v>2321</v>
      </c>
      <c r="C707" s="465"/>
      <c r="D707" s="465" t="s">
        <v>855</v>
      </c>
      <c r="E707" s="465" t="s">
        <v>2309</v>
      </c>
      <c r="F707" s="465" t="s">
        <v>2310</v>
      </c>
      <c r="G707" s="465" t="s">
        <v>2187</v>
      </c>
      <c r="H707" s="465" t="s">
        <v>2188</v>
      </c>
      <c r="I707" s="465" t="s">
        <v>830</v>
      </c>
    </row>
    <row r="708" hidden="1" ht="15.95" customHeight="1">
      <c r="A708" s="465" t="s">
        <v>2322</v>
      </c>
      <c r="B708" s="465" t="s">
        <v>2323</v>
      </c>
      <c r="C708" s="465"/>
      <c r="D708" s="465" t="s">
        <v>855</v>
      </c>
      <c r="E708" s="465" t="s">
        <v>2309</v>
      </c>
      <c r="F708" s="465" t="s">
        <v>2310</v>
      </c>
      <c r="G708" s="465" t="s">
        <v>2187</v>
      </c>
      <c r="H708" s="465" t="s">
        <v>2188</v>
      </c>
      <c r="I708" s="465" t="s">
        <v>830</v>
      </c>
    </row>
    <row r="709" hidden="1" ht="15.95" customHeight="1">
      <c r="A709" s="465" t="s">
        <v>2324</v>
      </c>
      <c r="B709" s="465" t="s">
        <v>1033</v>
      </c>
      <c r="C709" s="465"/>
      <c r="D709" s="465" t="s">
        <v>855</v>
      </c>
      <c r="E709" s="465" t="s">
        <v>2309</v>
      </c>
      <c r="F709" s="465" t="s">
        <v>2310</v>
      </c>
      <c r="G709" s="465" t="s">
        <v>2187</v>
      </c>
      <c r="H709" s="465" t="s">
        <v>2188</v>
      </c>
      <c r="I709" s="465" t="s">
        <v>830</v>
      </c>
    </row>
    <row r="710" hidden="1" ht="15.95" customHeight="1">
      <c r="A710" s="465" t="s">
        <v>2325</v>
      </c>
      <c r="B710" s="465" t="s">
        <v>2326</v>
      </c>
      <c r="C710" s="465"/>
      <c r="D710" s="465" t="s">
        <v>855</v>
      </c>
      <c r="E710" s="465" t="s">
        <v>2309</v>
      </c>
      <c r="F710" s="465" t="s">
        <v>2310</v>
      </c>
      <c r="G710" s="465" t="s">
        <v>2187</v>
      </c>
      <c r="H710" s="465" t="s">
        <v>2188</v>
      </c>
      <c r="I710" s="465" t="s">
        <v>830</v>
      </c>
    </row>
    <row r="711" hidden="1" ht="15.95" customHeight="1">
      <c r="A711" s="465" t="s">
        <v>2327</v>
      </c>
      <c r="B711" s="465" t="s">
        <v>2328</v>
      </c>
      <c r="C711" s="465"/>
      <c r="D711" s="465" t="s">
        <v>855</v>
      </c>
      <c r="E711" s="465" t="s">
        <v>2309</v>
      </c>
      <c r="F711" s="465" t="s">
        <v>2310</v>
      </c>
      <c r="G711" s="465" t="s">
        <v>2187</v>
      </c>
      <c r="H711" s="465" t="s">
        <v>2188</v>
      </c>
      <c r="I711" s="465" t="s">
        <v>830</v>
      </c>
    </row>
    <row r="712" hidden="1" ht="15.95" customHeight="1">
      <c r="A712" s="465" t="s">
        <v>2329</v>
      </c>
      <c r="B712" s="465" t="s">
        <v>2175</v>
      </c>
      <c r="C712" s="465"/>
      <c r="D712" s="465" t="s">
        <v>855</v>
      </c>
      <c r="E712" s="465" t="s">
        <v>2309</v>
      </c>
      <c r="F712" s="465" t="s">
        <v>2310</v>
      </c>
      <c r="G712" s="465" t="s">
        <v>2187</v>
      </c>
      <c r="H712" s="465" t="s">
        <v>2188</v>
      </c>
      <c r="I712" s="465" t="s">
        <v>830</v>
      </c>
    </row>
    <row r="713" hidden="1" ht="15.95" customHeight="1">
      <c r="A713" s="465" t="s">
        <v>2330</v>
      </c>
      <c r="B713" s="465" t="s">
        <v>2331</v>
      </c>
      <c r="C713" s="465"/>
      <c r="D713" s="465" t="s">
        <v>884</v>
      </c>
      <c r="E713" s="465" t="s">
        <v>2332</v>
      </c>
      <c r="F713" s="465" t="s">
        <v>2333</v>
      </c>
      <c r="G713" s="465" t="s">
        <v>2187</v>
      </c>
      <c r="H713" s="465" t="s">
        <v>2188</v>
      </c>
      <c r="I713" s="465" t="s">
        <v>830</v>
      </c>
    </row>
    <row r="714" hidden="1" ht="15.95" customHeight="1">
      <c r="A714" s="465" t="s">
        <v>2334</v>
      </c>
      <c r="B714" s="465" t="s">
        <v>2291</v>
      </c>
      <c r="C714" s="465"/>
      <c r="D714" s="465" t="s">
        <v>855</v>
      </c>
      <c r="E714" s="465" t="s">
        <v>2332</v>
      </c>
      <c r="F714" s="465" t="s">
        <v>2333</v>
      </c>
      <c r="G714" s="465" t="s">
        <v>2187</v>
      </c>
      <c r="H714" s="465" t="s">
        <v>2188</v>
      </c>
      <c r="I714" s="465" t="s">
        <v>830</v>
      </c>
    </row>
    <row r="715" hidden="1" ht="15.95" customHeight="1">
      <c r="A715" s="465" t="s">
        <v>2335</v>
      </c>
      <c r="B715" s="465" t="s">
        <v>2336</v>
      </c>
      <c r="C715" s="465"/>
      <c r="D715" s="465" t="s">
        <v>855</v>
      </c>
      <c r="E715" s="465" t="s">
        <v>2332</v>
      </c>
      <c r="F715" s="465" t="s">
        <v>2333</v>
      </c>
      <c r="G715" s="465" t="s">
        <v>2187</v>
      </c>
      <c r="H715" s="465" t="s">
        <v>2188</v>
      </c>
      <c r="I715" s="465" t="s">
        <v>830</v>
      </c>
    </row>
    <row r="716" hidden="1" ht="15.95" customHeight="1">
      <c r="A716" s="465" t="s">
        <v>2337</v>
      </c>
      <c r="B716" s="465" t="s">
        <v>2338</v>
      </c>
      <c r="C716" s="465"/>
      <c r="D716" s="465" t="s">
        <v>855</v>
      </c>
      <c r="E716" s="465" t="s">
        <v>2332</v>
      </c>
      <c r="F716" s="465" t="s">
        <v>2333</v>
      </c>
      <c r="G716" s="465" t="s">
        <v>2187</v>
      </c>
      <c r="H716" s="465" t="s">
        <v>2188</v>
      </c>
      <c r="I716" s="465" t="s">
        <v>830</v>
      </c>
    </row>
    <row r="717" hidden="1" ht="15.95" customHeight="1">
      <c r="A717" s="465" t="s">
        <v>2339</v>
      </c>
      <c r="B717" s="465" t="s">
        <v>2340</v>
      </c>
      <c r="C717" s="465"/>
      <c r="D717" s="465" t="s">
        <v>855</v>
      </c>
      <c r="E717" s="465" t="s">
        <v>2332</v>
      </c>
      <c r="F717" s="465" t="s">
        <v>2333</v>
      </c>
      <c r="G717" s="465" t="s">
        <v>2187</v>
      </c>
      <c r="H717" s="465" t="s">
        <v>2188</v>
      </c>
      <c r="I717" s="465" t="s">
        <v>830</v>
      </c>
    </row>
    <row r="718" hidden="1" ht="15.95" customHeight="1">
      <c r="A718" s="465" t="s">
        <v>2341</v>
      </c>
      <c r="B718" s="465" t="s">
        <v>2342</v>
      </c>
      <c r="C718" s="465"/>
      <c r="D718" s="465" t="s">
        <v>855</v>
      </c>
      <c r="E718" s="465" t="s">
        <v>2332</v>
      </c>
      <c r="F718" s="465" t="s">
        <v>2333</v>
      </c>
      <c r="G718" s="465" t="s">
        <v>2187</v>
      </c>
      <c r="H718" s="465" t="s">
        <v>2188</v>
      </c>
      <c r="I718" s="465" t="s">
        <v>830</v>
      </c>
    </row>
    <row r="719" hidden="1" ht="15.95" customHeight="1">
      <c r="A719" s="465" t="s">
        <v>2343</v>
      </c>
      <c r="B719" s="465" t="s">
        <v>2344</v>
      </c>
      <c r="C719" s="465"/>
      <c r="D719" s="465" t="s">
        <v>855</v>
      </c>
      <c r="E719" s="465" t="s">
        <v>2332</v>
      </c>
      <c r="F719" s="465" t="s">
        <v>2333</v>
      </c>
      <c r="G719" s="465" t="s">
        <v>2187</v>
      </c>
      <c r="H719" s="465" t="s">
        <v>2188</v>
      </c>
      <c r="I719" s="465" t="s">
        <v>830</v>
      </c>
    </row>
    <row r="720" hidden="1" ht="15.95" customHeight="1">
      <c r="A720" s="465" t="s">
        <v>2345</v>
      </c>
      <c r="B720" s="465" t="s">
        <v>2346</v>
      </c>
      <c r="C720" s="465"/>
      <c r="D720" s="465" t="s">
        <v>855</v>
      </c>
      <c r="E720" s="465" t="s">
        <v>2332</v>
      </c>
      <c r="F720" s="465" t="s">
        <v>2333</v>
      </c>
      <c r="G720" s="465" t="s">
        <v>2187</v>
      </c>
      <c r="H720" s="465" t="s">
        <v>2188</v>
      </c>
      <c r="I720" s="465" t="s">
        <v>830</v>
      </c>
    </row>
    <row r="721" hidden="1" ht="15.95" customHeight="1">
      <c r="A721" s="465" t="s">
        <v>2347</v>
      </c>
      <c r="B721" s="465" t="s">
        <v>2348</v>
      </c>
      <c r="C721" s="465"/>
      <c r="D721" s="465" t="s">
        <v>855</v>
      </c>
      <c r="E721" s="465" t="s">
        <v>2332</v>
      </c>
      <c r="F721" s="465" t="s">
        <v>2333</v>
      </c>
      <c r="G721" s="465" t="s">
        <v>2187</v>
      </c>
      <c r="H721" s="465" t="s">
        <v>2188</v>
      </c>
      <c r="I721" s="465" t="s">
        <v>830</v>
      </c>
    </row>
    <row r="722" hidden="1" ht="15.95" customHeight="1">
      <c r="A722" s="465" t="s">
        <v>2349</v>
      </c>
      <c r="B722" s="465" t="s">
        <v>2350</v>
      </c>
      <c r="C722" s="465"/>
      <c r="D722" s="465" t="s">
        <v>855</v>
      </c>
      <c r="E722" s="465" t="s">
        <v>2332</v>
      </c>
      <c r="F722" s="465" t="s">
        <v>2333</v>
      </c>
      <c r="G722" s="465" t="s">
        <v>2187</v>
      </c>
      <c r="H722" s="465" t="s">
        <v>2188</v>
      </c>
      <c r="I722" s="465" t="s">
        <v>830</v>
      </c>
    </row>
    <row r="723" hidden="1" ht="15.95" customHeight="1">
      <c r="A723" s="465" t="s">
        <v>2351</v>
      </c>
      <c r="B723" s="465" t="s">
        <v>2352</v>
      </c>
      <c r="C723" s="465"/>
      <c r="D723" s="465" t="s">
        <v>855</v>
      </c>
      <c r="E723" s="465" t="s">
        <v>2332</v>
      </c>
      <c r="F723" s="465" t="s">
        <v>2333</v>
      </c>
      <c r="G723" s="465" t="s">
        <v>2187</v>
      </c>
      <c r="H723" s="465" t="s">
        <v>2188</v>
      </c>
      <c r="I723" s="465" t="s">
        <v>830</v>
      </c>
    </row>
    <row r="724" hidden="1" ht="15.95" customHeight="1">
      <c r="A724" s="465" t="s">
        <v>2353</v>
      </c>
      <c r="B724" s="465" t="s">
        <v>2354</v>
      </c>
      <c r="C724" s="465"/>
      <c r="D724" s="465" t="s">
        <v>855</v>
      </c>
      <c r="E724" s="465" t="s">
        <v>2332</v>
      </c>
      <c r="F724" s="465" t="s">
        <v>2333</v>
      </c>
      <c r="G724" s="465" t="s">
        <v>2187</v>
      </c>
      <c r="H724" s="465" t="s">
        <v>2188</v>
      </c>
      <c r="I724" s="465" t="s">
        <v>830</v>
      </c>
    </row>
    <row r="725" hidden="1" ht="15.95" customHeight="1">
      <c r="A725" s="465" t="s">
        <v>2355</v>
      </c>
      <c r="B725" s="465" t="s">
        <v>2356</v>
      </c>
      <c r="C725" s="465"/>
      <c r="D725" s="465" t="s">
        <v>855</v>
      </c>
      <c r="E725" s="465" t="s">
        <v>2332</v>
      </c>
      <c r="F725" s="465" t="s">
        <v>2333</v>
      </c>
      <c r="G725" s="465" t="s">
        <v>2187</v>
      </c>
      <c r="H725" s="465" t="s">
        <v>2188</v>
      </c>
      <c r="I725" s="465" t="s">
        <v>830</v>
      </c>
    </row>
    <row r="726" hidden="1" ht="15.95" customHeight="1">
      <c r="A726" s="465" t="s">
        <v>2357</v>
      </c>
      <c r="B726" s="465" t="s">
        <v>2358</v>
      </c>
      <c r="C726" s="465"/>
      <c r="D726" s="465" t="s">
        <v>855</v>
      </c>
      <c r="E726" s="465" t="s">
        <v>2332</v>
      </c>
      <c r="F726" s="465" t="s">
        <v>2333</v>
      </c>
      <c r="G726" s="465" t="s">
        <v>2187</v>
      </c>
      <c r="H726" s="465" t="s">
        <v>2188</v>
      </c>
      <c r="I726" s="465" t="s">
        <v>830</v>
      </c>
    </row>
    <row r="727" hidden="1" ht="15.95" customHeight="1">
      <c r="A727" s="465" t="s">
        <v>2359</v>
      </c>
      <c r="B727" s="465" t="s">
        <v>2360</v>
      </c>
      <c r="C727" s="465"/>
      <c r="D727" s="465" t="s">
        <v>884</v>
      </c>
      <c r="E727" s="465" t="s">
        <v>2361</v>
      </c>
      <c r="F727" s="465" t="s">
        <v>2362</v>
      </c>
      <c r="G727" s="465" t="s">
        <v>2187</v>
      </c>
      <c r="H727" s="465" t="s">
        <v>2188</v>
      </c>
      <c r="I727" s="465" t="s">
        <v>830</v>
      </c>
    </row>
    <row r="728" hidden="1" ht="15.95" customHeight="1">
      <c r="A728" s="465" t="s">
        <v>2363</v>
      </c>
      <c r="B728" s="465" t="s">
        <v>1699</v>
      </c>
      <c r="C728" s="465"/>
      <c r="D728" s="465" t="s">
        <v>855</v>
      </c>
      <c r="E728" s="465" t="s">
        <v>2361</v>
      </c>
      <c r="F728" s="465" t="s">
        <v>2362</v>
      </c>
      <c r="G728" s="465" t="s">
        <v>2187</v>
      </c>
      <c r="H728" s="465" t="s">
        <v>2188</v>
      </c>
      <c r="I728" s="465" t="s">
        <v>830</v>
      </c>
    </row>
    <row r="729" hidden="1" ht="15.95" customHeight="1">
      <c r="A729" s="465" t="s">
        <v>2364</v>
      </c>
      <c r="B729" s="465" t="s">
        <v>2365</v>
      </c>
      <c r="C729" s="465"/>
      <c r="D729" s="465" t="s">
        <v>855</v>
      </c>
      <c r="E729" s="465" t="s">
        <v>2361</v>
      </c>
      <c r="F729" s="465" t="s">
        <v>2362</v>
      </c>
      <c r="G729" s="465" t="s">
        <v>2187</v>
      </c>
      <c r="H729" s="465" t="s">
        <v>2188</v>
      </c>
      <c r="I729" s="465" t="s">
        <v>830</v>
      </c>
    </row>
    <row r="730" hidden="1" ht="15.95" customHeight="1">
      <c r="A730" s="465" t="s">
        <v>2366</v>
      </c>
      <c r="B730" s="465" t="s">
        <v>2367</v>
      </c>
      <c r="C730" s="465"/>
      <c r="D730" s="465" t="s">
        <v>855</v>
      </c>
      <c r="E730" s="465" t="s">
        <v>2361</v>
      </c>
      <c r="F730" s="465" t="s">
        <v>2362</v>
      </c>
      <c r="G730" s="465" t="s">
        <v>2187</v>
      </c>
      <c r="H730" s="465" t="s">
        <v>2188</v>
      </c>
      <c r="I730" s="465" t="s">
        <v>830</v>
      </c>
    </row>
    <row r="731" hidden="1" ht="15.95" customHeight="1">
      <c r="A731" s="465" t="s">
        <v>2368</v>
      </c>
      <c r="B731" s="465" t="s">
        <v>2369</v>
      </c>
      <c r="C731" s="465"/>
      <c r="D731" s="465" t="s">
        <v>855</v>
      </c>
      <c r="E731" s="465" t="s">
        <v>2361</v>
      </c>
      <c r="F731" s="465" t="s">
        <v>2362</v>
      </c>
      <c r="G731" s="465" t="s">
        <v>2187</v>
      </c>
      <c r="H731" s="465" t="s">
        <v>2188</v>
      </c>
      <c r="I731" s="465" t="s">
        <v>830</v>
      </c>
    </row>
    <row r="732" hidden="1" ht="15.95" customHeight="1">
      <c r="A732" s="465" t="s">
        <v>2370</v>
      </c>
      <c r="B732" s="465" t="s">
        <v>2371</v>
      </c>
      <c r="C732" s="465"/>
      <c r="D732" s="465" t="s">
        <v>855</v>
      </c>
      <c r="E732" s="465" t="s">
        <v>2361</v>
      </c>
      <c r="F732" s="465" t="s">
        <v>2362</v>
      </c>
      <c r="G732" s="465" t="s">
        <v>2187</v>
      </c>
      <c r="H732" s="465" t="s">
        <v>2188</v>
      </c>
      <c r="I732" s="465" t="s">
        <v>830</v>
      </c>
    </row>
    <row r="733" hidden="1" ht="15.95" customHeight="1">
      <c r="A733" s="465" t="s">
        <v>2372</v>
      </c>
      <c r="B733" s="465" t="s">
        <v>2373</v>
      </c>
      <c r="C733" s="465"/>
      <c r="D733" s="465" t="s">
        <v>855</v>
      </c>
      <c r="E733" s="465" t="s">
        <v>2361</v>
      </c>
      <c r="F733" s="465" t="s">
        <v>2362</v>
      </c>
      <c r="G733" s="465" t="s">
        <v>2187</v>
      </c>
      <c r="H733" s="465" t="s">
        <v>2188</v>
      </c>
      <c r="I733" s="465" t="s">
        <v>830</v>
      </c>
    </row>
    <row r="734" hidden="1" ht="15.95" customHeight="1">
      <c r="A734" s="465" t="s">
        <v>2374</v>
      </c>
      <c r="B734" s="465" t="s">
        <v>953</v>
      </c>
      <c r="C734" s="465"/>
      <c r="D734" s="465" t="s">
        <v>855</v>
      </c>
      <c r="E734" s="465" t="s">
        <v>2361</v>
      </c>
      <c r="F734" s="465" t="s">
        <v>2362</v>
      </c>
      <c r="G734" s="465" t="s">
        <v>2187</v>
      </c>
      <c r="H734" s="465" t="s">
        <v>2188</v>
      </c>
      <c r="I734" s="465" t="s">
        <v>830</v>
      </c>
    </row>
    <row r="735" hidden="1" ht="15.95" customHeight="1">
      <c r="A735" s="465" t="s">
        <v>2375</v>
      </c>
      <c r="B735" s="465" t="s">
        <v>2376</v>
      </c>
      <c r="C735" s="465"/>
      <c r="D735" s="465" t="s">
        <v>855</v>
      </c>
      <c r="E735" s="465" t="s">
        <v>2361</v>
      </c>
      <c r="F735" s="465" t="s">
        <v>2362</v>
      </c>
      <c r="G735" s="465" t="s">
        <v>2187</v>
      </c>
      <c r="H735" s="465" t="s">
        <v>2188</v>
      </c>
      <c r="I735" s="465" t="s">
        <v>830</v>
      </c>
    </row>
    <row r="736" hidden="1" ht="15.95" customHeight="1">
      <c r="A736" s="465" t="s">
        <v>2377</v>
      </c>
      <c r="B736" s="465" t="s">
        <v>2378</v>
      </c>
      <c r="C736" s="465"/>
      <c r="D736" s="465" t="s">
        <v>855</v>
      </c>
      <c r="E736" s="465" t="s">
        <v>2361</v>
      </c>
      <c r="F736" s="465" t="s">
        <v>2362</v>
      </c>
      <c r="G736" s="465" t="s">
        <v>2187</v>
      </c>
      <c r="H736" s="465" t="s">
        <v>2188</v>
      </c>
      <c r="I736" s="465" t="s">
        <v>830</v>
      </c>
    </row>
    <row r="737" hidden="1" ht="15.95" customHeight="1">
      <c r="A737" s="465" t="s">
        <v>2379</v>
      </c>
      <c r="B737" s="465" t="s">
        <v>1741</v>
      </c>
      <c r="C737" s="465"/>
      <c r="D737" s="465" t="s">
        <v>855</v>
      </c>
      <c r="E737" s="465" t="s">
        <v>2361</v>
      </c>
      <c r="F737" s="465" t="s">
        <v>2362</v>
      </c>
      <c r="G737" s="465" t="s">
        <v>2187</v>
      </c>
      <c r="H737" s="465" t="s">
        <v>2188</v>
      </c>
      <c r="I737" s="465" t="s">
        <v>830</v>
      </c>
    </row>
    <row r="738" hidden="1" ht="15.95" customHeight="1">
      <c r="A738" s="465" t="s">
        <v>2380</v>
      </c>
      <c r="B738" s="465" t="s">
        <v>2381</v>
      </c>
      <c r="C738" s="465"/>
      <c r="D738" s="465" t="s">
        <v>855</v>
      </c>
      <c r="E738" s="465" t="s">
        <v>2361</v>
      </c>
      <c r="F738" s="465" t="s">
        <v>2362</v>
      </c>
      <c r="G738" s="465" t="s">
        <v>2187</v>
      </c>
      <c r="H738" s="465" t="s">
        <v>2188</v>
      </c>
      <c r="I738" s="465" t="s">
        <v>830</v>
      </c>
    </row>
    <row r="739" hidden="1" ht="15.95" customHeight="1">
      <c r="A739" s="465" t="s">
        <v>2382</v>
      </c>
      <c r="B739" s="465" t="s">
        <v>2383</v>
      </c>
      <c r="C739" s="465"/>
      <c r="D739" s="465" t="s">
        <v>855</v>
      </c>
      <c r="E739" s="465" t="s">
        <v>2361</v>
      </c>
      <c r="F739" s="465" t="s">
        <v>2362</v>
      </c>
      <c r="G739" s="465" t="s">
        <v>2187</v>
      </c>
      <c r="H739" s="465" t="s">
        <v>2188</v>
      </c>
      <c r="I739" s="465" t="s">
        <v>830</v>
      </c>
    </row>
    <row r="740" hidden="1" ht="15.95" customHeight="1">
      <c r="A740" s="465" t="s">
        <v>2384</v>
      </c>
      <c r="B740" s="465" t="s">
        <v>2385</v>
      </c>
      <c r="C740" s="465"/>
      <c r="D740" s="465" t="s">
        <v>855</v>
      </c>
      <c r="E740" s="465" t="s">
        <v>2361</v>
      </c>
      <c r="F740" s="465" t="s">
        <v>2362</v>
      </c>
      <c r="G740" s="465" t="s">
        <v>2187</v>
      </c>
      <c r="H740" s="465" t="s">
        <v>2188</v>
      </c>
      <c r="I740" s="465" t="s">
        <v>830</v>
      </c>
    </row>
    <row r="741" hidden="1" ht="15.95" customHeight="1">
      <c r="A741" s="465" t="s">
        <v>2386</v>
      </c>
      <c r="B741" s="465" t="s">
        <v>2387</v>
      </c>
      <c r="C741" s="465"/>
      <c r="D741" s="465" t="s">
        <v>855</v>
      </c>
      <c r="E741" s="465" t="s">
        <v>2361</v>
      </c>
      <c r="F741" s="465" t="s">
        <v>2362</v>
      </c>
      <c r="G741" s="465" t="s">
        <v>2187</v>
      </c>
      <c r="H741" s="465" t="s">
        <v>2188</v>
      </c>
      <c r="I741" s="465" t="s">
        <v>830</v>
      </c>
    </row>
    <row r="742" hidden="1" ht="15.95" customHeight="1">
      <c r="A742" s="465" t="s">
        <v>2388</v>
      </c>
      <c r="B742" s="465" t="s">
        <v>2389</v>
      </c>
      <c r="C742" s="465"/>
      <c r="D742" s="465" t="s">
        <v>855</v>
      </c>
      <c r="E742" s="465" t="s">
        <v>2361</v>
      </c>
      <c r="F742" s="465" t="s">
        <v>2362</v>
      </c>
      <c r="G742" s="465" t="s">
        <v>2187</v>
      </c>
      <c r="H742" s="465" t="s">
        <v>2188</v>
      </c>
      <c r="I742" s="465" t="s">
        <v>830</v>
      </c>
    </row>
    <row r="743" hidden="1" ht="15.95" customHeight="1">
      <c r="A743" s="465" t="s">
        <v>2390</v>
      </c>
      <c r="B743" s="465" t="s">
        <v>2391</v>
      </c>
      <c r="C743" s="465"/>
      <c r="D743" s="465" t="s">
        <v>855</v>
      </c>
      <c r="E743" s="465" t="s">
        <v>2361</v>
      </c>
      <c r="F743" s="465" t="s">
        <v>2362</v>
      </c>
      <c r="G743" s="465" t="s">
        <v>2187</v>
      </c>
      <c r="H743" s="465" t="s">
        <v>2188</v>
      </c>
      <c r="I743" s="465" t="s">
        <v>830</v>
      </c>
    </row>
    <row r="744" hidden="1" ht="15.95" customHeight="1">
      <c r="A744" s="465" t="s">
        <v>2392</v>
      </c>
      <c r="B744" s="465" t="s">
        <v>2393</v>
      </c>
      <c r="C744" s="465"/>
      <c r="D744" s="465" t="s">
        <v>855</v>
      </c>
      <c r="E744" s="465" t="s">
        <v>2394</v>
      </c>
      <c r="F744" s="465" t="s">
        <v>2395</v>
      </c>
      <c r="G744" s="465" t="s">
        <v>2187</v>
      </c>
      <c r="H744" s="465" t="s">
        <v>2188</v>
      </c>
      <c r="I744" s="465" t="s">
        <v>830</v>
      </c>
    </row>
    <row r="745" hidden="1" ht="15.95" customHeight="1">
      <c r="A745" s="465" t="s">
        <v>2396</v>
      </c>
      <c r="B745" s="465" t="s">
        <v>2397</v>
      </c>
      <c r="C745" s="465"/>
      <c r="D745" s="465" t="s">
        <v>855</v>
      </c>
      <c r="E745" s="465" t="s">
        <v>2394</v>
      </c>
      <c r="F745" s="465" t="s">
        <v>2395</v>
      </c>
      <c r="G745" s="465" t="s">
        <v>2187</v>
      </c>
      <c r="H745" s="465" t="s">
        <v>2188</v>
      </c>
      <c r="I745" s="465" t="s">
        <v>830</v>
      </c>
    </row>
    <row r="746" hidden="1" ht="15.95" customHeight="1">
      <c r="A746" s="465" t="s">
        <v>2398</v>
      </c>
      <c r="B746" s="465" t="s">
        <v>2399</v>
      </c>
      <c r="C746" s="465"/>
      <c r="D746" s="465" t="s">
        <v>855</v>
      </c>
      <c r="E746" s="465" t="s">
        <v>2394</v>
      </c>
      <c r="F746" s="465" t="s">
        <v>2395</v>
      </c>
      <c r="G746" s="465" t="s">
        <v>2187</v>
      </c>
      <c r="H746" s="465" t="s">
        <v>2188</v>
      </c>
      <c r="I746" s="465" t="s">
        <v>830</v>
      </c>
    </row>
    <row r="747" hidden="1" ht="15.95" customHeight="1">
      <c r="A747" s="465" t="s">
        <v>2400</v>
      </c>
      <c r="B747" s="465" t="s">
        <v>2401</v>
      </c>
      <c r="C747" s="465"/>
      <c r="D747" s="465" t="s">
        <v>855</v>
      </c>
      <c r="E747" s="465" t="s">
        <v>2394</v>
      </c>
      <c r="F747" s="465" t="s">
        <v>2395</v>
      </c>
      <c r="G747" s="465" t="s">
        <v>2187</v>
      </c>
      <c r="H747" s="465" t="s">
        <v>2188</v>
      </c>
      <c r="I747" s="465" t="s">
        <v>830</v>
      </c>
    </row>
    <row r="748" hidden="1" ht="15.95" customHeight="1">
      <c r="A748" s="465" t="s">
        <v>2402</v>
      </c>
      <c r="B748" s="465" t="s">
        <v>2403</v>
      </c>
      <c r="C748" s="465"/>
      <c r="D748" s="465" t="s">
        <v>855</v>
      </c>
      <c r="E748" s="465" t="s">
        <v>2394</v>
      </c>
      <c r="F748" s="465" t="s">
        <v>2395</v>
      </c>
      <c r="G748" s="465" t="s">
        <v>2187</v>
      </c>
      <c r="H748" s="465" t="s">
        <v>2188</v>
      </c>
      <c r="I748" s="465" t="s">
        <v>830</v>
      </c>
    </row>
    <row r="749" hidden="1" ht="15.95" customHeight="1">
      <c r="A749" s="465" t="s">
        <v>2404</v>
      </c>
      <c r="B749" s="465" t="s">
        <v>2405</v>
      </c>
      <c r="C749" s="465"/>
      <c r="D749" s="465" t="s">
        <v>855</v>
      </c>
      <c r="E749" s="465" t="s">
        <v>2394</v>
      </c>
      <c r="F749" s="465" t="s">
        <v>2395</v>
      </c>
      <c r="G749" s="465" t="s">
        <v>2187</v>
      </c>
      <c r="H749" s="465" t="s">
        <v>2188</v>
      </c>
      <c r="I749" s="465" t="s">
        <v>830</v>
      </c>
    </row>
    <row r="750" hidden="1" ht="15.95" customHeight="1">
      <c r="A750" s="465" t="s">
        <v>2406</v>
      </c>
      <c r="B750" s="465" t="s">
        <v>2407</v>
      </c>
      <c r="C750" s="465"/>
      <c r="D750" s="465" t="s">
        <v>855</v>
      </c>
      <c r="E750" s="465" t="s">
        <v>2394</v>
      </c>
      <c r="F750" s="465" t="s">
        <v>2395</v>
      </c>
      <c r="G750" s="465" t="s">
        <v>2187</v>
      </c>
      <c r="H750" s="465" t="s">
        <v>2188</v>
      </c>
      <c r="I750" s="465" t="s">
        <v>830</v>
      </c>
    </row>
    <row r="751" hidden="1" ht="15.95" customHeight="1">
      <c r="A751" s="465" t="s">
        <v>2408</v>
      </c>
      <c r="B751" s="465" t="s">
        <v>2409</v>
      </c>
      <c r="C751" s="465"/>
      <c r="D751" s="465" t="s">
        <v>855</v>
      </c>
      <c r="E751" s="465" t="s">
        <v>2394</v>
      </c>
      <c r="F751" s="465" t="s">
        <v>2395</v>
      </c>
      <c r="G751" s="465" t="s">
        <v>2187</v>
      </c>
      <c r="H751" s="465" t="s">
        <v>2188</v>
      </c>
      <c r="I751" s="465" t="s">
        <v>830</v>
      </c>
    </row>
    <row r="752" hidden="1" ht="15.95" customHeight="1">
      <c r="A752" s="465" t="s">
        <v>2410</v>
      </c>
      <c r="B752" s="465" t="s">
        <v>2411</v>
      </c>
      <c r="C752" s="465"/>
      <c r="D752" s="465" t="s">
        <v>855</v>
      </c>
      <c r="E752" s="465" t="s">
        <v>2394</v>
      </c>
      <c r="F752" s="465" t="s">
        <v>2395</v>
      </c>
      <c r="G752" s="465" t="s">
        <v>2187</v>
      </c>
      <c r="H752" s="465" t="s">
        <v>2188</v>
      </c>
      <c r="I752" s="465" t="s">
        <v>830</v>
      </c>
    </row>
    <row r="753" hidden="1" ht="15.95" customHeight="1">
      <c r="A753" s="465" t="s">
        <v>2412</v>
      </c>
      <c r="B753" s="465" t="s">
        <v>2413</v>
      </c>
      <c r="C753" s="465"/>
      <c r="D753" s="465" t="s">
        <v>855</v>
      </c>
      <c r="E753" s="465" t="s">
        <v>2394</v>
      </c>
      <c r="F753" s="465" t="s">
        <v>2395</v>
      </c>
      <c r="G753" s="465" t="s">
        <v>2187</v>
      </c>
      <c r="H753" s="465" t="s">
        <v>2188</v>
      </c>
      <c r="I753" s="465" t="s">
        <v>830</v>
      </c>
    </row>
    <row r="754" hidden="1" ht="15.95" customHeight="1">
      <c r="A754" s="465" t="s">
        <v>2414</v>
      </c>
      <c r="B754" s="465" t="s">
        <v>2415</v>
      </c>
      <c r="C754" s="465"/>
      <c r="D754" s="465" t="s">
        <v>855</v>
      </c>
      <c r="E754" s="465" t="s">
        <v>2416</v>
      </c>
      <c r="F754" s="465" t="s">
        <v>2417</v>
      </c>
      <c r="G754" s="465" t="s">
        <v>2187</v>
      </c>
      <c r="H754" s="465" t="s">
        <v>2188</v>
      </c>
      <c r="I754" s="465" t="s">
        <v>830</v>
      </c>
    </row>
    <row r="755" hidden="1" ht="15.95" customHeight="1">
      <c r="A755" s="465" t="s">
        <v>2418</v>
      </c>
      <c r="B755" s="465" t="s">
        <v>2419</v>
      </c>
      <c r="C755" s="465"/>
      <c r="D755" s="465" t="s">
        <v>855</v>
      </c>
      <c r="E755" s="465" t="s">
        <v>2416</v>
      </c>
      <c r="F755" s="465" t="s">
        <v>2417</v>
      </c>
      <c r="G755" s="465" t="s">
        <v>2187</v>
      </c>
      <c r="H755" s="465" t="s">
        <v>2188</v>
      </c>
      <c r="I755" s="465" t="s">
        <v>830</v>
      </c>
    </row>
    <row r="756" hidden="1" ht="15.95" customHeight="1">
      <c r="A756" s="465" t="s">
        <v>2420</v>
      </c>
      <c r="B756" s="465" t="s">
        <v>2421</v>
      </c>
      <c r="C756" s="465"/>
      <c r="D756" s="465" t="s">
        <v>855</v>
      </c>
      <c r="E756" s="465" t="s">
        <v>2416</v>
      </c>
      <c r="F756" s="465" t="s">
        <v>2417</v>
      </c>
      <c r="G756" s="465" t="s">
        <v>2187</v>
      </c>
      <c r="H756" s="465" t="s">
        <v>2188</v>
      </c>
      <c r="I756" s="465" t="s">
        <v>830</v>
      </c>
    </row>
    <row r="757" hidden="1" ht="15.95" customHeight="1">
      <c r="A757" s="465" t="s">
        <v>2422</v>
      </c>
      <c r="B757" s="465" t="s">
        <v>2423</v>
      </c>
      <c r="C757" s="465"/>
      <c r="D757" s="465" t="s">
        <v>855</v>
      </c>
      <c r="E757" s="465" t="s">
        <v>2416</v>
      </c>
      <c r="F757" s="465" t="s">
        <v>2417</v>
      </c>
      <c r="G757" s="465" t="s">
        <v>2187</v>
      </c>
      <c r="H757" s="465" t="s">
        <v>2188</v>
      </c>
      <c r="I757" s="465" t="s">
        <v>830</v>
      </c>
    </row>
    <row r="758" hidden="1" ht="15.95" customHeight="1">
      <c r="A758" s="465" t="s">
        <v>2424</v>
      </c>
      <c r="B758" s="465" t="s">
        <v>2425</v>
      </c>
      <c r="C758" s="465"/>
      <c r="D758" s="465" t="s">
        <v>855</v>
      </c>
      <c r="E758" s="465" t="s">
        <v>2416</v>
      </c>
      <c r="F758" s="465" t="s">
        <v>2417</v>
      </c>
      <c r="G758" s="465" t="s">
        <v>2187</v>
      </c>
      <c r="H758" s="465" t="s">
        <v>2188</v>
      </c>
      <c r="I758" s="465" t="s">
        <v>830</v>
      </c>
    </row>
    <row r="759" hidden="1" ht="15.95" customHeight="1">
      <c r="A759" s="465" t="s">
        <v>2426</v>
      </c>
      <c r="B759" s="465" t="s">
        <v>2427</v>
      </c>
      <c r="C759" s="465"/>
      <c r="D759" s="465" t="s">
        <v>855</v>
      </c>
      <c r="E759" s="465" t="s">
        <v>2416</v>
      </c>
      <c r="F759" s="465" t="s">
        <v>2417</v>
      </c>
      <c r="G759" s="465" t="s">
        <v>2187</v>
      </c>
      <c r="H759" s="465" t="s">
        <v>2188</v>
      </c>
      <c r="I759" s="465" t="s">
        <v>830</v>
      </c>
    </row>
    <row r="760" hidden="1" ht="15.95" customHeight="1">
      <c r="A760" s="465" t="s">
        <v>2428</v>
      </c>
      <c r="B760" s="465" t="s">
        <v>2429</v>
      </c>
      <c r="C760" s="465"/>
      <c r="D760" s="465" t="s">
        <v>855</v>
      </c>
      <c r="E760" s="465" t="s">
        <v>2416</v>
      </c>
      <c r="F760" s="465" t="s">
        <v>2417</v>
      </c>
      <c r="G760" s="465" t="s">
        <v>2187</v>
      </c>
      <c r="H760" s="465" t="s">
        <v>2188</v>
      </c>
      <c r="I760" s="465" t="s">
        <v>830</v>
      </c>
    </row>
    <row r="761" hidden="1" ht="15.95" customHeight="1">
      <c r="A761" s="465" t="s">
        <v>2430</v>
      </c>
      <c r="B761" s="465" t="s">
        <v>2431</v>
      </c>
      <c r="C761" s="465"/>
      <c r="D761" s="465" t="s">
        <v>855</v>
      </c>
      <c r="E761" s="465" t="s">
        <v>2416</v>
      </c>
      <c r="F761" s="465" t="s">
        <v>2417</v>
      </c>
      <c r="G761" s="465" t="s">
        <v>2187</v>
      </c>
      <c r="H761" s="465" t="s">
        <v>2188</v>
      </c>
      <c r="I761" s="465" t="s">
        <v>830</v>
      </c>
    </row>
    <row r="762" hidden="1" ht="15.95" customHeight="1">
      <c r="A762" s="465" t="s">
        <v>2432</v>
      </c>
      <c r="B762" s="465" t="s">
        <v>2433</v>
      </c>
      <c r="C762" s="465"/>
      <c r="D762" s="465" t="s">
        <v>855</v>
      </c>
      <c r="E762" s="465" t="s">
        <v>2416</v>
      </c>
      <c r="F762" s="465" t="s">
        <v>2417</v>
      </c>
      <c r="G762" s="465" t="s">
        <v>2187</v>
      </c>
      <c r="H762" s="465" t="s">
        <v>2188</v>
      </c>
      <c r="I762" s="465" t="s">
        <v>830</v>
      </c>
    </row>
    <row r="763" hidden="1" ht="15.95" customHeight="1">
      <c r="A763" s="465" t="s">
        <v>2434</v>
      </c>
      <c r="B763" s="465" t="s">
        <v>2435</v>
      </c>
      <c r="C763" s="465"/>
      <c r="D763" s="465" t="s">
        <v>855</v>
      </c>
      <c r="E763" s="465" t="s">
        <v>2416</v>
      </c>
      <c r="F763" s="465" t="s">
        <v>2417</v>
      </c>
      <c r="G763" s="465" t="s">
        <v>2187</v>
      </c>
      <c r="H763" s="465" t="s">
        <v>2188</v>
      </c>
      <c r="I763" s="465" t="s">
        <v>830</v>
      </c>
    </row>
    <row r="764" hidden="1" ht="15.95" customHeight="1">
      <c r="A764" s="465" t="s">
        <v>2436</v>
      </c>
      <c r="B764" s="465" t="s">
        <v>2437</v>
      </c>
      <c r="C764" s="465"/>
      <c r="D764" s="465" t="s">
        <v>855</v>
      </c>
      <c r="E764" s="465" t="s">
        <v>2416</v>
      </c>
      <c r="F764" s="465" t="s">
        <v>2417</v>
      </c>
      <c r="G764" s="465" t="s">
        <v>2187</v>
      </c>
      <c r="H764" s="465" t="s">
        <v>2188</v>
      </c>
      <c r="I764" s="465" t="s">
        <v>830</v>
      </c>
    </row>
    <row r="765" hidden="1" ht="15.95" customHeight="1">
      <c r="A765" s="465" t="s">
        <v>2438</v>
      </c>
      <c r="B765" s="465" t="s">
        <v>2439</v>
      </c>
      <c r="C765" s="465"/>
      <c r="D765" s="465" t="s">
        <v>855</v>
      </c>
      <c r="E765" s="465" t="s">
        <v>2416</v>
      </c>
      <c r="F765" s="465" t="s">
        <v>2417</v>
      </c>
      <c r="G765" s="465" t="s">
        <v>2187</v>
      </c>
      <c r="H765" s="465" t="s">
        <v>2188</v>
      </c>
      <c r="I765" s="465" t="s">
        <v>830</v>
      </c>
    </row>
    <row r="766" hidden="1" ht="15.95" customHeight="1">
      <c r="A766" s="465" t="s">
        <v>2440</v>
      </c>
      <c r="B766" s="465" t="s">
        <v>2441</v>
      </c>
      <c r="C766" s="465"/>
      <c r="D766" s="465" t="s">
        <v>855</v>
      </c>
      <c r="E766" s="465" t="s">
        <v>2416</v>
      </c>
      <c r="F766" s="465" t="s">
        <v>2417</v>
      </c>
      <c r="G766" s="465" t="s">
        <v>2187</v>
      </c>
      <c r="H766" s="465" t="s">
        <v>2188</v>
      </c>
      <c r="I766" s="465" t="s">
        <v>830</v>
      </c>
    </row>
    <row r="767" hidden="1" ht="15.95" customHeight="1">
      <c r="A767" s="465" t="s">
        <v>2442</v>
      </c>
      <c r="B767" s="465" t="s">
        <v>2443</v>
      </c>
      <c r="C767" s="465"/>
      <c r="D767" s="465" t="s">
        <v>884</v>
      </c>
      <c r="E767" s="465" t="s">
        <v>2444</v>
      </c>
      <c r="F767" s="465" t="s">
        <v>2445</v>
      </c>
      <c r="G767" s="465" t="s">
        <v>2187</v>
      </c>
      <c r="H767" s="465" t="s">
        <v>2188</v>
      </c>
      <c r="I767" s="465" t="s">
        <v>830</v>
      </c>
    </row>
    <row r="768" hidden="1" ht="15.95" customHeight="1">
      <c r="A768" s="465" t="s">
        <v>2446</v>
      </c>
      <c r="B768" s="465" t="s">
        <v>2447</v>
      </c>
      <c r="C768" s="465"/>
      <c r="D768" s="465" t="s">
        <v>855</v>
      </c>
      <c r="E768" s="465" t="s">
        <v>2444</v>
      </c>
      <c r="F768" s="465" t="s">
        <v>2445</v>
      </c>
      <c r="G768" s="465" t="s">
        <v>2187</v>
      </c>
      <c r="H768" s="465" t="s">
        <v>2188</v>
      </c>
      <c r="I768" s="465" t="s">
        <v>830</v>
      </c>
    </row>
    <row r="769" hidden="1" ht="15.95" customHeight="1">
      <c r="A769" s="465" t="s">
        <v>2448</v>
      </c>
      <c r="B769" s="465" t="s">
        <v>1072</v>
      </c>
      <c r="C769" s="465"/>
      <c r="D769" s="465" t="s">
        <v>855</v>
      </c>
      <c r="E769" s="465" t="s">
        <v>2444</v>
      </c>
      <c r="F769" s="465" t="s">
        <v>2445</v>
      </c>
      <c r="G769" s="465" t="s">
        <v>2187</v>
      </c>
      <c r="H769" s="465" t="s">
        <v>2188</v>
      </c>
      <c r="I769" s="465" t="s">
        <v>830</v>
      </c>
    </row>
    <row r="770" hidden="1" ht="15.95" customHeight="1">
      <c r="A770" s="465" t="s">
        <v>2449</v>
      </c>
      <c r="B770" s="465" t="s">
        <v>2450</v>
      </c>
      <c r="C770" s="465"/>
      <c r="D770" s="465" t="s">
        <v>855</v>
      </c>
      <c r="E770" s="465" t="s">
        <v>2444</v>
      </c>
      <c r="F770" s="465" t="s">
        <v>2445</v>
      </c>
      <c r="G770" s="465" t="s">
        <v>2187</v>
      </c>
      <c r="H770" s="465" t="s">
        <v>2188</v>
      </c>
      <c r="I770" s="465" t="s">
        <v>830</v>
      </c>
    </row>
    <row r="771" hidden="1" ht="15.95" customHeight="1">
      <c r="A771" s="465" t="s">
        <v>2451</v>
      </c>
      <c r="B771" s="465" t="s">
        <v>1491</v>
      </c>
      <c r="C771" s="465"/>
      <c r="D771" s="465" t="s">
        <v>855</v>
      </c>
      <c r="E771" s="465" t="s">
        <v>2444</v>
      </c>
      <c r="F771" s="465" t="s">
        <v>2445</v>
      </c>
      <c r="G771" s="465" t="s">
        <v>2187</v>
      </c>
      <c r="H771" s="465" t="s">
        <v>2188</v>
      </c>
      <c r="I771" s="465" t="s">
        <v>830</v>
      </c>
    </row>
    <row r="772" hidden="1" ht="15.95" customHeight="1">
      <c r="A772" s="465" t="s">
        <v>2452</v>
      </c>
      <c r="B772" s="465" t="s">
        <v>1786</v>
      </c>
      <c r="C772" s="465"/>
      <c r="D772" s="465" t="s">
        <v>855</v>
      </c>
      <c r="E772" s="465" t="s">
        <v>2444</v>
      </c>
      <c r="F772" s="465" t="s">
        <v>2445</v>
      </c>
      <c r="G772" s="465" t="s">
        <v>2187</v>
      </c>
      <c r="H772" s="465" t="s">
        <v>2188</v>
      </c>
      <c r="I772" s="465" t="s">
        <v>830</v>
      </c>
    </row>
    <row r="773" hidden="1" ht="15.95" customHeight="1">
      <c r="A773" s="465" t="s">
        <v>2453</v>
      </c>
      <c r="B773" s="465" t="s">
        <v>2454</v>
      </c>
      <c r="C773" s="465"/>
      <c r="D773" s="465" t="s">
        <v>855</v>
      </c>
      <c r="E773" s="465" t="s">
        <v>2444</v>
      </c>
      <c r="F773" s="465" t="s">
        <v>2445</v>
      </c>
      <c r="G773" s="465" t="s">
        <v>2187</v>
      </c>
      <c r="H773" s="465" t="s">
        <v>2188</v>
      </c>
      <c r="I773" s="465" t="s">
        <v>830</v>
      </c>
    </row>
    <row r="774" hidden="1" ht="15.95" customHeight="1">
      <c r="A774" s="465" t="s">
        <v>2455</v>
      </c>
      <c r="B774" s="465" t="s">
        <v>2456</v>
      </c>
      <c r="C774" s="465"/>
      <c r="D774" s="465" t="s">
        <v>855</v>
      </c>
      <c r="E774" s="465" t="s">
        <v>2444</v>
      </c>
      <c r="F774" s="465" t="s">
        <v>2445</v>
      </c>
      <c r="G774" s="465" t="s">
        <v>2187</v>
      </c>
      <c r="H774" s="465" t="s">
        <v>2188</v>
      </c>
      <c r="I774" s="465" t="s">
        <v>830</v>
      </c>
    </row>
    <row r="775" hidden="1" ht="15.95" customHeight="1">
      <c r="A775" s="465" t="s">
        <v>2457</v>
      </c>
      <c r="B775" s="465" t="s">
        <v>2458</v>
      </c>
      <c r="C775" s="465"/>
      <c r="D775" s="465" t="s">
        <v>855</v>
      </c>
      <c r="E775" s="465" t="s">
        <v>2444</v>
      </c>
      <c r="F775" s="465" t="s">
        <v>2445</v>
      </c>
      <c r="G775" s="465" t="s">
        <v>2187</v>
      </c>
      <c r="H775" s="465" t="s">
        <v>2188</v>
      </c>
      <c r="I775" s="465" t="s">
        <v>830</v>
      </c>
    </row>
    <row r="776" hidden="1" ht="15.95" customHeight="1">
      <c r="A776" s="465" t="s">
        <v>2459</v>
      </c>
      <c r="B776" s="465" t="s">
        <v>2460</v>
      </c>
      <c r="C776" s="465"/>
      <c r="D776" s="465" t="s">
        <v>855</v>
      </c>
      <c r="E776" s="465" t="s">
        <v>2444</v>
      </c>
      <c r="F776" s="465" t="s">
        <v>2445</v>
      </c>
      <c r="G776" s="465" t="s">
        <v>2187</v>
      </c>
      <c r="H776" s="465" t="s">
        <v>2188</v>
      </c>
      <c r="I776" s="465" t="s">
        <v>830</v>
      </c>
    </row>
    <row r="777" hidden="1" ht="15.95" customHeight="1">
      <c r="A777" s="465" t="s">
        <v>2461</v>
      </c>
      <c r="B777" s="465" t="s">
        <v>2462</v>
      </c>
      <c r="C777" s="465"/>
      <c r="D777" s="465" t="s">
        <v>855</v>
      </c>
      <c r="E777" s="465" t="s">
        <v>2444</v>
      </c>
      <c r="F777" s="465" t="s">
        <v>2445</v>
      </c>
      <c r="G777" s="465" t="s">
        <v>2187</v>
      </c>
      <c r="H777" s="465" t="s">
        <v>2188</v>
      </c>
      <c r="I777" s="465" t="s">
        <v>830</v>
      </c>
    </row>
    <row r="778" hidden="1" ht="15.95" customHeight="1">
      <c r="A778" s="465" t="s">
        <v>2463</v>
      </c>
      <c r="B778" s="465" t="s">
        <v>1955</v>
      </c>
      <c r="C778" s="465"/>
      <c r="D778" s="465" t="s">
        <v>855</v>
      </c>
      <c r="E778" s="465" t="s">
        <v>2444</v>
      </c>
      <c r="F778" s="465" t="s">
        <v>2445</v>
      </c>
      <c r="G778" s="465" t="s">
        <v>2187</v>
      </c>
      <c r="H778" s="465" t="s">
        <v>2188</v>
      </c>
      <c r="I778" s="465" t="s">
        <v>830</v>
      </c>
    </row>
    <row r="779" hidden="1" ht="15.95" customHeight="1">
      <c r="A779" s="465" t="s">
        <v>2464</v>
      </c>
      <c r="B779" s="465" t="s">
        <v>863</v>
      </c>
      <c r="C779" s="465"/>
      <c r="D779" s="465" t="s">
        <v>855</v>
      </c>
      <c r="E779" s="465" t="s">
        <v>2444</v>
      </c>
      <c r="F779" s="465" t="s">
        <v>2445</v>
      </c>
      <c r="G779" s="465" t="s">
        <v>2187</v>
      </c>
      <c r="H779" s="465" t="s">
        <v>2188</v>
      </c>
      <c r="I779" s="465" t="s">
        <v>830</v>
      </c>
    </row>
    <row r="780" hidden="1" ht="15.95" customHeight="1">
      <c r="A780" s="465" t="s">
        <v>2465</v>
      </c>
      <c r="B780" s="465" t="s">
        <v>1705</v>
      </c>
      <c r="C780" s="465"/>
      <c r="D780" s="465" t="s">
        <v>855</v>
      </c>
      <c r="E780" s="465" t="s">
        <v>2444</v>
      </c>
      <c r="F780" s="465" t="s">
        <v>2445</v>
      </c>
      <c r="G780" s="465" t="s">
        <v>2187</v>
      </c>
      <c r="H780" s="465" t="s">
        <v>2188</v>
      </c>
      <c r="I780" s="465" t="s">
        <v>830</v>
      </c>
    </row>
    <row r="781" hidden="1" ht="15.95" customHeight="1">
      <c r="A781" s="465" t="s">
        <v>2466</v>
      </c>
      <c r="B781" s="465" t="s">
        <v>929</v>
      </c>
      <c r="C781" s="465"/>
      <c r="D781" s="465" t="s">
        <v>855</v>
      </c>
      <c r="E781" s="465" t="s">
        <v>2444</v>
      </c>
      <c r="F781" s="465" t="s">
        <v>2445</v>
      </c>
      <c r="G781" s="465" t="s">
        <v>2187</v>
      </c>
      <c r="H781" s="465" t="s">
        <v>2188</v>
      </c>
      <c r="I781" s="465" t="s">
        <v>830</v>
      </c>
    </row>
    <row r="782" hidden="1" ht="15.95" customHeight="1">
      <c r="A782" s="465" t="s">
        <v>2467</v>
      </c>
      <c r="B782" s="465" t="s">
        <v>2468</v>
      </c>
      <c r="C782" s="465"/>
      <c r="D782" s="465" t="s">
        <v>884</v>
      </c>
      <c r="E782" s="465" t="s">
        <v>2469</v>
      </c>
      <c r="F782" s="465" t="s">
        <v>2470</v>
      </c>
      <c r="G782" s="465" t="s">
        <v>2187</v>
      </c>
      <c r="H782" s="465" t="s">
        <v>2188</v>
      </c>
      <c r="I782" s="465" t="s">
        <v>830</v>
      </c>
    </row>
    <row r="783" hidden="1" ht="15.95" customHeight="1">
      <c r="A783" s="465" t="s">
        <v>2471</v>
      </c>
      <c r="B783" s="465" t="s">
        <v>2472</v>
      </c>
      <c r="C783" s="465"/>
      <c r="D783" s="465" t="s">
        <v>855</v>
      </c>
      <c r="E783" s="465" t="s">
        <v>2469</v>
      </c>
      <c r="F783" s="465" t="s">
        <v>2470</v>
      </c>
      <c r="G783" s="465" t="s">
        <v>2187</v>
      </c>
      <c r="H783" s="465" t="s">
        <v>2188</v>
      </c>
      <c r="I783" s="465" t="s">
        <v>830</v>
      </c>
    </row>
    <row r="784" hidden="1" ht="15.95" customHeight="1">
      <c r="A784" s="465" t="s">
        <v>2473</v>
      </c>
      <c r="B784" s="465" t="s">
        <v>2474</v>
      </c>
      <c r="C784" s="465"/>
      <c r="D784" s="465" t="s">
        <v>855</v>
      </c>
      <c r="E784" s="465" t="s">
        <v>2469</v>
      </c>
      <c r="F784" s="465" t="s">
        <v>2470</v>
      </c>
      <c r="G784" s="465" t="s">
        <v>2187</v>
      </c>
      <c r="H784" s="465" t="s">
        <v>2188</v>
      </c>
      <c r="I784" s="465" t="s">
        <v>830</v>
      </c>
    </row>
    <row r="785" hidden="1" ht="15.95" customHeight="1">
      <c r="A785" s="465" t="s">
        <v>2475</v>
      </c>
      <c r="B785" s="465" t="s">
        <v>2476</v>
      </c>
      <c r="C785" s="465"/>
      <c r="D785" s="465" t="s">
        <v>855</v>
      </c>
      <c r="E785" s="465" t="s">
        <v>2469</v>
      </c>
      <c r="F785" s="465" t="s">
        <v>2470</v>
      </c>
      <c r="G785" s="465" t="s">
        <v>2187</v>
      </c>
      <c r="H785" s="465" t="s">
        <v>2188</v>
      </c>
      <c r="I785" s="465" t="s">
        <v>830</v>
      </c>
    </row>
    <row r="786" hidden="1" ht="15.95" customHeight="1">
      <c r="A786" s="465" t="s">
        <v>2477</v>
      </c>
      <c r="B786" s="465" t="s">
        <v>1280</v>
      </c>
      <c r="C786" s="465"/>
      <c r="D786" s="465" t="s">
        <v>855</v>
      </c>
      <c r="E786" s="465" t="s">
        <v>2469</v>
      </c>
      <c r="F786" s="465" t="s">
        <v>2470</v>
      </c>
      <c r="G786" s="465" t="s">
        <v>2187</v>
      </c>
      <c r="H786" s="465" t="s">
        <v>2188</v>
      </c>
      <c r="I786" s="465" t="s">
        <v>830</v>
      </c>
    </row>
    <row r="787" hidden="1" ht="15.95" customHeight="1">
      <c r="A787" s="465" t="s">
        <v>2478</v>
      </c>
      <c r="B787" s="465" t="s">
        <v>1286</v>
      </c>
      <c r="C787" s="465"/>
      <c r="D787" s="465" t="s">
        <v>855</v>
      </c>
      <c r="E787" s="465" t="s">
        <v>2469</v>
      </c>
      <c r="F787" s="465" t="s">
        <v>2470</v>
      </c>
      <c r="G787" s="465" t="s">
        <v>2187</v>
      </c>
      <c r="H787" s="465" t="s">
        <v>2188</v>
      </c>
      <c r="I787" s="465" t="s">
        <v>830</v>
      </c>
    </row>
    <row r="788" hidden="1" ht="15.95" customHeight="1">
      <c r="A788" s="465" t="s">
        <v>2479</v>
      </c>
      <c r="B788" s="465" t="s">
        <v>2480</v>
      </c>
      <c r="C788" s="465"/>
      <c r="D788" s="465" t="s">
        <v>855</v>
      </c>
      <c r="E788" s="465" t="s">
        <v>2469</v>
      </c>
      <c r="F788" s="465" t="s">
        <v>2470</v>
      </c>
      <c r="G788" s="465" t="s">
        <v>2187</v>
      </c>
      <c r="H788" s="465" t="s">
        <v>2188</v>
      </c>
      <c r="I788" s="465" t="s">
        <v>830</v>
      </c>
    </row>
    <row r="789" hidden="1" ht="15.95" customHeight="1">
      <c r="A789" s="465" t="s">
        <v>2481</v>
      </c>
      <c r="B789" s="465" t="s">
        <v>2482</v>
      </c>
      <c r="C789" s="465"/>
      <c r="D789" s="465" t="s">
        <v>855</v>
      </c>
      <c r="E789" s="465" t="s">
        <v>2469</v>
      </c>
      <c r="F789" s="465" t="s">
        <v>2470</v>
      </c>
      <c r="G789" s="465" t="s">
        <v>2187</v>
      </c>
      <c r="H789" s="465" t="s">
        <v>2188</v>
      </c>
      <c r="I789" s="465" t="s">
        <v>830</v>
      </c>
    </row>
    <row r="790" hidden="1" ht="15.95" customHeight="1">
      <c r="A790" s="465" t="s">
        <v>2483</v>
      </c>
      <c r="B790" s="465" t="s">
        <v>2484</v>
      </c>
      <c r="C790" s="465"/>
      <c r="D790" s="465" t="s">
        <v>855</v>
      </c>
      <c r="E790" s="465" t="s">
        <v>2469</v>
      </c>
      <c r="F790" s="465" t="s">
        <v>2470</v>
      </c>
      <c r="G790" s="465" t="s">
        <v>2187</v>
      </c>
      <c r="H790" s="465" t="s">
        <v>2188</v>
      </c>
      <c r="I790" s="465" t="s">
        <v>830</v>
      </c>
    </row>
    <row r="791" hidden="1" ht="15.95" customHeight="1">
      <c r="A791" s="465" t="s">
        <v>2485</v>
      </c>
      <c r="B791" s="465" t="s">
        <v>2486</v>
      </c>
      <c r="C791" s="465"/>
      <c r="D791" s="465" t="s">
        <v>855</v>
      </c>
      <c r="E791" s="465" t="s">
        <v>2469</v>
      </c>
      <c r="F791" s="465" t="s">
        <v>2470</v>
      </c>
      <c r="G791" s="465" t="s">
        <v>2187</v>
      </c>
      <c r="H791" s="465" t="s">
        <v>2188</v>
      </c>
      <c r="I791" s="465" t="s">
        <v>830</v>
      </c>
    </row>
    <row r="792" hidden="1" ht="15.95" customHeight="1">
      <c r="A792" s="465" t="s">
        <v>2487</v>
      </c>
      <c r="B792" s="465" t="s">
        <v>2488</v>
      </c>
      <c r="C792" s="465"/>
      <c r="D792" s="465" t="s">
        <v>855</v>
      </c>
      <c r="E792" s="465" t="s">
        <v>2469</v>
      </c>
      <c r="F792" s="465" t="s">
        <v>2470</v>
      </c>
      <c r="G792" s="465" t="s">
        <v>2187</v>
      </c>
      <c r="H792" s="465" t="s">
        <v>2188</v>
      </c>
      <c r="I792" s="465" t="s">
        <v>830</v>
      </c>
    </row>
    <row r="793" hidden="1" ht="15.95" customHeight="1">
      <c r="A793" s="465" t="s">
        <v>2489</v>
      </c>
      <c r="B793" s="465" t="s">
        <v>2490</v>
      </c>
      <c r="C793" s="465"/>
      <c r="D793" s="465" t="s">
        <v>855</v>
      </c>
      <c r="E793" s="465" t="s">
        <v>2469</v>
      </c>
      <c r="F793" s="465" t="s">
        <v>2470</v>
      </c>
      <c r="G793" s="465" t="s">
        <v>2187</v>
      </c>
      <c r="H793" s="465" t="s">
        <v>2188</v>
      </c>
      <c r="I793" s="465" t="s">
        <v>830</v>
      </c>
    </row>
    <row r="794" hidden="1" ht="15.95" customHeight="1">
      <c r="A794" s="465" t="s">
        <v>2491</v>
      </c>
      <c r="B794" s="465" t="s">
        <v>2492</v>
      </c>
      <c r="C794" s="465"/>
      <c r="D794" s="465" t="s">
        <v>855</v>
      </c>
      <c r="E794" s="465" t="s">
        <v>2469</v>
      </c>
      <c r="F794" s="465" t="s">
        <v>2470</v>
      </c>
      <c r="G794" s="465" t="s">
        <v>2187</v>
      </c>
      <c r="H794" s="465" t="s">
        <v>2188</v>
      </c>
      <c r="I794" s="465" t="s">
        <v>830</v>
      </c>
    </row>
    <row r="795" hidden="1" ht="15.95" customHeight="1">
      <c r="A795" s="465" t="s">
        <v>2493</v>
      </c>
      <c r="B795" s="465" t="s">
        <v>2494</v>
      </c>
      <c r="C795" s="465"/>
      <c r="D795" s="465" t="s">
        <v>855</v>
      </c>
      <c r="E795" s="465" t="s">
        <v>2469</v>
      </c>
      <c r="F795" s="465" t="s">
        <v>2470</v>
      </c>
      <c r="G795" s="465" t="s">
        <v>2187</v>
      </c>
      <c r="H795" s="465" t="s">
        <v>2188</v>
      </c>
      <c r="I795" s="465" t="s">
        <v>830</v>
      </c>
    </row>
    <row r="796" hidden="1" ht="15.95" customHeight="1">
      <c r="A796" s="465" t="s">
        <v>2495</v>
      </c>
      <c r="B796" s="465" t="s">
        <v>2496</v>
      </c>
      <c r="C796" s="465"/>
      <c r="D796" s="465" t="s">
        <v>855</v>
      </c>
      <c r="E796" s="465" t="s">
        <v>2469</v>
      </c>
      <c r="F796" s="465" t="s">
        <v>2470</v>
      </c>
      <c r="G796" s="465" t="s">
        <v>2187</v>
      </c>
      <c r="H796" s="465" t="s">
        <v>2188</v>
      </c>
      <c r="I796" s="465" t="s">
        <v>830</v>
      </c>
    </row>
    <row r="797" hidden="1" ht="15.95" customHeight="1">
      <c r="A797" s="465" t="s">
        <v>2497</v>
      </c>
      <c r="B797" s="465" t="s">
        <v>2498</v>
      </c>
      <c r="C797" s="465"/>
      <c r="D797" s="465" t="s">
        <v>855</v>
      </c>
      <c r="E797" s="465" t="s">
        <v>2499</v>
      </c>
      <c r="F797" s="465" t="s">
        <v>2500</v>
      </c>
      <c r="G797" s="465" t="s">
        <v>2187</v>
      </c>
      <c r="H797" s="465" t="s">
        <v>2188</v>
      </c>
      <c r="I797" s="465" t="s">
        <v>830</v>
      </c>
    </row>
    <row r="798" hidden="1" ht="15.95" customHeight="1">
      <c r="A798" s="465" t="s">
        <v>2501</v>
      </c>
      <c r="B798" s="465" t="s">
        <v>1795</v>
      </c>
      <c r="C798" s="465"/>
      <c r="D798" s="465" t="s">
        <v>855</v>
      </c>
      <c r="E798" s="465" t="s">
        <v>2499</v>
      </c>
      <c r="F798" s="465" t="s">
        <v>2500</v>
      </c>
      <c r="G798" s="465" t="s">
        <v>2187</v>
      </c>
      <c r="H798" s="465" t="s">
        <v>2188</v>
      </c>
      <c r="I798" s="465" t="s">
        <v>830</v>
      </c>
    </row>
    <row r="799" hidden="1" ht="15.95" customHeight="1">
      <c r="A799" s="465" t="s">
        <v>2502</v>
      </c>
      <c r="B799" s="465" t="s">
        <v>2503</v>
      </c>
      <c r="C799" s="465"/>
      <c r="D799" s="465" t="s">
        <v>855</v>
      </c>
      <c r="E799" s="465" t="s">
        <v>2499</v>
      </c>
      <c r="F799" s="465" t="s">
        <v>2500</v>
      </c>
      <c r="G799" s="465" t="s">
        <v>2187</v>
      </c>
      <c r="H799" s="465" t="s">
        <v>2188</v>
      </c>
      <c r="I799" s="465" t="s">
        <v>830</v>
      </c>
    </row>
    <row r="800" hidden="1" ht="15.95" customHeight="1">
      <c r="A800" s="465" t="s">
        <v>2504</v>
      </c>
      <c r="B800" s="465" t="s">
        <v>2505</v>
      </c>
      <c r="C800" s="465"/>
      <c r="D800" s="465" t="s">
        <v>855</v>
      </c>
      <c r="E800" s="465" t="s">
        <v>2499</v>
      </c>
      <c r="F800" s="465" t="s">
        <v>2500</v>
      </c>
      <c r="G800" s="465" t="s">
        <v>2187</v>
      </c>
      <c r="H800" s="465" t="s">
        <v>2188</v>
      </c>
      <c r="I800" s="465" t="s">
        <v>830</v>
      </c>
    </row>
    <row r="801" hidden="1" ht="15.95" customHeight="1">
      <c r="A801" s="465" t="s">
        <v>2506</v>
      </c>
      <c r="B801" s="465" t="s">
        <v>2507</v>
      </c>
      <c r="C801" s="465"/>
      <c r="D801" s="465" t="s">
        <v>855</v>
      </c>
      <c r="E801" s="465" t="s">
        <v>2499</v>
      </c>
      <c r="F801" s="465" t="s">
        <v>2500</v>
      </c>
      <c r="G801" s="465" t="s">
        <v>2187</v>
      </c>
      <c r="H801" s="465" t="s">
        <v>2188</v>
      </c>
      <c r="I801" s="465" t="s">
        <v>830</v>
      </c>
    </row>
    <row r="802" hidden="1" ht="15.95" customHeight="1">
      <c r="A802" s="465" t="s">
        <v>2508</v>
      </c>
      <c r="B802" s="465" t="s">
        <v>1415</v>
      </c>
      <c r="C802" s="465"/>
      <c r="D802" s="465" t="s">
        <v>855</v>
      </c>
      <c r="E802" s="465" t="s">
        <v>2499</v>
      </c>
      <c r="F802" s="465" t="s">
        <v>2500</v>
      </c>
      <c r="G802" s="465" t="s">
        <v>2187</v>
      </c>
      <c r="H802" s="465" t="s">
        <v>2188</v>
      </c>
      <c r="I802" s="465" t="s">
        <v>830</v>
      </c>
    </row>
    <row r="803" hidden="1" ht="15.95" customHeight="1">
      <c r="A803" s="465" t="s">
        <v>2509</v>
      </c>
      <c r="B803" s="465" t="s">
        <v>2510</v>
      </c>
      <c r="C803" s="465"/>
      <c r="D803" s="465" t="s">
        <v>855</v>
      </c>
      <c r="E803" s="465" t="s">
        <v>2499</v>
      </c>
      <c r="F803" s="465" t="s">
        <v>2500</v>
      </c>
      <c r="G803" s="465" t="s">
        <v>2187</v>
      </c>
      <c r="H803" s="465" t="s">
        <v>2188</v>
      </c>
      <c r="I803" s="465" t="s">
        <v>830</v>
      </c>
    </row>
    <row r="804" hidden="1" ht="15.95" customHeight="1">
      <c r="A804" s="465" t="s">
        <v>2511</v>
      </c>
      <c r="B804" s="465" t="s">
        <v>2512</v>
      </c>
      <c r="C804" s="465"/>
      <c r="D804" s="465" t="s">
        <v>855</v>
      </c>
      <c r="E804" s="465" t="s">
        <v>2499</v>
      </c>
      <c r="F804" s="465" t="s">
        <v>2500</v>
      </c>
      <c r="G804" s="465" t="s">
        <v>2187</v>
      </c>
      <c r="H804" s="465" t="s">
        <v>2188</v>
      </c>
      <c r="I804" s="465" t="s">
        <v>830</v>
      </c>
    </row>
    <row r="805" hidden="1" ht="15.95" customHeight="1">
      <c r="A805" s="465" t="s">
        <v>2513</v>
      </c>
      <c r="B805" s="465" t="s">
        <v>2514</v>
      </c>
      <c r="C805" s="465"/>
      <c r="D805" s="465" t="s">
        <v>855</v>
      </c>
      <c r="E805" s="465" t="s">
        <v>2499</v>
      </c>
      <c r="F805" s="465" t="s">
        <v>2500</v>
      </c>
      <c r="G805" s="465" t="s">
        <v>2187</v>
      </c>
      <c r="H805" s="465" t="s">
        <v>2188</v>
      </c>
      <c r="I805" s="465" t="s">
        <v>830</v>
      </c>
    </row>
    <row r="806" hidden="1" ht="15.95" customHeight="1">
      <c r="A806" s="465" t="s">
        <v>2515</v>
      </c>
      <c r="B806" s="465" t="s">
        <v>2516</v>
      </c>
      <c r="C806" s="465"/>
      <c r="D806" s="465" t="s">
        <v>855</v>
      </c>
      <c r="E806" s="465" t="s">
        <v>2499</v>
      </c>
      <c r="F806" s="465" t="s">
        <v>2500</v>
      </c>
      <c r="G806" s="465" t="s">
        <v>2187</v>
      </c>
      <c r="H806" s="465" t="s">
        <v>2188</v>
      </c>
      <c r="I806" s="465" t="s">
        <v>830</v>
      </c>
    </row>
    <row r="807" hidden="1" ht="15.95" customHeight="1">
      <c r="A807" s="465" t="s">
        <v>2517</v>
      </c>
      <c r="B807" s="465" t="s">
        <v>2518</v>
      </c>
      <c r="C807" s="465"/>
      <c r="D807" s="465" t="s">
        <v>855</v>
      </c>
      <c r="E807" s="465" t="s">
        <v>2499</v>
      </c>
      <c r="F807" s="465" t="s">
        <v>2500</v>
      </c>
      <c r="G807" s="465" t="s">
        <v>2187</v>
      </c>
      <c r="H807" s="465" t="s">
        <v>2188</v>
      </c>
      <c r="I807" s="465" t="s">
        <v>830</v>
      </c>
    </row>
    <row r="808" hidden="1" ht="15.95" customHeight="1">
      <c r="A808" s="465" t="s">
        <v>2519</v>
      </c>
      <c r="B808" s="465" t="s">
        <v>1697</v>
      </c>
      <c r="C808" s="465"/>
      <c r="D808" s="465" t="s">
        <v>855</v>
      </c>
      <c r="E808" s="465" t="s">
        <v>2499</v>
      </c>
      <c r="F808" s="465" t="s">
        <v>2500</v>
      </c>
      <c r="G808" s="465" t="s">
        <v>2187</v>
      </c>
      <c r="H808" s="465" t="s">
        <v>2188</v>
      </c>
      <c r="I808" s="465" t="s">
        <v>830</v>
      </c>
    </row>
    <row r="809" hidden="1" ht="15.95" customHeight="1">
      <c r="A809" s="465" t="s">
        <v>2520</v>
      </c>
      <c r="B809" s="465" t="s">
        <v>1266</v>
      </c>
      <c r="C809" s="465"/>
      <c r="D809" s="465" t="s">
        <v>825</v>
      </c>
      <c r="E809" s="465" t="s">
        <v>2521</v>
      </c>
      <c r="F809" s="465" t="s">
        <v>2522</v>
      </c>
      <c r="G809" s="465" t="s">
        <v>2523</v>
      </c>
      <c r="H809" s="465" t="s">
        <v>2524</v>
      </c>
      <c r="I809" s="465" t="s">
        <v>830</v>
      </c>
    </row>
    <row r="810" hidden="1" ht="15.95" customHeight="1">
      <c r="A810" s="465" t="s">
        <v>2525</v>
      </c>
      <c r="B810" s="465" t="s">
        <v>2526</v>
      </c>
      <c r="C810" s="465" t="s">
        <v>2527</v>
      </c>
      <c r="D810" s="465" t="s">
        <v>825</v>
      </c>
      <c r="E810" s="465" t="s">
        <v>2521</v>
      </c>
      <c r="F810" s="465" t="s">
        <v>2522</v>
      </c>
      <c r="G810" s="465" t="s">
        <v>2523</v>
      </c>
      <c r="H810" s="465" t="s">
        <v>2524</v>
      </c>
      <c r="I810" s="465" t="s">
        <v>830</v>
      </c>
    </row>
    <row r="811" hidden="1" ht="15.95" customHeight="1">
      <c r="A811" s="465" t="s">
        <v>2528</v>
      </c>
      <c r="B811" s="465" t="s">
        <v>1264</v>
      </c>
      <c r="C811" s="465"/>
      <c r="D811" s="465" t="s">
        <v>825</v>
      </c>
      <c r="E811" s="465" t="s">
        <v>2521</v>
      </c>
      <c r="F811" s="465" t="s">
        <v>2522</v>
      </c>
      <c r="G811" s="465" t="s">
        <v>2523</v>
      </c>
      <c r="H811" s="465" t="s">
        <v>2524</v>
      </c>
      <c r="I811" s="465" t="s">
        <v>830</v>
      </c>
    </row>
    <row r="812" hidden="1" ht="15.95" customHeight="1">
      <c r="A812" s="465" t="s">
        <v>2529</v>
      </c>
      <c r="B812" s="465" t="s">
        <v>1278</v>
      </c>
      <c r="C812" s="465"/>
      <c r="D812" s="465" t="s">
        <v>825</v>
      </c>
      <c r="E812" s="465" t="s">
        <v>2521</v>
      </c>
      <c r="F812" s="465" t="s">
        <v>2522</v>
      </c>
      <c r="G812" s="465" t="s">
        <v>2523</v>
      </c>
      <c r="H812" s="465" t="s">
        <v>2524</v>
      </c>
      <c r="I812" s="465" t="s">
        <v>830</v>
      </c>
    </row>
    <row r="813" hidden="1" ht="15.95" customHeight="1">
      <c r="A813" s="465" t="s">
        <v>2530</v>
      </c>
      <c r="B813" s="465" t="s">
        <v>1272</v>
      </c>
      <c r="C813" s="465"/>
      <c r="D813" s="465" t="s">
        <v>825</v>
      </c>
      <c r="E813" s="465" t="s">
        <v>2521</v>
      </c>
      <c r="F813" s="465" t="s">
        <v>2522</v>
      </c>
      <c r="G813" s="465" t="s">
        <v>2523</v>
      </c>
      <c r="H813" s="465" t="s">
        <v>2524</v>
      </c>
      <c r="I813" s="465" t="s">
        <v>830</v>
      </c>
    </row>
    <row r="814" hidden="1" ht="15.95" customHeight="1">
      <c r="A814" s="465" t="s">
        <v>2531</v>
      </c>
      <c r="B814" s="465" t="s">
        <v>1270</v>
      </c>
      <c r="C814" s="465"/>
      <c r="D814" s="465" t="s">
        <v>825</v>
      </c>
      <c r="E814" s="465" t="s">
        <v>2521</v>
      </c>
      <c r="F814" s="465" t="s">
        <v>2522</v>
      </c>
      <c r="G814" s="465" t="s">
        <v>2523</v>
      </c>
      <c r="H814" s="465" t="s">
        <v>2524</v>
      </c>
      <c r="I814" s="465" t="s">
        <v>830</v>
      </c>
    </row>
    <row r="815" hidden="1" ht="15.95" customHeight="1">
      <c r="A815" s="465" t="s">
        <v>2532</v>
      </c>
      <c r="B815" s="465" t="s">
        <v>2533</v>
      </c>
      <c r="C815" s="465"/>
      <c r="D815" s="465" t="s">
        <v>825</v>
      </c>
      <c r="E815" s="465" t="s">
        <v>2521</v>
      </c>
      <c r="F815" s="465" t="s">
        <v>2522</v>
      </c>
      <c r="G815" s="465" t="s">
        <v>2523</v>
      </c>
      <c r="H815" s="465" t="s">
        <v>2524</v>
      </c>
      <c r="I815" s="465" t="s">
        <v>830</v>
      </c>
    </row>
    <row r="816" hidden="1" ht="15.95" customHeight="1">
      <c r="A816" s="465" t="s">
        <v>2534</v>
      </c>
      <c r="B816" s="465" t="s">
        <v>1253</v>
      </c>
      <c r="C816" s="465"/>
      <c r="D816" s="465" t="s">
        <v>825</v>
      </c>
      <c r="E816" s="465" t="s">
        <v>2521</v>
      </c>
      <c r="F816" s="465" t="s">
        <v>2522</v>
      </c>
      <c r="G816" s="465" t="s">
        <v>2523</v>
      </c>
      <c r="H816" s="465" t="s">
        <v>2524</v>
      </c>
      <c r="I816" s="465" t="s">
        <v>830</v>
      </c>
    </row>
    <row r="817" hidden="1" ht="15.95" customHeight="1">
      <c r="A817" s="465" t="s">
        <v>2535</v>
      </c>
      <c r="B817" s="465" t="s">
        <v>2536</v>
      </c>
      <c r="C817" s="465" t="s">
        <v>2537</v>
      </c>
      <c r="D817" s="465" t="s">
        <v>825</v>
      </c>
      <c r="E817" s="465" t="s">
        <v>2521</v>
      </c>
      <c r="F817" s="465" t="s">
        <v>2522</v>
      </c>
      <c r="G817" s="465" t="s">
        <v>2523</v>
      </c>
      <c r="H817" s="465" t="s">
        <v>2524</v>
      </c>
      <c r="I817" s="465" t="s">
        <v>830</v>
      </c>
    </row>
    <row r="818" hidden="1" ht="15.95" customHeight="1">
      <c r="A818" s="465" t="s">
        <v>2538</v>
      </c>
      <c r="B818" s="465" t="s">
        <v>449</v>
      </c>
      <c r="C818" s="465"/>
      <c r="D818" s="465" t="s">
        <v>825</v>
      </c>
      <c r="E818" s="465" t="s">
        <v>2521</v>
      </c>
      <c r="F818" s="465" t="s">
        <v>2522</v>
      </c>
      <c r="G818" s="465" t="s">
        <v>2523</v>
      </c>
      <c r="H818" s="465" t="s">
        <v>2524</v>
      </c>
      <c r="I818" s="465" t="s">
        <v>830</v>
      </c>
    </row>
    <row r="819" hidden="1" ht="15.95" customHeight="1">
      <c r="A819" s="465" t="s">
        <v>2539</v>
      </c>
      <c r="B819" s="465" t="s">
        <v>1262</v>
      </c>
      <c r="C819" s="465"/>
      <c r="D819" s="465" t="s">
        <v>825</v>
      </c>
      <c r="E819" s="465" t="s">
        <v>2521</v>
      </c>
      <c r="F819" s="465" t="s">
        <v>2522</v>
      </c>
      <c r="G819" s="465" t="s">
        <v>2523</v>
      </c>
      <c r="H819" s="465" t="s">
        <v>2524</v>
      </c>
      <c r="I819" s="465" t="s">
        <v>830</v>
      </c>
    </row>
    <row r="820" hidden="1" ht="15.95" customHeight="1">
      <c r="A820" s="465" t="s">
        <v>2540</v>
      </c>
      <c r="B820" s="465" t="s">
        <v>2541</v>
      </c>
      <c r="C820" s="465"/>
      <c r="D820" s="465" t="s">
        <v>825</v>
      </c>
      <c r="E820" s="465" t="s">
        <v>2521</v>
      </c>
      <c r="F820" s="465" t="s">
        <v>2522</v>
      </c>
      <c r="G820" s="465" t="s">
        <v>2523</v>
      </c>
      <c r="H820" s="465" t="s">
        <v>2524</v>
      </c>
      <c r="I820" s="465" t="s">
        <v>830</v>
      </c>
    </row>
    <row r="821" hidden="1" ht="15.95" customHeight="1">
      <c r="A821" s="465" t="s">
        <v>2542</v>
      </c>
      <c r="B821" s="465" t="s">
        <v>2543</v>
      </c>
      <c r="C821" s="465" t="s">
        <v>2544</v>
      </c>
      <c r="D821" s="465" t="s">
        <v>825</v>
      </c>
      <c r="E821" s="465" t="s">
        <v>2521</v>
      </c>
      <c r="F821" s="465" t="s">
        <v>2522</v>
      </c>
      <c r="G821" s="465" t="s">
        <v>2523</v>
      </c>
      <c r="H821" s="465" t="s">
        <v>2524</v>
      </c>
      <c r="I821" s="465" t="s">
        <v>830</v>
      </c>
    </row>
    <row r="822" hidden="1" ht="15.95" customHeight="1">
      <c r="A822" s="465" t="s">
        <v>2545</v>
      </c>
      <c r="B822" s="465" t="s">
        <v>1274</v>
      </c>
      <c r="C822" s="465"/>
      <c r="D822" s="465" t="s">
        <v>825</v>
      </c>
      <c r="E822" s="465" t="s">
        <v>2521</v>
      </c>
      <c r="F822" s="465" t="s">
        <v>2522</v>
      </c>
      <c r="G822" s="465" t="s">
        <v>2523</v>
      </c>
      <c r="H822" s="465" t="s">
        <v>2524</v>
      </c>
      <c r="I822" s="465" t="s">
        <v>830</v>
      </c>
    </row>
    <row r="823" hidden="1" ht="15.95" customHeight="1">
      <c r="A823" s="465" t="s">
        <v>2546</v>
      </c>
      <c r="B823" s="465" t="s">
        <v>1276</v>
      </c>
      <c r="C823" s="465"/>
      <c r="D823" s="465" t="s">
        <v>825</v>
      </c>
      <c r="E823" s="465" t="s">
        <v>2521</v>
      </c>
      <c r="F823" s="465" t="s">
        <v>2522</v>
      </c>
      <c r="G823" s="465" t="s">
        <v>2523</v>
      </c>
      <c r="H823" s="465" t="s">
        <v>2524</v>
      </c>
      <c r="I823" s="465" t="s">
        <v>830</v>
      </c>
    </row>
    <row r="824" hidden="1" ht="15.95" customHeight="1">
      <c r="A824" s="465" t="s">
        <v>2547</v>
      </c>
      <c r="B824" s="465" t="s">
        <v>1260</v>
      </c>
      <c r="C824" s="465"/>
      <c r="D824" s="465" t="s">
        <v>825</v>
      </c>
      <c r="E824" s="465" t="s">
        <v>2521</v>
      </c>
      <c r="F824" s="465" t="s">
        <v>2522</v>
      </c>
      <c r="G824" s="465" t="s">
        <v>2523</v>
      </c>
      <c r="H824" s="465" t="s">
        <v>2524</v>
      </c>
      <c r="I824" s="465" t="s">
        <v>830</v>
      </c>
    </row>
    <row r="825" hidden="1" ht="15.95" customHeight="1">
      <c r="A825" s="465" t="s">
        <v>2548</v>
      </c>
      <c r="B825" s="465" t="s">
        <v>2549</v>
      </c>
      <c r="C825" s="465"/>
      <c r="D825" s="465" t="s">
        <v>855</v>
      </c>
      <c r="E825" s="465" t="s">
        <v>2521</v>
      </c>
      <c r="F825" s="465" t="s">
        <v>2522</v>
      </c>
      <c r="G825" s="465" t="s">
        <v>2523</v>
      </c>
      <c r="H825" s="465" t="s">
        <v>2524</v>
      </c>
      <c r="I825" s="465" t="s">
        <v>830</v>
      </c>
    </row>
    <row r="826" hidden="1" ht="15.95" customHeight="1">
      <c r="A826" s="465" t="s">
        <v>2550</v>
      </c>
      <c r="B826" s="465" t="s">
        <v>2551</v>
      </c>
      <c r="C826" s="465"/>
      <c r="D826" s="465" t="s">
        <v>825</v>
      </c>
      <c r="E826" s="465" t="s">
        <v>2552</v>
      </c>
      <c r="F826" s="465" t="s">
        <v>2553</v>
      </c>
      <c r="G826" s="465" t="s">
        <v>2523</v>
      </c>
      <c r="H826" s="465" t="s">
        <v>2524</v>
      </c>
      <c r="I826" s="465" t="s">
        <v>830</v>
      </c>
    </row>
    <row r="827" hidden="1" ht="15.95" customHeight="1">
      <c r="A827" s="465" t="s">
        <v>2554</v>
      </c>
      <c r="B827" s="465" t="s">
        <v>2555</v>
      </c>
      <c r="C827" s="465"/>
      <c r="D827" s="465" t="s">
        <v>825</v>
      </c>
      <c r="E827" s="465" t="s">
        <v>2552</v>
      </c>
      <c r="F827" s="465" t="s">
        <v>2553</v>
      </c>
      <c r="G827" s="465" t="s">
        <v>2523</v>
      </c>
      <c r="H827" s="465" t="s">
        <v>2524</v>
      </c>
      <c r="I827" s="465" t="s">
        <v>830</v>
      </c>
    </row>
    <row r="828" hidden="1" ht="15.95" customHeight="1">
      <c r="A828" s="465" t="s">
        <v>2556</v>
      </c>
      <c r="B828" s="465" t="s">
        <v>2557</v>
      </c>
      <c r="C828" s="465"/>
      <c r="D828" s="465" t="s">
        <v>825</v>
      </c>
      <c r="E828" s="465" t="s">
        <v>2552</v>
      </c>
      <c r="F828" s="465" t="s">
        <v>2553</v>
      </c>
      <c r="G828" s="465" t="s">
        <v>2523</v>
      </c>
      <c r="H828" s="465" t="s">
        <v>2524</v>
      </c>
      <c r="I828" s="465" t="s">
        <v>830</v>
      </c>
    </row>
    <row r="829" hidden="1" ht="15.95" customHeight="1">
      <c r="A829" s="465" t="s">
        <v>2558</v>
      </c>
      <c r="B829" s="465" t="s">
        <v>2559</v>
      </c>
      <c r="C829" s="465"/>
      <c r="D829" s="465" t="s">
        <v>825</v>
      </c>
      <c r="E829" s="465" t="s">
        <v>2552</v>
      </c>
      <c r="F829" s="465" t="s">
        <v>2553</v>
      </c>
      <c r="G829" s="465" t="s">
        <v>2523</v>
      </c>
      <c r="H829" s="465" t="s">
        <v>2524</v>
      </c>
      <c r="I829" s="465" t="s">
        <v>830</v>
      </c>
    </row>
    <row r="830" hidden="1" ht="15.95" customHeight="1">
      <c r="A830" s="465" t="s">
        <v>2560</v>
      </c>
      <c r="B830" s="465" t="s">
        <v>2561</v>
      </c>
      <c r="C830" s="465" t="s">
        <v>2562</v>
      </c>
      <c r="D830" s="465" t="s">
        <v>825</v>
      </c>
      <c r="E830" s="465" t="s">
        <v>2552</v>
      </c>
      <c r="F830" s="465" t="s">
        <v>2553</v>
      </c>
      <c r="G830" s="465" t="s">
        <v>2523</v>
      </c>
      <c r="H830" s="465" t="s">
        <v>2524</v>
      </c>
      <c r="I830" s="465" t="s">
        <v>830</v>
      </c>
    </row>
    <row r="831" hidden="1" ht="15.95" customHeight="1">
      <c r="A831" s="465" t="s">
        <v>2563</v>
      </c>
      <c r="B831" s="465" t="s">
        <v>2564</v>
      </c>
      <c r="C831" s="465"/>
      <c r="D831" s="465" t="s">
        <v>825</v>
      </c>
      <c r="E831" s="465" t="s">
        <v>2552</v>
      </c>
      <c r="F831" s="465" t="s">
        <v>2553</v>
      </c>
      <c r="G831" s="465" t="s">
        <v>2523</v>
      </c>
      <c r="H831" s="465" t="s">
        <v>2524</v>
      </c>
      <c r="I831" s="465" t="s">
        <v>830</v>
      </c>
    </row>
    <row r="832" hidden="1" ht="15.95" customHeight="1">
      <c r="A832" s="465" t="s">
        <v>2565</v>
      </c>
      <c r="B832" s="465" t="s">
        <v>2566</v>
      </c>
      <c r="C832" s="465"/>
      <c r="D832" s="465" t="s">
        <v>825</v>
      </c>
      <c r="E832" s="465" t="s">
        <v>2552</v>
      </c>
      <c r="F832" s="465" t="s">
        <v>2553</v>
      </c>
      <c r="G832" s="465" t="s">
        <v>2523</v>
      </c>
      <c r="H832" s="465" t="s">
        <v>2524</v>
      </c>
      <c r="I832" s="465" t="s">
        <v>830</v>
      </c>
    </row>
    <row r="833" hidden="1" ht="15.95" customHeight="1">
      <c r="A833" s="465" t="s">
        <v>2567</v>
      </c>
      <c r="B833" s="465" t="s">
        <v>2568</v>
      </c>
      <c r="C833" s="465"/>
      <c r="D833" s="465" t="s">
        <v>825</v>
      </c>
      <c r="E833" s="465" t="s">
        <v>2552</v>
      </c>
      <c r="F833" s="465" t="s">
        <v>2553</v>
      </c>
      <c r="G833" s="465" t="s">
        <v>2523</v>
      </c>
      <c r="H833" s="465" t="s">
        <v>2524</v>
      </c>
      <c r="I833" s="465" t="s">
        <v>830</v>
      </c>
    </row>
    <row r="834" hidden="1" ht="15.95" customHeight="1">
      <c r="A834" s="465" t="s">
        <v>2569</v>
      </c>
      <c r="B834" s="465" t="s">
        <v>1691</v>
      </c>
      <c r="C834" s="465" t="s">
        <v>2570</v>
      </c>
      <c r="D834" s="465" t="s">
        <v>855</v>
      </c>
      <c r="E834" s="465" t="s">
        <v>2552</v>
      </c>
      <c r="F834" s="465" t="s">
        <v>2553</v>
      </c>
      <c r="G834" s="465" t="s">
        <v>2523</v>
      </c>
      <c r="H834" s="465" t="s">
        <v>2524</v>
      </c>
      <c r="I834" s="465" t="s">
        <v>830</v>
      </c>
    </row>
    <row r="835" hidden="1" ht="15.95" customHeight="1">
      <c r="A835" s="465" t="s">
        <v>2571</v>
      </c>
      <c r="B835" s="465" t="s">
        <v>1955</v>
      </c>
      <c r="C835" s="465"/>
      <c r="D835" s="465" t="s">
        <v>855</v>
      </c>
      <c r="E835" s="465" t="s">
        <v>2552</v>
      </c>
      <c r="F835" s="465" t="s">
        <v>2553</v>
      </c>
      <c r="G835" s="465" t="s">
        <v>2523</v>
      </c>
      <c r="H835" s="465" t="s">
        <v>2524</v>
      </c>
      <c r="I835" s="465" t="s">
        <v>830</v>
      </c>
    </row>
    <row r="836" hidden="1" ht="15.95" customHeight="1">
      <c r="A836" s="465" t="s">
        <v>2572</v>
      </c>
      <c r="B836" s="465" t="s">
        <v>2573</v>
      </c>
      <c r="C836" s="465"/>
      <c r="D836" s="465" t="s">
        <v>855</v>
      </c>
      <c r="E836" s="465" t="s">
        <v>2552</v>
      </c>
      <c r="F836" s="465" t="s">
        <v>2553</v>
      </c>
      <c r="G836" s="465" t="s">
        <v>2523</v>
      </c>
      <c r="H836" s="465" t="s">
        <v>2524</v>
      </c>
      <c r="I836" s="465" t="s">
        <v>830</v>
      </c>
    </row>
    <row r="837" hidden="1" ht="15.95" customHeight="1">
      <c r="A837" s="465" t="s">
        <v>2574</v>
      </c>
      <c r="B837" s="465" t="s">
        <v>2575</v>
      </c>
      <c r="C837" s="465" t="s">
        <v>2576</v>
      </c>
      <c r="D837" s="465" t="s">
        <v>855</v>
      </c>
      <c r="E837" s="465" t="s">
        <v>2577</v>
      </c>
      <c r="F837" s="465" t="s">
        <v>2578</v>
      </c>
      <c r="G837" s="465" t="s">
        <v>2523</v>
      </c>
      <c r="H837" s="465" t="s">
        <v>2524</v>
      </c>
      <c r="I837" s="465" t="s">
        <v>830</v>
      </c>
    </row>
    <row r="838" hidden="1" ht="15.95" customHeight="1">
      <c r="A838" s="465" t="s">
        <v>2579</v>
      </c>
      <c r="B838" s="465" t="s">
        <v>2580</v>
      </c>
      <c r="C838" s="465"/>
      <c r="D838" s="465" t="s">
        <v>884</v>
      </c>
      <c r="E838" s="465" t="s">
        <v>2577</v>
      </c>
      <c r="F838" s="465" t="s">
        <v>2578</v>
      </c>
      <c r="G838" s="465" t="s">
        <v>2523</v>
      </c>
      <c r="H838" s="465" t="s">
        <v>2524</v>
      </c>
      <c r="I838" s="465" t="s">
        <v>830</v>
      </c>
    </row>
    <row r="839" hidden="1" ht="15.95" customHeight="1">
      <c r="A839" s="465" t="s">
        <v>2581</v>
      </c>
      <c r="B839" s="465" t="s">
        <v>2582</v>
      </c>
      <c r="C839" s="465"/>
      <c r="D839" s="465" t="s">
        <v>855</v>
      </c>
      <c r="E839" s="465" t="s">
        <v>2577</v>
      </c>
      <c r="F839" s="465" t="s">
        <v>2578</v>
      </c>
      <c r="G839" s="465" t="s">
        <v>2523</v>
      </c>
      <c r="H839" s="465" t="s">
        <v>2524</v>
      </c>
      <c r="I839" s="465" t="s">
        <v>830</v>
      </c>
    </row>
    <row r="840" hidden="1" ht="15.95" customHeight="1">
      <c r="A840" s="465" t="s">
        <v>2583</v>
      </c>
      <c r="B840" s="465" t="s">
        <v>2584</v>
      </c>
      <c r="C840" s="465"/>
      <c r="D840" s="465" t="s">
        <v>855</v>
      </c>
      <c r="E840" s="465" t="s">
        <v>2577</v>
      </c>
      <c r="F840" s="465" t="s">
        <v>2578</v>
      </c>
      <c r="G840" s="465" t="s">
        <v>2523</v>
      </c>
      <c r="H840" s="465" t="s">
        <v>2524</v>
      </c>
      <c r="I840" s="465" t="s">
        <v>830</v>
      </c>
    </row>
    <row r="841" hidden="1" ht="15.95" customHeight="1">
      <c r="A841" s="465" t="s">
        <v>2585</v>
      </c>
      <c r="B841" s="465" t="s">
        <v>2586</v>
      </c>
      <c r="C841" s="465"/>
      <c r="D841" s="465" t="s">
        <v>855</v>
      </c>
      <c r="E841" s="465" t="s">
        <v>2577</v>
      </c>
      <c r="F841" s="465" t="s">
        <v>2578</v>
      </c>
      <c r="G841" s="465" t="s">
        <v>2523</v>
      </c>
      <c r="H841" s="465" t="s">
        <v>2524</v>
      </c>
      <c r="I841" s="465" t="s">
        <v>830</v>
      </c>
    </row>
    <row r="842" hidden="1" ht="15.95" customHeight="1">
      <c r="A842" s="465" t="s">
        <v>2587</v>
      </c>
      <c r="B842" s="465" t="s">
        <v>2588</v>
      </c>
      <c r="C842" s="465"/>
      <c r="D842" s="465" t="s">
        <v>855</v>
      </c>
      <c r="E842" s="465" t="s">
        <v>2577</v>
      </c>
      <c r="F842" s="465" t="s">
        <v>2578</v>
      </c>
      <c r="G842" s="465" t="s">
        <v>2523</v>
      </c>
      <c r="H842" s="465" t="s">
        <v>2524</v>
      </c>
      <c r="I842" s="465" t="s">
        <v>830</v>
      </c>
    </row>
    <row r="843" hidden="1" ht="15.95" customHeight="1">
      <c r="A843" s="465" t="s">
        <v>2589</v>
      </c>
      <c r="B843" s="465" t="s">
        <v>2590</v>
      </c>
      <c r="C843" s="465"/>
      <c r="D843" s="465" t="s">
        <v>855</v>
      </c>
      <c r="E843" s="465" t="s">
        <v>2577</v>
      </c>
      <c r="F843" s="465" t="s">
        <v>2578</v>
      </c>
      <c r="G843" s="465" t="s">
        <v>2523</v>
      </c>
      <c r="H843" s="465" t="s">
        <v>2524</v>
      </c>
      <c r="I843" s="465" t="s">
        <v>830</v>
      </c>
    </row>
    <row r="844" hidden="1" ht="15.95" customHeight="1">
      <c r="A844" s="465" t="s">
        <v>2591</v>
      </c>
      <c r="B844" s="465" t="s">
        <v>2592</v>
      </c>
      <c r="C844" s="465"/>
      <c r="D844" s="465" t="s">
        <v>855</v>
      </c>
      <c r="E844" s="465" t="s">
        <v>2577</v>
      </c>
      <c r="F844" s="465" t="s">
        <v>2578</v>
      </c>
      <c r="G844" s="465" t="s">
        <v>2523</v>
      </c>
      <c r="H844" s="465" t="s">
        <v>2524</v>
      </c>
      <c r="I844" s="465" t="s">
        <v>830</v>
      </c>
    </row>
    <row r="845" hidden="1" ht="15.95" customHeight="1">
      <c r="A845" s="465" t="s">
        <v>2593</v>
      </c>
      <c r="B845" s="465" t="s">
        <v>2594</v>
      </c>
      <c r="C845" s="465"/>
      <c r="D845" s="465" t="s">
        <v>855</v>
      </c>
      <c r="E845" s="465" t="s">
        <v>2577</v>
      </c>
      <c r="F845" s="465" t="s">
        <v>2578</v>
      </c>
      <c r="G845" s="465" t="s">
        <v>2523</v>
      </c>
      <c r="H845" s="465" t="s">
        <v>2524</v>
      </c>
      <c r="I845" s="465" t="s">
        <v>830</v>
      </c>
    </row>
    <row r="846" hidden="1" ht="15.95" customHeight="1">
      <c r="A846" s="465" t="s">
        <v>2595</v>
      </c>
      <c r="B846" s="465" t="s">
        <v>2596</v>
      </c>
      <c r="C846" s="465"/>
      <c r="D846" s="465" t="s">
        <v>855</v>
      </c>
      <c r="E846" s="465" t="s">
        <v>2577</v>
      </c>
      <c r="F846" s="465" t="s">
        <v>2578</v>
      </c>
      <c r="G846" s="465" t="s">
        <v>2523</v>
      </c>
      <c r="H846" s="465" t="s">
        <v>2524</v>
      </c>
      <c r="I846" s="465" t="s">
        <v>830</v>
      </c>
    </row>
    <row r="847" hidden="1" ht="15.95" customHeight="1">
      <c r="A847" s="465" t="s">
        <v>2597</v>
      </c>
      <c r="B847" s="465" t="s">
        <v>2598</v>
      </c>
      <c r="C847" s="465"/>
      <c r="D847" s="465" t="s">
        <v>855</v>
      </c>
      <c r="E847" s="465" t="s">
        <v>2577</v>
      </c>
      <c r="F847" s="465" t="s">
        <v>2578</v>
      </c>
      <c r="G847" s="465" t="s">
        <v>2523</v>
      </c>
      <c r="H847" s="465" t="s">
        <v>2524</v>
      </c>
      <c r="I847" s="465" t="s">
        <v>830</v>
      </c>
    </row>
    <row r="848" hidden="1" ht="15.95" customHeight="1">
      <c r="A848" s="465" t="s">
        <v>2599</v>
      </c>
      <c r="B848" s="465" t="s">
        <v>2600</v>
      </c>
      <c r="C848" s="465"/>
      <c r="D848" s="465" t="s">
        <v>855</v>
      </c>
      <c r="E848" s="465" t="s">
        <v>2577</v>
      </c>
      <c r="F848" s="465" t="s">
        <v>2578</v>
      </c>
      <c r="G848" s="465" t="s">
        <v>2523</v>
      </c>
      <c r="H848" s="465" t="s">
        <v>2524</v>
      </c>
      <c r="I848" s="465" t="s">
        <v>830</v>
      </c>
    </row>
    <row r="849" hidden="1" ht="15.95" customHeight="1">
      <c r="A849" s="465" t="s">
        <v>2601</v>
      </c>
      <c r="B849" s="465" t="s">
        <v>2602</v>
      </c>
      <c r="C849" s="465"/>
      <c r="D849" s="465" t="s">
        <v>855</v>
      </c>
      <c r="E849" s="465" t="s">
        <v>2577</v>
      </c>
      <c r="F849" s="465" t="s">
        <v>2578</v>
      </c>
      <c r="G849" s="465" t="s">
        <v>2523</v>
      </c>
      <c r="H849" s="465" t="s">
        <v>2524</v>
      </c>
      <c r="I849" s="465" t="s">
        <v>830</v>
      </c>
    </row>
    <row r="850" hidden="1" ht="15.95" customHeight="1">
      <c r="A850" s="465" t="s">
        <v>2603</v>
      </c>
      <c r="B850" s="465" t="s">
        <v>2604</v>
      </c>
      <c r="C850" s="465"/>
      <c r="D850" s="465" t="s">
        <v>855</v>
      </c>
      <c r="E850" s="465" t="s">
        <v>2577</v>
      </c>
      <c r="F850" s="465" t="s">
        <v>2578</v>
      </c>
      <c r="G850" s="465" t="s">
        <v>2523</v>
      </c>
      <c r="H850" s="465" t="s">
        <v>2524</v>
      </c>
      <c r="I850" s="465" t="s">
        <v>830</v>
      </c>
    </row>
    <row r="851" hidden="1" ht="15.95" customHeight="1">
      <c r="A851" s="465" t="s">
        <v>2605</v>
      </c>
      <c r="B851" s="465" t="s">
        <v>2606</v>
      </c>
      <c r="C851" s="465"/>
      <c r="D851" s="465" t="s">
        <v>855</v>
      </c>
      <c r="E851" s="465" t="s">
        <v>2577</v>
      </c>
      <c r="F851" s="465" t="s">
        <v>2578</v>
      </c>
      <c r="G851" s="465" t="s">
        <v>2523</v>
      </c>
      <c r="H851" s="465" t="s">
        <v>2524</v>
      </c>
      <c r="I851" s="465" t="s">
        <v>830</v>
      </c>
    </row>
    <row r="852" hidden="1" ht="15.95" customHeight="1">
      <c r="A852" s="465" t="s">
        <v>2607</v>
      </c>
      <c r="B852" s="465" t="s">
        <v>2608</v>
      </c>
      <c r="C852" s="465"/>
      <c r="D852" s="465" t="s">
        <v>855</v>
      </c>
      <c r="E852" s="465" t="s">
        <v>2577</v>
      </c>
      <c r="F852" s="465" t="s">
        <v>2578</v>
      </c>
      <c r="G852" s="465" t="s">
        <v>2523</v>
      </c>
      <c r="H852" s="465" t="s">
        <v>2524</v>
      </c>
      <c r="I852" s="465" t="s">
        <v>830</v>
      </c>
    </row>
    <row r="853" hidden="1" ht="15.95" customHeight="1">
      <c r="A853" s="465" t="s">
        <v>2609</v>
      </c>
      <c r="B853" s="465" t="s">
        <v>2610</v>
      </c>
      <c r="C853" s="465"/>
      <c r="D853" s="465" t="s">
        <v>884</v>
      </c>
      <c r="E853" s="465" t="s">
        <v>2611</v>
      </c>
      <c r="F853" s="465" t="s">
        <v>2612</v>
      </c>
      <c r="G853" s="465" t="s">
        <v>2523</v>
      </c>
      <c r="H853" s="465" t="s">
        <v>2524</v>
      </c>
      <c r="I853" s="465" t="s">
        <v>830</v>
      </c>
    </row>
    <row r="854" hidden="1" ht="15.95" customHeight="1">
      <c r="A854" s="465" t="s">
        <v>2613</v>
      </c>
      <c r="B854" s="465" t="s">
        <v>933</v>
      </c>
      <c r="C854" s="465"/>
      <c r="D854" s="465" t="s">
        <v>855</v>
      </c>
      <c r="E854" s="465" t="s">
        <v>2611</v>
      </c>
      <c r="F854" s="465" t="s">
        <v>2612</v>
      </c>
      <c r="G854" s="465" t="s">
        <v>2523</v>
      </c>
      <c r="H854" s="465" t="s">
        <v>2524</v>
      </c>
      <c r="I854" s="465" t="s">
        <v>830</v>
      </c>
    </row>
    <row r="855" hidden="1" ht="15.95" customHeight="1">
      <c r="A855" s="465" t="s">
        <v>2614</v>
      </c>
      <c r="B855" s="465" t="s">
        <v>869</v>
      </c>
      <c r="C855" s="465"/>
      <c r="D855" s="465" t="s">
        <v>855</v>
      </c>
      <c r="E855" s="465" t="s">
        <v>2611</v>
      </c>
      <c r="F855" s="465" t="s">
        <v>2612</v>
      </c>
      <c r="G855" s="465" t="s">
        <v>2523</v>
      </c>
      <c r="H855" s="465" t="s">
        <v>2524</v>
      </c>
      <c r="I855" s="465" t="s">
        <v>830</v>
      </c>
    </row>
    <row r="856" hidden="1" ht="15.95" customHeight="1">
      <c r="A856" s="465" t="s">
        <v>2615</v>
      </c>
      <c r="B856" s="465" t="s">
        <v>2616</v>
      </c>
      <c r="C856" s="465"/>
      <c r="D856" s="465" t="s">
        <v>855</v>
      </c>
      <c r="E856" s="465" t="s">
        <v>2611</v>
      </c>
      <c r="F856" s="465" t="s">
        <v>2612</v>
      </c>
      <c r="G856" s="465" t="s">
        <v>2523</v>
      </c>
      <c r="H856" s="465" t="s">
        <v>2524</v>
      </c>
      <c r="I856" s="465" t="s">
        <v>830</v>
      </c>
    </row>
    <row r="857" hidden="1" ht="15.95" customHeight="1">
      <c r="A857" s="465" t="s">
        <v>2617</v>
      </c>
      <c r="B857" s="465" t="s">
        <v>2618</v>
      </c>
      <c r="C857" s="465"/>
      <c r="D857" s="465" t="s">
        <v>855</v>
      </c>
      <c r="E857" s="465" t="s">
        <v>2611</v>
      </c>
      <c r="F857" s="465" t="s">
        <v>2612</v>
      </c>
      <c r="G857" s="465" t="s">
        <v>2523</v>
      </c>
      <c r="H857" s="465" t="s">
        <v>2524</v>
      </c>
      <c r="I857" s="465" t="s">
        <v>830</v>
      </c>
    </row>
    <row r="858" hidden="1" ht="15.95" customHeight="1">
      <c r="A858" s="465" t="s">
        <v>2619</v>
      </c>
      <c r="B858" s="465" t="s">
        <v>1437</v>
      </c>
      <c r="C858" s="465"/>
      <c r="D858" s="465" t="s">
        <v>855</v>
      </c>
      <c r="E858" s="465" t="s">
        <v>2611</v>
      </c>
      <c r="F858" s="465" t="s">
        <v>2612</v>
      </c>
      <c r="G858" s="465" t="s">
        <v>2523</v>
      </c>
      <c r="H858" s="465" t="s">
        <v>2524</v>
      </c>
      <c r="I858" s="465" t="s">
        <v>830</v>
      </c>
    </row>
    <row r="859" hidden="1" ht="15.95" customHeight="1">
      <c r="A859" s="465" t="s">
        <v>2620</v>
      </c>
      <c r="B859" s="465" t="s">
        <v>2621</v>
      </c>
      <c r="C859" s="465"/>
      <c r="D859" s="465" t="s">
        <v>855</v>
      </c>
      <c r="E859" s="465" t="s">
        <v>2611</v>
      </c>
      <c r="F859" s="465" t="s">
        <v>2612</v>
      </c>
      <c r="G859" s="465" t="s">
        <v>2523</v>
      </c>
      <c r="H859" s="465" t="s">
        <v>2524</v>
      </c>
      <c r="I859" s="465" t="s">
        <v>830</v>
      </c>
    </row>
    <row r="860" hidden="1" ht="15.95" customHeight="1">
      <c r="A860" s="465" t="s">
        <v>2622</v>
      </c>
      <c r="B860" s="465" t="s">
        <v>2623</v>
      </c>
      <c r="C860" s="465"/>
      <c r="D860" s="465" t="s">
        <v>855</v>
      </c>
      <c r="E860" s="465" t="s">
        <v>2611</v>
      </c>
      <c r="F860" s="465" t="s">
        <v>2612</v>
      </c>
      <c r="G860" s="465" t="s">
        <v>2523</v>
      </c>
      <c r="H860" s="465" t="s">
        <v>2524</v>
      </c>
      <c r="I860" s="465" t="s">
        <v>830</v>
      </c>
    </row>
    <row r="861" hidden="1" ht="15.95" customHeight="1">
      <c r="A861" s="465" t="s">
        <v>2624</v>
      </c>
      <c r="B861" s="465" t="s">
        <v>2625</v>
      </c>
      <c r="C861" s="465"/>
      <c r="D861" s="465" t="s">
        <v>855</v>
      </c>
      <c r="E861" s="465" t="s">
        <v>2611</v>
      </c>
      <c r="F861" s="465" t="s">
        <v>2612</v>
      </c>
      <c r="G861" s="465" t="s">
        <v>2523</v>
      </c>
      <c r="H861" s="465" t="s">
        <v>2524</v>
      </c>
      <c r="I861" s="465" t="s">
        <v>830</v>
      </c>
    </row>
    <row r="862" hidden="1" ht="15.95" customHeight="1">
      <c r="A862" s="465" t="s">
        <v>2626</v>
      </c>
      <c r="B862" s="465" t="s">
        <v>1831</v>
      </c>
      <c r="C862" s="465"/>
      <c r="D862" s="465" t="s">
        <v>855</v>
      </c>
      <c r="E862" s="465" t="s">
        <v>2611</v>
      </c>
      <c r="F862" s="465" t="s">
        <v>2612</v>
      </c>
      <c r="G862" s="465" t="s">
        <v>2523</v>
      </c>
      <c r="H862" s="465" t="s">
        <v>2524</v>
      </c>
      <c r="I862" s="465" t="s">
        <v>830</v>
      </c>
    </row>
    <row r="863" hidden="1" ht="15.95" customHeight="1">
      <c r="A863" s="465" t="s">
        <v>2627</v>
      </c>
      <c r="B863" s="465" t="s">
        <v>1900</v>
      </c>
      <c r="C863" s="465"/>
      <c r="D863" s="465" t="s">
        <v>855</v>
      </c>
      <c r="E863" s="465" t="s">
        <v>2611</v>
      </c>
      <c r="F863" s="465" t="s">
        <v>2612</v>
      </c>
      <c r="G863" s="465" t="s">
        <v>2523</v>
      </c>
      <c r="H863" s="465" t="s">
        <v>2524</v>
      </c>
      <c r="I863" s="465" t="s">
        <v>830</v>
      </c>
    </row>
    <row r="864" hidden="1" ht="15.95" customHeight="1">
      <c r="A864" s="465" t="s">
        <v>2628</v>
      </c>
      <c r="B864" s="465" t="s">
        <v>2629</v>
      </c>
      <c r="C864" s="465"/>
      <c r="D864" s="465" t="s">
        <v>855</v>
      </c>
      <c r="E864" s="465" t="s">
        <v>2611</v>
      </c>
      <c r="F864" s="465" t="s">
        <v>2612</v>
      </c>
      <c r="G864" s="465" t="s">
        <v>2523</v>
      </c>
      <c r="H864" s="465" t="s">
        <v>2524</v>
      </c>
      <c r="I864" s="465" t="s">
        <v>830</v>
      </c>
    </row>
    <row r="865" hidden="1" ht="15.95" customHeight="1">
      <c r="A865" s="465" t="s">
        <v>2630</v>
      </c>
      <c r="B865" s="465" t="s">
        <v>2631</v>
      </c>
      <c r="C865" s="465"/>
      <c r="D865" s="465" t="s">
        <v>855</v>
      </c>
      <c r="E865" s="465" t="s">
        <v>2611</v>
      </c>
      <c r="F865" s="465" t="s">
        <v>2612</v>
      </c>
      <c r="G865" s="465" t="s">
        <v>2523</v>
      </c>
      <c r="H865" s="465" t="s">
        <v>2524</v>
      </c>
      <c r="I865" s="465" t="s">
        <v>830</v>
      </c>
    </row>
    <row r="866" hidden="1" ht="15.95" customHeight="1">
      <c r="A866" s="465" t="s">
        <v>2632</v>
      </c>
      <c r="B866" s="465" t="s">
        <v>2633</v>
      </c>
      <c r="C866" s="465"/>
      <c r="D866" s="465" t="s">
        <v>884</v>
      </c>
      <c r="E866" s="465" t="s">
        <v>2634</v>
      </c>
      <c r="F866" s="465" t="s">
        <v>2635</v>
      </c>
      <c r="G866" s="465" t="s">
        <v>2523</v>
      </c>
      <c r="H866" s="465" t="s">
        <v>2524</v>
      </c>
      <c r="I866" s="465" t="s">
        <v>830</v>
      </c>
    </row>
    <row r="867" hidden="1" ht="15.95" customHeight="1">
      <c r="A867" s="465" t="s">
        <v>2636</v>
      </c>
      <c r="B867" s="465" t="s">
        <v>2637</v>
      </c>
      <c r="C867" s="465"/>
      <c r="D867" s="465" t="s">
        <v>884</v>
      </c>
      <c r="E867" s="465" t="s">
        <v>2634</v>
      </c>
      <c r="F867" s="465" t="s">
        <v>2635</v>
      </c>
      <c r="G867" s="465" t="s">
        <v>2523</v>
      </c>
      <c r="H867" s="465" t="s">
        <v>2524</v>
      </c>
      <c r="I867" s="465" t="s">
        <v>830</v>
      </c>
    </row>
    <row r="868" hidden="1" ht="15.95" customHeight="1">
      <c r="A868" s="465" t="s">
        <v>2638</v>
      </c>
      <c r="B868" s="465" t="s">
        <v>2639</v>
      </c>
      <c r="C868" s="465"/>
      <c r="D868" s="465" t="s">
        <v>855</v>
      </c>
      <c r="E868" s="465" t="s">
        <v>2634</v>
      </c>
      <c r="F868" s="465" t="s">
        <v>2635</v>
      </c>
      <c r="G868" s="465" t="s">
        <v>2523</v>
      </c>
      <c r="H868" s="465" t="s">
        <v>2524</v>
      </c>
      <c r="I868" s="465" t="s">
        <v>830</v>
      </c>
    </row>
    <row r="869" hidden="1" ht="15.95" customHeight="1">
      <c r="A869" s="465" t="s">
        <v>2640</v>
      </c>
      <c r="B869" s="465" t="s">
        <v>2239</v>
      </c>
      <c r="C869" s="465"/>
      <c r="D869" s="465" t="s">
        <v>855</v>
      </c>
      <c r="E869" s="465" t="s">
        <v>2634</v>
      </c>
      <c r="F869" s="465" t="s">
        <v>2635</v>
      </c>
      <c r="G869" s="465" t="s">
        <v>2523</v>
      </c>
      <c r="H869" s="465" t="s">
        <v>2524</v>
      </c>
      <c r="I869" s="465" t="s">
        <v>830</v>
      </c>
    </row>
    <row r="870" hidden="1" ht="15.95" customHeight="1">
      <c r="A870" s="465" t="s">
        <v>2641</v>
      </c>
      <c r="B870" s="465" t="s">
        <v>2642</v>
      </c>
      <c r="C870" s="465"/>
      <c r="D870" s="465" t="s">
        <v>855</v>
      </c>
      <c r="E870" s="465" t="s">
        <v>2634</v>
      </c>
      <c r="F870" s="465" t="s">
        <v>2635</v>
      </c>
      <c r="G870" s="465" t="s">
        <v>2523</v>
      </c>
      <c r="H870" s="465" t="s">
        <v>2524</v>
      </c>
      <c r="I870" s="465" t="s">
        <v>830</v>
      </c>
    </row>
    <row r="871" hidden="1" ht="15.95" customHeight="1">
      <c r="A871" s="465" t="s">
        <v>2643</v>
      </c>
      <c r="B871" s="465" t="s">
        <v>2644</v>
      </c>
      <c r="C871" s="465"/>
      <c r="D871" s="465" t="s">
        <v>855</v>
      </c>
      <c r="E871" s="465" t="s">
        <v>2634</v>
      </c>
      <c r="F871" s="465" t="s">
        <v>2635</v>
      </c>
      <c r="G871" s="465" t="s">
        <v>2523</v>
      </c>
      <c r="H871" s="465" t="s">
        <v>2524</v>
      </c>
      <c r="I871" s="465" t="s">
        <v>830</v>
      </c>
    </row>
    <row r="872" hidden="1" ht="15.95" customHeight="1">
      <c r="A872" s="465" t="s">
        <v>2645</v>
      </c>
      <c r="B872" s="465" t="s">
        <v>2646</v>
      </c>
      <c r="C872" s="465"/>
      <c r="D872" s="465" t="s">
        <v>855</v>
      </c>
      <c r="E872" s="465" t="s">
        <v>2634</v>
      </c>
      <c r="F872" s="465" t="s">
        <v>2635</v>
      </c>
      <c r="G872" s="465" t="s">
        <v>2523</v>
      </c>
      <c r="H872" s="465" t="s">
        <v>2524</v>
      </c>
      <c r="I872" s="465" t="s">
        <v>830</v>
      </c>
    </row>
    <row r="873" hidden="1" ht="15.95" customHeight="1">
      <c r="A873" s="465" t="s">
        <v>2647</v>
      </c>
      <c r="B873" s="465" t="s">
        <v>2648</v>
      </c>
      <c r="C873" s="465"/>
      <c r="D873" s="465" t="s">
        <v>884</v>
      </c>
      <c r="E873" s="465" t="s">
        <v>2649</v>
      </c>
      <c r="F873" s="465" t="s">
        <v>2650</v>
      </c>
      <c r="G873" s="465" t="s">
        <v>2523</v>
      </c>
      <c r="H873" s="465" t="s">
        <v>2524</v>
      </c>
      <c r="I873" s="465" t="s">
        <v>830</v>
      </c>
    </row>
    <row r="874" hidden="1" ht="15.95" customHeight="1">
      <c r="A874" s="465" t="s">
        <v>2651</v>
      </c>
      <c r="B874" s="465" t="s">
        <v>2652</v>
      </c>
      <c r="C874" s="465"/>
      <c r="D874" s="465" t="s">
        <v>855</v>
      </c>
      <c r="E874" s="465" t="s">
        <v>2649</v>
      </c>
      <c r="F874" s="465" t="s">
        <v>2650</v>
      </c>
      <c r="G874" s="465" t="s">
        <v>2523</v>
      </c>
      <c r="H874" s="465" t="s">
        <v>2524</v>
      </c>
      <c r="I874" s="465" t="s">
        <v>830</v>
      </c>
    </row>
    <row r="875" hidden="1" ht="15.95" customHeight="1">
      <c r="A875" s="465" t="s">
        <v>2653</v>
      </c>
      <c r="B875" s="465" t="s">
        <v>2654</v>
      </c>
      <c r="C875" s="465"/>
      <c r="D875" s="465" t="s">
        <v>855</v>
      </c>
      <c r="E875" s="465" t="s">
        <v>2649</v>
      </c>
      <c r="F875" s="465" t="s">
        <v>2650</v>
      </c>
      <c r="G875" s="465" t="s">
        <v>2523</v>
      </c>
      <c r="H875" s="465" t="s">
        <v>2524</v>
      </c>
      <c r="I875" s="465" t="s">
        <v>830</v>
      </c>
    </row>
    <row r="876" hidden="1" ht="15.95" customHeight="1">
      <c r="A876" s="465" t="s">
        <v>2655</v>
      </c>
      <c r="B876" s="465" t="s">
        <v>2656</v>
      </c>
      <c r="C876" s="465"/>
      <c r="D876" s="465" t="s">
        <v>855</v>
      </c>
      <c r="E876" s="465" t="s">
        <v>2649</v>
      </c>
      <c r="F876" s="465" t="s">
        <v>2650</v>
      </c>
      <c r="G876" s="465" t="s">
        <v>2523</v>
      </c>
      <c r="H876" s="465" t="s">
        <v>2524</v>
      </c>
      <c r="I876" s="465" t="s">
        <v>830</v>
      </c>
    </row>
    <row r="877" hidden="1" ht="15.95" customHeight="1">
      <c r="A877" s="465" t="s">
        <v>2657</v>
      </c>
      <c r="B877" s="465" t="s">
        <v>2658</v>
      </c>
      <c r="C877" s="465"/>
      <c r="D877" s="465" t="s">
        <v>884</v>
      </c>
      <c r="E877" s="465" t="s">
        <v>2649</v>
      </c>
      <c r="F877" s="465" t="s">
        <v>2650</v>
      </c>
      <c r="G877" s="465" t="s">
        <v>2523</v>
      </c>
      <c r="H877" s="465" t="s">
        <v>2524</v>
      </c>
      <c r="I877" s="465" t="s">
        <v>830</v>
      </c>
    </row>
    <row r="878" hidden="1" ht="15.95" customHeight="1">
      <c r="A878" s="465" t="s">
        <v>2659</v>
      </c>
      <c r="B878" s="465" t="s">
        <v>1795</v>
      </c>
      <c r="C878" s="465"/>
      <c r="D878" s="465" t="s">
        <v>855</v>
      </c>
      <c r="E878" s="465" t="s">
        <v>2649</v>
      </c>
      <c r="F878" s="465" t="s">
        <v>2650</v>
      </c>
      <c r="G878" s="465" t="s">
        <v>2523</v>
      </c>
      <c r="H878" s="465" t="s">
        <v>2524</v>
      </c>
      <c r="I878" s="465" t="s">
        <v>830</v>
      </c>
    </row>
    <row r="879" hidden="1" ht="15.95" customHeight="1">
      <c r="A879" s="465" t="s">
        <v>2660</v>
      </c>
      <c r="B879" s="465" t="s">
        <v>2661</v>
      </c>
      <c r="C879" s="465"/>
      <c r="D879" s="465" t="s">
        <v>855</v>
      </c>
      <c r="E879" s="465" t="s">
        <v>2649</v>
      </c>
      <c r="F879" s="465" t="s">
        <v>2650</v>
      </c>
      <c r="G879" s="465" t="s">
        <v>2523</v>
      </c>
      <c r="H879" s="465" t="s">
        <v>2524</v>
      </c>
      <c r="I879" s="465" t="s">
        <v>830</v>
      </c>
    </row>
    <row r="880" hidden="1" ht="15.95" customHeight="1">
      <c r="A880" s="465" t="s">
        <v>2662</v>
      </c>
      <c r="B880" s="465" t="s">
        <v>1491</v>
      </c>
      <c r="C880" s="465"/>
      <c r="D880" s="465" t="s">
        <v>855</v>
      </c>
      <c r="E880" s="465" t="s">
        <v>2649</v>
      </c>
      <c r="F880" s="465" t="s">
        <v>2650</v>
      </c>
      <c r="G880" s="465" t="s">
        <v>2523</v>
      </c>
      <c r="H880" s="465" t="s">
        <v>2524</v>
      </c>
      <c r="I880" s="465" t="s">
        <v>830</v>
      </c>
    </row>
    <row r="881" hidden="1" ht="15.95" customHeight="1">
      <c r="A881" s="465" t="s">
        <v>2663</v>
      </c>
      <c r="B881" s="465" t="s">
        <v>2664</v>
      </c>
      <c r="C881" s="465"/>
      <c r="D881" s="465" t="s">
        <v>884</v>
      </c>
      <c r="E881" s="465" t="s">
        <v>2665</v>
      </c>
      <c r="F881" s="465" t="s">
        <v>2666</v>
      </c>
      <c r="G881" s="465" t="s">
        <v>2523</v>
      </c>
      <c r="H881" s="465" t="s">
        <v>2524</v>
      </c>
      <c r="I881" s="465" t="s">
        <v>830</v>
      </c>
    </row>
    <row r="882" hidden="1" ht="15.95" customHeight="1">
      <c r="A882" s="465" t="s">
        <v>2667</v>
      </c>
      <c r="B882" s="465" t="s">
        <v>1722</v>
      </c>
      <c r="C882" s="465"/>
      <c r="D882" s="465" t="s">
        <v>855</v>
      </c>
      <c r="E882" s="465" t="s">
        <v>2665</v>
      </c>
      <c r="F882" s="465" t="s">
        <v>2666</v>
      </c>
      <c r="G882" s="465" t="s">
        <v>2523</v>
      </c>
      <c r="H882" s="465" t="s">
        <v>2524</v>
      </c>
      <c r="I882" s="465" t="s">
        <v>830</v>
      </c>
    </row>
    <row r="883" hidden="1" ht="15.95" customHeight="1">
      <c r="A883" s="465" t="s">
        <v>2668</v>
      </c>
      <c r="B883" s="465" t="s">
        <v>910</v>
      </c>
      <c r="C883" s="465"/>
      <c r="D883" s="465" t="s">
        <v>855</v>
      </c>
      <c r="E883" s="465" t="s">
        <v>2665</v>
      </c>
      <c r="F883" s="465" t="s">
        <v>2666</v>
      </c>
      <c r="G883" s="465" t="s">
        <v>2523</v>
      </c>
      <c r="H883" s="465" t="s">
        <v>2524</v>
      </c>
      <c r="I883" s="465" t="s">
        <v>830</v>
      </c>
    </row>
    <row r="884" hidden="1" ht="15.95" customHeight="1">
      <c r="A884" s="465" t="s">
        <v>2669</v>
      </c>
      <c r="B884" s="465" t="s">
        <v>867</v>
      </c>
      <c r="C884" s="465"/>
      <c r="D884" s="465" t="s">
        <v>855</v>
      </c>
      <c r="E884" s="465" t="s">
        <v>2665</v>
      </c>
      <c r="F884" s="465" t="s">
        <v>2666</v>
      </c>
      <c r="G884" s="465" t="s">
        <v>2523</v>
      </c>
      <c r="H884" s="465" t="s">
        <v>2524</v>
      </c>
      <c r="I884" s="465" t="s">
        <v>830</v>
      </c>
    </row>
    <row r="885" hidden="1" ht="15.95" customHeight="1">
      <c r="A885" s="465" t="s">
        <v>2670</v>
      </c>
      <c r="B885" s="465" t="s">
        <v>1035</v>
      </c>
      <c r="C885" s="465"/>
      <c r="D885" s="465" t="s">
        <v>855</v>
      </c>
      <c r="E885" s="465" t="s">
        <v>2665</v>
      </c>
      <c r="F885" s="465" t="s">
        <v>2666</v>
      </c>
      <c r="G885" s="465" t="s">
        <v>2523</v>
      </c>
      <c r="H885" s="465" t="s">
        <v>2524</v>
      </c>
      <c r="I885" s="465" t="s">
        <v>830</v>
      </c>
    </row>
    <row r="886" hidden="1" ht="15.95" customHeight="1">
      <c r="A886" s="465" t="s">
        <v>2671</v>
      </c>
      <c r="B886" s="465" t="s">
        <v>2672</v>
      </c>
      <c r="C886" s="465"/>
      <c r="D886" s="465" t="s">
        <v>855</v>
      </c>
      <c r="E886" s="465" t="s">
        <v>2665</v>
      </c>
      <c r="F886" s="465" t="s">
        <v>2666</v>
      </c>
      <c r="G886" s="465" t="s">
        <v>2523</v>
      </c>
      <c r="H886" s="465" t="s">
        <v>2524</v>
      </c>
      <c r="I886" s="465" t="s">
        <v>830</v>
      </c>
    </row>
    <row r="887" hidden="1" ht="15.95" customHeight="1">
      <c r="A887" s="465" t="s">
        <v>2673</v>
      </c>
      <c r="B887" s="465" t="s">
        <v>2674</v>
      </c>
      <c r="C887" s="465"/>
      <c r="D887" s="465" t="s">
        <v>855</v>
      </c>
      <c r="E887" s="465" t="s">
        <v>2665</v>
      </c>
      <c r="F887" s="465" t="s">
        <v>2666</v>
      </c>
      <c r="G887" s="465" t="s">
        <v>2523</v>
      </c>
      <c r="H887" s="465" t="s">
        <v>2524</v>
      </c>
      <c r="I887" s="465" t="s">
        <v>830</v>
      </c>
    </row>
    <row r="888" hidden="1" ht="15.95" customHeight="1">
      <c r="A888" s="465" t="s">
        <v>2675</v>
      </c>
      <c r="B888" s="465" t="s">
        <v>2676</v>
      </c>
      <c r="C888" s="465"/>
      <c r="D888" s="465" t="s">
        <v>855</v>
      </c>
      <c r="E888" s="465" t="s">
        <v>2665</v>
      </c>
      <c r="F888" s="465" t="s">
        <v>2666</v>
      </c>
      <c r="G888" s="465" t="s">
        <v>2523</v>
      </c>
      <c r="H888" s="465" t="s">
        <v>2524</v>
      </c>
      <c r="I888" s="465" t="s">
        <v>830</v>
      </c>
    </row>
    <row r="889" hidden="1" ht="15.95" customHeight="1">
      <c r="A889" s="465" t="s">
        <v>2677</v>
      </c>
      <c r="B889" s="465" t="s">
        <v>2678</v>
      </c>
      <c r="C889" s="465"/>
      <c r="D889" s="465" t="s">
        <v>855</v>
      </c>
      <c r="E889" s="465" t="s">
        <v>2665</v>
      </c>
      <c r="F889" s="465" t="s">
        <v>2666</v>
      </c>
      <c r="G889" s="465" t="s">
        <v>2523</v>
      </c>
      <c r="H889" s="465" t="s">
        <v>2524</v>
      </c>
      <c r="I889" s="465" t="s">
        <v>830</v>
      </c>
    </row>
    <row r="890" hidden="1" ht="15.95" customHeight="1">
      <c r="A890" s="465" t="s">
        <v>2679</v>
      </c>
      <c r="B890" s="465" t="s">
        <v>2680</v>
      </c>
      <c r="C890" s="465"/>
      <c r="D890" s="465" t="s">
        <v>855</v>
      </c>
      <c r="E890" s="465" t="s">
        <v>2665</v>
      </c>
      <c r="F890" s="465" t="s">
        <v>2666</v>
      </c>
      <c r="G890" s="465" t="s">
        <v>2523</v>
      </c>
      <c r="H890" s="465" t="s">
        <v>2524</v>
      </c>
      <c r="I890" s="465" t="s">
        <v>830</v>
      </c>
    </row>
    <row r="891" hidden="1" ht="15.95" customHeight="1">
      <c r="A891" s="465" t="s">
        <v>2681</v>
      </c>
      <c r="B891" s="465" t="s">
        <v>2074</v>
      </c>
      <c r="C891" s="465"/>
      <c r="D891" s="465" t="s">
        <v>825</v>
      </c>
      <c r="E891" s="465" t="s">
        <v>2682</v>
      </c>
      <c r="F891" s="465" t="s">
        <v>2683</v>
      </c>
      <c r="G891" s="465" t="s">
        <v>2684</v>
      </c>
      <c r="H891" s="465" t="s">
        <v>183</v>
      </c>
      <c r="I891" s="465" t="s">
        <v>830</v>
      </c>
    </row>
    <row r="892" hidden="1" ht="15.95" customHeight="1">
      <c r="A892" s="465" t="s">
        <v>2685</v>
      </c>
      <c r="B892" s="465" t="s">
        <v>2686</v>
      </c>
      <c r="C892" s="465"/>
      <c r="D892" s="465" t="s">
        <v>825</v>
      </c>
      <c r="E892" s="465" t="s">
        <v>2682</v>
      </c>
      <c r="F892" s="465" t="s">
        <v>2683</v>
      </c>
      <c r="G892" s="465" t="s">
        <v>2684</v>
      </c>
      <c r="H892" s="465" t="s">
        <v>183</v>
      </c>
      <c r="I892" s="465" t="s">
        <v>830</v>
      </c>
    </row>
    <row r="893" hidden="1" ht="15.95" customHeight="1">
      <c r="A893" s="465" t="s">
        <v>2687</v>
      </c>
      <c r="B893" s="465" t="s">
        <v>2688</v>
      </c>
      <c r="C893" s="465"/>
      <c r="D893" s="465" t="s">
        <v>825</v>
      </c>
      <c r="E893" s="465" t="s">
        <v>2682</v>
      </c>
      <c r="F893" s="465" t="s">
        <v>2683</v>
      </c>
      <c r="G893" s="465" t="s">
        <v>2684</v>
      </c>
      <c r="H893" s="465" t="s">
        <v>183</v>
      </c>
      <c r="I893" s="465" t="s">
        <v>830</v>
      </c>
    </row>
    <row r="894" hidden="1" ht="15.95" customHeight="1">
      <c r="A894" s="465" t="s">
        <v>2689</v>
      </c>
      <c r="B894" s="465" t="s">
        <v>2690</v>
      </c>
      <c r="C894" s="465"/>
      <c r="D894" s="465" t="s">
        <v>825</v>
      </c>
      <c r="E894" s="465" t="s">
        <v>2682</v>
      </c>
      <c r="F894" s="465" t="s">
        <v>2683</v>
      </c>
      <c r="G894" s="465" t="s">
        <v>2684</v>
      </c>
      <c r="H894" s="465" t="s">
        <v>183</v>
      </c>
      <c r="I894" s="465" t="s">
        <v>830</v>
      </c>
    </row>
    <row r="895" hidden="1" ht="15.95" customHeight="1">
      <c r="A895" s="465" t="s">
        <v>2691</v>
      </c>
      <c r="B895" s="465" t="s">
        <v>2692</v>
      </c>
      <c r="C895" s="465"/>
      <c r="D895" s="465" t="s">
        <v>825</v>
      </c>
      <c r="E895" s="465" t="s">
        <v>2682</v>
      </c>
      <c r="F895" s="465" t="s">
        <v>2683</v>
      </c>
      <c r="G895" s="465" t="s">
        <v>2684</v>
      </c>
      <c r="H895" s="465" t="s">
        <v>183</v>
      </c>
      <c r="I895" s="465" t="s">
        <v>830</v>
      </c>
    </row>
    <row r="896" hidden="1" ht="15.95" customHeight="1">
      <c r="A896" s="465" t="s">
        <v>2693</v>
      </c>
      <c r="B896" s="465" t="s">
        <v>2694</v>
      </c>
      <c r="C896" s="465"/>
      <c r="D896" s="465" t="s">
        <v>825</v>
      </c>
      <c r="E896" s="465" t="s">
        <v>2682</v>
      </c>
      <c r="F896" s="465" t="s">
        <v>2683</v>
      </c>
      <c r="G896" s="465" t="s">
        <v>2684</v>
      </c>
      <c r="H896" s="465" t="s">
        <v>183</v>
      </c>
      <c r="I896" s="465" t="s">
        <v>830</v>
      </c>
    </row>
    <row r="897" hidden="1" ht="15.95" customHeight="1">
      <c r="A897" s="465" t="s">
        <v>2695</v>
      </c>
      <c r="B897" s="465" t="s">
        <v>2696</v>
      </c>
      <c r="C897" s="465"/>
      <c r="D897" s="465" t="s">
        <v>825</v>
      </c>
      <c r="E897" s="465" t="s">
        <v>2682</v>
      </c>
      <c r="F897" s="465" t="s">
        <v>2683</v>
      </c>
      <c r="G897" s="465" t="s">
        <v>2684</v>
      </c>
      <c r="H897" s="465" t="s">
        <v>183</v>
      </c>
      <c r="I897" s="465" t="s">
        <v>830</v>
      </c>
    </row>
    <row r="898" hidden="1" ht="15.95" customHeight="1">
      <c r="A898" s="465" t="s">
        <v>2697</v>
      </c>
      <c r="B898" s="465" t="s">
        <v>2698</v>
      </c>
      <c r="C898" s="465"/>
      <c r="D898" s="465" t="s">
        <v>825</v>
      </c>
      <c r="E898" s="465" t="s">
        <v>2682</v>
      </c>
      <c r="F898" s="465" t="s">
        <v>2683</v>
      </c>
      <c r="G898" s="465" t="s">
        <v>2684</v>
      </c>
      <c r="H898" s="465" t="s">
        <v>183</v>
      </c>
      <c r="I898" s="465" t="s">
        <v>830</v>
      </c>
    </row>
    <row r="899" hidden="1" ht="15.95" customHeight="1">
      <c r="A899" s="465" t="s">
        <v>2699</v>
      </c>
      <c r="B899" s="465" t="s">
        <v>2700</v>
      </c>
      <c r="C899" s="465"/>
      <c r="D899" s="465" t="s">
        <v>825</v>
      </c>
      <c r="E899" s="465" t="s">
        <v>2682</v>
      </c>
      <c r="F899" s="465" t="s">
        <v>2683</v>
      </c>
      <c r="G899" s="465" t="s">
        <v>2684</v>
      </c>
      <c r="H899" s="465" t="s">
        <v>183</v>
      </c>
      <c r="I899" s="465" t="s">
        <v>830</v>
      </c>
    </row>
    <row r="900" hidden="1" ht="15.95" customHeight="1">
      <c r="A900" s="465" t="s">
        <v>2701</v>
      </c>
      <c r="B900" s="465" t="s">
        <v>2702</v>
      </c>
      <c r="C900" s="465"/>
      <c r="D900" s="465" t="s">
        <v>825</v>
      </c>
      <c r="E900" s="465" t="s">
        <v>2682</v>
      </c>
      <c r="F900" s="465" t="s">
        <v>2683</v>
      </c>
      <c r="G900" s="465" t="s">
        <v>2684</v>
      </c>
      <c r="H900" s="465" t="s">
        <v>183</v>
      </c>
      <c r="I900" s="465" t="s">
        <v>830</v>
      </c>
    </row>
    <row r="901" hidden="1" ht="15.95" customHeight="1">
      <c r="A901" s="465" t="s">
        <v>2703</v>
      </c>
      <c r="B901" s="465" t="s">
        <v>2704</v>
      </c>
      <c r="C901" s="465"/>
      <c r="D901" s="465" t="s">
        <v>825</v>
      </c>
      <c r="E901" s="465" t="s">
        <v>2705</v>
      </c>
      <c r="F901" s="465" t="s">
        <v>2706</v>
      </c>
      <c r="G901" s="465" t="s">
        <v>2684</v>
      </c>
      <c r="H901" s="465" t="s">
        <v>183</v>
      </c>
      <c r="I901" s="465" t="s">
        <v>830</v>
      </c>
    </row>
    <row r="902" hidden="1" ht="15.95" customHeight="1">
      <c r="A902" s="465" t="s">
        <v>2707</v>
      </c>
      <c r="B902" s="465" t="s">
        <v>2708</v>
      </c>
      <c r="C902" s="465"/>
      <c r="D902" s="465" t="s">
        <v>825</v>
      </c>
      <c r="E902" s="465" t="s">
        <v>2705</v>
      </c>
      <c r="F902" s="465" t="s">
        <v>2706</v>
      </c>
      <c r="G902" s="465" t="s">
        <v>2684</v>
      </c>
      <c r="H902" s="465" t="s">
        <v>183</v>
      </c>
      <c r="I902" s="465" t="s">
        <v>830</v>
      </c>
    </row>
    <row r="903" hidden="1" ht="15.95" customHeight="1">
      <c r="A903" s="465" t="s">
        <v>2709</v>
      </c>
      <c r="B903" s="465" t="s">
        <v>1990</v>
      </c>
      <c r="C903" s="465"/>
      <c r="D903" s="465" t="s">
        <v>825</v>
      </c>
      <c r="E903" s="465" t="s">
        <v>2705</v>
      </c>
      <c r="F903" s="465" t="s">
        <v>2706</v>
      </c>
      <c r="G903" s="465" t="s">
        <v>2684</v>
      </c>
      <c r="H903" s="465" t="s">
        <v>183</v>
      </c>
      <c r="I903" s="465" t="s">
        <v>830</v>
      </c>
    </row>
    <row r="904" hidden="1" ht="15.95" customHeight="1">
      <c r="A904" s="465" t="s">
        <v>2710</v>
      </c>
      <c r="B904" s="465" t="s">
        <v>2711</v>
      </c>
      <c r="C904" s="465"/>
      <c r="D904" s="465" t="s">
        <v>825</v>
      </c>
      <c r="E904" s="465" t="s">
        <v>2705</v>
      </c>
      <c r="F904" s="465" t="s">
        <v>2706</v>
      </c>
      <c r="G904" s="465" t="s">
        <v>2684</v>
      </c>
      <c r="H904" s="465" t="s">
        <v>183</v>
      </c>
      <c r="I904" s="465" t="s">
        <v>830</v>
      </c>
    </row>
    <row r="905" hidden="1" ht="15.95" customHeight="1">
      <c r="A905" s="465" t="s">
        <v>2712</v>
      </c>
      <c r="B905" s="465" t="s">
        <v>2713</v>
      </c>
      <c r="C905" s="465"/>
      <c r="D905" s="465" t="s">
        <v>825</v>
      </c>
      <c r="E905" s="465" t="s">
        <v>2705</v>
      </c>
      <c r="F905" s="465" t="s">
        <v>2706</v>
      </c>
      <c r="G905" s="465" t="s">
        <v>2684</v>
      </c>
      <c r="H905" s="465" t="s">
        <v>183</v>
      </c>
      <c r="I905" s="465" t="s">
        <v>830</v>
      </c>
    </row>
    <row r="906" hidden="1" ht="15.95" customHeight="1">
      <c r="A906" s="465" t="s">
        <v>2714</v>
      </c>
      <c r="B906" s="465" t="s">
        <v>2715</v>
      </c>
      <c r="C906" s="465"/>
      <c r="D906" s="465" t="s">
        <v>825</v>
      </c>
      <c r="E906" s="465" t="s">
        <v>2705</v>
      </c>
      <c r="F906" s="465" t="s">
        <v>2706</v>
      </c>
      <c r="G906" s="465" t="s">
        <v>2684</v>
      </c>
      <c r="H906" s="465" t="s">
        <v>183</v>
      </c>
      <c r="I906" s="465" t="s">
        <v>830</v>
      </c>
    </row>
    <row r="907" hidden="1" ht="15.95" customHeight="1">
      <c r="A907" s="465" t="s">
        <v>2716</v>
      </c>
      <c r="B907" s="465" t="s">
        <v>2717</v>
      </c>
      <c r="C907" s="465"/>
      <c r="D907" s="465" t="s">
        <v>825</v>
      </c>
      <c r="E907" s="465" t="s">
        <v>2705</v>
      </c>
      <c r="F907" s="465" t="s">
        <v>2706</v>
      </c>
      <c r="G907" s="465" t="s">
        <v>2684</v>
      </c>
      <c r="H907" s="465" t="s">
        <v>183</v>
      </c>
      <c r="I907" s="465" t="s">
        <v>830</v>
      </c>
    </row>
    <row r="908" hidden="1" ht="15.95" customHeight="1">
      <c r="A908" s="465" t="s">
        <v>2718</v>
      </c>
      <c r="B908" s="465" t="s">
        <v>2719</v>
      </c>
      <c r="C908" s="465"/>
      <c r="D908" s="465" t="s">
        <v>825</v>
      </c>
      <c r="E908" s="465" t="s">
        <v>2705</v>
      </c>
      <c r="F908" s="465" t="s">
        <v>2706</v>
      </c>
      <c r="G908" s="465" t="s">
        <v>2684</v>
      </c>
      <c r="H908" s="465" t="s">
        <v>183</v>
      </c>
      <c r="I908" s="465" t="s">
        <v>830</v>
      </c>
    </row>
    <row r="909" hidden="1" ht="15.95" customHeight="1">
      <c r="A909" s="465" t="s">
        <v>2720</v>
      </c>
      <c r="B909" s="465" t="s">
        <v>2721</v>
      </c>
      <c r="C909" s="465"/>
      <c r="D909" s="465" t="s">
        <v>825</v>
      </c>
      <c r="E909" s="465" t="s">
        <v>2705</v>
      </c>
      <c r="F909" s="465" t="s">
        <v>2706</v>
      </c>
      <c r="G909" s="465" t="s">
        <v>2684</v>
      </c>
      <c r="H909" s="465" t="s">
        <v>183</v>
      </c>
      <c r="I909" s="465" t="s">
        <v>830</v>
      </c>
    </row>
    <row r="910" hidden="1" ht="15.95" customHeight="1">
      <c r="A910" s="465" t="s">
        <v>2722</v>
      </c>
      <c r="B910" s="465" t="s">
        <v>2723</v>
      </c>
      <c r="C910" s="465"/>
      <c r="D910" s="465" t="s">
        <v>825</v>
      </c>
      <c r="E910" s="465" t="s">
        <v>2705</v>
      </c>
      <c r="F910" s="465" t="s">
        <v>2706</v>
      </c>
      <c r="G910" s="465" t="s">
        <v>2684</v>
      </c>
      <c r="H910" s="465" t="s">
        <v>183</v>
      </c>
      <c r="I910" s="465" t="s">
        <v>830</v>
      </c>
    </row>
    <row r="911" hidden="1" ht="15.95" customHeight="1">
      <c r="A911" s="465" t="s">
        <v>2724</v>
      </c>
      <c r="B911" s="465" t="s">
        <v>2725</v>
      </c>
      <c r="C911" s="465"/>
      <c r="D911" s="465" t="s">
        <v>825</v>
      </c>
      <c r="E911" s="465" t="s">
        <v>2705</v>
      </c>
      <c r="F911" s="465" t="s">
        <v>2706</v>
      </c>
      <c r="G911" s="465" t="s">
        <v>2684</v>
      </c>
      <c r="H911" s="465" t="s">
        <v>183</v>
      </c>
      <c r="I911" s="465" t="s">
        <v>830</v>
      </c>
    </row>
    <row r="912" hidden="1" ht="15.95" customHeight="1">
      <c r="A912" s="465" t="s">
        <v>2726</v>
      </c>
      <c r="B912" s="465" t="s">
        <v>2727</v>
      </c>
      <c r="C912" s="465"/>
      <c r="D912" s="465" t="s">
        <v>825</v>
      </c>
      <c r="E912" s="465" t="s">
        <v>2728</v>
      </c>
      <c r="F912" s="465" t="s">
        <v>2729</v>
      </c>
      <c r="G912" s="465" t="s">
        <v>2684</v>
      </c>
      <c r="H912" s="465" t="s">
        <v>183</v>
      </c>
      <c r="I912" s="465" t="s">
        <v>830</v>
      </c>
    </row>
    <row r="913" hidden="1" ht="15.95" customHeight="1">
      <c r="A913" s="465" t="s">
        <v>2730</v>
      </c>
      <c r="B913" s="465" t="s">
        <v>2731</v>
      </c>
      <c r="C913" s="465"/>
      <c r="D913" s="465" t="s">
        <v>825</v>
      </c>
      <c r="E913" s="465" t="s">
        <v>2728</v>
      </c>
      <c r="F913" s="465" t="s">
        <v>2729</v>
      </c>
      <c r="G913" s="465" t="s">
        <v>2684</v>
      </c>
      <c r="H913" s="465" t="s">
        <v>183</v>
      </c>
      <c r="I913" s="465" t="s">
        <v>830</v>
      </c>
    </row>
    <row r="914" hidden="1" ht="15.95" customHeight="1">
      <c r="A914" s="465" t="s">
        <v>2732</v>
      </c>
      <c r="B914" s="465" t="s">
        <v>2733</v>
      </c>
      <c r="C914" s="465"/>
      <c r="D914" s="465" t="s">
        <v>825</v>
      </c>
      <c r="E914" s="465" t="s">
        <v>2728</v>
      </c>
      <c r="F914" s="465" t="s">
        <v>2729</v>
      </c>
      <c r="G914" s="465" t="s">
        <v>2684</v>
      </c>
      <c r="H914" s="465" t="s">
        <v>183</v>
      </c>
      <c r="I914" s="465" t="s">
        <v>830</v>
      </c>
    </row>
    <row r="915" hidden="1" ht="15.95" customHeight="1">
      <c r="A915" s="465" t="s">
        <v>2734</v>
      </c>
      <c r="B915" s="465" t="s">
        <v>2735</v>
      </c>
      <c r="C915" s="465"/>
      <c r="D915" s="465" t="s">
        <v>825</v>
      </c>
      <c r="E915" s="465" t="s">
        <v>2728</v>
      </c>
      <c r="F915" s="465" t="s">
        <v>2729</v>
      </c>
      <c r="G915" s="465" t="s">
        <v>2684</v>
      </c>
      <c r="H915" s="465" t="s">
        <v>183</v>
      </c>
      <c r="I915" s="465" t="s">
        <v>830</v>
      </c>
    </row>
    <row r="916" hidden="1" ht="15.95" customHeight="1">
      <c r="A916" s="465" t="s">
        <v>2736</v>
      </c>
      <c r="B916" s="465" t="s">
        <v>2737</v>
      </c>
      <c r="C916" s="465"/>
      <c r="D916" s="465" t="s">
        <v>825</v>
      </c>
      <c r="E916" s="465" t="s">
        <v>2728</v>
      </c>
      <c r="F916" s="465" t="s">
        <v>2729</v>
      </c>
      <c r="G916" s="465" t="s">
        <v>2684</v>
      </c>
      <c r="H916" s="465" t="s">
        <v>183</v>
      </c>
      <c r="I916" s="465" t="s">
        <v>830</v>
      </c>
    </row>
    <row r="917" hidden="1" ht="15.95" customHeight="1">
      <c r="A917" s="465" t="s">
        <v>2738</v>
      </c>
      <c r="B917" s="465" t="s">
        <v>2739</v>
      </c>
      <c r="C917" s="465"/>
      <c r="D917" s="465" t="s">
        <v>825</v>
      </c>
      <c r="E917" s="465" t="s">
        <v>2728</v>
      </c>
      <c r="F917" s="465" t="s">
        <v>2729</v>
      </c>
      <c r="G917" s="465" t="s">
        <v>2684</v>
      </c>
      <c r="H917" s="465" t="s">
        <v>183</v>
      </c>
      <c r="I917" s="465" t="s">
        <v>830</v>
      </c>
    </row>
    <row r="918" hidden="1" ht="15.95" customHeight="1">
      <c r="A918" s="465" t="s">
        <v>2740</v>
      </c>
      <c r="B918" s="465" t="s">
        <v>2741</v>
      </c>
      <c r="C918" s="465"/>
      <c r="D918" s="465" t="s">
        <v>825</v>
      </c>
      <c r="E918" s="465" t="s">
        <v>2728</v>
      </c>
      <c r="F918" s="465" t="s">
        <v>2729</v>
      </c>
      <c r="G918" s="465" t="s">
        <v>2684</v>
      </c>
      <c r="H918" s="465" t="s">
        <v>183</v>
      </c>
      <c r="I918" s="465" t="s">
        <v>830</v>
      </c>
    </row>
    <row r="919" hidden="1" ht="15.95" customHeight="1">
      <c r="A919" s="465" t="s">
        <v>2742</v>
      </c>
      <c r="B919" s="465" t="s">
        <v>2743</v>
      </c>
      <c r="C919" s="465"/>
      <c r="D919" s="465" t="s">
        <v>825</v>
      </c>
      <c r="E919" s="465" t="s">
        <v>2728</v>
      </c>
      <c r="F919" s="465" t="s">
        <v>2729</v>
      </c>
      <c r="G919" s="465" t="s">
        <v>2684</v>
      </c>
      <c r="H919" s="465" t="s">
        <v>183</v>
      </c>
      <c r="I919" s="465" t="s">
        <v>830</v>
      </c>
    </row>
    <row r="920" hidden="1" ht="15.95" customHeight="1">
      <c r="A920" s="465" t="s">
        <v>2744</v>
      </c>
      <c r="B920" s="465" t="s">
        <v>2745</v>
      </c>
      <c r="C920" s="465"/>
      <c r="D920" s="465" t="s">
        <v>825</v>
      </c>
      <c r="E920" s="465" t="s">
        <v>2728</v>
      </c>
      <c r="F920" s="465" t="s">
        <v>2729</v>
      </c>
      <c r="G920" s="465" t="s">
        <v>2684</v>
      </c>
      <c r="H920" s="465" t="s">
        <v>183</v>
      </c>
      <c r="I920" s="465" t="s">
        <v>830</v>
      </c>
    </row>
    <row r="921" hidden="1" ht="15.95" customHeight="1">
      <c r="A921" s="465" t="s">
        <v>2746</v>
      </c>
      <c r="B921" s="465" t="s">
        <v>2747</v>
      </c>
      <c r="C921" s="465"/>
      <c r="D921" s="465" t="s">
        <v>825</v>
      </c>
      <c r="E921" s="465" t="s">
        <v>2728</v>
      </c>
      <c r="F921" s="465" t="s">
        <v>2729</v>
      </c>
      <c r="G921" s="465" t="s">
        <v>2684</v>
      </c>
      <c r="H921" s="465" t="s">
        <v>183</v>
      </c>
      <c r="I921" s="465" t="s">
        <v>830</v>
      </c>
    </row>
    <row r="922" hidden="1" ht="15.95" customHeight="1">
      <c r="A922" s="465" t="s">
        <v>2748</v>
      </c>
      <c r="B922" s="465" t="s">
        <v>2749</v>
      </c>
      <c r="C922" s="465"/>
      <c r="D922" s="465" t="s">
        <v>825</v>
      </c>
      <c r="E922" s="465" t="s">
        <v>2728</v>
      </c>
      <c r="F922" s="465" t="s">
        <v>2729</v>
      </c>
      <c r="G922" s="465" t="s">
        <v>2684</v>
      </c>
      <c r="H922" s="465" t="s">
        <v>183</v>
      </c>
      <c r="I922" s="465" t="s">
        <v>830</v>
      </c>
    </row>
    <row r="923" hidden="1" ht="15.95" customHeight="1">
      <c r="A923" s="465" t="s">
        <v>2750</v>
      </c>
      <c r="B923" s="465" t="s">
        <v>2751</v>
      </c>
      <c r="C923" s="465"/>
      <c r="D923" s="465" t="s">
        <v>825</v>
      </c>
      <c r="E923" s="465" t="s">
        <v>2728</v>
      </c>
      <c r="F923" s="465" t="s">
        <v>2729</v>
      </c>
      <c r="G923" s="465" t="s">
        <v>2684</v>
      </c>
      <c r="H923" s="465" t="s">
        <v>183</v>
      </c>
      <c r="I923" s="465" t="s">
        <v>830</v>
      </c>
    </row>
    <row r="924" hidden="1" ht="15.95" customHeight="1">
      <c r="A924" s="465" t="s">
        <v>2752</v>
      </c>
      <c r="B924" s="465" t="s">
        <v>2205</v>
      </c>
      <c r="C924" s="465"/>
      <c r="D924" s="465" t="s">
        <v>825</v>
      </c>
      <c r="E924" s="465" t="s">
        <v>2753</v>
      </c>
      <c r="F924" s="465" t="s">
        <v>2754</v>
      </c>
      <c r="G924" s="465" t="s">
        <v>2684</v>
      </c>
      <c r="H924" s="465" t="s">
        <v>183</v>
      </c>
      <c r="I924" s="465" t="s">
        <v>830</v>
      </c>
    </row>
    <row r="925" hidden="1" ht="15.95" customHeight="1">
      <c r="A925" s="465" t="s">
        <v>2755</v>
      </c>
      <c r="B925" s="465" t="s">
        <v>2756</v>
      </c>
      <c r="C925" s="465"/>
      <c r="D925" s="465" t="s">
        <v>825</v>
      </c>
      <c r="E925" s="465" t="s">
        <v>2753</v>
      </c>
      <c r="F925" s="465" t="s">
        <v>2754</v>
      </c>
      <c r="G925" s="465" t="s">
        <v>2684</v>
      </c>
      <c r="H925" s="465" t="s">
        <v>183</v>
      </c>
      <c r="I925" s="465" t="s">
        <v>830</v>
      </c>
    </row>
    <row r="926" hidden="1" ht="15.95" customHeight="1">
      <c r="A926" s="465" t="s">
        <v>2757</v>
      </c>
      <c r="B926" s="465" t="s">
        <v>1587</v>
      </c>
      <c r="C926" s="465"/>
      <c r="D926" s="465" t="s">
        <v>825</v>
      </c>
      <c r="E926" s="465" t="s">
        <v>2753</v>
      </c>
      <c r="F926" s="465" t="s">
        <v>2754</v>
      </c>
      <c r="G926" s="465" t="s">
        <v>2684</v>
      </c>
      <c r="H926" s="465" t="s">
        <v>183</v>
      </c>
      <c r="I926" s="465" t="s">
        <v>830</v>
      </c>
    </row>
    <row r="927" hidden="1" ht="15.95" customHeight="1">
      <c r="A927" s="465" t="s">
        <v>2758</v>
      </c>
      <c r="B927" s="465" t="s">
        <v>2759</v>
      </c>
      <c r="C927" s="465"/>
      <c r="D927" s="465" t="s">
        <v>825</v>
      </c>
      <c r="E927" s="465" t="s">
        <v>2753</v>
      </c>
      <c r="F927" s="465" t="s">
        <v>2754</v>
      </c>
      <c r="G927" s="465" t="s">
        <v>2684</v>
      </c>
      <c r="H927" s="465" t="s">
        <v>183</v>
      </c>
      <c r="I927" s="465" t="s">
        <v>830</v>
      </c>
    </row>
    <row r="928" hidden="1" ht="15.95" customHeight="1">
      <c r="A928" s="465" t="s">
        <v>2760</v>
      </c>
      <c r="B928" s="465" t="s">
        <v>2761</v>
      </c>
      <c r="C928" s="465"/>
      <c r="D928" s="465" t="s">
        <v>825</v>
      </c>
      <c r="E928" s="465" t="s">
        <v>2753</v>
      </c>
      <c r="F928" s="465" t="s">
        <v>2754</v>
      </c>
      <c r="G928" s="465" t="s">
        <v>2684</v>
      </c>
      <c r="H928" s="465" t="s">
        <v>183</v>
      </c>
      <c r="I928" s="465" t="s">
        <v>830</v>
      </c>
    </row>
    <row r="929" hidden="1" ht="15.95" customHeight="1">
      <c r="A929" s="465" t="s">
        <v>2762</v>
      </c>
      <c r="B929" s="465" t="s">
        <v>2763</v>
      </c>
      <c r="C929" s="465"/>
      <c r="D929" s="465" t="s">
        <v>825</v>
      </c>
      <c r="E929" s="465" t="s">
        <v>2753</v>
      </c>
      <c r="F929" s="465" t="s">
        <v>2754</v>
      </c>
      <c r="G929" s="465" t="s">
        <v>2684</v>
      </c>
      <c r="H929" s="465" t="s">
        <v>183</v>
      </c>
      <c r="I929" s="465" t="s">
        <v>830</v>
      </c>
    </row>
    <row r="930" hidden="1" ht="15.95" customHeight="1">
      <c r="A930" s="465" t="s">
        <v>2764</v>
      </c>
      <c r="B930" s="465" t="s">
        <v>2765</v>
      </c>
      <c r="C930" s="465"/>
      <c r="D930" s="465" t="s">
        <v>825</v>
      </c>
      <c r="E930" s="465" t="s">
        <v>2753</v>
      </c>
      <c r="F930" s="465" t="s">
        <v>2754</v>
      </c>
      <c r="G930" s="465" t="s">
        <v>2684</v>
      </c>
      <c r="H930" s="465" t="s">
        <v>183</v>
      </c>
      <c r="I930" s="465" t="s">
        <v>830</v>
      </c>
    </row>
    <row r="931" hidden="1" ht="15.95" customHeight="1">
      <c r="A931" s="465" t="s">
        <v>2766</v>
      </c>
      <c r="B931" s="465" t="s">
        <v>2767</v>
      </c>
      <c r="C931" s="465"/>
      <c r="D931" s="465" t="s">
        <v>825</v>
      </c>
      <c r="E931" s="465" t="s">
        <v>2753</v>
      </c>
      <c r="F931" s="465" t="s">
        <v>2754</v>
      </c>
      <c r="G931" s="465" t="s">
        <v>2684</v>
      </c>
      <c r="H931" s="465" t="s">
        <v>183</v>
      </c>
      <c r="I931" s="465" t="s">
        <v>830</v>
      </c>
    </row>
    <row r="932" hidden="1" ht="15.95" customHeight="1">
      <c r="A932" s="465" t="s">
        <v>2768</v>
      </c>
      <c r="B932" s="465" t="s">
        <v>2769</v>
      </c>
      <c r="C932" s="465"/>
      <c r="D932" s="465" t="s">
        <v>825</v>
      </c>
      <c r="E932" s="465" t="s">
        <v>2753</v>
      </c>
      <c r="F932" s="465" t="s">
        <v>2754</v>
      </c>
      <c r="G932" s="465" t="s">
        <v>2684</v>
      </c>
      <c r="H932" s="465" t="s">
        <v>183</v>
      </c>
      <c r="I932" s="465" t="s">
        <v>830</v>
      </c>
    </row>
    <row r="933" hidden="1" ht="15.95" customHeight="1">
      <c r="A933" s="465" t="s">
        <v>2770</v>
      </c>
      <c r="B933" s="465" t="s">
        <v>1579</v>
      </c>
      <c r="C933" s="465"/>
      <c r="D933" s="465" t="s">
        <v>825</v>
      </c>
      <c r="E933" s="465" t="s">
        <v>2753</v>
      </c>
      <c r="F933" s="465" t="s">
        <v>2754</v>
      </c>
      <c r="G933" s="465" t="s">
        <v>2684</v>
      </c>
      <c r="H933" s="465" t="s">
        <v>183</v>
      </c>
      <c r="I933" s="465" t="s">
        <v>830</v>
      </c>
    </row>
    <row r="934" hidden="1" ht="15.95" customHeight="1">
      <c r="A934" s="465" t="s">
        <v>2771</v>
      </c>
      <c r="B934" s="465" t="s">
        <v>2772</v>
      </c>
      <c r="C934" s="465"/>
      <c r="D934" s="465" t="s">
        <v>825</v>
      </c>
      <c r="E934" s="465" t="s">
        <v>2753</v>
      </c>
      <c r="F934" s="465" t="s">
        <v>2754</v>
      </c>
      <c r="G934" s="465" t="s">
        <v>2684</v>
      </c>
      <c r="H934" s="465" t="s">
        <v>183</v>
      </c>
      <c r="I934" s="465" t="s">
        <v>830</v>
      </c>
    </row>
    <row r="935" hidden="1" ht="15.95" customHeight="1">
      <c r="A935" s="465" t="s">
        <v>2773</v>
      </c>
      <c r="B935" s="465" t="s">
        <v>1577</v>
      </c>
      <c r="C935" s="465"/>
      <c r="D935" s="465" t="s">
        <v>825</v>
      </c>
      <c r="E935" s="465" t="s">
        <v>2753</v>
      </c>
      <c r="F935" s="465" t="s">
        <v>2754</v>
      </c>
      <c r="G935" s="465" t="s">
        <v>2684</v>
      </c>
      <c r="H935" s="465" t="s">
        <v>183</v>
      </c>
      <c r="I935" s="465" t="s">
        <v>830</v>
      </c>
    </row>
    <row r="936" hidden="1" ht="15.95" customHeight="1">
      <c r="A936" s="465" t="s">
        <v>2774</v>
      </c>
      <c r="B936" s="465" t="s">
        <v>2775</v>
      </c>
      <c r="C936" s="465"/>
      <c r="D936" s="465" t="s">
        <v>825</v>
      </c>
      <c r="E936" s="465" t="s">
        <v>2753</v>
      </c>
      <c r="F936" s="465" t="s">
        <v>2754</v>
      </c>
      <c r="G936" s="465" t="s">
        <v>2684</v>
      </c>
      <c r="H936" s="465" t="s">
        <v>183</v>
      </c>
      <c r="I936" s="465" t="s">
        <v>830</v>
      </c>
    </row>
    <row r="937" hidden="1" ht="15.95" customHeight="1">
      <c r="A937" s="465" t="s">
        <v>2776</v>
      </c>
      <c r="B937" s="465" t="s">
        <v>2777</v>
      </c>
      <c r="C937" s="465"/>
      <c r="D937" s="465" t="s">
        <v>825</v>
      </c>
      <c r="E937" s="465" t="s">
        <v>2778</v>
      </c>
      <c r="F937" s="465" t="s">
        <v>2779</v>
      </c>
      <c r="G937" s="465" t="s">
        <v>2684</v>
      </c>
      <c r="H937" s="465" t="s">
        <v>183</v>
      </c>
      <c r="I937" s="465" t="s">
        <v>830</v>
      </c>
    </row>
    <row r="938" hidden="1" ht="15.95" customHeight="1">
      <c r="A938" s="465" t="s">
        <v>2780</v>
      </c>
      <c r="B938" s="465" t="s">
        <v>2781</v>
      </c>
      <c r="C938" s="465"/>
      <c r="D938" s="465" t="s">
        <v>825</v>
      </c>
      <c r="E938" s="465" t="s">
        <v>2778</v>
      </c>
      <c r="F938" s="465" t="s">
        <v>2779</v>
      </c>
      <c r="G938" s="465" t="s">
        <v>2684</v>
      </c>
      <c r="H938" s="465" t="s">
        <v>183</v>
      </c>
      <c r="I938" s="465" t="s">
        <v>830</v>
      </c>
    </row>
    <row r="939" hidden="1" ht="15.95" customHeight="1">
      <c r="A939" s="465" t="s">
        <v>2782</v>
      </c>
      <c r="B939" s="465" t="s">
        <v>2783</v>
      </c>
      <c r="C939" s="465"/>
      <c r="D939" s="465" t="s">
        <v>825</v>
      </c>
      <c r="E939" s="465" t="s">
        <v>2778</v>
      </c>
      <c r="F939" s="465" t="s">
        <v>2779</v>
      </c>
      <c r="G939" s="465" t="s">
        <v>2684</v>
      </c>
      <c r="H939" s="465" t="s">
        <v>183</v>
      </c>
      <c r="I939" s="465" t="s">
        <v>830</v>
      </c>
    </row>
    <row r="940" hidden="1" ht="15.95" customHeight="1">
      <c r="A940" s="465" t="s">
        <v>2784</v>
      </c>
      <c r="B940" s="465" t="s">
        <v>1268</v>
      </c>
      <c r="C940" s="465"/>
      <c r="D940" s="465" t="s">
        <v>825</v>
      </c>
      <c r="E940" s="465" t="s">
        <v>2778</v>
      </c>
      <c r="F940" s="465" t="s">
        <v>2779</v>
      </c>
      <c r="G940" s="465" t="s">
        <v>2684</v>
      </c>
      <c r="H940" s="465" t="s">
        <v>183</v>
      </c>
      <c r="I940" s="465" t="s">
        <v>830</v>
      </c>
    </row>
    <row r="941" hidden="1" ht="15.95" customHeight="1">
      <c r="A941" s="465" t="s">
        <v>2785</v>
      </c>
      <c r="B941" s="465" t="s">
        <v>2786</v>
      </c>
      <c r="C941" s="465"/>
      <c r="D941" s="465" t="s">
        <v>825</v>
      </c>
      <c r="E941" s="465" t="s">
        <v>2778</v>
      </c>
      <c r="F941" s="465" t="s">
        <v>2779</v>
      </c>
      <c r="G941" s="465" t="s">
        <v>2684</v>
      </c>
      <c r="H941" s="465" t="s">
        <v>183</v>
      </c>
      <c r="I941" s="465" t="s">
        <v>830</v>
      </c>
    </row>
    <row r="942" hidden="1" ht="15.95" customHeight="1">
      <c r="A942" s="465" t="s">
        <v>2787</v>
      </c>
      <c r="B942" s="465" t="s">
        <v>1260</v>
      </c>
      <c r="C942" s="465"/>
      <c r="D942" s="465" t="s">
        <v>825</v>
      </c>
      <c r="E942" s="465" t="s">
        <v>2778</v>
      </c>
      <c r="F942" s="465" t="s">
        <v>2779</v>
      </c>
      <c r="G942" s="465" t="s">
        <v>2684</v>
      </c>
      <c r="H942" s="465" t="s">
        <v>183</v>
      </c>
      <c r="I942" s="465" t="s">
        <v>830</v>
      </c>
    </row>
    <row r="943" hidden="1" ht="15.95" customHeight="1">
      <c r="A943" s="465" t="s">
        <v>2788</v>
      </c>
      <c r="B943" s="465" t="s">
        <v>2789</v>
      </c>
      <c r="C943" s="465"/>
      <c r="D943" s="465" t="s">
        <v>825</v>
      </c>
      <c r="E943" s="465" t="s">
        <v>2778</v>
      </c>
      <c r="F943" s="465" t="s">
        <v>2779</v>
      </c>
      <c r="G943" s="465" t="s">
        <v>2684</v>
      </c>
      <c r="H943" s="465" t="s">
        <v>183</v>
      </c>
      <c r="I943" s="465" t="s">
        <v>830</v>
      </c>
    </row>
    <row r="944" hidden="1" ht="15.95" customHeight="1">
      <c r="A944" s="465" t="s">
        <v>2790</v>
      </c>
      <c r="B944" s="465" t="s">
        <v>1274</v>
      </c>
      <c r="C944" s="465"/>
      <c r="D944" s="465" t="s">
        <v>825</v>
      </c>
      <c r="E944" s="465" t="s">
        <v>2778</v>
      </c>
      <c r="F944" s="465" t="s">
        <v>2779</v>
      </c>
      <c r="G944" s="465" t="s">
        <v>2684</v>
      </c>
      <c r="H944" s="465" t="s">
        <v>183</v>
      </c>
      <c r="I944" s="465" t="s">
        <v>830</v>
      </c>
    </row>
    <row r="945" hidden="1" ht="15.95" customHeight="1">
      <c r="A945" s="465" t="s">
        <v>2791</v>
      </c>
      <c r="B945" s="465" t="s">
        <v>2792</v>
      </c>
      <c r="C945" s="465"/>
      <c r="D945" s="465" t="s">
        <v>825</v>
      </c>
      <c r="E945" s="465" t="s">
        <v>2778</v>
      </c>
      <c r="F945" s="465" t="s">
        <v>2779</v>
      </c>
      <c r="G945" s="465" t="s">
        <v>2684</v>
      </c>
      <c r="H945" s="465" t="s">
        <v>183</v>
      </c>
      <c r="I945" s="465" t="s">
        <v>830</v>
      </c>
    </row>
    <row r="946" hidden="1" ht="15.95" customHeight="1">
      <c r="A946" s="465" t="s">
        <v>2793</v>
      </c>
      <c r="B946" s="465" t="s">
        <v>2794</v>
      </c>
      <c r="C946" s="465"/>
      <c r="D946" s="465" t="s">
        <v>825</v>
      </c>
      <c r="E946" s="465" t="s">
        <v>2778</v>
      </c>
      <c r="F946" s="465" t="s">
        <v>2779</v>
      </c>
      <c r="G946" s="465" t="s">
        <v>2684</v>
      </c>
      <c r="H946" s="465" t="s">
        <v>183</v>
      </c>
      <c r="I946" s="465" t="s">
        <v>830</v>
      </c>
    </row>
    <row r="947" hidden="1" ht="15.95" customHeight="1">
      <c r="A947" s="465" t="s">
        <v>2795</v>
      </c>
      <c r="B947" s="465" t="s">
        <v>2796</v>
      </c>
      <c r="C947" s="465"/>
      <c r="D947" s="465" t="s">
        <v>825</v>
      </c>
      <c r="E947" s="465" t="s">
        <v>2778</v>
      </c>
      <c r="F947" s="465" t="s">
        <v>2779</v>
      </c>
      <c r="G947" s="465" t="s">
        <v>2684</v>
      </c>
      <c r="H947" s="465" t="s">
        <v>183</v>
      </c>
      <c r="I947" s="465" t="s">
        <v>830</v>
      </c>
    </row>
    <row r="948" hidden="1" ht="15.95" customHeight="1">
      <c r="A948" s="465" t="s">
        <v>2797</v>
      </c>
      <c r="B948" s="465" t="s">
        <v>2798</v>
      </c>
      <c r="C948" s="465"/>
      <c r="D948" s="465" t="s">
        <v>825</v>
      </c>
      <c r="E948" s="465" t="s">
        <v>2778</v>
      </c>
      <c r="F948" s="465" t="s">
        <v>2779</v>
      </c>
      <c r="G948" s="465" t="s">
        <v>2684</v>
      </c>
      <c r="H948" s="465" t="s">
        <v>183</v>
      </c>
      <c r="I948" s="465" t="s">
        <v>830</v>
      </c>
    </row>
    <row r="949" hidden="1" ht="15.95" customHeight="1">
      <c r="A949" s="465" t="s">
        <v>2799</v>
      </c>
      <c r="B949" s="465" t="s">
        <v>1262</v>
      </c>
      <c r="C949" s="465"/>
      <c r="D949" s="465" t="s">
        <v>825</v>
      </c>
      <c r="E949" s="465" t="s">
        <v>2778</v>
      </c>
      <c r="F949" s="465" t="s">
        <v>2779</v>
      </c>
      <c r="G949" s="465" t="s">
        <v>2684</v>
      </c>
      <c r="H949" s="465" t="s">
        <v>183</v>
      </c>
      <c r="I949" s="465" t="s">
        <v>830</v>
      </c>
    </row>
    <row r="950" hidden="1" ht="15.95" customHeight="1">
      <c r="A950" s="465" t="s">
        <v>2800</v>
      </c>
      <c r="B950" s="465" t="s">
        <v>449</v>
      </c>
      <c r="C950" s="465"/>
      <c r="D950" s="465" t="s">
        <v>825</v>
      </c>
      <c r="E950" s="465" t="s">
        <v>2778</v>
      </c>
      <c r="F950" s="465" t="s">
        <v>2779</v>
      </c>
      <c r="G950" s="465" t="s">
        <v>2684</v>
      </c>
      <c r="H950" s="465" t="s">
        <v>183</v>
      </c>
      <c r="I950" s="465" t="s">
        <v>830</v>
      </c>
    </row>
    <row r="951" hidden="1" ht="15.95" customHeight="1">
      <c r="A951" s="465" t="s">
        <v>2801</v>
      </c>
      <c r="B951" s="465" t="s">
        <v>1276</v>
      </c>
      <c r="C951" s="465"/>
      <c r="D951" s="465" t="s">
        <v>825</v>
      </c>
      <c r="E951" s="465" t="s">
        <v>2778</v>
      </c>
      <c r="F951" s="465" t="s">
        <v>2779</v>
      </c>
      <c r="G951" s="465" t="s">
        <v>2684</v>
      </c>
      <c r="H951" s="465" t="s">
        <v>183</v>
      </c>
      <c r="I951" s="465" t="s">
        <v>830</v>
      </c>
    </row>
    <row r="952" hidden="1" ht="15.95" customHeight="1">
      <c r="A952" s="465" t="s">
        <v>2802</v>
      </c>
      <c r="B952" s="465" t="s">
        <v>2803</v>
      </c>
      <c r="C952" s="465"/>
      <c r="D952" s="465" t="s">
        <v>825</v>
      </c>
      <c r="E952" s="465" t="s">
        <v>2778</v>
      </c>
      <c r="F952" s="465" t="s">
        <v>2779</v>
      </c>
      <c r="G952" s="465" t="s">
        <v>2684</v>
      </c>
      <c r="H952" s="465" t="s">
        <v>183</v>
      </c>
      <c r="I952" s="465" t="s">
        <v>830</v>
      </c>
    </row>
    <row r="953" hidden="1" ht="15.95" customHeight="1">
      <c r="A953" s="465" t="s">
        <v>2804</v>
      </c>
      <c r="B953" s="465" t="s">
        <v>2781</v>
      </c>
      <c r="C953" s="465"/>
      <c r="D953" s="465" t="s">
        <v>825</v>
      </c>
      <c r="E953" s="465" t="s">
        <v>2805</v>
      </c>
      <c r="F953" s="465" t="s">
        <v>2806</v>
      </c>
      <c r="G953" s="465" t="s">
        <v>2684</v>
      </c>
      <c r="H953" s="465" t="s">
        <v>183</v>
      </c>
      <c r="I953" s="465" t="s">
        <v>830</v>
      </c>
    </row>
    <row r="954" hidden="1" ht="15.95" customHeight="1">
      <c r="A954" s="465" t="s">
        <v>2807</v>
      </c>
      <c r="B954" s="465" t="s">
        <v>1276</v>
      </c>
      <c r="C954" s="465"/>
      <c r="D954" s="465" t="s">
        <v>825</v>
      </c>
      <c r="E954" s="465" t="s">
        <v>2805</v>
      </c>
      <c r="F954" s="465" t="s">
        <v>2806</v>
      </c>
      <c r="G954" s="465" t="s">
        <v>2684</v>
      </c>
      <c r="H954" s="465" t="s">
        <v>183</v>
      </c>
      <c r="I954" s="465" t="s">
        <v>830</v>
      </c>
    </row>
    <row r="955" hidden="1" ht="15.95" customHeight="1">
      <c r="A955" s="465" t="s">
        <v>2808</v>
      </c>
      <c r="B955" s="465" t="s">
        <v>2809</v>
      </c>
      <c r="C955" s="465"/>
      <c r="D955" s="465" t="s">
        <v>825</v>
      </c>
      <c r="E955" s="465" t="s">
        <v>2805</v>
      </c>
      <c r="F955" s="465" t="s">
        <v>2806</v>
      </c>
      <c r="G955" s="465" t="s">
        <v>2684</v>
      </c>
      <c r="H955" s="465" t="s">
        <v>183</v>
      </c>
      <c r="I955" s="465" t="s">
        <v>830</v>
      </c>
    </row>
    <row r="956" hidden="1" ht="15.95" customHeight="1">
      <c r="A956" s="465" t="s">
        <v>2810</v>
      </c>
      <c r="B956" s="465" t="s">
        <v>2811</v>
      </c>
      <c r="C956" s="465"/>
      <c r="D956" s="465" t="s">
        <v>825</v>
      </c>
      <c r="E956" s="465" t="s">
        <v>2805</v>
      </c>
      <c r="F956" s="465" t="s">
        <v>2806</v>
      </c>
      <c r="G956" s="465" t="s">
        <v>2684</v>
      </c>
      <c r="H956" s="465" t="s">
        <v>183</v>
      </c>
      <c r="I956" s="465" t="s">
        <v>830</v>
      </c>
    </row>
    <row r="957" hidden="1" ht="15.95" customHeight="1">
      <c r="A957" s="465" t="s">
        <v>2812</v>
      </c>
      <c r="B957" s="465" t="s">
        <v>1260</v>
      </c>
      <c r="C957" s="465"/>
      <c r="D957" s="465" t="s">
        <v>825</v>
      </c>
      <c r="E957" s="465" t="s">
        <v>2805</v>
      </c>
      <c r="F957" s="465" t="s">
        <v>2806</v>
      </c>
      <c r="G957" s="465" t="s">
        <v>2684</v>
      </c>
      <c r="H957" s="465" t="s">
        <v>183</v>
      </c>
      <c r="I957" s="465" t="s">
        <v>830</v>
      </c>
    </row>
    <row r="958" hidden="1" ht="15.95" customHeight="1">
      <c r="A958" s="465" t="s">
        <v>2813</v>
      </c>
      <c r="B958" s="465" t="s">
        <v>2814</v>
      </c>
      <c r="C958" s="465"/>
      <c r="D958" s="465" t="s">
        <v>825</v>
      </c>
      <c r="E958" s="465" t="s">
        <v>2805</v>
      </c>
      <c r="F958" s="465" t="s">
        <v>2806</v>
      </c>
      <c r="G958" s="465" t="s">
        <v>2684</v>
      </c>
      <c r="H958" s="465" t="s">
        <v>183</v>
      </c>
      <c r="I958" s="465" t="s">
        <v>830</v>
      </c>
    </row>
    <row r="959" hidden="1" ht="15.95" customHeight="1">
      <c r="A959" s="465" t="s">
        <v>2815</v>
      </c>
      <c r="B959" s="465" t="s">
        <v>2792</v>
      </c>
      <c r="C959" s="465"/>
      <c r="D959" s="465" t="s">
        <v>825</v>
      </c>
      <c r="E959" s="465" t="s">
        <v>2805</v>
      </c>
      <c r="F959" s="465" t="s">
        <v>2806</v>
      </c>
      <c r="G959" s="465" t="s">
        <v>2684</v>
      </c>
      <c r="H959" s="465" t="s">
        <v>183</v>
      </c>
      <c r="I959" s="465" t="s">
        <v>830</v>
      </c>
    </row>
    <row r="960" hidden="1" ht="15.95" customHeight="1">
      <c r="A960" s="465" t="s">
        <v>2816</v>
      </c>
      <c r="B960" s="465" t="s">
        <v>2794</v>
      </c>
      <c r="C960" s="465"/>
      <c r="D960" s="465" t="s">
        <v>825</v>
      </c>
      <c r="E960" s="465" t="s">
        <v>2805</v>
      </c>
      <c r="F960" s="465" t="s">
        <v>2806</v>
      </c>
      <c r="G960" s="465" t="s">
        <v>2684</v>
      </c>
      <c r="H960" s="465" t="s">
        <v>183</v>
      </c>
      <c r="I960" s="465" t="s">
        <v>830</v>
      </c>
    </row>
    <row r="961" hidden="1" ht="15.95" customHeight="1">
      <c r="A961" s="465" t="s">
        <v>2817</v>
      </c>
      <c r="B961" s="465" t="s">
        <v>2818</v>
      </c>
      <c r="C961" s="465"/>
      <c r="D961" s="465" t="s">
        <v>825</v>
      </c>
      <c r="E961" s="465" t="s">
        <v>2805</v>
      </c>
      <c r="F961" s="465" t="s">
        <v>2806</v>
      </c>
      <c r="G961" s="465" t="s">
        <v>2684</v>
      </c>
      <c r="H961" s="465" t="s">
        <v>183</v>
      </c>
      <c r="I961" s="465" t="s">
        <v>830</v>
      </c>
    </row>
    <row r="962" hidden="1" ht="15.95" customHeight="1">
      <c r="A962" s="465" t="s">
        <v>2819</v>
      </c>
      <c r="B962" s="465" t="s">
        <v>2820</v>
      </c>
      <c r="C962" s="465"/>
      <c r="D962" s="465" t="s">
        <v>825</v>
      </c>
      <c r="E962" s="465" t="s">
        <v>2805</v>
      </c>
      <c r="F962" s="465" t="s">
        <v>2806</v>
      </c>
      <c r="G962" s="465" t="s">
        <v>2684</v>
      </c>
      <c r="H962" s="465" t="s">
        <v>183</v>
      </c>
      <c r="I962" s="465" t="s">
        <v>830</v>
      </c>
    </row>
    <row r="963" hidden="1" ht="15.95" customHeight="1">
      <c r="A963" s="465" t="s">
        <v>2821</v>
      </c>
      <c r="B963" s="465" t="s">
        <v>2789</v>
      </c>
      <c r="C963" s="465"/>
      <c r="D963" s="465" t="s">
        <v>825</v>
      </c>
      <c r="E963" s="465" t="s">
        <v>2805</v>
      </c>
      <c r="F963" s="465" t="s">
        <v>2806</v>
      </c>
      <c r="G963" s="465" t="s">
        <v>2684</v>
      </c>
      <c r="H963" s="465" t="s">
        <v>183</v>
      </c>
      <c r="I963" s="465" t="s">
        <v>830</v>
      </c>
    </row>
    <row r="964" hidden="1" ht="15.95" customHeight="1">
      <c r="A964" s="465" t="s">
        <v>2822</v>
      </c>
      <c r="B964" s="465" t="s">
        <v>2777</v>
      </c>
      <c r="C964" s="465"/>
      <c r="D964" s="465" t="s">
        <v>825</v>
      </c>
      <c r="E964" s="465" t="s">
        <v>2805</v>
      </c>
      <c r="F964" s="465" t="s">
        <v>2806</v>
      </c>
      <c r="G964" s="465" t="s">
        <v>2684</v>
      </c>
      <c r="H964" s="465" t="s">
        <v>183</v>
      </c>
      <c r="I964" s="465" t="s">
        <v>830</v>
      </c>
    </row>
    <row r="965" hidden="1" ht="15.95" customHeight="1">
      <c r="A965" s="465" t="s">
        <v>2823</v>
      </c>
      <c r="B965" s="465" t="s">
        <v>2824</v>
      </c>
      <c r="C965" s="465"/>
      <c r="D965" s="465" t="s">
        <v>825</v>
      </c>
      <c r="E965" s="465" t="s">
        <v>2805</v>
      </c>
      <c r="F965" s="465" t="s">
        <v>2806</v>
      </c>
      <c r="G965" s="465" t="s">
        <v>2684</v>
      </c>
      <c r="H965" s="465" t="s">
        <v>183</v>
      </c>
      <c r="I965" s="465" t="s">
        <v>830</v>
      </c>
    </row>
    <row r="966" hidden="1" ht="15.95" customHeight="1">
      <c r="A966" s="465" t="s">
        <v>2825</v>
      </c>
      <c r="B966" s="465" t="s">
        <v>2798</v>
      </c>
      <c r="C966" s="465"/>
      <c r="D966" s="465" t="s">
        <v>825</v>
      </c>
      <c r="E966" s="465" t="s">
        <v>2805</v>
      </c>
      <c r="F966" s="465" t="s">
        <v>2806</v>
      </c>
      <c r="G966" s="465" t="s">
        <v>2684</v>
      </c>
      <c r="H966" s="465" t="s">
        <v>183</v>
      </c>
      <c r="I966" s="465" t="s">
        <v>830</v>
      </c>
    </row>
    <row r="967" hidden="1" ht="15.95" customHeight="1">
      <c r="A967" s="465" t="s">
        <v>2826</v>
      </c>
      <c r="B967" s="465" t="s">
        <v>2803</v>
      </c>
      <c r="C967" s="465"/>
      <c r="D967" s="465" t="s">
        <v>825</v>
      </c>
      <c r="E967" s="465" t="s">
        <v>2805</v>
      </c>
      <c r="F967" s="465" t="s">
        <v>2806</v>
      </c>
      <c r="G967" s="465" t="s">
        <v>2684</v>
      </c>
      <c r="H967" s="465" t="s">
        <v>183</v>
      </c>
      <c r="I967" s="465" t="s">
        <v>830</v>
      </c>
    </row>
    <row r="968" hidden="1" ht="15.95" customHeight="1">
      <c r="A968" s="465" t="s">
        <v>2827</v>
      </c>
      <c r="B968" s="465" t="s">
        <v>2783</v>
      </c>
      <c r="C968" s="465"/>
      <c r="D968" s="465" t="s">
        <v>825</v>
      </c>
      <c r="E968" s="465" t="s">
        <v>2805</v>
      </c>
      <c r="F968" s="465" t="s">
        <v>2806</v>
      </c>
      <c r="G968" s="465" t="s">
        <v>2684</v>
      </c>
      <c r="H968" s="465" t="s">
        <v>183</v>
      </c>
      <c r="I968" s="465" t="s">
        <v>830</v>
      </c>
    </row>
    <row r="969" hidden="1" ht="15.95" customHeight="1">
      <c r="A969" s="465" t="s">
        <v>2828</v>
      </c>
      <c r="B969" s="465" t="s">
        <v>2829</v>
      </c>
      <c r="C969" s="465"/>
      <c r="D969" s="465" t="s">
        <v>825</v>
      </c>
      <c r="E969" s="465" t="s">
        <v>2805</v>
      </c>
      <c r="F969" s="465" t="s">
        <v>2806</v>
      </c>
      <c r="G969" s="465" t="s">
        <v>2684</v>
      </c>
      <c r="H969" s="465" t="s">
        <v>183</v>
      </c>
      <c r="I969" s="465" t="s">
        <v>830</v>
      </c>
    </row>
    <row r="970" hidden="1" ht="15.95" customHeight="1">
      <c r="A970" s="465" t="s">
        <v>2830</v>
      </c>
      <c r="B970" s="465" t="s">
        <v>2831</v>
      </c>
      <c r="C970" s="465"/>
      <c r="D970" s="465" t="s">
        <v>825</v>
      </c>
      <c r="E970" s="465" t="s">
        <v>2805</v>
      </c>
      <c r="F970" s="465" t="s">
        <v>2806</v>
      </c>
      <c r="G970" s="465" t="s">
        <v>2684</v>
      </c>
      <c r="H970" s="465" t="s">
        <v>183</v>
      </c>
      <c r="I970" s="465" t="s">
        <v>830</v>
      </c>
    </row>
    <row r="971" hidden="1" ht="15.95" customHeight="1">
      <c r="A971" s="465" t="s">
        <v>2832</v>
      </c>
      <c r="B971" s="465" t="s">
        <v>2833</v>
      </c>
      <c r="C971" s="465"/>
      <c r="D971" s="465" t="s">
        <v>825</v>
      </c>
      <c r="E971" s="465" t="s">
        <v>2805</v>
      </c>
      <c r="F971" s="465" t="s">
        <v>2806</v>
      </c>
      <c r="G971" s="465" t="s">
        <v>2684</v>
      </c>
      <c r="H971" s="465" t="s">
        <v>183</v>
      </c>
      <c r="I971" s="465" t="s">
        <v>830</v>
      </c>
    </row>
    <row r="972" hidden="1" ht="15.95" customHeight="1">
      <c r="A972" s="465" t="s">
        <v>2834</v>
      </c>
      <c r="B972" s="465" t="s">
        <v>2835</v>
      </c>
      <c r="C972" s="465"/>
      <c r="D972" s="465" t="s">
        <v>825</v>
      </c>
      <c r="E972" s="465" t="s">
        <v>2805</v>
      </c>
      <c r="F972" s="465" t="s">
        <v>2806</v>
      </c>
      <c r="G972" s="465" t="s">
        <v>2684</v>
      </c>
      <c r="H972" s="465" t="s">
        <v>183</v>
      </c>
      <c r="I972" s="465" t="s">
        <v>830</v>
      </c>
    </row>
    <row r="973" hidden="1" ht="15.95" customHeight="1">
      <c r="A973" s="465" t="s">
        <v>2836</v>
      </c>
      <c r="B973" s="465" t="s">
        <v>2824</v>
      </c>
      <c r="C973" s="465"/>
      <c r="D973" s="465" t="s">
        <v>825</v>
      </c>
      <c r="E973" s="465" t="s">
        <v>2837</v>
      </c>
      <c r="F973" s="465" t="s">
        <v>2838</v>
      </c>
      <c r="G973" s="465" t="s">
        <v>2684</v>
      </c>
      <c r="H973" s="465" t="s">
        <v>183</v>
      </c>
      <c r="I973" s="465" t="s">
        <v>830</v>
      </c>
    </row>
    <row r="974" hidden="1" ht="15.95" customHeight="1">
      <c r="A974" s="465" t="s">
        <v>2839</v>
      </c>
      <c r="B974" s="465" t="s">
        <v>2796</v>
      </c>
      <c r="C974" s="465"/>
      <c r="D974" s="465" t="s">
        <v>825</v>
      </c>
      <c r="E974" s="465" t="s">
        <v>2837</v>
      </c>
      <c r="F974" s="465" t="s">
        <v>2838</v>
      </c>
      <c r="G974" s="465" t="s">
        <v>2684</v>
      </c>
      <c r="H974" s="465" t="s">
        <v>183</v>
      </c>
      <c r="I974" s="465" t="s">
        <v>830</v>
      </c>
    </row>
    <row r="975" hidden="1" ht="15.95" customHeight="1">
      <c r="A975" s="465" t="s">
        <v>2840</v>
      </c>
      <c r="B975" s="465" t="s">
        <v>1260</v>
      </c>
      <c r="C975" s="465"/>
      <c r="D975" s="465" t="s">
        <v>825</v>
      </c>
      <c r="E975" s="465" t="s">
        <v>2837</v>
      </c>
      <c r="F975" s="465" t="s">
        <v>2838</v>
      </c>
      <c r="G975" s="465" t="s">
        <v>2684</v>
      </c>
      <c r="H975" s="465" t="s">
        <v>183</v>
      </c>
      <c r="I975" s="465" t="s">
        <v>830</v>
      </c>
    </row>
    <row r="976" hidden="1" ht="15.95" customHeight="1">
      <c r="A976" s="465" t="s">
        <v>2841</v>
      </c>
      <c r="B976" s="465" t="s">
        <v>2781</v>
      </c>
      <c r="C976" s="465"/>
      <c r="D976" s="465" t="s">
        <v>825</v>
      </c>
      <c r="E976" s="465" t="s">
        <v>2837</v>
      </c>
      <c r="F976" s="465" t="s">
        <v>2838</v>
      </c>
      <c r="G976" s="465" t="s">
        <v>2684</v>
      </c>
      <c r="H976" s="465" t="s">
        <v>183</v>
      </c>
      <c r="I976" s="465" t="s">
        <v>830</v>
      </c>
    </row>
    <row r="977" hidden="1" ht="15.95" customHeight="1">
      <c r="A977" s="465" t="s">
        <v>2842</v>
      </c>
      <c r="B977" s="465" t="s">
        <v>2798</v>
      </c>
      <c r="C977" s="465"/>
      <c r="D977" s="465" t="s">
        <v>825</v>
      </c>
      <c r="E977" s="465" t="s">
        <v>2837</v>
      </c>
      <c r="F977" s="465" t="s">
        <v>2838</v>
      </c>
      <c r="G977" s="465" t="s">
        <v>2684</v>
      </c>
      <c r="H977" s="465" t="s">
        <v>183</v>
      </c>
      <c r="I977" s="465" t="s">
        <v>830</v>
      </c>
    </row>
    <row r="978" hidden="1" ht="15.95" customHeight="1">
      <c r="A978" s="465" t="s">
        <v>2843</v>
      </c>
      <c r="B978" s="465" t="s">
        <v>2803</v>
      </c>
      <c r="C978" s="465"/>
      <c r="D978" s="465" t="s">
        <v>825</v>
      </c>
      <c r="E978" s="465" t="s">
        <v>2837</v>
      </c>
      <c r="F978" s="465" t="s">
        <v>2838</v>
      </c>
      <c r="G978" s="465" t="s">
        <v>2684</v>
      </c>
      <c r="H978" s="465" t="s">
        <v>183</v>
      </c>
      <c r="I978" s="465" t="s">
        <v>830</v>
      </c>
    </row>
    <row r="979" hidden="1" ht="15.95" customHeight="1">
      <c r="A979" s="465" t="s">
        <v>2844</v>
      </c>
      <c r="B979" s="465" t="s">
        <v>1276</v>
      </c>
      <c r="C979" s="465"/>
      <c r="D979" s="465" t="s">
        <v>825</v>
      </c>
      <c r="E979" s="465" t="s">
        <v>2837</v>
      </c>
      <c r="F979" s="465" t="s">
        <v>2838</v>
      </c>
      <c r="G979" s="465" t="s">
        <v>2684</v>
      </c>
      <c r="H979" s="465" t="s">
        <v>183</v>
      </c>
      <c r="I979" s="465" t="s">
        <v>830</v>
      </c>
    </row>
    <row r="980" hidden="1" ht="15.95" customHeight="1">
      <c r="A980" s="465" t="s">
        <v>2845</v>
      </c>
      <c r="B980" s="465" t="s">
        <v>2794</v>
      </c>
      <c r="C980" s="465"/>
      <c r="D980" s="465" t="s">
        <v>825</v>
      </c>
      <c r="E980" s="465" t="s">
        <v>2837</v>
      </c>
      <c r="F980" s="465" t="s">
        <v>2838</v>
      </c>
      <c r="G980" s="465" t="s">
        <v>2684</v>
      </c>
      <c r="H980" s="465" t="s">
        <v>183</v>
      </c>
      <c r="I980" s="465" t="s">
        <v>830</v>
      </c>
    </row>
    <row r="981" hidden="1" ht="15.95" customHeight="1">
      <c r="A981" s="465" t="s">
        <v>2846</v>
      </c>
      <c r="B981" s="465" t="s">
        <v>2792</v>
      </c>
      <c r="C981" s="465"/>
      <c r="D981" s="465" t="s">
        <v>825</v>
      </c>
      <c r="E981" s="465" t="s">
        <v>2837</v>
      </c>
      <c r="F981" s="465" t="s">
        <v>2838</v>
      </c>
      <c r="G981" s="465" t="s">
        <v>2684</v>
      </c>
      <c r="H981" s="465" t="s">
        <v>183</v>
      </c>
      <c r="I981" s="465" t="s">
        <v>830</v>
      </c>
    </row>
    <row r="982" hidden="1" ht="15.95" customHeight="1">
      <c r="A982" s="465" t="s">
        <v>2847</v>
      </c>
      <c r="B982" s="465" t="s">
        <v>1274</v>
      </c>
      <c r="C982" s="465"/>
      <c r="D982" s="465" t="s">
        <v>825</v>
      </c>
      <c r="E982" s="465" t="s">
        <v>2837</v>
      </c>
      <c r="F982" s="465" t="s">
        <v>2838</v>
      </c>
      <c r="G982" s="465" t="s">
        <v>2684</v>
      </c>
      <c r="H982" s="465" t="s">
        <v>183</v>
      </c>
      <c r="I982" s="465" t="s">
        <v>830</v>
      </c>
    </row>
    <row r="983" hidden="1" ht="15.95" customHeight="1">
      <c r="A983" s="465" t="s">
        <v>2848</v>
      </c>
      <c r="B983" s="465" t="s">
        <v>2820</v>
      </c>
      <c r="C983" s="465"/>
      <c r="D983" s="465" t="s">
        <v>825</v>
      </c>
      <c r="E983" s="465" t="s">
        <v>2837</v>
      </c>
      <c r="F983" s="465" t="s">
        <v>2838</v>
      </c>
      <c r="G983" s="465" t="s">
        <v>2684</v>
      </c>
      <c r="H983" s="465" t="s">
        <v>183</v>
      </c>
      <c r="I983" s="465" t="s">
        <v>830</v>
      </c>
    </row>
    <row r="984" hidden="1" ht="15.95" customHeight="1">
      <c r="A984" s="465" t="s">
        <v>2849</v>
      </c>
      <c r="B984" s="465" t="s">
        <v>2850</v>
      </c>
      <c r="C984" s="465"/>
      <c r="D984" s="465" t="s">
        <v>825</v>
      </c>
      <c r="E984" s="465" t="s">
        <v>2837</v>
      </c>
      <c r="F984" s="465" t="s">
        <v>2838</v>
      </c>
      <c r="G984" s="465" t="s">
        <v>2684</v>
      </c>
      <c r="H984" s="465" t="s">
        <v>183</v>
      </c>
      <c r="I984" s="465" t="s">
        <v>830</v>
      </c>
    </row>
    <row r="985" hidden="1" ht="15.95" customHeight="1">
      <c r="A985" s="465" t="s">
        <v>2851</v>
      </c>
      <c r="B985" s="465" t="s">
        <v>2852</v>
      </c>
      <c r="C985" s="465"/>
      <c r="D985" s="465" t="s">
        <v>825</v>
      </c>
      <c r="E985" s="465" t="s">
        <v>2837</v>
      </c>
      <c r="F985" s="465" t="s">
        <v>2838</v>
      </c>
      <c r="G985" s="465" t="s">
        <v>2684</v>
      </c>
      <c r="H985" s="465" t="s">
        <v>183</v>
      </c>
      <c r="I985" s="465" t="s">
        <v>830</v>
      </c>
    </row>
    <row r="986" hidden="1" ht="15.95" customHeight="1">
      <c r="A986" s="465" t="s">
        <v>2853</v>
      </c>
      <c r="B986" s="465" t="s">
        <v>2789</v>
      </c>
      <c r="C986" s="465"/>
      <c r="D986" s="465" t="s">
        <v>825</v>
      </c>
      <c r="E986" s="465" t="s">
        <v>2837</v>
      </c>
      <c r="F986" s="465" t="s">
        <v>2838</v>
      </c>
      <c r="G986" s="465" t="s">
        <v>2684</v>
      </c>
      <c r="H986" s="465" t="s">
        <v>183</v>
      </c>
      <c r="I986" s="465" t="s">
        <v>830</v>
      </c>
    </row>
    <row r="987" hidden="1" ht="15.95" customHeight="1">
      <c r="A987" s="465" t="s">
        <v>2854</v>
      </c>
      <c r="B987" s="465" t="s">
        <v>2777</v>
      </c>
      <c r="C987" s="465"/>
      <c r="D987" s="465" t="s">
        <v>825</v>
      </c>
      <c r="E987" s="465" t="s">
        <v>2837</v>
      </c>
      <c r="F987" s="465" t="s">
        <v>2838</v>
      </c>
      <c r="G987" s="465" t="s">
        <v>2684</v>
      </c>
      <c r="H987" s="465" t="s">
        <v>183</v>
      </c>
      <c r="I987" s="465" t="s">
        <v>830</v>
      </c>
    </row>
    <row r="988" hidden="1" ht="15.95" customHeight="1">
      <c r="A988" s="465" t="s">
        <v>2855</v>
      </c>
      <c r="B988" s="465" t="s">
        <v>2856</v>
      </c>
      <c r="C988" s="465"/>
      <c r="D988" s="465" t="s">
        <v>825</v>
      </c>
      <c r="E988" s="465" t="s">
        <v>2857</v>
      </c>
      <c r="F988" s="465" t="s">
        <v>2858</v>
      </c>
      <c r="G988" s="465" t="s">
        <v>2684</v>
      </c>
      <c r="H988" s="465" t="s">
        <v>183</v>
      </c>
      <c r="I988" s="465" t="s">
        <v>830</v>
      </c>
    </row>
    <row r="989" hidden="1" ht="15.95" customHeight="1">
      <c r="A989" s="465" t="s">
        <v>2859</v>
      </c>
      <c r="B989" s="465" t="s">
        <v>2860</v>
      </c>
      <c r="C989" s="465"/>
      <c r="D989" s="465" t="s">
        <v>825</v>
      </c>
      <c r="E989" s="465" t="s">
        <v>2857</v>
      </c>
      <c r="F989" s="465" t="s">
        <v>2858</v>
      </c>
      <c r="G989" s="465" t="s">
        <v>2684</v>
      </c>
      <c r="H989" s="465" t="s">
        <v>183</v>
      </c>
      <c r="I989" s="465" t="s">
        <v>830</v>
      </c>
    </row>
    <row r="990" hidden="1" ht="15.95" customHeight="1">
      <c r="A990" s="465" t="s">
        <v>2861</v>
      </c>
      <c r="B990" s="465" t="s">
        <v>2862</v>
      </c>
      <c r="C990" s="465"/>
      <c r="D990" s="465" t="s">
        <v>825</v>
      </c>
      <c r="E990" s="465" t="s">
        <v>2857</v>
      </c>
      <c r="F990" s="465" t="s">
        <v>2858</v>
      </c>
      <c r="G990" s="465" t="s">
        <v>2684</v>
      </c>
      <c r="H990" s="465" t="s">
        <v>183</v>
      </c>
      <c r="I990" s="465" t="s">
        <v>830</v>
      </c>
    </row>
    <row r="991" hidden="1" ht="15.95" customHeight="1">
      <c r="A991" s="465" t="s">
        <v>2863</v>
      </c>
      <c r="B991" s="465" t="s">
        <v>2864</v>
      </c>
      <c r="C991" s="465"/>
      <c r="D991" s="465" t="s">
        <v>825</v>
      </c>
      <c r="E991" s="465" t="s">
        <v>2857</v>
      </c>
      <c r="F991" s="465" t="s">
        <v>2858</v>
      </c>
      <c r="G991" s="465" t="s">
        <v>2684</v>
      </c>
      <c r="H991" s="465" t="s">
        <v>183</v>
      </c>
      <c r="I991" s="465" t="s">
        <v>830</v>
      </c>
    </row>
    <row r="992" hidden="1" ht="15.95" customHeight="1">
      <c r="A992" s="465" t="s">
        <v>2865</v>
      </c>
      <c r="B992" s="465" t="s">
        <v>2866</v>
      </c>
      <c r="C992" s="465"/>
      <c r="D992" s="465" t="s">
        <v>825</v>
      </c>
      <c r="E992" s="465" t="s">
        <v>2857</v>
      </c>
      <c r="F992" s="465" t="s">
        <v>2858</v>
      </c>
      <c r="G992" s="465" t="s">
        <v>2684</v>
      </c>
      <c r="H992" s="465" t="s">
        <v>183</v>
      </c>
      <c r="I992" s="465" t="s">
        <v>830</v>
      </c>
    </row>
    <row r="993" hidden="1" ht="15.95" customHeight="1">
      <c r="A993" s="465" t="s">
        <v>2867</v>
      </c>
      <c r="B993" s="465" t="s">
        <v>2868</v>
      </c>
      <c r="C993" s="465"/>
      <c r="D993" s="465" t="s">
        <v>825</v>
      </c>
      <c r="E993" s="465" t="s">
        <v>2857</v>
      </c>
      <c r="F993" s="465" t="s">
        <v>2858</v>
      </c>
      <c r="G993" s="465" t="s">
        <v>2684</v>
      </c>
      <c r="H993" s="465" t="s">
        <v>183</v>
      </c>
      <c r="I993" s="465" t="s">
        <v>830</v>
      </c>
    </row>
    <row r="994" hidden="1" ht="15.95" customHeight="1">
      <c r="A994" s="465" t="s">
        <v>2869</v>
      </c>
      <c r="B994" s="465" t="s">
        <v>2870</v>
      </c>
      <c r="C994" s="465"/>
      <c r="D994" s="465" t="s">
        <v>825</v>
      </c>
      <c r="E994" s="465" t="s">
        <v>2857</v>
      </c>
      <c r="F994" s="465" t="s">
        <v>2858</v>
      </c>
      <c r="G994" s="465" t="s">
        <v>2684</v>
      </c>
      <c r="H994" s="465" t="s">
        <v>183</v>
      </c>
      <c r="I994" s="465" t="s">
        <v>830</v>
      </c>
    </row>
    <row r="995" hidden="1" ht="15.95" customHeight="1">
      <c r="A995" s="465" t="s">
        <v>2871</v>
      </c>
      <c r="B995" s="465" t="s">
        <v>2872</v>
      </c>
      <c r="C995" s="465"/>
      <c r="D995" s="465" t="s">
        <v>825</v>
      </c>
      <c r="E995" s="465" t="s">
        <v>2857</v>
      </c>
      <c r="F995" s="465" t="s">
        <v>2858</v>
      </c>
      <c r="G995" s="465" t="s">
        <v>2684</v>
      </c>
      <c r="H995" s="465" t="s">
        <v>183</v>
      </c>
      <c r="I995" s="465" t="s">
        <v>830</v>
      </c>
    </row>
    <row r="996" hidden="1" ht="15.95" customHeight="1">
      <c r="A996" s="465" t="s">
        <v>2873</v>
      </c>
      <c r="B996" s="465" t="s">
        <v>2874</v>
      </c>
      <c r="C996" s="465"/>
      <c r="D996" s="465" t="s">
        <v>825</v>
      </c>
      <c r="E996" s="465" t="s">
        <v>2857</v>
      </c>
      <c r="F996" s="465" t="s">
        <v>2858</v>
      </c>
      <c r="G996" s="465" t="s">
        <v>2684</v>
      </c>
      <c r="H996" s="465" t="s">
        <v>183</v>
      </c>
      <c r="I996" s="465" t="s">
        <v>830</v>
      </c>
    </row>
    <row r="997" hidden="1" ht="15.95" customHeight="1">
      <c r="A997" s="465" t="s">
        <v>2875</v>
      </c>
      <c r="B997" s="465" t="s">
        <v>2876</v>
      </c>
      <c r="C997" s="465"/>
      <c r="D997" s="465" t="s">
        <v>825</v>
      </c>
      <c r="E997" s="465" t="s">
        <v>2857</v>
      </c>
      <c r="F997" s="465" t="s">
        <v>2858</v>
      </c>
      <c r="G997" s="465" t="s">
        <v>2684</v>
      </c>
      <c r="H997" s="465" t="s">
        <v>183</v>
      </c>
      <c r="I997" s="465" t="s">
        <v>830</v>
      </c>
    </row>
    <row r="998" hidden="1" ht="15.95" customHeight="1">
      <c r="A998" s="465" t="s">
        <v>2877</v>
      </c>
      <c r="B998" s="465" t="s">
        <v>2878</v>
      </c>
      <c r="C998" s="465"/>
      <c r="D998" s="465" t="s">
        <v>825</v>
      </c>
      <c r="E998" s="465" t="s">
        <v>2857</v>
      </c>
      <c r="F998" s="465" t="s">
        <v>2858</v>
      </c>
      <c r="G998" s="465" t="s">
        <v>2684</v>
      </c>
      <c r="H998" s="465" t="s">
        <v>183</v>
      </c>
      <c r="I998" s="465" t="s">
        <v>830</v>
      </c>
    </row>
    <row r="999" hidden="1" ht="15.95" customHeight="1">
      <c r="A999" s="465" t="s">
        <v>2879</v>
      </c>
      <c r="B999" s="465" t="s">
        <v>2796</v>
      </c>
      <c r="C999" s="465"/>
      <c r="D999" s="465" t="s">
        <v>825</v>
      </c>
      <c r="E999" s="465" t="s">
        <v>2880</v>
      </c>
      <c r="F999" s="465" t="s">
        <v>2881</v>
      </c>
      <c r="G999" s="465" t="s">
        <v>2684</v>
      </c>
      <c r="H999" s="465" t="s">
        <v>183</v>
      </c>
      <c r="I999" s="465" t="s">
        <v>830</v>
      </c>
    </row>
    <row r="1000" hidden="1" ht="15.95" customHeight="1">
      <c r="A1000" s="465" t="s">
        <v>2882</v>
      </c>
      <c r="B1000" s="465" t="s">
        <v>2792</v>
      </c>
      <c r="C1000" s="465"/>
      <c r="D1000" s="465" t="s">
        <v>825</v>
      </c>
      <c r="E1000" s="465" t="s">
        <v>2880</v>
      </c>
      <c r="F1000" s="465" t="s">
        <v>2881</v>
      </c>
      <c r="G1000" s="465" t="s">
        <v>2684</v>
      </c>
      <c r="H1000" s="465" t="s">
        <v>183</v>
      </c>
      <c r="I1000" s="465" t="s">
        <v>830</v>
      </c>
    </row>
    <row r="1001" hidden="1" ht="15.95" customHeight="1">
      <c r="A1001" s="465" t="s">
        <v>2883</v>
      </c>
      <c r="B1001" s="465" t="s">
        <v>2852</v>
      </c>
      <c r="C1001" s="465"/>
      <c r="D1001" s="465" t="s">
        <v>825</v>
      </c>
      <c r="E1001" s="465" t="s">
        <v>2880</v>
      </c>
      <c r="F1001" s="465" t="s">
        <v>2881</v>
      </c>
      <c r="G1001" s="465" t="s">
        <v>2684</v>
      </c>
      <c r="H1001" s="465" t="s">
        <v>183</v>
      </c>
      <c r="I1001" s="465" t="s">
        <v>830</v>
      </c>
    </row>
    <row r="1002" hidden="1" ht="15.95" customHeight="1">
      <c r="A1002" s="465" t="s">
        <v>2884</v>
      </c>
      <c r="B1002" s="465" t="s">
        <v>2794</v>
      </c>
      <c r="C1002" s="465"/>
      <c r="D1002" s="465" t="s">
        <v>825</v>
      </c>
      <c r="E1002" s="465" t="s">
        <v>2880</v>
      </c>
      <c r="F1002" s="465" t="s">
        <v>2881</v>
      </c>
      <c r="G1002" s="465" t="s">
        <v>2684</v>
      </c>
      <c r="H1002" s="465" t="s">
        <v>183</v>
      </c>
      <c r="I1002" s="465" t="s">
        <v>830</v>
      </c>
    </row>
    <row r="1003" hidden="1" ht="15.95" customHeight="1">
      <c r="A1003" s="465" t="s">
        <v>2885</v>
      </c>
      <c r="B1003" s="465" t="s">
        <v>2803</v>
      </c>
      <c r="C1003" s="465"/>
      <c r="D1003" s="465" t="s">
        <v>825</v>
      </c>
      <c r="E1003" s="465" t="s">
        <v>2880</v>
      </c>
      <c r="F1003" s="465" t="s">
        <v>2881</v>
      </c>
      <c r="G1003" s="465" t="s">
        <v>2684</v>
      </c>
      <c r="H1003" s="465" t="s">
        <v>183</v>
      </c>
      <c r="I1003" s="465" t="s">
        <v>830</v>
      </c>
    </row>
    <row r="1004" hidden="1" ht="15.95" customHeight="1">
      <c r="A1004" s="465" t="s">
        <v>2886</v>
      </c>
      <c r="B1004" s="465" t="s">
        <v>2798</v>
      </c>
      <c r="C1004" s="465"/>
      <c r="D1004" s="465" t="s">
        <v>825</v>
      </c>
      <c r="E1004" s="465" t="s">
        <v>2880</v>
      </c>
      <c r="F1004" s="465" t="s">
        <v>2881</v>
      </c>
      <c r="G1004" s="465" t="s">
        <v>2684</v>
      </c>
      <c r="H1004" s="465" t="s">
        <v>183</v>
      </c>
      <c r="I1004" s="465" t="s">
        <v>830</v>
      </c>
    </row>
    <row r="1005" hidden="1" ht="15.95" customHeight="1">
      <c r="A1005" s="465" t="s">
        <v>2887</v>
      </c>
      <c r="B1005" s="465" t="s">
        <v>2824</v>
      </c>
      <c r="C1005" s="465"/>
      <c r="D1005" s="465" t="s">
        <v>825</v>
      </c>
      <c r="E1005" s="465" t="s">
        <v>2880</v>
      </c>
      <c r="F1005" s="465" t="s">
        <v>2881</v>
      </c>
      <c r="G1005" s="465" t="s">
        <v>2684</v>
      </c>
      <c r="H1005" s="465" t="s">
        <v>183</v>
      </c>
      <c r="I1005" s="465" t="s">
        <v>830</v>
      </c>
    </row>
    <row r="1006" hidden="1" ht="15.95" customHeight="1">
      <c r="A1006" s="465" t="s">
        <v>2888</v>
      </c>
      <c r="B1006" s="465" t="s">
        <v>2850</v>
      </c>
      <c r="C1006" s="465"/>
      <c r="D1006" s="465" t="s">
        <v>825</v>
      </c>
      <c r="E1006" s="465" t="s">
        <v>2880</v>
      </c>
      <c r="F1006" s="465" t="s">
        <v>2881</v>
      </c>
      <c r="G1006" s="465" t="s">
        <v>2684</v>
      </c>
      <c r="H1006" s="465" t="s">
        <v>183</v>
      </c>
      <c r="I1006" s="465" t="s">
        <v>830</v>
      </c>
    </row>
    <row r="1007" hidden="1" ht="15.95" customHeight="1">
      <c r="A1007" s="465" t="s">
        <v>2889</v>
      </c>
      <c r="B1007" s="465" t="s">
        <v>2777</v>
      </c>
      <c r="C1007" s="465"/>
      <c r="D1007" s="465" t="s">
        <v>825</v>
      </c>
      <c r="E1007" s="465" t="s">
        <v>2880</v>
      </c>
      <c r="F1007" s="465" t="s">
        <v>2881</v>
      </c>
      <c r="G1007" s="465" t="s">
        <v>2684</v>
      </c>
      <c r="H1007" s="465" t="s">
        <v>183</v>
      </c>
      <c r="I1007" s="465" t="s">
        <v>830</v>
      </c>
    </row>
    <row r="1008" hidden="1" ht="15.95" customHeight="1">
      <c r="A1008" s="465" t="s">
        <v>2890</v>
      </c>
      <c r="B1008" s="465" t="s">
        <v>1274</v>
      </c>
      <c r="C1008" s="465"/>
      <c r="D1008" s="465" t="s">
        <v>825</v>
      </c>
      <c r="E1008" s="465" t="s">
        <v>2880</v>
      </c>
      <c r="F1008" s="465" t="s">
        <v>2881</v>
      </c>
      <c r="G1008" s="465" t="s">
        <v>2684</v>
      </c>
      <c r="H1008" s="465" t="s">
        <v>183</v>
      </c>
      <c r="I1008" s="465" t="s">
        <v>830</v>
      </c>
    </row>
    <row r="1009" hidden="1" ht="15.95" customHeight="1">
      <c r="A1009" s="465" t="s">
        <v>2891</v>
      </c>
      <c r="B1009" s="465" t="s">
        <v>1276</v>
      </c>
      <c r="C1009" s="465"/>
      <c r="D1009" s="465" t="s">
        <v>825</v>
      </c>
      <c r="E1009" s="465" t="s">
        <v>2880</v>
      </c>
      <c r="F1009" s="465" t="s">
        <v>2881</v>
      </c>
      <c r="G1009" s="465" t="s">
        <v>2684</v>
      </c>
      <c r="H1009" s="465" t="s">
        <v>183</v>
      </c>
      <c r="I1009" s="465" t="s">
        <v>830</v>
      </c>
    </row>
    <row r="1010" hidden="1" ht="15.95" customHeight="1">
      <c r="A1010" s="465" t="s">
        <v>2892</v>
      </c>
      <c r="B1010" s="465" t="s">
        <v>2783</v>
      </c>
      <c r="C1010" s="465"/>
      <c r="D1010" s="465" t="s">
        <v>825</v>
      </c>
      <c r="E1010" s="465" t="s">
        <v>2880</v>
      </c>
      <c r="F1010" s="465" t="s">
        <v>2881</v>
      </c>
      <c r="G1010" s="465" t="s">
        <v>2684</v>
      </c>
      <c r="H1010" s="465" t="s">
        <v>183</v>
      </c>
      <c r="I1010" s="465" t="s">
        <v>830</v>
      </c>
    </row>
    <row r="1011" hidden="1" ht="15.95" customHeight="1">
      <c r="A1011" s="465" t="s">
        <v>2893</v>
      </c>
      <c r="B1011" s="465" t="s">
        <v>2789</v>
      </c>
      <c r="C1011" s="465"/>
      <c r="D1011" s="465" t="s">
        <v>825</v>
      </c>
      <c r="E1011" s="465" t="s">
        <v>2880</v>
      </c>
      <c r="F1011" s="465" t="s">
        <v>2881</v>
      </c>
      <c r="G1011" s="465" t="s">
        <v>2684</v>
      </c>
      <c r="H1011" s="465" t="s">
        <v>183</v>
      </c>
      <c r="I1011" s="465" t="s">
        <v>830</v>
      </c>
    </row>
    <row r="1012" hidden="1" ht="15.95" customHeight="1">
      <c r="A1012" s="465" t="s">
        <v>2894</v>
      </c>
      <c r="B1012" s="465" t="s">
        <v>1260</v>
      </c>
      <c r="C1012" s="465"/>
      <c r="D1012" s="465" t="s">
        <v>825</v>
      </c>
      <c r="E1012" s="465" t="s">
        <v>2880</v>
      </c>
      <c r="F1012" s="465" t="s">
        <v>2881</v>
      </c>
      <c r="G1012" s="465" t="s">
        <v>2684</v>
      </c>
      <c r="H1012" s="465" t="s">
        <v>183</v>
      </c>
      <c r="I1012" s="465" t="s">
        <v>830</v>
      </c>
    </row>
    <row r="1013" hidden="1" ht="15.95" customHeight="1">
      <c r="A1013" s="465" t="s">
        <v>2895</v>
      </c>
      <c r="B1013" s="465" t="s">
        <v>2781</v>
      </c>
      <c r="C1013" s="465"/>
      <c r="D1013" s="465" t="s">
        <v>825</v>
      </c>
      <c r="E1013" s="465" t="s">
        <v>2880</v>
      </c>
      <c r="F1013" s="465" t="s">
        <v>2881</v>
      </c>
      <c r="G1013" s="465" t="s">
        <v>2684</v>
      </c>
      <c r="H1013" s="465" t="s">
        <v>183</v>
      </c>
      <c r="I1013" s="465" t="s">
        <v>830</v>
      </c>
    </row>
    <row r="1014" ht="15.95" customHeight="1">
      <c r="A1014" s="465" t="s">
        <v>2896</v>
      </c>
      <c r="B1014" s="465" t="s">
        <v>2897</v>
      </c>
      <c r="C1014" s="465"/>
      <c r="D1014" s="465" t="s">
        <v>825</v>
      </c>
      <c r="E1014" s="465" t="s">
        <v>2898</v>
      </c>
      <c r="F1014" s="465" t="s">
        <v>184</v>
      </c>
      <c r="G1014" s="465" t="s">
        <v>2684</v>
      </c>
      <c r="H1014" s="465" t="s">
        <v>183</v>
      </c>
      <c r="I1014" s="465" t="s">
        <v>830</v>
      </c>
    </row>
    <row r="1015" ht="15.95" customHeight="1">
      <c r="A1015" s="465" t="s">
        <v>2899</v>
      </c>
      <c r="B1015" s="465" t="s">
        <v>185</v>
      </c>
      <c r="C1015" s="465"/>
      <c r="D1015" s="465" t="s">
        <v>825</v>
      </c>
      <c r="E1015" s="465" t="s">
        <v>2898</v>
      </c>
      <c r="F1015" s="465" t="s">
        <v>184</v>
      </c>
      <c r="G1015" s="465" t="s">
        <v>2684</v>
      </c>
      <c r="H1015" s="465" t="s">
        <v>183</v>
      </c>
      <c r="I1015" s="465" t="s">
        <v>830</v>
      </c>
    </row>
    <row r="1016" ht="15.95" customHeight="1">
      <c r="A1016" s="465" t="s">
        <v>2900</v>
      </c>
      <c r="B1016" s="465" t="s">
        <v>2134</v>
      </c>
      <c r="C1016" s="465"/>
      <c r="D1016" s="465" t="s">
        <v>825</v>
      </c>
      <c r="E1016" s="465" t="s">
        <v>2898</v>
      </c>
      <c r="F1016" s="465" t="s">
        <v>184</v>
      </c>
      <c r="G1016" s="465" t="s">
        <v>2684</v>
      </c>
      <c r="H1016" s="465" t="s">
        <v>183</v>
      </c>
      <c r="I1016" s="465" t="s">
        <v>830</v>
      </c>
    </row>
    <row r="1017" ht="15.95" customHeight="1">
      <c r="A1017" s="465" t="s">
        <v>2901</v>
      </c>
      <c r="B1017" s="465" t="s">
        <v>2902</v>
      </c>
      <c r="C1017" s="465"/>
      <c r="D1017" s="465" t="s">
        <v>825</v>
      </c>
      <c r="E1017" s="465" t="s">
        <v>2898</v>
      </c>
      <c r="F1017" s="465" t="s">
        <v>184</v>
      </c>
      <c r="G1017" s="465" t="s">
        <v>2684</v>
      </c>
      <c r="H1017" s="465" t="s">
        <v>183</v>
      </c>
      <c r="I1017" s="465" t="s">
        <v>830</v>
      </c>
    </row>
    <row r="1018" ht="15.95" customHeight="1">
      <c r="A1018" s="465" t="s">
        <v>2903</v>
      </c>
      <c r="B1018" s="465" t="s">
        <v>2904</v>
      </c>
      <c r="C1018" s="465"/>
      <c r="D1018" s="465" t="s">
        <v>825</v>
      </c>
      <c r="E1018" s="465" t="s">
        <v>2898</v>
      </c>
      <c r="F1018" s="465" t="s">
        <v>184</v>
      </c>
      <c r="G1018" s="465" t="s">
        <v>2684</v>
      </c>
      <c r="H1018" s="465" t="s">
        <v>183</v>
      </c>
      <c r="I1018" s="465" t="s">
        <v>830</v>
      </c>
    </row>
    <row r="1019" ht="15.95" customHeight="1">
      <c r="A1019" s="465" t="s">
        <v>2905</v>
      </c>
      <c r="B1019" s="465" t="s">
        <v>2906</v>
      </c>
      <c r="C1019" s="465"/>
      <c r="D1019" s="465" t="s">
        <v>825</v>
      </c>
      <c r="E1019" s="465" t="s">
        <v>2898</v>
      </c>
      <c r="F1019" s="465" t="s">
        <v>184</v>
      </c>
      <c r="G1019" s="465" t="s">
        <v>2684</v>
      </c>
      <c r="H1019" s="465" t="s">
        <v>183</v>
      </c>
      <c r="I1019" s="465" t="s">
        <v>830</v>
      </c>
    </row>
    <row r="1020" ht="15.95" customHeight="1">
      <c r="A1020" s="465" t="s">
        <v>2907</v>
      </c>
      <c r="B1020" s="465" t="s">
        <v>2908</v>
      </c>
      <c r="C1020" s="465"/>
      <c r="D1020" s="465" t="s">
        <v>825</v>
      </c>
      <c r="E1020" s="465" t="s">
        <v>2898</v>
      </c>
      <c r="F1020" s="465" t="s">
        <v>184</v>
      </c>
      <c r="G1020" s="465" t="s">
        <v>2684</v>
      </c>
      <c r="H1020" s="465" t="s">
        <v>183</v>
      </c>
      <c r="I1020" s="465" t="s">
        <v>830</v>
      </c>
    </row>
    <row r="1021" ht="15.95" customHeight="1">
      <c r="A1021" s="465" t="s">
        <v>2909</v>
      </c>
      <c r="B1021" s="465" t="s">
        <v>2910</v>
      </c>
      <c r="C1021" s="465"/>
      <c r="D1021" s="465" t="s">
        <v>825</v>
      </c>
      <c r="E1021" s="465" t="s">
        <v>2898</v>
      </c>
      <c r="F1021" s="465" t="s">
        <v>184</v>
      </c>
      <c r="G1021" s="465" t="s">
        <v>2684</v>
      </c>
      <c r="H1021" s="465" t="s">
        <v>183</v>
      </c>
      <c r="I1021" s="465" t="s">
        <v>830</v>
      </c>
    </row>
    <row r="1022" ht="15.95" customHeight="1">
      <c r="A1022" s="465" t="s">
        <v>2911</v>
      </c>
      <c r="B1022" s="465" t="s">
        <v>2912</v>
      </c>
      <c r="C1022" s="465"/>
      <c r="D1022" s="465" t="s">
        <v>825</v>
      </c>
      <c r="E1022" s="465" t="s">
        <v>2898</v>
      </c>
      <c r="F1022" s="465" t="s">
        <v>184</v>
      </c>
      <c r="G1022" s="465" t="s">
        <v>2684</v>
      </c>
      <c r="H1022" s="465" t="s">
        <v>183</v>
      </c>
      <c r="I1022" s="465" t="s">
        <v>830</v>
      </c>
    </row>
    <row r="1023" ht="15.95" customHeight="1">
      <c r="A1023" s="465" t="s">
        <v>2913</v>
      </c>
      <c r="B1023" s="465" t="s">
        <v>2914</v>
      </c>
      <c r="C1023" s="465"/>
      <c r="D1023" s="465" t="s">
        <v>825</v>
      </c>
      <c r="E1023" s="465" t="s">
        <v>2898</v>
      </c>
      <c r="F1023" s="465" t="s">
        <v>184</v>
      </c>
      <c r="G1023" s="465" t="s">
        <v>2684</v>
      </c>
      <c r="H1023" s="465" t="s">
        <v>183</v>
      </c>
      <c r="I1023" s="465" t="s">
        <v>830</v>
      </c>
    </row>
    <row r="1024" ht="15.95" customHeight="1">
      <c r="A1024" s="465" t="s">
        <v>2915</v>
      </c>
      <c r="B1024" s="465" t="s">
        <v>2916</v>
      </c>
      <c r="C1024" s="465"/>
      <c r="D1024" s="465" t="s">
        <v>825</v>
      </c>
      <c r="E1024" s="465" t="s">
        <v>2898</v>
      </c>
      <c r="F1024" s="465" t="s">
        <v>184</v>
      </c>
      <c r="G1024" s="465" t="s">
        <v>2684</v>
      </c>
      <c r="H1024" s="465" t="s">
        <v>183</v>
      </c>
      <c r="I1024" s="465" t="s">
        <v>830</v>
      </c>
    </row>
    <row r="1025" hidden="1" ht="15.95" customHeight="1">
      <c r="A1025" s="465" t="s">
        <v>2917</v>
      </c>
      <c r="B1025" s="465" t="s">
        <v>2850</v>
      </c>
      <c r="C1025" s="465"/>
      <c r="D1025" s="465" t="s">
        <v>825</v>
      </c>
      <c r="E1025" s="465" t="s">
        <v>2918</v>
      </c>
      <c r="F1025" s="465" t="s">
        <v>2919</v>
      </c>
      <c r="G1025" s="465" t="s">
        <v>2684</v>
      </c>
      <c r="H1025" s="465" t="s">
        <v>183</v>
      </c>
      <c r="I1025" s="465" t="s">
        <v>830</v>
      </c>
    </row>
    <row r="1026" hidden="1" ht="15.95" customHeight="1">
      <c r="A1026" s="465" t="s">
        <v>2920</v>
      </c>
      <c r="B1026" s="465" t="s">
        <v>2794</v>
      </c>
      <c r="C1026" s="465"/>
      <c r="D1026" s="465" t="s">
        <v>825</v>
      </c>
      <c r="E1026" s="465" t="s">
        <v>2918</v>
      </c>
      <c r="F1026" s="465" t="s">
        <v>2919</v>
      </c>
      <c r="G1026" s="465" t="s">
        <v>2684</v>
      </c>
      <c r="H1026" s="465" t="s">
        <v>183</v>
      </c>
      <c r="I1026" s="465" t="s">
        <v>830</v>
      </c>
    </row>
    <row r="1027" hidden="1" ht="15.95" customHeight="1">
      <c r="A1027" s="465" t="s">
        <v>2921</v>
      </c>
      <c r="B1027" s="465" t="s">
        <v>2789</v>
      </c>
      <c r="C1027" s="465"/>
      <c r="D1027" s="465" t="s">
        <v>825</v>
      </c>
      <c r="E1027" s="465" t="s">
        <v>2918</v>
      </c>
      <c r="F1027" s="465" t="s">
        <v>2919</v>
      </c>
      <c r="G1027" s="465" t="s">
        <v>2684</v>
      </c>
      <c r="H1027" s="465" t="s">
        <v>183</v>
      </c>
      <c r="I1027" s="465" t="s">
        <v>830</v>
      </c>
    </row>
    <row r="1028" hidden="1" ht="15.95" customHeight="1">
      <c r="A1028" s="465" t="s">
        <v>2922</v>
      </c>
      <c r="B1028" s="465" t="s">
        <v>1260</v>
      </c>
      <c r="C1028" s="465"/>
      <c r="D1028" s="465" t="s">
        <v>825</v>
      </c>
      <c r="E1028" s="465" t="s">
        <v>2918</v>
      </c>
      <c r="F1028" s="465" t="s">
        <v>2919</v>
      </c>
      <c r="G1028" s="465" t="s">
        <v>2684</v>
      </c>
      <c r="H1028" s="465" t="s">
        <v>183</v>
      </c>
      <c r="I1028" s="465" t="s">
        <v>830</v>
      </c>
    </row>
    <row r="1029" hidden="1" ht="15.95" customHeight="1">
      <c r="A1029" s="465" t="s">
        <v>2923</v>
      </c>
      <c r="B1029" s="465" t="s">
        <v>1276</v>
      </c>
      <c r="C1029" s="465"/>
      <c r="D1029" s="465" t="s">
        <v>825</v>
      </c>
      <c r="E1029" s="465" t="s">
        <v>2918</v>
      </c>
      <c r="F1029" s="465" t="s">
        <v>2919</v>
      </c>
      <c r="G1029" s="465" t="s">
        <v>2684</v>
      </c>
      <c r="H1029" s="465" t="s">
        <v>183</v>
      </c>
      <c r="I1029" s="465" t="s">
        <v>830</v>
      </c>
    </row>
    <row r="1030" hidden="1" ht="15.95" customHeight="1">
      <c r="A1030" s="465" t="s">
        <v>2924</v>
      </c>
      <c r="B1030" s="465" t="s">
        <v>2781</v>
      </c>
      <c r="C1030" s="465"/>
      <c r="D1030" s="465" t="s">
        <v>825</v>
      </c>
      <c r="E1030" s="465" t="s">
        <v>2918</v>
      </c>
      <c r="F1030" s="465" t="s">
        <v>2919</v>
      </c>
      <c r="G1030" s="465" t="s">
        <v>2684</v>
      </c>
      <c r="H1030" s="465" t="s">
        <v>183</v>
      </c>
      <c r="I1030" s="465" t="s">
        <v>830</v>
      </c>
    </row>
    <row r="1031" hidden="1" ht="15.95" customHeight="1">
      <c r="A1031" s="465" t="s">
        <v>2925</v>
      </c>
      <c r="B1031" s="465" t="s">
        <v>2820</v>
      </c>
      <c r="C1031" s="465"/>
      <c r="D1031" s="465" t="s">
        <v>825</v>
      </c>
      <c r="E1031" s="465" t="s">
        <v>2918</v>
      </c>
      <c r="F1031" s="465" t="s">
        <v>2919</v>
      </c>
      <c r="G1031" s="465" t="s">
        <v>2684</v>
      </c>
      <c r="H1031" s="465" t="s">
        <v>183</v>
      </c>
      <c r="I1031" s="465" t="s">
        <v>830</v>
      </c>
    </row>
    <row r="1032" hidden="1" ht="15.95" customHeight="1">
      <c r="A1032" s="465" t="s">
        <v>2926</v>
      </c>
      <c r="B1032" s="465" t="s">
        <v>2852</v>
      </c>
      <c r="C1032" s="465"/>
      <c r="D1032" s="465" t="s">
        <v>825</v>
      </c>
      <c r="E1032" s="465" t="s">
        <v>2918</v>
      </c>
      <c r="F1032" s="465" t="s">
        <v>2919</v>
      </c>
      <c r="G1032" s="465" t="s">
        <v>2684</v>
      </c>
      <c r="H1032" s="465" t="s">
        <v>183</v>
      </c>
      <c r="I1032" s="465" t="s">
        <v>830</v>
      </c>
    </row>
    <row r="1033" hidden="1" ht="15.95" customHeight="1">
      <c r="A1033" s="465" t="s">
        <v>2927</v>
      </c>
      <c r="B1033" s="465" t="s">
        <v>1274</v>
      </c>
      <c r="C1033" s="465"/>
      <c r="D1033" s="465" t="s">
        <v>825</v>
      </c>
      <c r="E1033" s="465" t="s">
        <v>2918</v>
      </c>
      <c r="F1033" s="465" t="s">
        <v>2919</v>
      </c>
      <c r="G1033" s="465" t="s">
        <v>2684</v>
      </c>
      <c r="H1033" s="465" t="s">
        <v>183</v>
      </c>
      <c r="I1033" s="465" t="s">
        <v>830</v>
      </c>
    </row>
    <row r="1034" hidden="1" ht="15.95" customHeight="1">
      <c r="A1034" s="465" t="s">
        <v>2928</v>
      </c>
      <c r="B1034" s="465" t="s">
        <v>2796</v>
      </c>
      <c r="C1034" s="465"/>
      <c r="D1034" s="465" t="s">
        <v>825</v>
      </c>
      <c r="E1034" s="465" t="s">
        <v>2918</v>
      </c>
      <c r="F1034" s="465" t="s">
        <v>2919</v>
      </c>
      <c r="G1034" s="465" t="s">
        <v>2684</v>
      </c>
      <c r="H1034" s="465" t="s">
        <v>183</v>
      </c>
      <c r="I1034" s="465" t="s">
        <v>830</v>
      </c>
    </row>
    <row r="1035" hidden="1" ht="15.95" customHeight="1">
      <c r="A1035" s="465" t="s">
        <v>2929</v>
      </c>
      <c r="B1035" s="465" t="s">
        <v>2792</v>
      </c>
      <c r="C1035" s="465"/>
      <c r="D1035" s="465" t="s">
        <v>825</v>
      </c>
      <c r="E1035" s="465" t="s">
        <v>2918</v>
      </c>
      <c r="F1035" s="465" t="s">
        <v>2919</v>
      </c>
      <c r="G1035" s="465" t="s">
        <v>2684</v>
      </c>
      <c r="H1035" s="465" t="s">
        <v>183</v>
      </c>
      <c r="I1035" s="465" t="s">
        <v>830</v>
      </c>
    </row>
    <row r="1036" hidden="1" ht="15.95" customHeight="1">
      <c r="A1036" s="465" t="s">
        <v>2930</v>
      </c>
      <c r="B1036" s="465" t="s">
        <v>2803</v>
      </c>
      <c r="C1036" s="465"/>
      <c r="D1036" s="465" t="s">
        <v>825</v>
      </c>
      <c r="E1036" s="465" t="s">
        <v>2918</v>
      </c>
      <c r="F1036" s="465" t="s">
        <v>2919</v>
      </c>
      <c r="G1036" s="465" t="s">
        <v>2684</v>
      </c>
      <c r="H1036" s="465" t="s">
        <v>183</v>
      </c>
      <c r="I1036" s="465" t="s">
        <v>830</v>
      </c>
    </row>
    <row r="1037" hidden="1" ht="15.95" customHeight="1">
      <c r="A1037" s="465" t="s">
        <v>2931</v>
      </c>
      <c r="B1037" s="465" t="s">
        <v>2824</v>
      </c>
      <c r="C1037" s="465"/>
      <c r="D1037" s="465" t="s">
        <v>825</v>
      </c>
      <c r="E1037" s="465" t="s">
        <v>2918</v>
      </c>
      <c r="F1037" s="465" t="s">
        <v>2919</v>
      </c>
      <c r="G1037" s="465" t="s">
        <v>2684</v>
      </c>
      <c r="H1037" s="465" t="s">
        <v>183</v>
      </c>
      <c r="I1037" s="465" t="s">
        <v>830</v>
      </c>
    </row>
    <row r="1038" hidden="1" ht="15.95" customHeight="1">
      <c r="A1038" s="465" t="s">
        <v>2932</v>
      </c>
      <c r="B1038" s="465" t="s">
        <v>2798</v>
      </c>
      <c r="C1038" s="465"/>
      <c r="D1038" s="465" t="s">
        <v>825</v>
      </c>
      <c r="E1038" s="465" t="s">
        <v>2918</v>
      </c>
      <c r="F1038" s="465" t="s">
        <v>2919</v>
      </c>
      <c r="G1038" s="465" t="s">
        <v>2684</v>
      </c>
      <c r="H1038" s="465" t="s">
        <v>183</v>
      </c>
      <c r="I1038" s="465" t="s">
        <v>830</v>
      </c>
    </row>
    <row r="1039" hidden="1" ht="15.95" customHeight="1">
      <c r="A1039" s="465" t="s">
        <v>2933</v>
      </c>
      <c r="B1039" s="465" t="s">
        <v>2777</v>
      </c>
      <c r="C1039" s="465"/>
      <c r="D1039" s="465" t="s">
        <v>825</v>
      </c>
      <c r="E1039" s="465" t="s">
        <v>2934</v>
      </c>
      <c r="F1039" s="465" t="s">
        <v>2935</v>
      </c>
      <c r="G1039" s="465" t="s">
        <v>2684</v>
      </c>
      <c r="H1039" s="465" t="s">
        <v>183</v>
      </c>
      <c r="I1039" s="465" t="s">
        <v>830</v>
      </c>
    </row>
    <row r="1040" hidden="1" ht="15.95" customHeight="1">
      <c r="A1040" s="465" t="s">
        <v>2936</v>
      </c>
      <c r="B1040" s="465" t="s">
        <v>2781</v>
      </c>
      <c r="C1040" s="465"/>
      <c r="D1040" s="465" t="s">
        <v>825</v>
      </c>
      <c r="E1040" s="465" t="s">
        <v>2934</v>
      </c>
      <c r="F1040" s="465" t="s">
        <v>2935</v>
      </c>
      <c r="G1040" s="465" t="s">
        <v>2684</v>
      </c>
      <c r="H1040" s="465" t="s">
        <v>183</v>
      </c>
      <c r="I1040" s="465" t="s">
        <v>830</v>
      </c>
    </row>
    <row r="1041" hidden="1" ht="15.95" customHeight="1">
      <c r="A1041" s="465" t="s">
        <v>2937</v>
      </c>
      <c r="B1041" s="465" t="s">
        <v>2789</v>
      </c>
      <c r="C1041" s="465"/>
      <c r="D1041" s="465" t="s">
        <v>825</v>
      </c>
      <c r="E1041" s="465" t="s">
        <v>2934</v>
      </c>
      <c r="F1041" s="465" t="s">
        <v>2935</v>
      </c>
      <c r="G1041" s="465" t="s">
        <v>2684</v>
      </c>
      <c r="H1041" s="465" t="s">
        <v>183</v>
      </c>
      <c r="I1041" s="465" t="s">
        <v>830</v>
      </c>
    </row>
    <row r="1042" hidden="1" ht="15.95" customHeight="1">
      <c r="A1042" s="465" t="s">
        <v>2938</v>
      </c>
      <c r="B1042" s="465" t="s">
        <v>1260</v>
      </c>
      <c r="C1042" s="465"/>
      <c r="D1042" s="465" t="s">
        <v>825</v>
      </c>
      <c r="E1042" s="465" t="s">
        <v>2934</v>
      </c>
      <c r="F1042" s="465" t="s">
        <v>2935</v>
      </c>
      <c r="G1042" s="465" t="s">
        <v>2684</v>
      </c>
      <c r="H1042" s="465" t="s">
        <v>183</v>
      </c>
      <c r="I1042" s="465" t="s">
        <v>830</v>
      </c>
    </row>
    <row r="1043" hidden="1" ht="15.95" customHeight="1">
      <c r="A1043" s="465" t="s">
        <v>2939</v>
      </c>
      <c r="B1043" s="465" t="s">
        <v>1276</v>
      </c>
      <c r="C1043" s="465"/>
      <c r="D1043" s="465" t="s">
        <v>825</v>
      </c>
      <c r="E1043" s="465" t="s">
        <v>2934</v>
      </c>
      <c r="F1043" s="465" t="s">
        <v>2935</v>
      </c>
      <c r="G1043" s="465" t="s">
        <v>2684</v>
      </c>
      <c r="H1043" s="465" t="s">
        <v>183</v>
      </c>
      <c r="I1043" s="465" t="s">
        <v>830</v>
      </c>
    </row>
    <row r="1044" hidden="1" ht="15.95" customHeight="1">
      <c r="A1044" s="465" t="s">
        <v>2940</v>
      </c>
      <c r="B1044" s="465" t="s">
        <v>1274</v>
      </c>
      <c r="C1044" s="465"/>
      <c r="D1044" s="465" t="s">
        <v>825</v>
      </c>
      <c r="E1044" s="465" t="s">
        <v>2934</v>
      </c>
      <c r="F1044" s="465" t="s">
        <v>2935</v>
      </c>
      <c r="G1044" s="465" t="s">
        <v>2684</v>
      </c>
      <c r="H1044" s="465" t="s">
        <v>183</v>
      </c>
      <c r="I1044" s="465" t="s">
        <v>830</v>
      </c>
    </row>
    <row r="1045" hidden="1" ht="15.95" customHeight="1">
      <c r="A1045" s="465" t="s">
        <v>2941</v>
      </c>
      <c r="B1045" s="465" t="s">
        <v>2852</v>
      </c>
      <c r="C1045" s="465"/>
      <c r="D1045" s="465" t="s">
        <v>825</v>
      </c>
      <c r="E1045" s="465" t="s">
        <v>2934</v>
      </c>
      <c r="F1045" s="465" t="s">
        <v>2935</v>
      </c>
      <c r="G1045" s="465" t="s">
        <v>2684</v>
      </c>
      <c r="H1045" s="465" t="s">
        <v>183</v>
      </c>
      <c r="I1045" s="465" t="s">
        <v>830</v>
      </c>
    </row>
    <row r="1046" hidden="1" ht="15.95" customHeight="1">
      <c r="A1046" s="465" t="s">
        <v>2942</v>
      </c>
      <c r="B1046" s="465" t="s">
        <v>2798</v>
      </c>
      <c r="C1046" s="465"/>
      <c r="D1046" s="465" t="s">
        <v>825</v>
      </c>
      <c r="E1046" s="465" t="s">
        <v>2934</v>
      </c>
      <c r="F1046" s="465" t="s">
        <v>2935</v>
      </c>
      <c r="G1046" s="465" t="s">
        <v>2684</v>
      </c>
      <c r="H1046" s="465" t="s">
        <v>183</v>
      </c>
      <c r="I1046" s="465" t="s">
        <v>830</v>
      </c>
    </row>
    <row r="1047" hidden="1" ht="15.95" customHeight="1">
      <c r="A1047" s="465" t="s">
        <v>2943</v>
      </c>
      <c r="B1047" s="465" t="s">
        <v>2850</v>
      </c>
      <c r="C1047" s="465"/>
      <c r="D1047" s="465" t="s">
        <v>825</v>
      </c>
      <c r="E1047" s="465" t="s">
        <v>2934</v>
      </c>
      <c r="F1047" s="465" t="s">
        <v>2935</v>
      </c>
      <c r="G1047" s="465" t="s">
        <v>2684</v>
      </c>
      <c r="H1047" s="465" t="s">
        <v>183</v>
      </c>
      <c r="I1047" s="465" t="s">
        <v>830</v>
      </c>
    </row>
    <row r="1048" hidden="1" ht="15.95" customHeight="1">
      <c r="A1048" s="465" t="s">
        <v>2944</v>
      </c>
      <c r="B1048" s="465" t="s">
        <v>2824</v>
      </c>
      <c r="C1048" s="465"/>
      <c r="D1048" s="465" t="s">
        <v>825</v>
      </c>
      <c r="E1048" s="465" t="s">
        <v>2934</v>
      </c>
      <c r="F1048" s="465" t="s">
        <v>2935</v>
      </c>
      <c r="G1048" s="465" t="s">
        <v>2684</v>
      </c>
      <c r="H1048" s="465" t="s">
        <v>183</v>
      </c>
      <c r="I1048" s="465" t="s">
        <v>830</v>
      </c>
    </row>
    <row r="1049" hidden="1" ht="15.95" customHeight="1">
      <c r="A1049" s="465" t="s">
        <v>2945</v>
      </c>
      <c r="B1049" s="465" t="s">
        <v>2796</v>
      </c>
      <c r="C1049" s="465"/>
      <c r="D1049" s="465" t="s">
        <v>825</v>
      </c>
      <c r="E1049" s="465" t="s">
        <v>2934</v>
      </c>
      <c r="F1049" s="465" t="s">
        <v>2935</v>
      </c>
      <c r="G1049" s="465" t="s">
        <v>2684</v>
      </c>
      <c r="H1049" s="465" t="s">
        <v>183</v>
      </c>
      <c r="I1049" s="465" t="s">
        <v>830</v>
      </c>
    </row>
    <row r="1050" hidden="1" ht="15.95" customHeight="1">
      <c r="A1050" s="465" t="s">
        <v>2946</v>
      </c>
      <c r="B1050" s="465" t="s">
        <v>2794</v>
      </c>
      <c r="C1050" s="465"/>
      <c r="D1050" s="465" t="s">
        <v>825</v>
      </c>
      <c r="E1050" s="465" t="s">
        <v>2934</v>
      </c>
      <c r="F1050" s="465" t="s">
        <v>2935</v>
      </c>
      <c r="G1050" s="465" t="s">
        <v>2684</v>
      </c>
      <c r="H1050" s="465" t="s">
        <v>183</v>
      </c>
      <c r="I1050" s="465" t="s">
        <v>830</v>
      </c>
    </row>
    <row r="1051" hidden="1" ht="15.95" customHeight="1">
      <c r="A1051" s="465" t="s">
        <v>2947</v>
      </c>
      <c r="B1051" s="465" t="s">
        <v>2792</v>
      </c>
      <c r="C1051" s="465"/>
      <c r="D1051" s="465" t="s">
        <v>825</v>
      </c>
      <c r="E1051" s="465" t="s">
        <v>2934</v>
      </c>
      <c r="F1051" s="465" t="s">
        <v>2935</v>
      </c>
      <c r="G1051" s="465" t="s">
        <v>2684</v>
      </c>
      <c r="H1051" s="465" t="s">
        <v>183</v>
      </c>
      <c r="I1051" s="465" t="s">
        <v>830</v>
      </c>
    </row>
    <row r="1052" hidden="1" ht="15.95" customHeight="1">
      <c r="A1052" s="465" t="s">
        <v>2948</v>
      </c>
      <c r="B1052" s="465" t="s">
        <v>2820</v>
      </c>
      <c r="C1052" s="465"/>
      <c r="D1052" s="465" t="s">
        <v>825</v>
      </c>
      <c r="E1052" s="465" t="s">
        <v>2934</v>
      </c>
      <c r="F1052" s="465" t="s">
        <v>2935</v>
      </c>
      <c r="G1052" s="465" t="s">
        <v>2684</v>
      </c>
      <c r="H1052" s="465" t="s">
        <v>183</v>
      </c>
      <c r="I1052" s="465" t="s">
        <v>830</v>
      </c>
    </row>
    <row r="1053" hidden="1" ht="15.95" customHeight="1">
      <c r="A1053" s="465" t="s">
        <v>2949</v>
      </c>
      <c r="B1053" s="465" t="s">
        <v>2803</v>
      </c>
      <c r="C1053" s="465"/>
      <c r="D1053" s="465" t="s">
        <v>825</v>
      </c>
      <c r="E1053" s="465" t="s">
        <v>2934</v>
      </c>
      <c r="F1053" s="465" t="s">
        <v>2935</v>
      </c>
      <c r="G1053" s="465" t="s">
        <v>2684</v>
      </c>
      <c r="H1053" s="465" t="s">
        <v>183</v>
      </c>
      <c r="I1053" s="465" t="s">
        <v>830</v>
      </c>
    </row>
    <row r="1054" hidden="1" ht="15.95" customHeight="1">
      <c r="A1054" s="465" t="s">
        <v>2950</v>
      </c>
      <c r="B1054" s="465" t="s">
        <v>2777</v>
      </c>
      <c r="C1054" s="465"/>
      <c r="D1054" s="465" t="s">
        <v>825</v>
      </c>
      <c r="E1054" s="465" t="s">
        <v>2951</v>
      </c>
      <c r="F1054" s="465" t="s">
        <v>2952</v>
      </c>
      <c r="G1054" s="465" t="s">
        <v>2684</v>
      </c>
      <c r="H1054" s="465" t="s">
        <v>183</v>
      </c>
      <c r="I1054" s="465" t="s">
        <v>830</v>
      </c>
    </row>
    <row r="1055" hidden="1" ht="15.95" customHeight="1">
      <c r="A1055" s="465" t="s">
        <v>2953</v>
      </c>
      <c r="B1055" s="465" t="s">
        <v>2792</v>
      </c>
      <c r="C1055" s="465"/>
      <c r="D1055" s="465" t="s">
        <v>825</v>
      </c>
      <c r="E1055" s="465" t="s">
        <v>2951</v>
      </c>
      <c r="F1055" s="465" t="s">
        <v>2952</v>
      </c>
      <c r="G1055" s="465" t="s">
        <v>2684</v>
      </c>
      <c r="H1055" s="465" t="s">
        <v>183</v>
      </c>
      <c r="I1055" s="465" t="s">
        <v>830</v>
      </c>
    </row>
    <row r="1056" hidden="1" ht="15.95" customHeight="1">
      <c r="A1056" s="465" t="s">
        <v>2954</v>
      </c>
      <c r="B1056" s="465" t="s">
        <v>2789</v>
      </c>
      <c r="C1056" s="465"/>
      <c r="D1056" s="465" t="s">
        <v>825</v>
      </c>
      <c r="E1056" s="465" t="s">
        <v>2951</v>
      </c>
      <c r="F1056" s="465" t="s">
        <v>2952</v>
      </c>
      <c r="G1056" s="465" t="s">
        <v>2684</v>
      </c>
      <c r="H1056" s="465" t="s">
        <v>183</v>
      </c>
      <c r="I1056" s="465" t="s">
        <v>830</v>
      </c>
    </row>
    <row r="1057" hidden="1" ht="15.95" customHeight="1">
      <c r="A1057" s="465" t="s">
        <v>2955</v>
      </c>
      <c r="B1057" s="465" t="s">
        <v>1276</v>
      </c>
      <c r="C1057" s="465"/>
      <c r="D1057" s="465" t="s">
        <v>825</v>
      </c>
      <c r="E1057" s="465" t="s">
        <v>2951</v>
      </c>
      <c r="F1057" s="465" t="s">
        <v>2952</v>
      </c>
      <c r="G1057" s="465" t="s">
        <v>2684</v>
      </c>
      <c r="H1057" s="465" t="s">
        <v>183</v>
      </c>
      <c r="I1057" s="465" t="s">
        <v>830</v>
      </c>
    </row>
    <row r="1058" hidden="1" ht="15.95" customHeight="1">
      <c r="A1058" s="465" t="s">
        <v>2956</v>
      </c>
      <c r="B1058" s="465" t="s">
        <v>2803</v>
      </c>
      <c r="C1058" s="465"/>
      <c r="D1058" s="465" t="s">
        <v>825</v>
      </c>
      <c r="E1058" s="465" t="s">
        <v>2951</v>
      </c>
      <c r="F1058" s="465" t="s">
        <v>2952</v>
      </c>
      <c r="G1058" s="465" t="s">
        <v>2684</v>
      </c>
      <c r="H1058" s="465" t="s">
        <v>183</v>
      </c>
      <c r="I1058" s="465" t="s">
        <v>830</v>
      </c>
    </row>
    <row r="1059" hidden="1" ht="15.95" customHeight="1">
      <c r="A1059" s="465" t="s">
        <v>2957</v>
      </c>
      <c r="B1059" s="465" t="s">
        <v>1274</v>
      </c>
      <c r="C1059" s="465"/>
      <c r="D1059" s="465" t="s">
        <v>825</v>
      </c>
      <c r="E1059" s="465" t="s">
        <v>2951</v>
      </c>
      <c r="F1059" s="465" t="s">
        <v>2952</v>
      </c>
      <c r="G1059" s="465" t="s">
        <v>2684</v>
      </c>
      <c r="H1059" s="465" t="s">
        <v>183</v>
      </c>
      <c r="I1059" s="465" t="s">
        <v>830</v>
      </c>
    </row>
    <row r="1060" hidden="1" ht="15.95" customHeight="1">
      <c r="A1060" s="465" t="s">
        <v>2958</v>
      </c>
      <c r="B1060" s="465" t="s">
        <v>2781</v>
      </c>
      <c r="C1060" s="465"/>
      <c r="D1060" s="465" t="s">
        <v>825</v>
      </c>
      <c r="E1060" s="465" t="s">
        <v>2951</v>
      </c>
      <c r="F1060" s="465" t="s">
        <v>2952</v>
      </c>
      <c r="G1060" s="465" t="s">
        <v>2684</v>
      </c>
      <c r="H1060" s="465" t="s">
        <v>183</v>
      </c>
      <c r="I1060" s="465" t="s">
        <v>830</v>
      </c>
    </row>
    <row r="1061" hidden="1" ht="15.95" customHeight="1">
      <c r="A1061" s="465" t="s">
        <v>2959</v>
      </c>
      <c r="B1061" s="465" t="s">
        <v>2850</v>
      </c>
      <c r="C1061" s="465"/>
      <c r="D1061" s="465" t="s">
        <v>825</v>
      </c>
      <c r="E1061" s="465" t="s">
        <v>2951</v>
      </c>
      <c r="F1061" s="465" t="s">
        <v>2952</v>
      </c>
      <c r="G1061" s="465" t="s">
        <v>2684</v>
      </c>
      <c r="H1061" s="465" t="s">
        <v>183</v>
      </c>
      <c r="I1061" s="465" t="s">
        <v>830</v>
      </c>
    </row>
    <row r="1062" hidden="1" ht="15.95" customHeight="1">
      <c r="A1062" s="465" t="s">
        <v>2960</v>
      </c>
      <c r="B1062" s="465" t="s">
        <v>2852</v>
      </c>
      <c r="C1062" s="465"/>
      <c r="D1062" s="465" t="s">
        <v>825</v>
      </c>
      <c r="E1062" s="465" t="s">
        <v>2951</v>
      </c>
      <c r="F1062" s="465" t="s">
        <v>2952</v>
      </c>
      <c r="G1062" s="465" t="s">
        <v>2684</v>
      </c>
      <c r="H1062" s="465" t="s">
        <v>183</v>
      </c>
      <c r="I1062" s="465" t="s">
        <v>830</v>
      </c>
    </row>
    <row r="1063" hidden="1" ht="15.95" customHeight="1">
      <c r="A1063" s="465" t="s">
        <v>2961</v>
      </c>
      <c r="B1063" s="465" t="s">
        <v>1260</v>
      </c>
      <c r="C1063" s="465"/>
      <c r="D1063" s="465" t="s">
        <v>825</v>
      </c>
      <c r="E1063" s="465" t="s">
        <v>2951</v>
      </c>
      <c r="F1063" s="465" t="s">
        <v>2952</v>
      </c>
      <c r="G1063" s="465" t="s">
        <v>2684</v>
      </c>
      <c r="H1063" s="465" t="s">
        <v>183</v>
      </c>
      <c r="I1063" s="465" t="s">
        <v>830</v>
      </c>
    </row>
    <row r="1064" hidden="1" ht="15.95" customHeight="1">
      <c r="A1064" s="465" t="s">
        <v>2962</v>
      </c>
      <c r="B1064" s="465" t="s">
        <v>2794</v>
      </c>
      <c r="C1064" s="465"/>
      <c r="D1064" s="465" t="s">
        <v>825</v>
      </c>
      <c r="E1064" s="465" t="s">
        <v>2951</v>
      </c>
      <c r="F1064" s="465" t="s">
        <v>2952</v>
      </c>
      <c r="G1064" s="465" t="s">
        <v>2684</v>
      </c>
      <c r="H1064" s="465" t="s">
        <v>183</v>
      </c>
      <c r="I1064" s="465" t="s">
        <v>830</v>
      </c>
    </row>
    <row r="1065" hidden="1" ht="15.95" customHeight="1">
      <c r="A1065" s="465" t="s">
        <v>2963</v>
      </c>
      <c r="B1065" s="465" t="s">
        <v>2820</v>
      </c>
      <c r="C1065" s="465"/>
      <c r="D1065" s="465" t="s">
        <v>825</v>
      </c>
      <c r="E1065" s="465" t="s">
        <v>2951</v>
      </c>
      <c r="F1065" s="465" t="s">
        <v>2952</v>
      </c>
      <c r="G1065" s="465" t="s">
        <v>2684</v>
      </c>
      <c r="H1065" s="465" t="s">
        <v>183</v>
      </c>
      <c r="I1065" s="465" t="s">
        <v>830</v>
      </c>
    </row>
    <row r="1066" hidden="1" ht="15.95" customHeight="1">
      <c r="A1066" s="465" t="s">
        <v>2964</v>
      </c>
      <c r="B1066" s="465" t="s">
        <v>2796</v>
      </c>
      <c r="C1066" s="465"/>
      <c r="D1066" s="465" t="s">
        <v>825</v>
      </c>
      <c r="E1066" s="465" t="s">
        <v>2951</v>
      </c>
      <c r="F1066" s="465" t="s">
        <v>2952</v>
      </c>
      <c r="G1066" s="465" t="s">
        <v>2684</v>
      </c>
      <c r="H1066" s="465" t="s">
        <v>183</v>
      </c>
      <c r="I1066" s="465" t="s">
        <v>830</v>
      </c>
    </row>
    <row r="1067" hidden="1" ht="15.95" customHeight="1">
      <c r="A1067" s="465" t="s">
        <v>2965</v>
      </c>
      <c r="B1067" s="465" t="s">
        <v>2798</v>
      </c>
      <c r="C1067" s="465"/>
      <c r="D1067" s="465" t="s">
        <v>825</v>
      </c>
      <c r="E1067" s="465" t="s">
        <v>2951</v>
      </c>
      <c r="F1067" s="465" t="s">
        <v>2952</v>
      </c>
      <c r="G1067" s="465" t="s">
        <v>2684</v>
      </c>
      <c r="H1067" s="465" t="s">
        <v>183</v>
      </c>
      <c r="I1067" s="465" t="s">
        <v>830</v>
      </c>
    </row>
    <row r="1068" hidden="1" ht="15.95" customHeight="1">
      <c r="A1068" s="465" t="s">
        <v>2966</v>
      </c>
      <c r="B1068" s="465" t="s">
        <v>2824</v>
      </c>
      <c r="C1068" s="465"/>
      <c r="D1068" s="465" t="s">
        <v>825</v>
      </c>
      <c r="E1068" s="465" t="s">
        <v>2951</v>
      </c>
      <c r="F1068" s="465" t="s">
        <v>2952</v>
      </c>
      <c r="G1068" s="465" t="s">
        <v>2684</v>
      </c>
      <c r="H1068" s="465" t="s">
        <v>183</v>
      </c>
      <c r="I1068" s="465" t="s">
        <v>830</v>
      </c>
    </row>
    <row r="1069" hidden="1" ht="15.95" customHeight="1">
      <c r="A1069" s="465" t="s">
        <v>2967</v>
      </c>
      <c r="B1069" s="465" t="s">
        <v>2786</v>
      </c>
      <c r="C1069" s="465"/>
      <c r="D1069" s="465" t="s">
        <v>825</v>
      </c>
      <c r="E1069" s="465" t="s">
        <v>2951</v>
      </c>
      <c r="F1069" s="465" t="s">
        <v>2952</v>
      </c>
      <c r="G1069" s="465" t="s">
        <v>2684</v>
      </c>
      <c r="H1069" s="465" t="s">
        <v>183</v>
      </c>
      <c r="I1069" s="465" t="s">
        <v>830</v>
      </c>
    </row>
    <row r="1070" hidden="1" ht="15.95" customHeight="1">
      <c r="A1070" s="465" t="s">
        <v>2968</v>
      </c>
      <c r="B1070" s="465" t="s">
        <v>1260</v>
      </c>
      <c r="C1070" s="465"/>
      <c r="D1070" s="465" t="s">
        <v>825</v>
      </c>
      <c r="E1070" s="465" t="s">
        <v>2969</v>
      </c>
      <c r="F1070" s="465" t="s">
        <v>2970</v>
      </c>
      <c r="G1070" s="465" t="s">
        <v>2684</v>
      </c>
      <c r="H1070" s="465" t="s">
        <v>183</v>
      </c>
      <c r="I1070" s="465" t="s">
        <v>830</v>
      </c>
    </row>
    <row r="1071" hidden="1" ht="15.95" customHeight="1">
      <c r="A1071" s="465" t="s">
        <v>2971</v>
      </c>
      <c r="B1071" s="465" t="s">
        <v>2781</v>
      </c>
      <c r="C1071" s="465"/>
      <c r="D1071" s="465" t="s">
        <v>825</v>
      </c>
      <c r="E1071" s="465" t="s">
        <v>2969</v>
      </c>
      <c r="F1071" s="465" t="s">
        <v>2970</v>
      </c>
      <c r="G1071" s="465" t="s">
        <v>2684</v>
      </c>
      <c r="H1071" s="465" t="s">
        <v>183</v>
      </c>
      <c r="I1071" s="465" t="s">
        <v>830</v>
      </c>
    </row>
    <row r="1072" hidden="1" ht="15.95" customHeight="1">
      <c r="A1072" s="465" t="s">
        <v>2972</v>
      </c>
      <c r="B1072" s="465" t="s">
        <v>2852</v>
      </c>
      <c r="C1072" s="465"/>
      <c r="D1072" s="465" t="s">
        <v>825</v>
      </c>
      <c r="E1072" s="465" t="s">
        <v>2969</v>
      </c>
      <c r="F1072" s="465" t="s">
        <v>2970</v>
      </c>
      <c r="G1072" s="465" t="s">
        <v>2684</v>
      </c>
      <c r="H1072" s="465" t="s">
        <v>183</v>
      </c>
      <c r="I1072" s="465" t="s">
        <v>830</v>
      </c>
    </row>
    <row r="1073" hidden="1" ht="15.95" customHeight="1">
      <c r="A1073" s="465" t="s">
        <v>2973</v>
      </c>
      <c r="B1073" s="465" t="s">
        <v>2820</v>
      </c>
      <c r="C1073" s="465"/>
      <c r="D1073" s="465" t="s">
        <v>825</v>
      </c>
      <c r="E1073" s="465" t="s">
        <v>2969</v>
      </c>
      <c r="F1073" s="465" t="s">
        <v>2970</v>
      </c>
      <c r="G1073" s="465" t="s">
        <v>2684</v>
      </c>
      <c r="H1073" s="465" t="s">
        <v>183</v>
      </c>
      <c r="I1073" s="465" t="s">
        <v>830</v>
      </c>
    </row>
    <row r="1074" hidden="1" ht="15.95" customHeight="1">
      <c r="A1074" s="465" t="s">
        <v>2974</v>
      </c>
      <c r="B1074" s="465" t="s">
        <v>2850</v>
      </c>
      <c r="C1074" s="465"/>
      <c r="D1074" s="465" t="s">
        <v>825</v>
      </c>
      <c r="E1074" s="465" t="s">
        <v>2969</v>
      </c>
      <c r="F1074" s="465" t="s">
        <v>2970</v>
      </c>
      <c r="G1074" s="465" t="s">
        <v>2684</v>
      </c>
      <c r="H1074" s="465" t="s">
        <v>183</v>
      </c>
      <c r="I1074" s="465" t="s">
        <v>830</v>
      </c>
    </row>
    <row r="1075" hidden="1" ht="15.95" customHeight="1">
      <c r="A1075" s="465" t="s">
        <v>2975</v>
      </c>
      <c r="B1075" s="465" t="s">
        <v>1274</v>
      </c>
      <c r="C1075" s="465"/>
      <c r="D1075" s="465" t="s">
        <v>825</v>
      </c>
      <c r="E1075" s="465" t="s">
        <v>2969</v>
      </c>
      <c r="F1075" s="465" t="s">
        <v>2970</v>
      </c>
      <c r="G1075" s="465" t="s">
        <v>2684</v>
      </c>
      <c r="H1075" s="465" t="s">
        <v>183</v>
      </c>
      <c r="I1075" s="465" t="s">
        <v>830</v>
      </c>
    </row>
    <row r="1076" hidden="1" ht="15.95" customHeight="1">
      <c r="A1076" s="465" t="s">
        <v>2976</v>
      </c>
      <c r="B1076" s="465" t="s">
        <v>2792</v>
      </c>
      <c r="C1076" s="465"/>
      <c r="D1076" s="465" t="s">
        <v>825</v>
      </c>
      <c r="E1076" s="465" t="s">
        <v>2969</v>
      </c>
      <c r="F1076" s="465" t="s">
        <v>2970</v>
      </c>
      <c r="G1076" s="465" t="s">
        <v>2684</v>
      </c>
      <c r="H1076" s="465" t="s">
        <v>183</v>
      </c>
      <c r="I1076" s="465" t="s">
        <v>830</v>
      </c>
    </row>
    <row r="1077" hidden="1" ht="15.95" customHeight="1">
      <c r="A1077" s="465" t="s">
        <v>2977</v>
      </c>
      <c r="B1077" s="465" t="s">
        <v>2978</v>
      </c>
      <c r="C1077" s="465"/>
      <c r="D1077" s="465" t="s">
        <v>825</v>
      </c>
      <c r="E1077" s="465" t="s">
        <v>2969</v>
      </c>
      <c r="F1077" s="465" t="s">
        <v>2970</v>
      </c>
      <c r="G1077" s="465" t="s">
        <v>2684</v>
      </c>
      <c r="H1077" s="465" t="s">
        <v>183</v>
      </c>
      <c r="I1077" s="465" t="s">
        <v>830</v>
      </c>
    </row>
    <row r="1078" hidden="1" ht="15.95" customHeight="1">
      <c r="A1078" s="465" t="s">
        <v>2979</v>
      </c>
      <c r="B1078" s="465" t="s">
        <v>2789</v>
      </c>
      <c r="C1078" s="465"/>
      <c r="D1078" s="465" t="s">
        <v>825</v>
      </c>
      <c r="E1078" s="465" t="s">
        <v>2969</v>
      </c>
      <c r="F1078" s="465" t="s">
        <v>2970</v>
      </c>
      <c r="G1078" s="465" t="s">
        <v>2684</v>
      </c>
      <c r="H1078" s="465" t="s">
        <v>183</v>
      </c>
      <c r="I1078" s="465" t="s">
        <v>830</v>
      </c>
    </row>
    <row r="1079" hidden="1" ht="15.95" customHeight="1">
      <c r="A1079" s="465" t="s">
        <v>2980</v>
      </c>
      <c r="B1079" s="465" t="s">
        <v>2796</v>
      </c>
      <c r="C1079" s="465"/>
      <c r="D1079" s="465" t="s">
        <v>825</v>
      </c>
      <c r="E1079" s="465" t="s">
        <v>2969</v>
      </c>
      <c r="F1079" s="465" t="s">
        <v>2970</v>
      </c>
      <c r="G1079" s="465" t="s">
        <v>2684</v>
      </c>
      <c r="H1079" s="465" t="s">
        <v>183</v>
      </c>
      <c r="I1079" s="465" t="s">
        <v>830</v>
      </c>
    </row>
    <row r="1080" hidden="1" ht="15.95" customHeight="1">
      <c r="A1080" s="465" t="s">
        <v>2981</v>
      </c>
      <c r="B1080" s="465" t="s">
        <v>2803</v>
      </c>
      <c r="C1080" s="465"/>
      <c r="D1080" s="465" t="s">
        <v>825</v>
      </c>
      <c r="E1080" s="465" t="s">
        <v>2969</v>
      </c>
      <c r="F1080" s="465" t="s">
        <v>2970</v>
      </c>
      <c r="G1080" s="465" t="s">
        <v>2684</v>
      </c>
      <c r="H1080" s="465" t="s">
        <v>183</v>
      </c>
      <c r="I1080" s="465" t="s">
        <v>830</v>
      </c>
    </row>
    <row r="1081" hidden="1" ht="15.95" customHeight="1">
      <c r="A1081" s="465" t="s">
        <v>2982</v>
      </c>
      <c r="B1081" s="465" t="s">
        <v>2786</v>
      </c>
      <c r="C1081" s="465"/>
      <c r="D1081" s="465" t="s">
        <v>825</v>
      </c>
      <c r="E1081" s="465" t="s">
        <v>2969</v>
      </c>
      <c r="F1081" s="465" t="s">
        <v>2970</v>
      </c>
      <c r="G1081" s="465" t="s">
        <v>2684</v>
      </c>
      <c r="H1081" s="465" t="s">
        <v>183</v>
      </c>
      <c r="I1081" s="465" t="s">
        <v>830</v>
      </c>
    </row>
    <row r="1082" hidden="1" ht="15.95" customHeight="1">
      <c r="A1082" s="465" t="s">
        <v>2983</v>
      </c>
      <c r="B1082" s="465" t="s">
        <v>2824</v>
      </c>
      <c r="C1082" s="465"/>
      <c r="D1082" s="465" t="s">
        <v>825</v>
      </c>
      <c r="E1082" s="465" t="s">
        <v>2969</v>
      </c>
      <c r="F1082" s="465" t="s">
        <v>2970</v>
      </c>
      <c r="G1082" s="465" t="s">
        <v>2684</v>
      </c>
      <c r="H1082" s="465" t="s">
        <v>183</v>
      </c>
      <c r="I1082" s="465" t="s">
        <v>830</v>
      </c>
    </row>
    <row r="1083" hidden="1" ht="15.95" customHeight="1">
      <c r="A1083" s="465" t="s">
        <v>2984</v>
      </c>
      <c r="B1083" s="465" t="s">
        <v>2777</v>
      </c>
      <c r="C1083" s="465"/>
      <c r="D1083" s="465" t="s">
        <v>825</v>
      </c>
      <c r="E1083" s="465" t="s">
        <v>2969</v>
      </c>
      <c r="F1083" s="465" t="s">
        <v>2970</v>
      </c>
      <c r="G1083" s="465" t="s">
        <v>2684</v>
      </c>
      <c r="H1083" s="465" t="s">
        <v>183</v>
      </c>
      <c r="I1083" s="465" t="s">
        <v>830</v>
      </c>
    </row>
    <row r="1084" hidden="1" ht="15.95" customHeight="1">
      <c r="A1084" s="465" t="s">
        <v>2985</v>
      </c>
      <c r="B1084" s="465" t="s">
        <v>2798</v>
      </c>
      <c r="C1084" s="465"/>
      <c r="D1084" s="465" t="s">
        <v>825</v>
      </c>
      <c r="E1084" s="465" t="s">
        <v>2969</v>
      </c>
      <c r="F1084" s="465" t="s">
        <v>2970</v>
      </c>
      <c r="G1084" s="465" t="s">
        <v>2684</v>
      </c>
      <c r="H1084" s="465" t="s">
        <v>183</v>
      </c>
      <c r="I1084" s="465" t="s">
        <v>830</v>
      </c>
    </row>
    <row r="1085" hidden="1" ht="15.95" customHeight="1">
      <c r="A1085" s="465" t="s">
        <v>2986</v>
      </c>
      <c r="B1085" s="465" t="s">
        <v>2796</v>
      </c>
      <c r="C1085" s="465"/>
      <c r="D1085" s="465" t="s">
        <v>825</v>
      </c>
      <c r="E1085" s="465" t="s">
        <v>2987</v>
      </c>
      <c r="F1085" s="465" t="s">
        <v>2988</v>
      </c>
      <c r="G1085" s="465" t="s">
        <v>2684</v>
      </c>
      <c r="H1085" s="465" t="s">
        <v>183</v>
      </c>
      <c r="I1085" s="465" t="s">
        <v>830</v>
      </c>
    </row>
    <row r="1086" hidden="1" ht="15.95" customHeight="1">
      <c r="A1086" s="465" t="s">
        <v>2989</v>
      </c>
      <c r="B1086" s="465" t="s">
        <v>2852</v>
      </c>
      <c r="C1086" s="465"/>
      <c r="D1086" s="465" t="s">
        <v>825</v>
      </c>
      <c r="E1086" s="465" t="s">
        <v>2987</v>
      </c>
      <c r="F1086" s="465" t="s">
        <v>2988</v>
      </c>
      <c r="G1086" s="465" t="s">
        <v>2684</v>
      </c>
      <c r="H1086" s="465" t="s">
        <v>183</v>
      </c>
      <c r="I1086" s="465" t="s">
        <v>830</v>
      </c>
    </row>
    <row r="1087" hidden="1" ht="15.95" customHeight="1">
      <c r="A1087" s="465" t="s">
        <v>2990</v>
      </c>
      <c r="B1087" s="465" t="s">
        <v>2803</v>
      </c>
      <c r="C1087" s="465"/>
      <c r="D1087" s="465" t="s">
        <v>825</v>
      </c>
      <c r="E1087" s="465" t="s">
        <v>2987</v>
      </c>
      <c r="F1087" s="465" t="s">
        <v>2988</v>
      </c>
      <c r="G1087" s="465" t="s">
        <v>2684</v>
      </c>
      <c r="H1087" s="465" t="s">
        <v>183</v>
      </c>
      <c r="I1087" s="465" t="s">
        <v>830</v>
      </c>
    </row>
    <row r="1088" hidden="1" ht="15.95" customHeight="1">
      <c r="A1088" s="465" t="s">
        <v>2991</v>
      </c>
      <c r="B1088" s="465" t="s">
        <v>1260</v>
      </c>
      <c r="C1088" s="465"/>
      <c r="D1088" s="465" t="s">
        <v>825</v>
      </c>
      <c r="E1088" s="465" t="s">
        <v>2987</v>
      </c>
      <c r="F1088" s="465" t="s">
        <v>2988</v>
      </c>
      <c r="G1088" s="465" t="s">
        <v>2684</v>
      </c>
      <c r="H1088" s="465" t="s">
        <v>183</v>
      </c>
      <c r="I1088" s="465" t="s">
        <v>830</v>
      </c>
    </row>
    <row r="1089" hidden="1" ht="15.95" customHeight="1">
      <c r="A1089" s="465" t="s">
        <v>2992</v>
      </c>
      <c r="B1089" s="465" t="s">
        <v>2824</v>
      </c>
      <c r="C1089" s="465"/>
      <c r="D1089" s="465" t="s">
        <v>825</v>
      </c>
      <c r="E1089" s="465" t="s">
        <v>2987</v>
      </c>
      <c r="F1089" s="465" t="s">
        <v>2988</v>
      </c>
      <c r="G1089" s="465" t="s">
        <v>2684</v>
      </c>
      <c r="H1089" s="465" t="s">
        <v>183</v>
      </c>
      <c r="I1089" s="465" t="s">
        <v>830</v>
      </c>
    </row>
    <row r="1090" hidden="1" ht="15.95" customHeight="1">
      <c r="A1090" s="465" t="s">
        <v>2993</v>
      </c>
      <c r="B1090" s="465" t="s">
        <v>2850</v>
      </c>
      <c r="C1090" s="465"/>
      <c r="D1090" s="465" t="s">
        <v>825</v>
      </c>
      <c r="E1090" s="465" t="s">
        <v>2987</v>
      </c>
      <c r="F1090" s="465" t="s">
        <v>2988</v>
      </c>
      <c r="G1090" s="465" t="s">
        <v>2684</v>
      </c>
      <c r="H1090" s="465" t="s">
        <v>183</v>
      </c>
      <c r="I1090" s="465" t="s">
        <v>830</v>
      </c>
    </row>
    <row r="1091" hidden="1" ht="15.95" customHeight="1">
      <c r="A1091" s="465" t="s">
        <v>2994</v>
      </c>
      <c r="B1091" s="465" t="s">
        <v>2777</v>
      </c>
      <c r="C1091" s="465"/>
      <c r="D1091" s="465" t="s">
        <v>825</v>
      </c>
      <c r="E1091" s="465" t="s">
        <v>2987</v>
      </c>
      <c r="F1091" s="465" t="s">
        <v>2988</v>
      </c>
      <c r="G1091" s="465" t="s">
        <v>2684</v>
      </c>
      <c r="H1091" s="465" t="s">
        <v>183</v>
      </c>
      <c r="I1091" s="465" t="s">
        <v>830</v>
      </c>
    </row>
    <row r="1092" hidden="1" ht="15.95" customHeight="1">
      <c r="A1092" s="465" t="s">
        <v>2995</v>
      </c>
      <c r="B1092" s="465" t="s">
        <v>2794</v>
      </c>
      <c r="C1092" s="465"/>
      <c r="D1092" s="465" t="s">
        <v>825</v>
      </c>
      <c r="E1092" s="465" t="s">
        <v>2987</v>
      </c>
      <c r="F1092" s="465" t="s">
        <v>2988</v>
      </c>
      <c r="G1092" s="465" t="s">
        <v>2684</v>
      </c>
      <c r="H1092" s="465" t="s">
        <v>183</v>
      </c>
      <c r="I1092" s="465" t="s">
        <v>830</v>
      </c>
    </row>
    <row r="1093" hidden="1" ht="15.95" customHeight="1">
      <c r="A1093" s="465" t="s">
        <v>2996</v>
      </c>
      <c r="B1093" s="465" t="s">
        <v>2798</v>
      </c>
      <c r="C1093" s="465"/>
      <c r="D1093" s="465" t="s">
        <v>825</v>
      </c>
      <c r="E1093" s="465" t="s">
        <v>2987</v>
      </c>
      <c r="F1093" s="465" t="s">
        <v>2988</v>
      </c>
      <c r="G1093" s="465" t="s">
        <v>2684</v>
      </c>
      <c r="H1093" s="465" t="s">
        <v>183</v>
      </c>
      <c r="I1093" s="465" t="s">
        <v>830</v>
      </c>
    </row>
    <row r="1094" hidden="1" ht="15.95" customHeight="1">
      <c r="A1094" s="465" t="s">
        <v>2997</v>
      </c>
      <c r="B1094" s="465" t="s">
        <v>1276</v>
      </c>
      <c r="C1094" s="465"/>
      <c r="D1094" s="465" t="s">
        <v>825</v>
      </c>
      <c r="E1094" s="465" t="s">
        <v>2987</v>
      </c>
      <c r="F1094" s="465" t="s">
        <v>2988</v>
      </c>
      <c r="G1094" s="465" t="s">
        <v>2684</v>
      </c>
      <c r="H1094" s="465" t="s">
        <v>183</v>
      </c>
      <c r="I1094" s="465" t="s">
        <v>830</v>
      </c>
    </row>
    <row r="1095" hidden="1" ht="15.95" customHeight="1">
      <c r="A1095" s="465" t="s">
        <v>2998</v>
      </c>
      <c r="B1095" s="465" t="s">
        <v>2789</v>
      </c>
      <c r="C1095" s="465"/>
      <c r="D1095" s="465" t="s">
        <v>825</v>
      </c>
      <c r="E1095" s="465" t="s">
        <v>2987</v>
      </c>
      <c r="F1095" s="465" t="s">
        <v>2988</v>
      </c>
      <c r="G1095" s="465" t="s">
        <v>2684</v>
      </c>
      <c r="H1095" s="465" t="s">
        <v>183</v>
      </c>
      <c r="I1095" s="465" t="s">
        <v>830</v>
      </c>
    </row>
    <row r="1096" hidden="1" ht="15.95" customHeight="1">
      <c r="A1096" s="465" t="s">
        <v>2999</v>
      </c>
      <c r="B1096" s="465" t="s">
        <v>2792</v>
      </c>
      <c r="C1096" s="465"/>
      <c r="D1096" s="465" t="s">
        <v>825</v>
      </c>
      <c r="E1096" s="465" t="s">
        <v>2987</v>
      </c>
      <c r="F1096" s="465" t="s">
        <v>2988</v>
      </c>
      <c r="G1096" s="465" t="s">
        <v>2684</v>
      </c>
      <c r="H1096" s="465" t="s">
        <v>183</v>
      </c>
      <c r="I1096" s="465" t="s">
        <v>830</v>
      </c>
    </row>
    <row r="1097" hidden="1" ht="15.95" customHeight="1">
      <c r="A1097" s="465" t="s">
        <v>3000</v>
      </c>
      <c r="B1097" s="465" t="s">
        <v>2820</v>
      </c>
      <c r="C1097" s="465"/>
      <c r="D1097" s="465" t="s">
        <v>825</v>
      </c>
      <c r="E1097" s="465" t="s">
        <v>2987</v>
      </c>
      <c r="F1097" s="465" t="s">
        <v>2988</v>
      </c>
      <c r="G1097" s="465" t="s">
        <v>2684</v>
      </c>
      <c r="H1097" s="465" t="s">
        <v>183</v>
      </c>
      <c r="I1097" s="465" t="s">
        <v>830</v>
      </c>
    </row>
    <row r="1098" hidden="1" ht="15.95" customHeight="1">
      <c r="A1098" s="465" t="s">
        <v>3001</v>
      </c>
      <c r="B1098" s="465" t="s">
        <v>1274</v>
      </c>
      <c r="C1098" s="465"/>
      <c r="D1098" s="465" t="s">
        <v>825</v>
      </c>
      <c r="E1098" s="465" t="s">
        <v>2987</v>
      </c>
      <c r="F1098" s="465" t="s">
        <v>2988</v>
      </c>
      <c r="G1098" s="465" t="s">
        <v>2684</v>
      </c>
      <c r="H1098" s="465" t="s">
        <v>183</v>
      </c>
      <c r="I1098" s="465" t="s">
        <v>830</v>
      </c>
    </row>
    <row r="1099" hidden="1" ht="15.95" customHeight="1">
      <c r="A1099" s="465" t="s">
        <v>3002</v>
      </c>
      <c r="B1099" s="465" t="s">
        <v>2781</v>
      </c>
      <c r="C1099" s="465"/>
      <c r="D1099" s="465" t="s">
        <v>825</v>
      </c>
      <c r="E1099" s="465" t="s">
        <v>2987</v>
      </c>
      <c r="F1099" s="465" t="s">
        <v>2988</v>
      </c>
      <c r="G1099" s="465" t="s">
        <v>2684</v>
      </c>
      <c r="H1099" s="465" t="s">
        <v>183</v>
      </c>
      <c r="I1099" s="465" t="s">
        <v>830</v>
      </c>
    </row>
    <row r="1100" hidden="1" ht="15.95" customHeight="1">
      <c r="A1100" s="465" t="s">
        <v>3003</v>
      </c>
      <c r="B1100" s="465" t="s">
        <v>2789</v>
      </c>
      <c r="C1100" s="465"/>
      <c r="D1100" s="465" t="s">
        <v>825</v>
      </c>
      <c r="E1100" s="465" t="s">
        <v>3004</v>
      </c>
      <c r="F1100" s="465" t="s">
        <v>3005</v>
      </c>
      <c r="G1100" s="465" t="s">
        <v>2684</v>
      </c>
      <c r="H1100" s="465" t="s">
        <v>183</v>
      </c>
      <c r="I1100" s="465" t="s">
        <v>830</v>
      </c>
    </row>
    <row r="1101" hidden="1" ht="15.95" customHeight="1">
      <c r="A1101" s="465" t="s">
        <v>3006</v>
      </c>
      <c r="B1101" s="465" t="s">
        <v>2781</v>
      </c>
      <c r="C1101" s="465"/>
      <c r="D1101" s="465" t="s">
        <v>825</v>
      </c>
      <c r="E1101" s="465" t="s">
        <v>3004</v>
      </c>
      <c r="F1101" s="465" t="s">
        <v>3005</v>
      </c>
      <c r="G1101" s="465" t="s">
        <v>2684</v>
      </c>
      <c r="H1101" s="465" t="s">
        <v>183</v>
      </c>
      <c r="I1101" s="465" t="s">
        <v>830</v>
      </c>
    </row>
    <row r="1102" hidden="1" ht="15.95" customHeight="1">
      <c r="A1102" s="465" t="s">
        <v>3007</v>
      </c>
      <c r="B1102" s="465" t="s">
        <v>2852</v>
      </c>
      <c r="C1102" s="465"/>
      <c r="D1102" s="465" t="s">
        <v>825</v>
      </c>
      <c r="E1102" s="465" t="s">
        <v>3004</v>
      </c>
      <c r="F1102" s="465" t="s">
        <v>3005</v>
      </c>
      <c r="G1102" s="465" t="s">
        <v>2684</v>
      </c>
      <c r="H1102" s="465" t="s">
        <v>183</v>
      </c>
      <c r="I1102" s="465" t="s">
        <v>830</v>
      </c>
    </row>
    <row r="1103" hidden="1" ht="15.95" customHeight="1">
      <c r="A1103" s="465" t="s">
        <v>3008</v>
      </c>
      <c r="B1103" s="465" t="s">
        <v>2820</v>
      </c>
      <c r="C1103" s="465"/>
      <c r="D1103" s="465" t="s">
        <v>825</v>
      </c>
      <c r="E1103" s="465" t="s">
        <v>3004</v>
      </c>
      <c r="F1103" s="465" t="s">
        <v>3005</v>
      </c>
      <c r="G1103" s="465" t="s">
        <v>2684</v>
      </c>
      <c r="H1103" s="465" t="s">
        <v>183</v>
      </c>
      <c r="I1103" s="465" t="s">
        <v>830</v>
      </c>
    </row>
    <row r="1104" hidden="1" ht="15.95" customHeight="1">
      <c r="A1104" s="465" t="s">
        <v>3009</v>
      </c>
      <c r="B1104" s="465" t="s">
        <v>1260</v>
      </c>
      <c r="C1104" s="465"/>
      <c r="D1104" s="465" t="s">
        <v>825</v>
      </c>
      <c r="E1104" s="465" t="s">
        <v>3004</v>
      </c>
      <c r="F1104" s="465" t="s">
        <v>3005</v>
      </c>
      <c r="G1104" s="465" t="s">
        <v>2684</v>
      </c>
      <c r="H1104" s="465" t="s">
        <v>183</v>
      </c>
      <c r="I1104" s="465" t="s">
        <v>830</v>
      </c>
    </row>
    <row r="1105" hidden="1" ht="15.95" customHeight="1">
      <c r="A1105" s="465" t="s">
        <v>3010</v>
      </c>
      <c r="B1105" s="465" t="s">
        <v>2792</v>
      </c>
      <c r="C1105" s="465"/>
      <c r="D1105" s="465" t="s">
        <v>825</v>
      </c>
      <c r="E1105" s="465" t="s">
        <v>3004</v>
      </c>
      <c r="F1105" s="465" t="s">
        <v>3005</v>
      </c>
      <c r="G1105" s="465" t="s">
        <v>2684</v>
      </c>
      <c r="H1105" s="465" t="s">
        <v>183</v>
      </c>
      <c r="I1105" s="465" t="s">
        <v>830</v>
      </c>
    </row>
    <row r="1106" hidden="1" ht="15.95" customHeight="1">
      <c r="A1106" s="465" t="s">
        <v>3011</v>
      </c>
      <c r="B1106" s="465" t="s">
        <v>1276</v>
      </c>
      <c r="C1106" s="465"/>
      <c r="D1106" s="465" t="s">
        <v>825</v>
      </c>
      <c r="E1106" s="465" t="s">
        <v>3004</v>
      </c>
      <c r="F1106" s="465" t="s">
        <v>3005</v>
      </c>
      <c r="G1106" s="465" t="s">
        <v>2684</v>
      </c>
      <c r="H1106" s="465" t="s">
        <v>183</v>
      </c>
      <c r="I1106" s="465" t="s">
        <v>830</v>
      </c>
    </row>
    <row r="1107" hidden="1" ht="15.95" customHeight="1">
      <c r="A1107" s="465" t="s">
        <v>3012</v>
      </c>
      <c r="B1107" s="465" t="s">
        <v>2824</v>
      </c>
      <c r="C1107" s="465"/>
      <c r="D1107" s="465" t="s">
        <v>825</v>
      </c>
      <c r="E1107" s="465" t="s">
        <v>3004</v>
      </c>
      <c r="F1107" s="465" t="s">
        <v>3005</v>
      </c>
      <c r="G1107" s="465" t="s">
        <v>2684</v>
      </c>
      <c r="H1107" s="465" t="s">
        <v>183</v>
      </c>
      <c r="I1107" s="465" t="s">
        <v>830</v>
      </c>
    </row>
    <row r="1108" hidden="1" ht="15.95" customHeight="1">
      <c r="A1108" s="465" t="s">
        <v>3013</v>
      </c>
      <c r="B1108" s="465" t="s">
        <v>2798</v>
      </c>
      <c r="C1108" s="465"/>
      <c r="D1108" s="465" t="s">
        <v>825</v>
      </c>
      <c r="E1108" s="465" t="s">
        <v>3004</v>
      </c>
      <c r="F1108" s="465" t="s">
        <v>3005</v>
      </c>
      <c r="G1108" s="465" t="s">
        <v>2684</v>
      </c>
      <c r="H1108" s="465" t="s">
        <v>183</v>
      </c>
      <c r="I1108" s="465" t="s">
        <v>830</v>
      </c>
    </row>
    <row r="1109" hidden="1" ht="15.95" customHeight="1">
      <c r="A1109" s="465" t="s">
        <v>3014</v>
      </c>
      <c r="B1109" s="465" t="s">
        <v>2796</v>
      </c>
      <c r="C1109" s="465"/>
      <c r="D1109" s="465" t="s">
        <v>825</v>
      </c>
      <c r="E1109" s="465" t="s">
        <v>3004</v>
      </c>
      <c r="F1109" s="465" t="s">
        <v>3005</v>
      </c>
      <c r="G1109" s="465" t="s">
        <v>2684</v>
      </c>
      <c r="H1109" s="465" t="s">
        <v>183</v>
      </c>
      <c r="I1109" s="465" t="s">
        <v>830</v>
      </c>
    </row>
    <row r="1110" hidden="1" ht="15.95" customHeight="1">
      <c r="A1110" s="465" t="s">
        <v>3015</v>
      </c>
      <c r="B1110" s="465" t="s">
        <v>2850</v>
      </c>
      <c r="C1110" s="465"/>
      <c r="D1110" s="465" t="s">
        <v>825</v>
      </c>
      <c r="E1110" s="465" t="s">
        <v>3004</v>
      </c>
      <c r="F1110" s="465" t="s">
        <v>3005</v>
      </c>
      <c r="G1110" s="465" t="s">
        <v>2684</v>
      </c>
      <c r="H1110" s="465" t="s">
        <v>183</v>
      </c>
      <c r="I1110" s="465" t="s">
        <v>830</v>
      </c>
    </row>
    <row r="1111" hidden="1" ht="15.95" customHeight="1">
      <c r="A1111" s="465" t="s">
        <v>3016</v>
      </c>
      <c r="B1111" s="465" t="s">
        <v>2803</v>
      </c>
      <c r="C1111" s="465"/>
      <c r="D1111" s="465" t="s">
        <v>825</v>
      </c>
      <c r="E1111" s="465" t="s">
        <v>3004</v>
      </c>
      <c r="F1111" s="465" t="s">
        <v>3005</v>
      </c>
      <c r="G1111" s="465" t="s">
        <v>2684</v>
      </c>
      <c r="H1111" s="465" t="s">
        <v>183</v>
      </c>
      <c r="I1111" s="465" t="s">
        <v>830</v>
      </c>
    </row>
    <row r="1112" hidden="1" ht="15.95" customHeight="1">
      <c r="A1112" s="465" t="s">
        <v>3017</v>
      </c>
      <c r="B1112" s="465" t="s">
        <v>2794</v>
      </c>
      <c r="C1112" s="465"/>
      <c r="D1112" s="465" t="s">
        <v>825</v>
      </c>
      <c r="E1112" s="465" t="s">
        <v>3004</v>
      </c>
      <c r="F1112" s="465" t="s">
        <v>3005</v>
      </c>
      <c r="G1112" s="465" t="s">
        <v>2684</v>
      </c>
      <c r="H1112" s="465" t="s">
        <v>183</v>
      </c>
      <c r="I1112" s="465" t="s">
        <v>830</v>
      </c>
    </row>
    <row r="1113" hidden="1" ht="15.95" customHeight="1">
      <c r="A1113" s="465" t="s">
        <v>3018</v>
      </c>
      <c r="B1113" s="465" t="s">
        <v>1274</v>
      </c>
      <c r="C1113" s="465"/>
      <c r="D1113" s="465" t="s">
        <v>825</v>
      </c>
      <c r="E1113" s="465" t="s">
        <v>3004</v>
      </c>
      <c r="F1113" s="465" t="s">
        <v>3005</v>
      </c>
      <c r="G1113" s="465" t="s">
        <v>2684</v>
      </c>
      <c r="H1113" s="465" t="s">
        <v>183</v>
      </c>
      <c r="I1113" s="465" t="s">
        <v>830</v>
      </c>
    </row>
    <row r="1114" hidden="1" ht="15.95" customHeight="1">
      <c r="A1114" s="465" t="s">
        <v>3019</v>
      </c>
      <c r="B1114" s="465" t="s">
        <v>2850</v>
      </c>
      <c r="C1114" s="465"/>
      <c r="D1114" s="465" t="s">
        <v>825</v>
      </c>
      <c r="E1114" s="465" t="s">
        <v>3020</v>
      </c>
      <c r="F1114" s="465" t="s">
        <v>3021</v>
      </c>
      <c r="G1114" s="465" t="s">
        <v>2684</v>
      </c>
      <c r="H1114" s="465" t="s">
        <v>183</v>
      </c>
      <c r="I1114" s="465" t="s">
        <v>830</v>
      </c>
    </row>
    <row r="1115" hidden="1" ht="15.95" customHeight="1">
      <c r="A1115" s="465" t="s">
        <v>3022</v>
      </c>
      <c r="B1115" s="465" t="s">
        <v>2824</v>
      </c>
      <c r="C1115" s="465"/>
      <c r="D1115" s="465" t="s">
        <v>825</v>
      </c>
      <c r="E1115" s="465" t="s">
        <v>3020</v>
      </c>
      <c r="F1115" s="465" t="s">
        <v>3021</v>
      </c>
      <c r="G1115" s="465" t="s">
        <v>2684</v>
      </c>
      <c r="H1115" s="465" t="s">
        <v>183</v>
      </c>
      <c r="I1115" s="465" t="s">
        <v>830</v>
      </c>
    </row>
    <row r="1116" hidden="1" ht="15.95" customHeight="1">
      <c r="A1116" s="465" t="s">
        <v>3023</v>
      </c>
      <c r="B1116" s="465" t="s">
        <v>2798</v>
      </c>
      <c r="C1116" s="465"/>
      <c r="D1116" s="465" t="s">
        <v>825</v>
      </c>
      <c r="E1116" s="465" t="s">
        <v>3020</v>
      </c>
      <c r="F1116" s="465" t="s">
        <v>3021</v>
      </c>
      <c r="G1116" s="465" t="s">
        <v>2684</v>
      </c>
      <c r="H1116" s="465" t="s">
        <v>183</v>
      </c>
      <c r="I1116" s="465" t="s">
        <v>830</v>
      </c>
    </row>
    <row r="1117" hidden="1" ht="15.95" customHeight="1">
      <c r="A1117" s="465" t="s">
        <v>3024</v>
      </c>
      <c r="B1117" s="465" t="s">
        <v>2803</v>
      </c>
      <c r="C1117" s="465"/>
      <c r="D1117" s="465" t="s">
        <v>825</v>
      </c>
      <c r="E1117" s="465" t="s">
        <v>3020</v>
      </c>
      <c r="F1117" s="465" t="s">
        <v>3021</v>
      </c>
      <c r="G1117" s="465" t="s">
        <v>2684</v>
      </c>
      <c r="H1117" s="465" t="s">
        <v>183</v>
      </c>
      <c r="I1117" s="465" t="s">
        <v>830</v>
      </c>
    </row>
    <row r="1118" hidden="1" ht="15.95" customHeight="1">
      <c r="A1118" s="465" t="s">
        <v>3025</v>
      </c>
      <c r="B1118" s="465" t="s">
        <v>1276</v>
      </c>
      <c r="C1118" s="465"/>
      <c r="D1118" s="465" t="s">
        <v>825</v>
      </c>
      <c r="E1118" s="465" t="s">
        <v>3020</v>
      </c>
      <c r="F1118" s="465" t="s">
        <v>3021</v>
      </c>
      <c r="G1118" s="465" t="s">
        <v>2684</v>
      </c>
      <c r="H1118" s="465" t="s">
        <v>183</v>
      </c>
      <c r="I1118" s="465" t="s">
        <v>830</v>
      </c>
    </row>
    <row r="1119" hidden="1" ht="15.95" customHeight="1">
      <c r="A1119" s="465" t="s">
        <v>3026</v>
      </c>
      <c r="B1119" s="465" t="s">
        <v>2852</v>
      </c>
      <c r="C1119" s="465"/>
      <c r="D1119" s="465" t="s">
        <v>825</v>
      </c>
      <c r="E1119" s="465" t="s">
        <v>3020</v>
      </c>
      <c r="F1119" s="465" t="s">
        <v>3021</v>
      </c>
      <c r="G1119" s="465" t="s">
        <v>2684</v>
      </c>
      <c r="H1119" s="465" t="s">
        <v>183</v>
      </c>
      <c r="I1119" s="465" t="s">
        <v>830</v>
      </c>
    </row>
    <row r="1120" hidden="1" ht="15.95" customHeight="1">
      <c r="A1120" s="465" t="s">
        <v>3027</v>
      </c>
      <c r="B1120" s="465" t="s">
        <v>1274</v>
      </c>
      <c r="C1120" s="465"/>
      <c r="D1120" s="465" t="s">
        <v>825</v>
      </c>
      <c r="E1120" s="465" t="s">
        <v>3020</v>
      </c>
      <c r="F1120" s="465" t="s">
        <v>3021</v>
      </c>
      <c r="G1120" s="465" t="s">
        <v>2684</v>
      </c>
      <c r="H1120" s="465" t="s">
        <v>183</v>
      </c>
      <c r="I1120" s="465" t="s">
        <v>830</v>
      </c>
    </row>
    <row r="1121" hidden="1" ht="15.95" customHeight="1">
      <c r="A1121" s="465" t="s">
        <v>3028</v>
      </c>
      <c r="B1121" s="465" t="s">
        <v>2796</v>
      </c>
      <c r="C1121" s="465"/>
      <c r="D1121" s="465" t="s">
        <v>825</v>
      </c>
      <c r="E1121" s="465" t="s">
        <v>3020</v>
      </c>
      <c r="F1121" s="465" t="s">
        <v>3021</v>
      </c>
      <c r="G1121" s="465" t="s">
        <v>2684</v>
      </c>
      <c r="H1121" s="465" t="s">
        <v>183</v>
      </c>
      <c r="I1121" s="465" t="s">
        <v>830</v>
      </c>
    </row>
    <row r="1122" hidden="1" ht="15.95" customHeight="1">
      <c r="A1122" s="465" t="s">
        <v>3029</v>
      </c>
      <c r="B1122" s="465" t="s">
        <v>2781</v>
      </c>
      <c r="C1122" s="465"/>
      <c r="D1122" s="465" t="s">
        <v>825</v>
      </c>
      <c r="E1122" s="465" t="s">
        <v>3020</v>
      </c>
      <c r="F1122" s="465" t="s">
        <v>3021</v>
      </c>
      <c r="G1122" s="465" t="s">
        <v>2684</v>
      </c>
      <c r="H1122" s="465" t="s">
        <v>183</v>
      </c>
      <c r="I1122" s="465" t="s">
        <v>830</v>
      </c>
    </row>
    <row r="1123" hidden="1" ht="15.95" customHeight="1">
      <c r="A1123" s="465" t="s">
        <v>3030</v>
      </c>
      <c r="B1123" s="465" t="s">
        <v>1260</v>
      </c>
      <c r="C1123" s="465"/>
      <c r="D1123" s="465" t="s">
        <v>825</v>
      </c>
      <c r="E1123" s="465" t="s">
        <v>3020</v>
      </c>
      <c r="F1123" s="465" t="s">
        <v>3021</v>
      </c>
      <c r="G1123" s="465" t="s">
        <v>2684</v>
      </c>
      <c r="H1123" s="465" t="s">
        <v>183</v>
      </c>
      <c r="I1123" s="465" t="s">
        <v>830</v>
      </c>
    </row>
    <row r="1124" hidden="1" ht="15.95" customHeight="1">
      <c r="A1124" s="465" t="s">
        <v>3031</v>
      </c>
      <c r="B1124" s="465" t="s">
        <v>2792</v>
      </c>
      <c r="C1124" s="465"/>
      <c r="D1124" s="465" t="s">
        <v>825</v>
      </c>
      <c r="E1124" s="465" t="s">
        <v>3020</v>
      </c>
      <c r="F1124" s="465" t="s">
        <v>3021</v>
      </c>
      <c r="G1124" s="465" t="s">
        <v>2684</v>
      </c>
      <c r="H1124" s="465" t="s">
        <v>183</v>
      </c>
      <c r="I1124" s="465" t="s">
        <v>830</v>
      </c>
    </row>
    <row r="1125" hidden="1" ht="15.95" customHeight="1">
      <c r="A1125" s="465" t="s">
        <v>3032</v>
      </c>
      <c r="B1125" s="465" t="s">
        <v>2789</v>
      </c>
      <c r="C1125" s="465"/>
      <c r="D1125" s="465" t="s">
        <v>825</v>
      </c>
      <c r="E1125" s="465" t="s">
        <v>3020</v>
      </c>
      <c r="F1125" s="465" t="s">
        <v>3021</v>
      </c>
      <c r="G1125" s="465" t="s">
        <v>2684</v>
      </c>
      <c r="H1125" s="465" t="s">
        <v>183</v>
      </c>
      <c r="I1125" s="465" t="s">
        <v>830</v>
      </c>
    </row>
    <row r="1126" hidden="1" ht="15.95" customHeight="1">
      <c r="A1126" s="465" t="s">
        <v>3033</v>
      </c>
      <c r="B1126" s="465" t="s">
        <v>2820</v>
      </c>
      <c r="C1126" s="465"/>
      <c r="D1126" s="465" t="s">
        <v>825</v>
      </c>
      <c r="E1126" s="465" t="s">
        <v>3020</v>
      </c>
      <c r="F1126" s="465" t="s">
        <v>3021</v>
      </c>
      <c r="G1126" s="465" t="s">
        <v>2684</v>
      </c>
      <c r="H1126" s="465" t="s">
        <v>183</v>
      </c>
      <c r="I1126" s="465" t="s">
        <v>830</v>
      </c>
    </row>
    <row r="1127" hidden="1" ht="15.95" customHeight="1">
      <c r="A1127" s="465" t="s">
        <v>3034</v>
      </c>
      <c r="B1127" s="465" t="s">
        <v>2777</v>
      </c>
      <c r="C1127" s="465"/>
      <c r="D1127" s="465" t="s">
        <v>825</v>
      </c>
      <c r="E1127" s="465" t="s">
        <v>3020</v>
      </c>
      <c r="F1127" s="465" t="s">
        <v>3021</v>
      </c>
      <c r="G1127" s="465" t="s">
        <v>2684</v>
      </c>
      <c r="H1127" s="465" t="s">
        <v>183</v>
      </c>
      <c r="I1127" s="465" t="s">
        <v>830</v>
      </c>
    </row>
    <row r="1128" hidden="1" ht="15.95" customHeight="1">
      <c r="A1128" s="465" t="s">
        <v>3035</v>
      </c>
      <c r="B1128" s="465" t="s">
        <v>2786</v>
      </c>
      <c r="C1128" s="465"/>
      <c r="D1128" s="465" t="s">
        <v>825</v>
      </c>
      <c r="E1128" s="465" t="s">
        <v>3020</v>
      </c>
      <c r="F1128" s="465" t="s">
        <v>3021</v>
      </c>
      <c r="G1128" s="465" t="s">
        <v>2684</v>
      </c>
      <c r="H1128" s="465" t="s">
        <v>183</v>
      </c>
      <c r="I1128" s="465" t="s">
        <v>830</v>
      </c>
    </row>
    <row r="1129" hidden="1" ht="15.95" customHeight="1">
      <c r="A1129" s="465" t="s">
        <v>3036</v>
      </c>
      <c r="B1129" s="465" t="s">
        <v>2794</v>
      </c>
      <c r="C1129" s="465"/>
      <c r="D1129" s="465" t="s">
        <v>825</v>
      </c>
      <c r="E1129" s="465" t="s">
        <v>3020</v>
      </c>
      <c r="F1129" s="465" t="s">
        <v>3021</v>
      </c>
      <c r="G1129" s="465" t="s">
        <v>2684</v>
      </c>
      <c r="H1129" s="465" t="s">
        <v>183</v>
      </c>
      <c r="I1129" s="465" t="s">
        <v>830</v>
      </c>
    </row>
    <row r="1130" hidden="1" ht="15.95" customHeight="1">
      <c r="A1130" s="465" t="s">
        <v>3037</v>
      </c>
      <c r="B1130" s="465" t="s">
        <v>3038</v>
      </c>
      <c r="C1130" s="465"/>
      <c r="D1130" s="465" t="s">
        <v>825</v>
      </c>
      <c r="E1130" s="465" t="s">
        <v>3039</v>
      </c>
      <c r="F1130" s="465" t="s">
        <v>3040</v>
      </c>
      <c r="G1130" s="465" t="s">
        <v>2684</v>
      </c>
      <c r="H1130" s="465" t="s">
        <v>183</v>
      </c>
      <c r="I1130" s="465" t="s">
        <v>830</v>
      </c>
    </row>
    <row r="1131" hidden="1" ht="15.95" customHeight="1">
      <c r="A1131" s="465" t="s">
        <v>3041</v>
      </c>
      <c r="B1131" s="465" t="s">
        <v>3042</v>
      </c>
      <c r="C1131" s="465"/>
      <c r="D1131" s="465" t="s">
        <v>825</v>
      </c>
      <c r="E1131" s="465" t="s">
        <v>3039</v>
      </c>
      <c r="F1131" s="465" t="s">
        <v>3040</v>
      </c>
      <c r="G1131" s="465" t="s">
        <v>2684</v>
      </c>
      <c r="H1131" s="465" t="s">
        <v>183</v>
      </c>
      <c r="I1131" s="465" t="s">
        <v>830</v>
      </c>
    </row>
    <row r="1132" hidden="1" ht="15.95" customHeight="1">
      <c r="A1132" s="465" t="s">
        <v>3043</v>
      </c>
      <c r="B1132" s="465" t="s">
        <v>3044</v>
      </c>
      <c r="C1132" s="465"/>
      <c r="D1132" s="465" t="s">
        <v>825</v>
      </c>
      <c r="E1132" s="465" t="s">
        <v>3039</v>
      </c>
      <c r="F1132" s="465" t="s">
        <v>3040</v>
      </c>
      <c r="G1132" s="465" t="s">
        <v>2684</v>
      </c>
      <c r="H1132" s="465" t="s">
        <v>183</v>
      </c>
      <c r="I1132" s="465" t="s">
        <v>830</v>
      </c>
    </row>
    <row r="1133" hidden="1" ht="15.95" customHeight="1">
      <c r="A1133" s="465" t="s">
        <v>3045</v>
      </c>
      <c r="B1133" s="465" t="s">
        <v>3046</v>
      </c>
      <c r="C1133" s="465"/>
      <c r="D1133" s="465" t="s">
        <v>825</v>
      </c>
      <c r="E1133" s="465" t="s">
        <v>3039</v>
      </c>
      <c r="F1133" s="465" t="s">
        <v>3040</v>
      </c>
      <c r="G1133" s="465" t="s">
        <v>2684</v>
      </c>
      <c r="H1133" s="465" t="s">
        <v>183</v>
      </c>
      <c r="I1133" s="465" t="s">
        <v>830</v>
      </c>
    </row>
    <row r="1134" hidden="1" ht="15.95" customHeight="1">
      <c r="A1134" s="465" t="s">
        <v>3047</v>
      </c>
      <c r="B1134" s="465" t="s">
        <v>3048</v>
      </c>
      <c r="C1134" s="465"/>
      <c r="D1134" s="465" t="s">
        <v>825</v>
      </c>
      <c r="E1134" s="465" t="s">
        <v>3039</v>
      </c>
      <c r="F1134" s="465" t="s">
        <v>3040</v>
      </c>
      <c r="G1134" s="465" t="s">
        <v>2684</v>
      </c>
      <c r="H1134" s="465" t="s">
        <v>183</v>
      </c>
      <c r="I1134" s="465" t="s">
        <v>830</v>
      </c>
    </row>
    <row r="1135" hidden="1" ht="15.95" customHeight="1">
      <c r="A1135" s="465" t="s">
        <v>3049</v>
      </c>
      <c r="B1135" s="465" t="s">
        <v>3050</v>
      </c>
      <c r="C1135" s="465"/>
      <c r="D1135" s="465" t="s">
        <v>825</v>
      </c>
      <c r="E1135" s="465" t="s">
        <v>3039</v>
      </c>
      <c r="F1135" s="465" t="s">
        <v>3040</v>
      </c>
      <c r="G1135" s="465" t="s">
        <v>2684</v>
      </c>
      <c r="H1135" s="465" t="s">
        <v>183</v>
      </c>
      <c r="I1135" s="465" t="s">
        <v>830</v>
      </c>
    </row>
    <row r="1136" hidden="1" ht="15.95" customHeight="1">
      <c r="A1136" s="465" t="s">
        <v>3051</v>
      </c>
      <c r="B1136" s="465" t="s">
        <v>3052</v>
      </c>
      <c r="C1136" s="465"/>
      <c r="D1136" s="465" t="s">
        <v>825</v>
      </c>
      <c r="E1136" s="465" t="s">
        <v>3039</v>
      </c>
      <c r="F1136" s="465" t="s">
        <v>3040</v>
      </c>
      <c r="G1136" s="465" t="s">
        <v>2684</v>
      </c>
      <c r="H1136" s="465" t="s">
        <v>183</v>
      </c>
      <c r="I1136" s="465" t="s">
        <v>830</v>
      </c>
    </row>
    <row r="1137" hidden="1" ht="15.95" customHeight="1">
      <c r="A1137" s="465" t="s">
        <v>3053</v>
      </c>
      <c r="B1137" s="465" t="s">
        <v>3054</v>
      </c>
      <c r="C1137" s="465"/>
      <c r="D1137" s="465" t="s">
        <v>825</v>
      </c>
      <c r="E1137" s="465" t="s">
        <v>3039</v>
      </c>
      <c r="F1137" s="465" t="s">
        <v>3040</v>
      </c>
      <c r="G1137" s="465" t="s">
        <v>2684</v>
      </c>
      <c r="H1137" s="465" t="s">
        <v>183</v>
      </c>
      <c r="I1137" s="465" t="s">
        <v>830</v>
      </c>
    </row>
    <row r="1138" hidden="1" ht="15.95" customHeight="1">
      <c r="A1138" s="465" t="s">
        <v>3055</v>
      </c>
      <c r="B1138" s="465" t="s">
        <v>3056</v>
      </c>
      <c r="C1138" s="465"/>
      <c r="D1138" s="465" t="s">
        <v>825</v>
      </c>
      <c r="E1138" s="465" t="s">
        <v>3039</v>
      </c>
      <c r="F1138" s="465" t="s">
        <v>3040</v>
      </c>
      <c r="G1138" s="465" t="s">
        <v>2684</v>
      </c>
      <c r="H1138" s="465" t="s">
        <v>183</v>
      </c>
      <c r="I1138" s="465" t="s">
        <v>830</v>
      </c>
    </row>
    <row r="1139" hidden="1" ht="15.95" customHeight="1">
      <c r="A1139" s="465" t="s">
        <v>3057</v>
      </c>
      <c r="B1139" s="465" t="s">
        <v>3058</v>
      </c>
      <c r="C1139" s="465"/>
      <c r="D1139" s="465" t="s">
        <v>825</v>
      </c>
      <c r="E1139" s="465" t="s">
        <v>3039</v>
      </c>
      <c r="F1139" s="465" t="s">
        <v>3040</v>
      </c>
      <c r="G1139" s="465" t="s">
        <v>2684</v>
      </c>
      <c r="H1139" s="465" t="s">
        <v>183</v>
      </c>
      <c r="I1139" s="465" t="s">
        <v>830</v>
      </c>
    </row>
    <row r="1140" hidden="1" ht="15.95" customHeight="1">
      <c r="A1140" s="465" t="s">
        <v>3059</v>
      </c>
      <c r="B1140" s="465" t="s">
        <v>3060</v>
      </c>
      <c r="C1140" s="465"/>
      <c r="D1140" s="465" t="s">
        <v>825</v>
      </c>
      <c r="E1140" s="465" t="s">
        <v>3061</v>
      </c>
      <c r="F1140" s="465" t="s">
        <v>3062</v>
      </c>
      <c r="G1140" s="465" t="s">
        <v>2684</v>
      </c>
      <c r="H1140" s="465" t="s">
        <v>183</v>
      </c>
      <c r="I1140" s="465" t="s">
        <v>830</v>
      </c>
    </row>
    <row r="1141" hidden="1" ht="15.95" customHeight="1">
      <c r="A1141" s="465" t="s">
        <v>3063</v>
      </c>
      <c r="B1141" s="465" t="s">
        <v>3064</v>
      </c>
      <c r="C1141" s="465"/>
      <c r="D1141" s="465" t="s">
        <v>825</v>
      </c>
      <c r="E1141" s="465" t="s">
        <v>3061</v>
      </c>
      <c r="F1141" s="465" t="s">
        <v>3062</v>
      </c>
      <c r="G1141" s="465" t="s">
        <v>2684</v>
      </c>
      <c r="H1141" s="465" t="s">
        <v>183</v>
      </c>
      <c r="I1141" s="465" t="s">
        <v>830</v>
      </c>
    </row>
    <row r="1142" hidden="1" ht="15.95" customHeight="1">
      <c r="A1142" s="465" t="s">
        <v>3065</v>
      </c>
      <c r="B1142" s="465" t="s">
        <v>3066</v>
      </c>
      <c r="C1142" s="465"/>
      <c r="D1142" s="465" t="s">
        <v>825</v>
      </c>
      <c r="E1142" s="465" t="s">
        <v>3061</v>
      </c>
      <c r="F1142" s="465" t="s">
        <v>3062</v>
      </c>
      <c r="G1142" s="465" t="s">
        <v>2684</v>
      </c>
      <c r="H1142" s="465" t="s">
        <v>183</v>
      </c>
      <c r="I1142" s="465" t="s">
        <v>830</v>
      </c>
    </row>
    <row r="1143" hidden="1" ht="15.95" customHeight="1">
      <c r="A1143" s="465" t="s">
        <v>3067</v>
      </c>
      <c r="B1143" s="465" t="s">
        <v>3068</v>
      </c>
      <c r="C1143" s="465"/>
      <c r="D1143" s="465" t="s">
        <v>825</v>
      </c>
      <c r="E1143" s="465" t="s">
        <v>3061</v>
      </c>
      <c r="F1143" s="465" t="s">
        <v>3062</v>
      </c>
      <c r="G1143" s="465" t="s">
        <v>2684</v>
      </c>
      <c r="H1143" s="465" t="s">
        <v>183</v>
      </c>
      <c r="I1143" s="465" t="s">
        <v>830</v>
      </c>
    </row>
    <row r="1144" hidden="1" ht="15.95" customHeight="1">
      <c r="A1144" s="465" t="s">
        <v>3069</v>
      </c>
      <c r="B1144" s="465" t="s">
        <v>3070</v>
      </c>
      <c r="C1144" s="465"/>
      <c r="D1144" s="465" t="s">
        <v>825</v>
      </c>
      <c r="E1144" s="465" t="s">
        <v>3061</v>
      </c>
      <c r="F1144" s="465" t="s">
        <v>3062</v>
      </c>
      <c r="G1144" s="465" t="s">
        <v>2684</v>
      </c>
      <c r="H1144" s="465" t="s">
        <v>183</v>
      </c>
      <c r="I1144" s="465" t="s">
        <v>830</v>
      </c>
    </row>
    <row r="1145" hidden="1" ht="15.95" customHeight="1">
      <c r="A1145" s="465" t="s">
        <v>3071</v>
      </c>
      <c r="B1145" s="465" t="s">
        <v>3072</v>
      </c>
      <c r="C1145" s="465"/>
      <c r="D1145" s="465" t="s">
        <v>825</v>
      </c>
      <c r="E1145" s="465" t="s">
        <v>3061</v>
      </c>
      <c r="F1145" s="465" t="s">
        <v>3062</v>
      </c>
      <c r="G1145" s="465" t="s">
        <v>2684</v>
      </c>
      <c r="H1145" s="465" t="s">
        <v>183</v>
      </c>
      <c r="I1145" s="465" t="s">
        <v>830</v>
      </c>
    </row>
    <row r="1146" hidden="1" ht="15.95" customHeight="1">
      <c r="A1146" s="465" t="s">
        <v>3073</v>
      </c>
      <c r="B1146" s="465" t="s">
        <v>3074</v>
      </c>
      <c r="C1146" s="465"/>
      <c r="D1146" s="465" t="s">
        <v>825</v>
      </c>
      <c r="E1146" s="465" t="s">
        <v>3061</v>
      </c>
      <c r="F1146" s="465" t="s">
        <v>3062</v>
      </c>
      <c r="G1146" s="465" t="s">
        <v>2684</v>
      </c>
      <c r="H1146" s="465" t="s">
        <v>183</v>
      </c>
      <c r="I1146" s="465" t="s">
        <v>830</v>
      </c>
    </row>
    <row r="1147" hidden="1" ht="15.95" customHeight="1">
      <c r="A1147" s="465" t="s">
        <v>3075</v>
      </c>
      <c r="B1147" s="465" t="s">
        <v>1587</v>
      </c>
      <c r="C1147" s="465"/>
      <c r="D1147" s="465" t="s">
        <v>825</v>
      </c>
      <c r="E1147" s="465" t="s">
        <v>3061</v>
      </c>
      <c r="F1147" s="465" t="s">
        <v>3062</v>
      </c>
      <c r="G1147" s="465" t="s">
        <v>2684</v>
      </c>
      <c r="H1147" s="465" t="s">
        <v>183</v>
      </c>
      <c r="I1147" s="465" t="s">
        <v>830</v>
      </c>
    </row>
    <row r="1148" hidden="1" ht="15.95" customHeight="1">
      <c r="A1148" s="465" t="s">
        <v>3076</v>
      </c>
      <c r="B1148" s="465" t="s">
        <v>2190</v>
      </c>
      <c r="C1148" s="465"/>
      <c r="D1148" s="465" t="s">
        <v>825</v>
      </c>
      <c r="E1148" s="465" t="s">
        <v>3061</v>
      </c>
      <c r="F1148" s="465" t="s">
        <v>3062</v>
      </c>
      <c r="G1148" s="465" t="s">
        <v>2684</v>
      </c>
      <c r="H1148" s="465" t="s">
        <v>183</v>
      </c>
      <c r="I1148" s="465" t="s">
        <v>830</v>
      </c>
    </row>
    <row r="1149" hidden="1" ht="15.95" customHeight="1">
      <c r="A1149" s="465" t="s">
        <v>3077</v>
      </c>
      <c r="B1149" s="465" t="s">
        <v>2010</v>
      </c>
      <c r="C1149" s="465"/>
      <c r="D1149" s="465" t="s">
        <v>825</v>
      </c>
      <c r="E1149" s="465" t="s">
        <v>3061</v>
      </c>
      <c r="F1149" s="465" t="s">
        <v>3062</v>
      </c>
      <c r="G1149" s="465" t="s">
        <v>2684</v>
      </c>
      <c r="H1149" s="465" t="s">
        <v>183</v>
      </c>
      <c r="I1149" s="465" t="s">
        <v>830</v>
      </c>
    </row>
    <row r="1150" hidden="1" ht="15.95" customHeight="1">
      <c r="A1150" s="465" t="s">
        <v>3078</v>
      </c>
      <c r="B1150" s="465" t="s">
        <v>3079</v>
      </c>
      <c r="C1150" s="465"/>
      <c r="D1150" s="465" t="s">
        <v>884</v>
      </c>
      <c r="E1150" s="465" t="s">
        <v>3080</v>
      </c>
      <c r="F1150" s="465" t="s">
        <v>3081</v>
      </c>
      <c r="G1150" s="465" t="s">
        <v>2684</v>
      </c>
      <c r="H1150" s="465" t="s">
        <v>183</v>
      </c>
      <c r="I1150" s="465" t="s">
        <v>830</v>
      </c>
    </row>
    <row r="1151" hidden="1" ht="15.95" customHeight="1">
      <c r="A1151" s="465" t="s">
        <v>3082</v>
      </c>
      <c r="B1151" s="465" t="s">
        <v>3083</v>
      </c>
      <c r="C1151" s="465"/>
      <c r="D1151" s="465" t="s">
        <v>855</v>
      </c>
      <c r="E1151" s="465" t="s">
        <v>3080</v>
      </c>
      <c r="F1151" s="465" t="s">
        <v>3081</v>
      </c>
      <c r="G1151" s="465" t="s">
        <v>2684</v>
      </c>
      <c r="H1151" s="465" t="s">
        <v>183</v>
      </c>
      <c r="I1151" s="465" t="s">
        <v>830</v>
      </c>
    </row>
    <row r="1152" hidden="1" ht="15.95" customHeight="1">
      <c r="A1152" s="465" t="s">
        <v>3084</v>
      </c>
      <c r="B1152" s="465" t="s">
        <v>1687</v>
      </c>
      <c r="C1152" s="465"/>
      <c r="D1152" s="465" t="s">
        <v>855</v>
      </c>
      <c r="E1152" s="465" t="s">
        <v>3080</v>
      </c>
      <c r="F1152" s="465" t="s">
        <v>3081</v>
      </c>
      <c r="G1152" s="465" t="s">
        <v>2684</v>
      </c>
      <c r="H1152" s="465" t="s">
        <v>183</v>
      </c>
      <c r="I1152" s="465" t="s">
        <v>830</v>
      </c>
    </row>
    <row r="1153" hidden="1" ht="15.95" customHeight="1">
      <c r="A1153" s="465" t="s">
        <v>3085</v>
      </c>
      <c r="B1153" s="465" t="s">
        <v>3086</v>
      </c>
      <c r="C1153" s="465"/>
      <c r="D1153" s="465" t="s">
        <v>855</v>
      </c>
      <c r="E1153" s="465" t="s">
        <v>3080</v>
      </c>
      <c r="F1153" s="465" t="s">
        <v>3081</v>
      </c>
      <c r="G1153" s="465" t="s">
        <v>2684</v>
      </c>
      <c r="H1153" s="465" t="s">
        <v>183</v>
      </c>
      <c r="I1153" s="465" t="s">
        <v>830</v>
      </c>
    </row>
    <row r="1154" hidden="1" ht="15.95" customHeight="1">
      <c r="A1154" s="465" t="s">
        <v>3087</v>
      </c>
      <c r="B1154" s="465" t="s">
        <v>3088</v>
      </c>
      <c r="C1154" s="465"/>
      <c r="D1154" s="465" t="s">
        <v>855</v>
      </c>
      <c r="E1154" s="465" t="s">
        <v>3080</v>
      </c>
      <c r="F1154" s="465" t="s">
        <v>3081</v>
      </c>
      <c r="G1154" s="465" t="s">
        <v>2684</v>
      </c>
      <c r="H1154" s="465" t="s">
        <v>183</v>
      </c>
      <c r="I1154" s="465" t="s">
        <v>830</v>
      </c>
    </row>
    <row r="1155" hidden="1" ht="15.95" customHeight="1">
      <c r="A1155" s="465" t="s">
        <v>3089</v>
      </c>
      <c r="B1155" s="465" t="s">
        <v>3090</v>
      </c>
      <c r="C1155" s="465"/>
      <c r="D1155" s="465" t="s">
        <v>855</v>
      </c>
      <c r="E1155" s="465" t="s">
        <v>3080</v>
      </c>
      <c r="F1155" s="465" t="s">
        <v>3081</v>
      </c>
      <c r="G1155" s="465" t="s">
        <v>2684</v>
      </c>
      <c r="H1155" s="465" t="s">
        <v>183</v>
      </c>
      <c r="I1155" s="465" t="s">
        <v>830</v>
      </c>
    </row>
    <row r="1156" hidden="1" ht="15.95" customHeight="1">
      <c r="A1156" s="465" t="s">
        <v>3091</v>
      </c>
      <c r="B1156" s="465" t="s">
        <v>3092</v>
      </c>
      <c r="C1156" s="465"/>
      <c r="D1156" s="465" t="s">
        <v>855</v>
      </c>
      <c r="E1156" s="465" t="s">
        <v>3080</v>
      </c>
      <c r="F1156" s="465" t="s">
        <v>3081</v>
      </c>
      <c r="G1156" s="465" t="s">
        <v>2684</v>
      </c>
      <c r="H1156" s="465" t="s">
        <v>183</v>
      </c>
      <c r="I1156" s="465" t="s">
        <v>830</v>
      </c>
    </row>
    <row r="1157" hidden="1" ht="15.95" customHeight="1">
      <c r="A1157" s="465" t="s">
        <v>3093</v>
      </c>
      <c r="B1157" s="465" t="s">
        <v>3094</v>
      </c>
      <c r="C1157" s="465"/>
      <c r="D1157" s="465" t="s">
        <v>855</v>
      </c>
      <c r="E1157" s="465" t="s">
        <v>3080</v>
      </c>
      <c r="F1157" s="465" t="s">
        <v>3081</v>
      </c>
      <c r="G1157" s="465" t="s">
        <v>2684</v>
      </c>
      <c r="H1157" s="465" t="s">
        <v>183</v>
      </c>
      <c r="I1157" s="465" t="s">
        <v>830</v>
      </c>
    </row>
    <row r="1158" hidden="1" ht="15.95" customHeight="1">
      <c r="A1158" s="465" t="s">
        <v>3095</v>
      </c>
      <c r="B1158" s="465" t="s">
        <v>3096</v>
      </c>
      <c r="C1158" s="465"/>
      <c r="D1158" s="465" t="s">
        <v>855</v>
      </c>
      <c r="E1158" s="465" t="s">
        <v>3080</v>
      </c>
      <c r="F1158" s="465" t="s">
        <v>3081</v>
      </c>
      <c r="G1158" s="465" t="s">
        <v>2684</v>
      </c>
      <c r="H1158" s="465" t="s">
        <v>183</v>
      </c>
      <c r="I1158" s="465" t="s">
        <v>830</v>
      </c>
    </row>
    <row r="1159" hidden="1" ht="15.95" customHeight="1">
      <c r="A1159" s="465" t="s">
        <v>3097</v>
      </c>
      <c r="B1159" s="465" t="s">
        <v>3098</v>
      </c>
      <c r="C1159" s="465"/>
      <c r="D1159" s="465" t="s">
        <v>855</v>
      </c>
      <c r="E1159" s="465" t="s">
        <v>3080</v>
      </c>
      <c r="F1159" s="465" t="s">
        <v>3081</v>
      </c>
      <c r="G1159" s="465" t="s">
        <v>2684</v>
      </c>
      <c r="H1159" s="465" t="s">
        <v>183</v>
      </c>
      <c r="I1159" s="465" t="s">
        <v>830</v>
      </c>
    </row>
    <row r="1160" hidden="1" ht="15.95" customHeight="1">
      <c r="A1160" s="465" t="s">
        <v>3099</v>
      </c>
      <c r="B1160" s="465" t="s">
        <v>1941</v>
      </c>
      <c r="C1160" s="465"/>
      <c r="D1160" s="465" t="s">
        <v>855</v>
      </c>
      <c r="E1160" s="465" t="s">
        <v>3080</v>
      </c>
      <c r="F1160" s="465" t="s">
        <v>3081</v>
      </c>
      <c r="G1160" s="465" t="s">
        <v>2684</v>
      </c>
      <c r="H1160" s="465" t="s">
        <v>183</v>
      </c>
      <c r="I1160" s="465" t="s">
        <v>830</v>
      </c>
    </row>
    <row r="1161" hidden="1" ht="15.95" customHeight="1">
      <c r="A1161" s="465" t="s">
        <v>3100</v>
      </c>
      <c r="B1161" s="465" t="s">
        <v>3101</v>
      </c>
      <c r="C1161" s="465"/>
      <c r="D1161" s="465" t="s">
        <v>855</v>
      </c>
      <c r="E1161" s="465" t="s">
        <v>3080</v>
      </c>
      <c r="F1161" s="465" t="s">
        <v>3081</v>
      </c>
      <c r="G1161" s="465" t="s">
        <v>2684</v>
      </c>
      <c r="H1161" s="465" t="s">
        <v>183</v>
      </c>
      <c r="I1161" s="465" t="s">
        <v>830</v>
      </c>
    </row>
    <row r="1162" hidden="1" ht="15.95" customHeight="1">
      <c r="A1162" s="465" t="s">
        <v>3102</v>
      </c>
      <c r="B1162" s="465" t="s">
        <v>3103</v>
      </c>
      <c r="C1162" s="465"/>
      <c r="D1162" s="465" t="s">
        <v>855</v>
      </c>
      <c r="E1162" s="465" t="s">
        <v>3080</v>
      </c>
      <c r="F1162" s="465" t="s">
        <v>3081</v>
      </c>
      <c r="G1162" s="465" t="s">
        <v>2684</v>
      </c>
      <c r="H1162" s="465" t="s">
        <v>183</v>
      </c>
      <c r="I1162" s="465" t="s">
        <v>830</v>
      </c>
    </row>
    <row r="1163" hidden="1" ht="15.95" customHeight="1">
      <c r="A1163" s="465" t="s">
        <v>3104</v>
      </c>
      <c r="B1163" s="465" t="s">
        <v>3105</v>
      </c>
      <c r="C1163" s="465"/>
      <c r="D1163" s="465" t="s">
        <v>855</v>
      </c>
      <c r="E1163" s="465" t="s">
        <v>3080</v>
      </c>
      <c r="F1163" s="465" t="s">
        <v>3081</v>
      </c>
      <c r="G1163" s="465" t="s">
        <v>2684</v>
      </c>
      <c r="H1163" s="465" t="s">
        <v>183</v>
      </c>
      <c r="I1163" s="465" t="s">
        <v>830</v>
      </c>
    </row>
    <row r="1164" hidden="1" ht="15.95" customHeight="1">
      <c r="A1164" s="465" t="s">
        <v>3106</v>
      </c>
      <c r="B1164" s="465" t="s">
        <v>3107</v>
      </c>
      <c r="C1164" s="465"/>
      <c r="D1164" s="465" t="s">
        <v>855</v>
      </c>
      <c r="E1164" s="465" t="s">
        <v>3080</v>
      </c>
      <c r="F1164" s="465" t="s">
        <v>3081</v>
      </c>
      <c r="G1164" s="465" t="s">
        <v>2684</v>
      </c>
      <c r="H1164" s="465" t="s">
        <v>183</v>
      </c>
      <c r="I1164" s="465" t="s">
        <v>830</v>
      </c>
    </row>
    <row r="1165" hidden="1" ht="15.95" customHeight="1">
      <c r="A1165" s="465" t="s">
        <v>3108</v>
      </c>
      <c r="B1165" s="465" t="s">
        <v>3109</v>
      </c>
      <c r="C1165" s="465"/>
      <c r="D1165" s="465" t="s">
        <v>855</v>
      </c>
      <c r="E1165" s="465" t="s">
        <v>3080</v>
      </c>
      <c r="F1165" s="465" t="s">
        <v>3081</v>
      </c>
      <c r="G1165" s="465" t="s">
        <v>2684</v>
      </c>
      <c r="H1165" s="465" t="s">
        <v>183</v>
      </c>
      <c r="I1165" s="465" t="s">
        <v>830</v>
      </c>
    </row>
    <row r="1166" hidden="1" ht="15.95" customHeight="1">
      <c r="A1166" s="465" t="s">
        <v>3110</v>
      </c>
      <c r="B1166" s="465" t="s">
        <v>1062</v>
      </c>
      <c r="C1166" s="465"/>
      <c r="D1166" s="465" t="s">
        <v>855</v>
      </c>
      <c r="E1166" s="465" t="s">
        <v>3080</v>
      </c>
      <c r="F1166" s="465" t="s">
        <v>3081</v>
      </c>
      <c r="G1166" s="465" t="s">
        <v>2684</v>
      </c>
      <c r="H1166" s="465" t="s">
        <v>183</v>
      </c>
      <c r="I1166" s="465" t="s">
        <v>830</v>
      </c>
    </row>
    <row r="1167" hidden="1" ht="15.95" customHeight="1">
      <c r="A1167" s="465" t="s">
        <v>3111</v>
      </c>
      <c r="B1167" s="465" t="s">
        <v>3112</v>
      </c>
      <c r="C1167" s="465"/>
      <c r="D1167" s="465" t="s">
        <v>855</v>
      </c>
      <c r="E1167" s="465" t="s">
        <v>3080</v>
      </c>
      <c r="F1167" s="465" t="s">
        <v>3081</v>
      </c>
      <c r="G1167" s="465" t="s">
        <v>2684</v>
      </c>
      <c r="H1167" s="465" t="s">
        <v>183</v>
      </c>
      <c r="I1167" s="465" t="s">
        <v>830</v>
      </c>
    </row>
    <row r="1168" hidden="1" ht="15.95" customHeight="1">
      <c r="A1168" s="465" t="s">
        <v>3113</v>
      </c>
      <c r="B1168" s="465" t="s">
        <v>2167</v>
      </c>
      <c r="C1168" s="465"/>
      <c r="D1168" s="465" t="s">
        <v>855</v>
      </c>
      <c r="E1168" s="465" t="s">
        <v>3080</v>
      </c>
      <c r="F1168" s="465" t="s">
        <v>3081</v>
      </c>
      <c r="G1168" s="465" t="s">
        <v>2684</v>
      </c>
      <c r="H1168" s="465" t="s">
        <v>183</v>
      </c>
      <c r="I1168" s="465" t="s">
        <v>830</v>
      </c>
    </row>
    <row r="1169" hidden="1" ht="15.95" customHeight="1">
      <c r="A1169" s="465" t="s">
        <v>3114</v>
      </c>
      <c r="B1169" s="465" t="s">
        <v>3115</v>
      </c>
      <c r="C1169" s="465"/>
      <c r="D1169" s="465" t="s">
        <v>855</v>
      </c>
      <c r="E1169" s="465" t="s">
        <v>3080</v>
      </c>
      <c r="F1169" s="465" t="s">
        <v>3081</v>
      </c>
      <c r="G1169" s="465" t="s">
        <v>2684</v>
      </c>
      <c r="H1169" s="465" t="s">
        <v>183</v>
      </c>
      <c r="I1169" s="465" t="s">
        <v>830</v>
      </c>
    </row>
    <row r="1170" hidden="1" ht="15.95" customHeight="1">
      <c r="A1170" s="465" t="s">
        <v>3116</v>
      </c>
      <c r="B1170" s="465" t="s">
        <v>3117</v>
      </c>
      <c r="C1170" s="465"/>
      <c r="D1170" s="465" t="s">
        <v>855</v>
      </c>
      <c r="E1170" s="465" t="s">
        <v>3080</v>
      </c>
      <c r="F1170" s="465" t="s">
        <v>3081</v>
      </c>
      <c r="G1170" s="465" t="s">
        <v>2684</v>
      </c>
      <c r="H1170" s="465" t="s">
        <v>183</v>
      </c>
      <c r="I1170" s="465" t="s">
        <v>830</v>
      </c>
    </row>
    <row r="1171" hidden="1" ht="15.95" customHeight="1">
      <c r="A1171" s="465" t="s">
        <v>3118</v>
      </c>
      <c r="B1171" s="465" t="s">
        <v>3119</v>
      </c>
      <c r="C1171" s="465"/>
      <c r="D1171" s="465" t="s">
        <v>884</v>
      </c>
      <c r="E1171" s="465" t="s">
        <v>3120</v>
      </c>
      <c r="F1171" s="465" t="s">
        <v>3121</v>
      </c>
      <c r="G1171" s="465" t="s">
        <v>2684</v>
      </c>
      <c r="H1171" s="465" t="s">
        <v>183</v>
      </c>
      <c r="I1171" s="465" t="s">
        <v>830</v>
      </c>
    </row>
    <row r="1172" hidden="1" ht="15.95" customHeight="1">
      <c r="A1172" s="465" t="s">
        <v>3122</v>
      </c>
      <c r="B1172" s="465" t="s">
        <v>1705</v>
      </c>
      <c r="C1172" s="465"/>
      <c r="D1172" s="465" t="s">
        <v>855</v>
      </c>
      <c r="E1172" s="465" t="s">
        <v>3120</v>
      </c>
      <c r="F1172" s="465" t="s">
        <v>3121</v>
      </c>
      <c r="G1172" s="465" t="s">
        <v>2684</v>
      </c>
      <c r="H1172" s="465" t="s">
        <v>183</v>
      </c>
      <c r="I1172" s="465" t="s">
        <v>830</v>
      </c>
    </row>
    <row r="1173" hidden="1" ht="15.95" customHeight="1">
      <c r="A1173" s="465" t="s">
        <v>3123</v>
      </c>
      <c r="B1173" s="465" t="s">
        <v>3124</v>
      </c>
      <c r="C1173" s="465"/>
      <c r="D1173" s="465" t="s">
        <v>855</v>
      </c>
      <c r="E1173" s="465" t="s">
        <v>3120</v>
      </c>
      <c r="F1173" s="465" t="s">
        <v>3121</v>
      </c>
      <c r="G1173" s="465" t="s">
        <v>2684</v>
      </c>
      <c r="H1173" s="465" t="s">
        <v>183</v>
      </c>
      <c r="I1173" s="465" t="s">
        <v>830</v>
      </c>
    </row>
    <row r="1174" hidden="1" ht="15.95" customHeight="1">
      <c r="A1174" s="465" t="s">
        <v>3125</v>
      </c>
      <c r="B1174" s="465" t="s">
        <v>3126</v>
      </c>
      <c r="C1174" s="465"/>
      <c r="D1174" s="465" t="s">
        <v>855</v>
      </c>
      <c r="E1174" s="465" t="s">
        <v>3120</v>
      </c>
      <c r="F1174" s="465" t="s">
        <v>3121</v>
      </c>
      <c r="G1174" s="465" t="s">
        <v>2684</v>
      </c>
      <c r="H1174" s="465" t="s">
        <v>183</v>
      </c>
      <c r="I1174" s="465" t="s">
        <v>830</v>
      </c>
    </row>
    <row r="1175" hidden="1" ht="15.95" customHeight="1">
      <c r="A1175" s="465" t="s">
        <v>3127</v>
      </c>
      <c r="B1175" s="465" t="s">
        <v>3128</v>
      </c>
      <c r="C1175" s="465"/>
      <c r="D1175" s="465" t="s">
        <v>855</v>
      </c>
      <c r="E1175" s="465" t="s">
        <v>3120</v>
      </c>
      <c r="F1175" s="465" t="s">
        <v>3121</v>
      </c>
      <c r="G1175" s="465" t="s">
        <v>2684</v>
      </c>
      <c r="H1175" s="465" t="s">
        <v>183</v>
      </c>
      <c r="I1175" s="465" t="s">
        <v>830</v>
      </c>
    </row>
    <row r="1176" hidden="1" ht="15.95" customHeight="1">
      <c r="A1176" s="465" t="s">
        <v>3129</v>
      </c>
      <c r="B1176" s="465" t="s">
        <v>3130</v>
      </c>
      <c r="C1176" s="465"/>
      <c r="D1176" s="465" t="s">
        <v>855</v>
      </c>
      <c r="E1176" s="465" t="s">
        <v>3120</v>
      </c>
      <c r="F1176" s="465" t="s">
        <v>3121</v>
      </c>
      <c r="G1176" s="465" t="s">
        <v>2684</v>
      </c>
      <c r="H1176" s="465" t="s">
        <v>183</v>
      </c>
      <c r="I1176" s="465" t="s">
        <v>830</v>
      </c>
    </row>
    <row r="1177" hidden="1" ht="15.95" customHeight="1">
      <c r="A1177" s="465" t="s">
        <v>3131</v>
      </c>
      <c r="B1177" s="465" t="s">
        <v>3132</v>
      </c>
      <c r="C1177" s="465"/>
      <c r="D1177" s="465" t="s">
        <v>855</v>
      </c>
      <c r="E1177" s="465" t="s">
        <v>3120</v>
      </c>
      <c r="F1177" s="465" t="s">
        <v>3121</v>
      </c>
      <c r="G1177" s="465" t="s">
        <v>2684</v>
      </c>
      <c r="H1177" s="465" t="s">
        <v>183</v>
      </c>
      <c r="I1177" s="465" t="s">
        <v>830</v>
      </c>
    </row>
    <row r="1178" hidden="1" ht="15.95" customHeight="1">
      <c r="A1178" s="465" t="s">
        <v>3133</v>
      </c>
      <c r="B1178" s="465" t="s">
        <v>1241</v>
      </c>
      <c r="C1178" s="465"/>
      <c r="D1178" s="465" t="s">
        <v>855</v>
      </c>
      <c r="E1178" s="465" t="s">
        <v>3120</v>
      </c>
      <c r="F1178" s="465" t="s">
        <v>3121</v>
      </c>
      <c r="G1178" s="465" t="s">
        <v>2684</v>
      </c>
      <c r="H1178" s="465" t="s">
        <v>183</v>
      </c>
      <c r="I1178" s="465" t="s">
        <v>830</v>
      </c>
    </row>
    <row r="1179" hidden="1" ht="15.95" customHeight="1">
      <c r="A1179" s="465" t="s">
        <v>3134</v>
      </c>
      <c r="B1179" s="465" t="s">
        <v>3135</v>
      </c>
      <c r="C1179" s="465"/>
      <c r="D1179" s="465" t="s">
        <v>855</v>
      </c>
      <c r="E1179" s="465" t="s">
        <v>3120</v>
      </c>
      <c r="F1179" s="465" t="s">
        <v>3121</v>
      </c>
      <c r="G1179" s="465" t="s">
        <v>2684</v>
      </c>
      <c r="H1179" s="465" t="s">
        <v>183</v>
      </c>
      <c r="I1179" s="465" t="s">
        <v>830</v>
      </c>
    </row>
    <row r="1180" hidden="1" ht="15.95" customHeight="1">
      <c r="A1180" s="465" t="s">
        <v>3136</v>
      </c>
      <c r="B1180" s="465" t="s">
        <v>3137</v>
      </c>
      <c r="C1180" s="465"/>
      <c r="D1180" s="465" t="s">
        <v>855</v>
      </c>
      <c r="E1180" s="465" t="s">
        <v>3120</v>
      </c>
      <c r="F1180" s="465" t="s">
        <v>3121</v>
      </c>
      <c r="G1180" s="465" t="s">
        <v>2684</v>
      </c>
      <c r="H1180" s="465" t="s">
        <v>183</v>
      </c>
      <c r="I1180" s="465" t="s">
        <v>830</v>
      </c>
    </row>
    <row r="1181" hidden="1" ht="15.95" customHeight="1">
      <c r="A1181" s="465" t="s">
        <v>3138</v>
      </c>
      <c r="B1181" s="465" t="s">
        <v>3139</v>
      </c>
      <c r="C1181" s="465"/>
      <c r="D1181" s="465" t="s">
        <v>855</v>
      </c>
      <c r="E1181" s="465" t="s">
        <v>3120</v>
      </c>
      <c r="F1181" s="465" t="s">
        <v>3121</v>
      </c>
      <c r="G1181" s="465" t="s">
        <v>2684</v>
      </c>
      <c r="H1181" s="465" t="s">
        <v>183</v>
      </c>
      <c r="I1181" s="465" t="s">
        <v>830</v>
      </c>
    </row>
    <row r="1182" hidden="1" ht="15.95" customHeight="1">
      <c r="A1182" s="465" t="s">
        <v>3140</v>
      </c>
      <c r="B1182" s="465" t="s">
        <v>3141</v>
      </c>
      <c r="C1182" s="465"/>
      <c r="D1182" s="465" t="s">
        <v>855</v>
      </c>
      <c r="E1182" s="465" t="s">
        <v>3120</v>
      </c>
      <c r="F1182" s="465" t="s">
        <v>3121</v>
      </c>
      <c r="G1182" s="465" t="s">
        <v>2684</v>
      </c>
      <c r="H1182" s="465" t="s">
        <v>183</v>
      </c>
      <c r="I1182" s="465" t="s">
        <v>830</v>
      </c>
    </row>
    <row r="1183" hidden="1" ht="15.95" customHeight="1">
      <c r="A1183" s="465" t="s">
        <v>3142</v>
      </c>
      <c r="B1183" s="465" t="s">
        <v>3143</v>
      </c>
      <c r="C1183" s="465"/>
      <c r="D1183" s="465" t="s">
        <v>884</v>
      </c>
      <c r="E1183" s="465" t="s">
        <v>3144</v>
      </c>
      <c r="F1183" s="465" t="s">
        <v>3145</v>
      </c>
      <c r="G1183" s="465" t="s">
        <v>2684</v>
      </c>
      <c r="H1183" s="465" t="s">
        <v>183</v>
      </c>
      <c r="I1183" s="465" t="s">
        <v>830</v>
      </c>
    </row>
    <row r="1184" hidden="1" ht="15.95" customHeight="1">
      <c r="A1184" s="465" t="s">
        <v>3146</v>
      </c>
      <c r="B1184" s="465" t="s">
        <v>3147</v>
      </c>
      <c r="C1184" s="465"/>
      <c r="D1184" s="465" t="s">
        <v>855</v>
      </c>
      <c r="E1184" s="465" t="s">
        <v>3144</v>
      </c>
      <c r="F1184" s="465" t="s">
        <v>3145</v>
      </c>
      <c r="G1184" s="465" t="s">
        <v>2684</v>
      </c>
      <c r="H1184" s="465" t="s">
        <v>183</v>
      </c>
      <c r="I1184" s="465" t="s">
        <v>830</v>
      </c>
    </row>
    <row r="1185" hidden="1" ht="15.95" customHeight="1">
      <c r="A1185" s="465" t="s">
        <v>3148</v>
      </c>
      <c r="B1185" s="465" t="s">
        <v>3149</v>
      </c>
      <c r="C1185" s="465"/>
      <c r="D1185" s="465" t="s">
        <v>855</v>
      </c>
      <c r="E1185" s="465" t="s">
        <v>3144</v>
      </c>
      <c r="F1185" s="465" t="s">
        <v>3145</v>
      </c>
      <c r="G1185" s="465" t="s">
        <v>2684</v>
      </c>
      <c r="H1185" s="465" t="s">
        <v>183</v>
      </c>
      <c r="I1185" s="465" t="s">
        <v>830</v>
      </c>
    </row>
    <row r="1186" hidden="1" ht="15.95" customHeight="1">
      <c r="A1186" s="465" t="s">
        <v>3150</v>
      </c>
      <c r="B1186" s="465" t="s">
        <v>3151</v>
      </c>
      <c r="C1186" s="465"/>
      <c r="D1186" s="465" t="s">
        <v>855</v>
      </c>
      <c r="E1186" s="465" t="s">
        <v>3144</v>
      </c>
      <c r="F1186" s="465" t="s">
        <v>3145</v>
      </c>
      <c r="G1186" s="465" t="s">
        <v>2684</v>
      </c>
      <c r="H1186" s="465" t="s">
        <v>183</v>
      </c>
      <c r="I1186" s="465" t="s">
        <v>830</v>
      </c>
    </row>
    <row r="1187" hidden="1" ht="15.95" customHeight="1">
      <c r="A1187" s="465" t="s">
        <v>3152</v>
      </c>
      <c r="B1187" s="465" t="s">
        <v>2319</v>
      </c>
      <c r="C1187" s="465"/>
      <c r="D1187" s="465" t="s">
        <v>855</v>
      </c>
      <c r="E1187" s="465" t="s">
        <v>3144</v>
      </c>
      <c r="F1187" s="465" t="s">
        <v>3145</v>
      </c>
      <c r="G1187" s="465" t="s">
        <v>2684</v>
      </c>
      <c r="H1187" s="465" t="s">
        <v>183</v>
      </c>
      <c r="I1187" s="465" t="s">
        <v>830</v>
      </c>
    </row>
    <row r="1188" hidden="1" ht="15.95" customHeight="1">
      <c r="A1188" s="465" t="s">
        <v>3153</v>
      </c>
      <c r="B1188" s="465" t="s">
        <v>3154</v>
      </c>
      <c r="C1188" s="465"/>
      <c r="D1188" s="465" t="s">
        <v>855</v>
      </c>
      <c r="E1188" s="465" t="s">
        <v>3144</v>
      </c>
      <c r="F1188" s="465" t="s">
        <v>3145</v>
      </c>
      <c r="G1188" s="465" t="s">
        <v>2684</v>
      </c>
      <c r="H1188" s="465" t="s">
        <v>183</v>
      </c>
      <c r="I1188" s="465" t="s">
        <v>830</v>
      </c>
    </row>
    <row r="1189" hidden="1" ht="15.95" customHeight="1">
      <c r="A1189" s="465" t="s">
        <v>3155</v>
      </c>
      <c r="B1189" s="465" t="s">
        <v>3156</v>
      </c>
      <c r="C1189" s="465"/>
      <c r="D1189" s="465" t="s">
        <v>855</v>
      </c>
      <c r="E1189" s="465" t="s">
        <v>3144</v>
      </c>
      <c r="F1189" s="465" t="s">
        <v>3145</v>
      </c>
      <c r="G1189" s="465" t="s">
        <v>2684</v>
      </c>
      <c r="H1189" s="465" t="s">
        <v>183</v>
      </c>
      <c r="I1189" s="465" t="s">
        <v>830</v>
      </c>
    </row>
    <row r="1190" hidden="1" ht="15.95" customHeight="1">
      <c r="A1190" s="465" t="s">
        <v>3157</v>
      </c>
      <c r="B1190" s="465" t="s">
        <v>3158</v>
      </c>
      <c r="C1190" s="465"/>
      <c r="D1190" s="465" t="s">
        <v>855</v>
      </c>
      <c r="E1190" s="465" t="s">
        <v>3144</v>
      </c>
      <c r="F1190" s="465" t="s">
        <v>3145</v>
      </c>
      <c r="G1190" s="465" t="s">
        <v>2684</v>
      </c>
      <c r="H1190" s="465" t="s">
        <v>183</v>
      </c>
      <c r="I1190" s="465" t="s">
        <v>830</v>
      </c>
    </row>
    <row r="1191" hidden="1" ht="15.95" customHeight="1">
      <c r="A1191" s="465" t="s">
        <v>3159</v>
      </c>
      <c r="B1191" s="465" t="s">
        <v>3160</v>
      </c>
      <c r="C1191" s="465"/>
      <c r="D1191" s="465" t="s">
        <v>855</v>
      </c>
      <c r="E1191" s="465" t="s">
        <v>3144</v>
      </c>
      <c r="F1191" s="465" t="s">
        <v>3145</v>
      </c>
      <c r="G1191" s="465" t="s">
        <v>2684</v>
      </c>
      <c r="H1191" s="465" t="s">
        <v>183</v>
      </c>
      <c r="I1191" s="465" t="s">
        <v>830</v>
      </c>
    </row>
    <row r="1192" hidden="1" ht="15.95" customHeight="1">
      <c r="A1192" s="465" t="s">
        <v>3161</v>
      </c>
      <c r="B1192" s="465" t="s">
        <v>1046</v>
      </c>
      <c r="C1192" s="465"/>
      <c r="D1192" s="465" t="s">
        <v>855</v>
      </c>
      <c r="E1192" s="465" t="s">
        <v>3144</v>
      </c>
      <c r="F1192" s="465" t="s">
        <v>3145</v>
      </c>
      <c r="G1192" s="465" t="s">
        <v>2684</v>
      </c>
      <c r="H1192" s="465" t="s">
        <v>183</v>
      </c>
      <c r="I1192" s="465" t="s">
        <v>830</v>
      </c>
    </row>
    <row r="1193" hidden="1" ht="15.95" customHeight="1">
      <c r="A1193" s="465" t="s">
        <v>3162</v>
      </c>
      <c r="B1193" s="465" t="s">
        <v>3163</v>
      </c>
      <c r="C1193" s="465"/>
      <c r="D1193" s="465" t="s">
        <v>855</v>
      </c>
      <c r="E1193" s="465" t="s">
        <v>3144</v>
      </c>
      <c r="F1193" s="465" t="s">
        <v>3145</v>
      </c>
      <c r="G1193" s="465" t="s">
        <v>2684</v>
      </c>
      <c r="H1193" s="465" t="s">
        <v>183</v>
      </c>
      <c r="I1193" s="465" t="s">
        <v>830</v>
      </c>
    </row>
    <row r="1194" hidden="1" ht="15.95" customHeight="1">
      <c r="A1194" s="465" t="s">
        <v>3164</v>
      </c>
      <c r="B1194" s="465" t="s">
        <v>3165</v>
      </c>
      <c r="C1194" s="465"/>
      <c r="D1194" s="465" t="s">
        <v>855</v>
      </c>
      <c r="E1194" s="465" t="s">
        <v>3144</v>
      </c>
      <c r="F1194" s="465" t="s">
        <v>3145</v>
      </c>
      <c r="G1194" s="465" t="s">
        <v>2684</v>
      </c>
      <c r="H1194" s="465" t="s">
        <v>183</v>
      </c>
      <c r="I1194" s="465" t="s">
        <v>830</v>
      </c>
    </row>
    <row r="1195" hidden="1" ht="15.95" customHeight="1">
      <c r="A1195" s="465" t="s">
        <v>3166</v>
      </c>
      <c r="B1195" s="465" t="s">
        <v>3167</v>
      </c>
      <c r="C1195" s="465"/>
      <c r="D1195" s="465" t="s">
        <v>855</v>
      </c>
      <c r="E1195" s="465" t="s">
        <v>3144</v>
      </c>
      <c r="F1195" s="465" t="s">
        <v>3145</v>
      </c>
      <c r="G1195" s="465" t="s">
        <v>2684</v>
      </c>
      <c r="H1195" s="465" t="s">
        <v>183</v>
      </c>
      <c r="I1195" s="465" t="s">
        <v>830</v>
      </c>
    </row>
    <row r="1196" hidden="1" ht="15.95" customHeight="1">
      <c r="A1196" s="465" t="s">
        <v>3168</v>
      </c>
      <c r="B1196" s="465" t="s">
        <v>3169</v>
      </c>
      <c r="C1196" s="465"/>
      <c r="D1196" s="465" t="s">
        <v>855</v>
      </c>
      <c r="E1196" s="465" t="s">
        <v>3144</v>
      </c>
      <c r="F1196" s="465" t="s">
        <v>3145</v>
      </c>
      <c r="G1196" s="465" t="s">
        <v>2684</v>
      </c>
      <c r="H1196" s="465" t="s">
        <v>183</v>
      </c>
      <c r="I1196" s="465" t="s">
        <v>830</v>
      </c>
    </row>
    <row r="1197" hidden="1" ht="15.95" customHeight="1">
      <c r="A1197" s="465" t="s">
        <v>3170</v>
      </c>
      <c r="B1197" s="465" t="s">
        <v>3171</v>
      </c>
      <c r="C1197" s="465"/>
      <c r="D1197" s="465" t="s">
        <v>855</v>
      </c>
      <c r="E1197" s="465" t="s">
        <v>3144</v>
      </c>
      <c r="F1197" s="465" t="s">
        <v>3145</v>
      </c>
      <c r="G1197" s="465" t="s">
        <v>2684</v>
      </c>
      <c r="H1197" s="465" t="s">
        <v>183</v>
      </c>
      <c r="I1197" s="465" t="s">
        <v>830</v>
      </c>
    </row>
    <row r="1198" hidden="1" ht="15.95" customHeight="1">
      <c r="A1198" s="465" t="s">
        <v>3172</v>
      </c>
      <c r="B1198" s="465" t="s">
        <v>3173</v>
      </c>
      <c r="C1198" s="465"/>
      <c r="D1198" s="465" t="s">
        <v>855</v>
      </c>
      <c r="E1198" s="465" t="s">
        <v>3144</v>
      </c>
      <c r="F1198" s="465" t="s">
        <v>3145</v>
      </c>
      <c r="G1198" s="465" t="s">
        <v>2684</v>
      </c>
      <c r="H1198" s="465" t="s">
        <v>183</v>
      </c>
      <c r="I1198" s="465" t="s">
        <v>830</v>
      </c>
    </row>
    <row r="1199" hidden="1" ht="15.95" customHeight="1">
      <c r="A1199" s="465" t="s">
        <v>3174</v>
      </c>
      <c r="B1199" s="465" t="s">
        <v>3175</v>
      </c>
      <c r="C1199" s="465"/>
      <c r="D1199" s="465" t="s">
        <v>884</v>
      </c>
      <c r="E1199" s="465" t="s">
        <v>3176</v>
      </c>
      <c r="F1199" s="465" t="s">
        <v>3177</v>
      </c>
      <c r="G1199" s="465" t="s">
        <v>2684</v>
      </c>
      <c r="H1199" s="465" t="s">
        <v>183</v>
      </c>
      <c r="I1199" s="465" t="s">
        <v>830</v>
      </c>
    </row>
    <row r="1200" hidden="1" ht="15.95" customHeight="1">
      <c r="A1200" s="465" t="s">
        <v>3178</v>
      </c>
      <c r="B1200" s="465" t="s">
        <v>3179</v>
      </c>
      <c r="C1200" s="465"/>
      <c r="D1200" s="465" t="s">
        <v>855</v>
      </c>
      <c r="E1200" s="465" t="s">
        <v>3176</v>
      </c>
      <c r="F1200" s="465" t="s">
        <v>3177</v>
      </c>
      <c r="G1200" s="465" t="s">
        <v>2684</v>
      </c>
      <c r="H1200" s="465" t="s">
        <v>183</v>
      </c>
      <c r="I1200" s="465" t="s">
        <v>830</v>
      </c>
    </row>
    <row r="1201" hidden="1" ht="15.95" customHeight="1">
      <c r="A1201" s="465" t="s">
        <v>3180</v>
      </c>
      <c r="B1201" s="465" t="s">
        <v>1519</v>
      </c>
      <c r="C1201" s="465"/>
      <c r="D1201" s="465" t="s">
        <v>855</v>
      </c>
      <c r="E1201" s="465" t="s">
        <v>3176</v>
      </c>
      <c r="F1201" s="465" t="s">
        <v>3177</v>
      </c>
      <c r="G1201" s="465" t="s">
        <v>2684</v>
      </c>
      <c r="H1201" s="465" t="s">
        <v>183</v>
      </c>
      <c r="I1201" s="465" t="s">
        <v>830</v>
      </c>
    </row>
    <row r="1202" hidden="1" ht="15.95" customHeight="1">
      <c r="A1202" s="465" t="s">
        <v>3181</v>
      </c>
      <c r="B1202" s="465" t="s">
        <v>3182</v>
      </c>
      <c r="C1202" s="465"/>
      <c r="D1202" s="465" t="s">
        <v>855</v>
      </c>
      <c r="E1202" s="465" t="s">
        <v>3176</v>
      </c>
      <c r="F1202" s="465" t="s">
        <v>3177</v>
      </c>
      <c r="G1202" s="465" t="s">
        <v>2684</v>
      </c>
      <c r="H1202" s="465" t="s">
        <v>183</v>
      </c>
      <c r="I1202" s="465" t="s">
        <v>830</v>
      </c>
    </row>
    <row r="1203" hidden="1" ht="15.95" customHeight="1">
      <c r="A1203" s="465" t="s">
        <v>3183</v>
      </c>
      <c r="B1203" s="465" t="s">
        <v>2294</v>
      </c>
      <c r="C1203" s="465"/>
      <c r="D1203" s="465" t="s">
        <v>855</v>
      </c>
      <c r="E1203" s="465" t="s">
        <v>3176</v>
      </c>
      <c r="F1203" s="465" t="s">
        <v>3177</v>
      </c>
      <c r="G1203" s="465" t="s">
        <v>2684</v>
      </c>
      <c r="H1203" s="465" t="s">
        <v>183</v>
      </c>
      <c r="I1203" s="465" t="s">
        <v>830</v>
      </c>
    </row>
    <row r="1204" hidden="1" ht="15.95" customHeight="1">
      <c r="A1204" s="465" t="s">
        <v>3184</v>
      </c>
      <c r="B1204" s="465" t="s">
        <v>3185</v>
      </c>
      <c r="C1204" s="465"/>
      <c r="D1204" s="465" t="s">
        <v>855</v>
      </c>
      <c r="E1204" s="465" t="s">
        <v>3176</v>
      </c>
      <c r="F1204" s="465" t="s">
        <v>3177</v>
      </c>
      <c r="G1204" s="465" t="s">
        <v>2684</v>
      </c>
      <c r="H1204" s="465" t="s">
        <v>183</v>
      </c>
      <c r="I1204" s="465" t="s">
        <v>830</v>
      </c>
    </row>
    <row r="1205" hidden="1" ht="15.95" customHeight="1">
      <c r="A1205" s="465" t="s">
        <v>3186</v>
      </c>
      <c r="B1205" s="465" t="s">
        <v>2505</v>
      </c>
      <c r="C1205" s="465"/>
      <c r="D1205" s="465" t="s">
        <v>855</v>
      </c>
      <c r="E1205" s="465" t="s">
        <v>3176</v>
      </c>
      <c r="F1205" s="465" t="s">
        <v>3177</v>
      </c>
      <c r="G1205" s="465" t="s">
        <v>2684</v>
      </c>
      <c r="H1205" s="465" t="s">
        <v>183</v>
      </c>
      <c r="I1205" s="465" t="s">
        <v>830</v>
      </c>
    </row>
    <row r="1206" hidden="1" ht="15.95" customHeight="1">
      <c r="A1206" s="465" t="s">
        <v>3187</v>
      </c>
      <c r="B1206" s="465" t="s">
        <v>3188</v>
      </c>
      <c r="C1206" s="465"/>
      <c r="D1206" s="465" t="s">
        <v>884</v>
      </c>
      <c r="E1206" s="465" t="s">
        <v>3189</v>
      </c>
      <c r="F1206" s="465" t="s">
        <v>3190</v>
      </c>
      <c r="G1206" s="465" t="s">
        <v>2684</v>
      </c>
      <c r="H1206" s="465" t="s">
        <v>183</v>
      </c>
      <c r="I1206" s="465" t="s">
        <v>830</v>
      </c>
    </row>
    <row r="1207" hidden="1" ht="15.95" customHeight="1">
      <c r="A1207" s="465" t="s">
        <v>3191</v>
      </c>
      <c r="B1207" s="465" t="s">
        <v>3192</v>
      </c>
      <c r="C1207" s="465"/>
      <c r="D1207" s="465" t="s">
        <v>855</v>
      </c>
      <c r="E1207" s="465" t="s">
        <v>3189</v>
      </c>
      <c r="F1207" s="465" t="s">
        <v>3190</v>
      </c>
      <c r="G1207" s="465" t="s">
        <v>2684</v>
      </c>
      <c r="H1207" s="465" t="s">
        <v>183</v>
      </c>
      <c r="I1207" s="465" t="s">
        <v>830</v>
      </c>
    </row>
    <row r="1208" hidden="1" ht="15.95" customHeight="1">
      <c r="A1208" s="465" t="s">
        <v>3193</v>
      </c>
      <c r="B1208" s="465" t="s">
        <v>3194</v>
      </c>
      <c r="C1208" s="465"/>
      <c r="D1208" s="465" t="s">
        <v>855</v>
      </c>
      <c r="E1208" s="465" t="s">
        <v>3189</v>
      </c>
      <c r="F1208" s="465" t="s">
        <v>3190</v>
      </c>
      <c r="G1208" s="465" t="s">
        <v>2684</v>
      </c>
      <c r="H1208" s="465" t="s">
        <v>183</v>
      </c>
      <c r="I1208" s="465" t="s">
        <v>830</v>
      </c>
    </row>
    <row r="1209" hidden="1" ht="15.95" customHeight="1">
      <c r="A1209" s="465" t="s">
        <v>3195</v>
      </c>
      <c r="B1209" s="465" t="s">
        <v>3196</v>
      </c>
      <c r="C1209" s="465"/>
      <c r="D1209" s="465" t="s">
        <v>855</v>
      </c>
      <c r="E1209" s="465" t="s">
        <v>3189</v>
      </c>
      <c r="F1209" s="465" t="s">
        <v>3190</v>
      </c>
      <c r="G1209" s="465" t="s">
        <v>2684</v>
      </c>
      <c r="H1209" s="465" t="s">
        <v>183</v>
      </c>
      <c r="I1209" s="465" t="s">
        <v>830</v>
      </c>
    </row>
    <row r="1210" hidden="1" ht="15.95" customHeight="1">
      <c r="A1210" s="465" t="s">
        <v>3197</v>
      </c>
      <c r="B1210" s="465" t="s">
        <v>3198</v>
      </c>
      <c r="C1210" s="465"/>
      <c r="D1210" s="465" t="s">
        <v>855</v>
      </c>
      <c r="E1210" s="465" t="s">
        <v>3189</v>
      </c>
      <c r="F1210" s="465" t="s">
        <v>3190</v>
      </c>
      <c r="G1210" s="465" t="s">
        <v>2684</v>
      </c>
      <c r="H1210" s="465" t="s">
        <v>183</v>
      </c>
      <c r="I1210" s="465" t="s">
        <v>830</v>
      </c>
    </row>
    <row r="1211" hidden="1" ht="15.95" customHeight="1">
      <c r="A1211" s="465" t="s">
        <v>3199</v>
      </c>
      <c r="B1211" s="465" t="s">
        <v>2048</v>
      </c>
      <c r="C1211" s="465"/>
      <c r="D1211" s="465" t="s">
        <v>855</v>
      </c>
      <c r="E1211" s="465" t="s">
        <v>3189</v>
      </c>
      <c r="F1211" s="465" t="s">
        <v>3190</v>
      </c>
      <c r="G1211" s="465" t="s">
        <v>2684</v>
      </c>
      <c r="H1211" s="465" t="s">
        <v>183</v>
      </c>
      <c r="I1211" s="465" t="s">
        <v>830</v>
      </c>
    </row>
    <row r="1212" hidden="1" ht="15.95" customHeight="1">
      <c r="A1212" s="465" t="s">
        <v>3200</v>
      </c>
      <c r="B1212" s="465" t="s">
        <v>3201</v>
      </c>
      <c r="C1212" s="465"/>
      <c r="D1212" s="465" t="s">
        <v>855</v>
      </c>
      <c r="E1212" s="465" t="s">
        <v>3189</v>
      </c>
      <c r="F1212" s="465" t="s">
        <v>3190</v>
      </c>
      <c r="G1212" s="465" t="s">
        <v>2684</v>
      </c>
      <c r="H1212" s="465" t="s">
        <v>183</v>
      </c>
      <c r="I1212" s="465" t="s">
        <v>830</v>
      </c>
    </row>
    <row r="1213" hidden="1" ht="15.95" customHeight="1">
      <c r="A1213" s="465" t="s">
        <v>3202</v>
      </c>
      <c r="B1213" s="465" t="s">
        <v>1270</v>
      </c>
      <c r="C1213" s="465"/>
      <c r="D1213" s="465" t="s">
        <v>825</v>
      </c>
      <c r="E1213" s="465" t="s">
        <v>3203</v>
      </c>
      <c r="F1213" s="465" t="s">
        <v>3204</v>
      </c>
      <c r="G1213" s="465" t="s">
        <v>3205</v>
      </c>
      <c r="H1213" s="465" t="s">
        <v>3206</v>
      </c>
      <c r="I1213" s="465" t="s">
        <v>830</v>
      </c>
    </row>
    <row r="1214" hidden="1" ht="15.95" customHeight="1">
      <c r="A1214" s="465" t="s">
        <v>3207</v>
      </c>
      <c r="B1214" s="465" t="s">
        <v>1264</v>
      </c>
      <c r="C1214" s="465"/>
      <c r="D1214" s="465" t="s">
        <v>825</v>
      </c>
      <c r="E1214" s="465" t="s">
        <v>3203</v>
      </c>
      <c r="F1214" s="465" t="s">
        <v>3204</v>
      </c>
      <c r="G1214" s="465" t="s">
        <v>3205</v>
      </c>
      <c r="H1214" s="465" t="s">
        <v>3206</v>
      </c>
      <c r="I1214" s="465" t="s">
        <v>830</v>
      </c>
    </row>
    <row r="1215" hidden="1" ht="15.95" customHeight="1">
      <c r="A1215" s="465" t="s">
        <v>3208</v>
      </c>
      <c r="B1215" s="465" t="s">
        <v>1272</v>
      </c>
      <c r="C1215" s="465"/>
      <c r="D1215" s="465" t="s">
        <v>825</v>
      </c>
      <c r="E1215" s="465" t="s">
        <v>3203</v>
      </c>
      <c r="F1215" s="465" t="s">
        <v>3204</v>
      </c>
      <c r="G1215" s="465" t="s">
        <v>3205</v>
      </c>
      <c r="H1215" s="465" t="s">
        <v>3206</v>
      </c>
      <c r="I1215" s="465" t="s">
        <v>830</v>
      </c>
    </row>
    <row r="1216" hidden="1" ht="15.95" customHeight="1">
      <c r="A1216" s="465" t="s">
        <v>3209</v>
      </c>
      <c r="B1216" s="465" t="s">
        <v>3210</v>
      </c>
      <c r="C1216" s="465"/>
      <c r="D1216" s="465" t="s">
        <v>825</v>
      </c>
      <c r="E1216" s="465" t="s">
        <v>3203</v>
      </c>
      <c r="F1216" s="465" t="s">
        <v>3204</v>
      </c>
      <c r="G1216" s="465" t="s">
        <v>3205</v>
      </c>
      <c r="H1216" s="465" t="s">
        <v>3206</v>
      </c>
      <c r="I1216" s="465" t="s">
        <v>830</v>
      </c>
    </row>
    <row r="1217" hidden="1" ht="15.95" customHeight="1">
      <c r="A1217" s="465" t="s">
        <v>3211</v>
      </c>
      <c r="B1217" s="465" t="s">
        <v>1266</v>
      </c>
      <c r="C1217" s="465"/>
      <c r="D1217" s="465" t="s">
        <v>825</v>
      </c>
      <c r="E1217" s="465" t="s">
        <v>3203</v>
      </c>
      <c r="F1217" s="465" t="s">
        <v>3204</v>
      </c>
      <c r="G1217" s="465" t="s">
        <v>3205</v>
      </c>
      <c r="H1217" s="465" t="s">
        <v>3206</v>
      </c>
      <c r="I1217" s="465" t="s">
        <v>830</v>
      </c>
    </row>
    <row r="1218" hidden="1" ht="15.95" customHeight="1">
      <c r="A1218" s="465" t="s">
        <v>3212</v>
      </c>
      <c r="B1218" s="465" t="s">
        <v>1278</v>
      </c>
      <c r="C1218" s="465"/>
      <c r="D1218" s="465" t="s">
        <v>825</v>
      </c>
      <c r="E1218" s="465" t="s">
        <v>3203</v>
      </c>
      <c r="F1218" s="465" t="s">
        <v>3204</v>
      </c>
      <c r="G1218" s="465" t="s">
        <v>3205</v>
      </c>
      <c r="H1218" s="465" t="s">
        <v>3206</v>
      </c>
      <c r="I1218" s="465" t="s">
        <v>830</v>
      </c>
    </row>
    <row r="1219" hidden="1" ht="15.95" customHeight="1">
      <c r="A1219" s="465" t="s">
        <v>3213</v>
      </c>
      <c r="B1219" s="465" t="s">
        <v>1253</v>
      </c>
      <c r="C1219" s="465"/>
      <c r="D1219" s="465" t="s">
        <v>825</v>
      </c>
      <c r="E1219" s="465" t="s">
        <v>3203</v>
      </c>
      <c r="F1219" s="465" t="s">
        <v>3204</v>
      </c>
      <c r="G1219" s="465" t="s">
        <v>3205</v>
      </c>
      <c r="H1219" s="465" t="s">
        <v>3206</v>
      </c>
      <c r="I1219" s="465" t="s">
        <v>830</v>
      </c>
    </row>
    <row r="1220" hidden="1" ht="15.95" customHeight="1">
      <c r="A1220" s="465" t="s">
        <v>3214</v>
      </c>
      <c r="B1220" s="465" t="s">
        <v>1268</v>
      </c>
      <c r="C1220" s="465"/>
      <c r="D1220" s="465" t="s">
        <v>825</v>
      </c>
      <c r="E1220" s="465" t="s">
        <v>3203</v>
      </c>
      <c r="F1220" s="465" t="s">
        <v>3204</v>
      </c>
      <c r="G1220" s="465" t="s">
        <v>3205</v>
      </c>
      <c r="H1220" s="465" t="s">
        <v>3206</v>
      </c>
      <c r="I1220" s="465" t="s">
        <v>830</v>
      </c>
    </row>
    <row r="1221" hidden="1" ht="15.95" customHeight="1">
      <c r="A1221" s="465" t="s">
        <v>3215</v>
      </c>
      <c r="B1221" s="465" t="s">
        <v>3216</v>
      </c>
      <c r="C1221" s="465"/>
      <c r="D1221" s="465" t="s">
        <v>855</v>
      </c>
      <c r="E1221" s="465" t="s">
        <v>3203</v>
      </c>
      <c r="F1221" s="465" t="s">
        <v>3204</v>
      </c>
      <c r="G1221" s="465" t="s">
        <v>3205</v>
      </c>
      <c r="H1221" s="465" t="s">
        <v>3206</v>
      </c>
      <c r="I1221" s="465" t="s">
        <v>830</v>
      </c>
    </row>
    <row r="1222" hidden="1" ht="15.95" customHeight="1">
      <c r="A1222" s="465" t="s">
        <v>3217</v>
      </c>
      <c r="B1222" s="465" t="s">
        <v>3218</v>
      </c>
      <c r="C1222" s="465"/>
      <c r="D1222" s="465" t="s">
        <v>855</v>
      </c>
      <c r="E1222" s="465" t="s">
        <v>3203</v>
      </c>
      <c r="F1222" s="465" t="s">
        <v>3204</v>
      </c>
      <c r="G1222" s="465" t="s">
        <v>3205</v>
      </c>
      <c r="H1222" s="465" t="s">
        <v>3206</v>
      </c>
      <c r="I1222" s="465" t="s">
        <v>830</v>
      </c>
    </row>
    <row r="1223" hidden="1" ht="15.95" customHeight="1">
      <c r="A1223" s="465" t="s">
        <v>3219</v>
      </c>
      <c r="B1223" s="465" t="s">
        <v>3220</v>
      </c>
      <c r="C1223" s="465"/>
      <c r="D1223" s="465" t="s">
        <v>855</v>
      </c>
      <c r="E1223" s="465" t="s">
        <v>3203</v>
      </c>
      <c r="F1223" s="465" t="s">
        <v>3204</v>
      </c>
      <c r="G1223" s="465" t="s">
        <v>3205</v>
      </c>
      <c r="H1223" s="465" t="s">
        <v>3206</v>
      </c>
      <c r="I1223" s="465" t="s">
        <v>830</v>
      </c>
    </row>
    <row r="1224" hidden="1" ht="15.95" customHeight="1">
      <c r="A1224" s="465" t="s">
        <v>3221</v>
      </c>
      <c r="B1224" s="465" t="s">
        <v>3222</v>
      </c>
      <c r="C1224" s="465"/>
      <c r="D1224" s="465" t="s">
        <v>855</v>
      </c>
      <c r="E1224" s="465" t="s">
        <v>3203</v>
      </c>
      <c r="F1224" s="465" t="s">
        <v>3204</v>
      </c>
      <c r="G1224" s="465" t="s">
        <v>3205</v>
      </c>
      <c r="H1224" s="465" t="s">
        <v>3206</v>
      </c>
      <c r="I1224" s="465" t="s">
        <v>830</v>
      </c>
    </row>
    <row r="1225" hidden="1" ht="15.95" customHeight="1">
      <c r="A1225" s="465" t="s">
        <v>3223</v>
      </c>
      <c r="B1225" s="465" t="s">
        <v>3224</v>
      </c>
      <c r="C1225" s="465"/>
      <c r="D1225" s="465" t="s">
        <v>825</v>
      </c>
      <c r="E1225" s="465" t="s">
        <v>3203</v>
      </c>
      <c r="F1225" s="465" t="s">
        <v>3204</v>
      </c>
      <c r="G1225" s="465" t="s">
        <v>3205</v>
      </c>
      <c r="H1225" s="465" t="s">
        <v>3206</v>
      </c>
      <c r="I1225" s="465" t="s">
        <v>830</v>
      </c>
    </row>
    <row r="1226" hidden="1" ht="15.95" customHeight="1">
      <c r="A1226" s="465" t="s">
        <v>3225</v>
      </c>
      <c r="B1226" s="465" t="s">
        <v>3226</v>
      </c>
      <c r="C1226" s="465"/>
      <c r="D1226" s="465" t="s">
        <v>855</v>
      </c>
      <c r="E1226" s="465" t="s">
        <v>3203</v>
      </c>
      <c r="F1226" s="465" t="s">
        <v>3204</v>
      </c>
      <c r="G1226" s="465" t="s">
        <v>3205</v>
      </c>
      <c r="H1226" s="465" t="s">
        <v>3206</v>
      </c>
      <c r="I1226" s="465" t="s">
        <v>830</v>
      </c>
    </row>
    <row r="1227" hidden="1" ht="15.95" customHeight="1">
      <c r="A1227" s="465" t="s">
        <v>3227</v>
      </c>
      <c r="B1227" s="465" t="s">
        <v>1266</v>
      </c>
      <c r="C1227" s="465"/>
      <c r="D1227" s="465" t="s">
        <v>825</v>
      </c>
      <c r="E1227" s="465" t="s">
        <v>3228</v>
      </c>
      <c r="F1227" s="465" t="s">
        <v>3229</v>
      </c>
      <c r="G1227" s="465" t="s">
        <v>3205</v>
      </c>
      <c r="H1227" s="465" t="s">
        <v>3206</v>
      </c>
      <c r="I1227" s="465" t="s">
        <v>830</v>
      </c>
    </row>
    <row r="1228" hidden="1" ht="15.95" customHeight="1">
      <c r="A1228" s="465" t="s">
        <v>3230</v>
      </c>
      <c r="B1228" s="465" t="s">
        <v>1264</v>
      </c>
      <c r="C1228" s="465"/>
      <c r="D1228" s="465" t="s">
        <v>825</v>
      </c>
      <c r="E1228" s="465" t="s">
        <v>3228</v>
      </c>
      <c r="F1228" s="465" t="s">
        <v>3229</v>
      </c>
      <c r="G1228" s="465" t="s">
        <v>3205</v>
      </c>
      <c r="H1228" s="465" t="s">
        <v>3206</v>
      </c>
      <c r="I1228" s="465" t="s">
        <v>830</v>
      </c>
    </row>
    <row r="1229" hidden="1" ht="15.95" customHeight="1">
      <c r="A1229" s="465" t="s">
        <v>3231</v>
      </c>
      <c r="B1229" s="465" t="s">
        <v>3232</v>
      </c>
      <c r="C1229" s="465"/>
      <c r="D1229" s="465" t="s">
        <v>855</v>
      </c>
      <c r="E1229" s="465" t="s">
        <v>3228</v>
      </c>
      <c r="F1229" s="465" t="s">
        <v>3229</v>
      </c>
      <c r="G1229" s="465" t="s">
        <v>3205</v>
      </c>
      <c r="H1229" s="465" t="s">
        <v>3206</v>
      </c>
      <c r="I1229" s="465" t="s">
        <v>830</v>
      </c>
    </row>
    <row r="1230" hidden="1" ht="15.95" customHeight="1">
      <c r="A1230" s="465" t="s">
        <v>3233</v>
      </c>
      <c r="B1230" s="465" t="s">
        <v>3234</v>
      </c>
      <c r="C1230" s="465"/>
      <c r="D1230" s="465" t="s">
        <v>855</v>
      </c>
      <c r="E1230" s="465" t="s">
        <v>3228</v>
      </c>
      <c r="F1230" s="465" t="s">
        <v>3229</v>
      </c>
      <c r="G1230" s="465" t="s">
        <v>3205</v>
      </c>
      <c r="H1230" s="465" t="s">
        <v>3206</v>
      </c>
      <c r="I1230" s="465" t="s">
        <v>830</v>
      </c>
    </row>
    <row r="1231" hidden="1" ht="15.95" customHeight="1">
      <c r="A1231" s="465" t="s">
        <v>3235</v>
      </c>
      <c r="B1231" s="465" t="s">
        <v>1094</v>
      </c>
      <c r="C1231" s="465"/>
      <c r="D1231" s="465" t="s">
        <v>855</v>
      </c>
      <c r="E1231" s="465" t="s">
        <v>3228</v>
      </c>
      <c r="F1231" s="465" t="s">
        <v>3229</v>
      </c>
      <c r="G1231" s="465" t="s">
        <v>3205</v>
      </c>
      <c r="H1231" s="465" t="s">
        <v>3206</v>
      </c>
      <c r="I1231" s="465" t="s">
        <v>830</v>
      </c>
    </row>
    <row r="1232" hidden="1" ht="15.95" customHeight="1">
      <c r="A1232" s="465" t="s">
        <v>3236</v>
      </c>
      <c r="B1232" s="465" t="s">
        <v>3237</v>
      </c>
      <c r="C1232" s="465"/>
      <c r="D1232" s="465" t="s">
        <v>855</v>
      </c>
      <c r="E1232" s="465" t="s">
        <v>3228</v>
      </c>
      <c r="F1232" s="465" t="s">
        <v>3229</v>
      </c>
      <c r="G1232" s="465" t="s">
        <v>3205</v>
      </c>
      <c r="H1232" s="465" t="s">
        <v>3206</v>
      </c>
      <c r="I1232" s="465" t="s">
        <v>830</v>
      </c>
    </row>
    <row r="1233" hidden="1" ht="15.95" customHeight="1">
      <c r="A1233" s="465" t="s">
        <v>3238</v>
      </c>
      <c r="B1233" s="465" t="s">
        <v>1278</v>
      </c>
      <c r="C1233" s="465"/>
      <c r="D1233" s="465" t="s">
        <v>825</v>
      </c>
      <c r="E1233" s="465" t="s">
        <v>3228</v>
      </c>
      <c r="F1233" s="465" t="s">
        <v>3229</v>
      </c>
      <c r="G1233" s="465" t="s">
        <v>3205</v>
      </c>
      <c r="H1233" s="465" t="s">
        <v>3206</v>
      </c>
      <c r="I1233" s="465" t="s">
        <v>830</v>
      </c>
    </row>
    <row r="1234" hidden="1" ht="15.95" customHeight="1">
      <c r="A1234" s="465" t="s">
        <v>3239</v>
      </c>
      <c r="B1234" s="465" t="s">
        <v>3240</v>
      </c>
      <c r="C1234" s="465"/>
      <c r="D1234" s="465" t="s">
        <v>855</v>
      </c>
      <c r="E1234" s="465" t="s">
        <v>3228</v>
      </c>
      <c r="F1234" s="465" t="s">
        <v>3229</v>
      </c>
      <c r="G1234" s="465" t="s">
        <v>3205</v>
      </c>
      <c r="H1234" s="465" t="s">
        <v>3206</v>
      </c>
      <c r="I1234" s="465" t="s">
        <v>830</v>
      </c>
    </row>
    <row r="1235" hidden="1" ht="15.95" customHeight="1">
      <c r="A1235" s="465" t="s">
        <v>3241</v>
      </c>
      <c r="B1235" s="465" t="s">
        <v>3242</v>
      </c>
      <c r="C1235" s="465"/>
      <c r="D1235" s="465" t="s">
        <v>884</v>
      </c>
      <c r="E1235" s="465" t="s">
        <v>3243</v>
      </c>
      <c r="F1235" s="465" t="s">
        <v>3244</v>
      </c>
      <c r="G1235" s="465" t="s">
        <v>3205</v>
      </c>
      <c r="H1235" s="465" t="s">
        <v>3206</v>
      </c>
      <c r="I1235" s="465" t="s">
        <v>830</v>
      </c>
    </row>
    <row r="1236" hidden="1" ht="15.95" customHeight="1">
      <c r="A1236" s="465" t="s">
        <v>3245</v>
      </c>
      <c r="B1236" s="465" t="s">
        <v>3246</v>
      </c>
      <c r="C1236" s="465"/>
      <c r="D1236" s="465" t="s">
        <v>855</v>
      </c>
      <c r="E1236" s="465" t="s">
        <v>3243</v>
      </c>
      <c r="F1236" s="465" t="s">
        <v>3244</v>
      </c>
      <c r="G1236" s="465" t="s">
        <v>3205</v>
      </c>
      <c r="H1236" s="465" t="s">
        <v>3206</v>
      </c>
      <c r="I1236" s="465" t="s">
        <v>830</v>
      </c>
    </row>
    <row r="1237" hidden="1" ht="15.95" customHeight="1">
      <c r="A1237" s="465" t="s">
        <v>3247</v>
      </c>
      <c r="B1237" s="465" t="s">
        <v>3248</v>
      </c>
      <c r="C1237" s="465"/>
      <c r="D1237" s="465" t="s">
        <v>855</v>
      </c>
      <c r="E1237" s="465" t="s">
        <v>3243</v>
      </c>
      <c r="F1237" s="465" t="s">
        <v>3244</v>
      </c>
      <c r="G1237" s="465" t="s">
        <v>3205</v>
      </c>
      <c r="H1237" s="465" t="s">
        <v>3206</v>
      </c>
      <c r="I1237" s="465" t="s">
        <v>830</v>
      </c>
    </row>
    <row r="1238" hidden="1" ht="15.95" customHeight="1">
      <c r="A1238" s="465" t="s">
        <v>3249</v>
      </c>
      <c r="B1238" s="465" t="s">
        <v>3250</v>
      </c>
      <c r="C1238" s="465"/>
      <c r="D1238" s="465" t="s">
        <v>855</v>
      </c>
      <c r="E1238" s="465" t="s">
        <v>3243</v>
      </c>
      <c r="F1238" s="465" t="s">
        <v>3244</v>
      </c>
      <c r="G1238" s="465" t="s">
        <v>3205</v>
      </c>
      <c r="H1238" s="465" t="s">
        <v>3206</v>
      </c>
      <c r="I1238" s="465" t="s">
        <v>830</v>
      </c>
    </row>
    <row r="1239" hidden="1" ht="15.95" customHeight="1">
      <c r="A1239" s="465" t="s">
        <v>3251</v>
      </c>
      <c r="B1239" s="465" t="s">
        <v>3240</v>
      </c>
      <c r="C1239" s="465"/>
      <c r="D1239" s="465" t="s">
        <v>855</v>
      </c>
      <c r="E1239" s="465" t="s">
        <v>3243</v>
      </c>
      <c r="F1239" s="465" t="s">
        <v>3244</v>
      </c>
      <c r="G1239" s="465" t="s">
        <v>3205</v>
      </c>
      <c r="H1239" s="465" t="s">
        <v>3206</v>
      </c>
      <c r="I1239" s="465" t="s">
        <v>830</v>
      </c>
    </row>
    <row r="1240" hidden="1" ht="15.95" customHeight="1">
      <c r="A1240" s="465" t="s">
        <v>3252</v>
      </c>
      <c r="B1240" s="465" t="s">
        <v>3253</v>
      </c>
      <c r="C1240" s="465"/>
      <c r="D1240" s="465" t="s">
        <v>855</v>
      </c>
      <c r="E1240" s="465" t="s">
        <v>3243</v>
      </c>
      <c r="F1240" s="465" t="s">
        <v>3244</v>
      </c>
      <c r="G1240" s="465" t="s">
        <v>3205</v>
      </c>
      <c r="H1240" s="465" t="s">
        <v>3206</v>
      </c>
      <c r="I1240" s="465" t="s">
        <v>830</v>
      </c>
    </row>
    <row r="1241" hidden="1" ht="15.95" customHeight="1">
      <c r="A1241" s="465" t="s">
        <v>3254</v>
      </c>
      <c r="B1241" s="465" t="s">
        <v>3255</v>
      </c>
      <c r="C1241" s="465"/>
      <c r="D1241" s="465" t="s">
        <v>855</v>
      </c>
      <c r="E1241" s="465" t="s">
        <v>3243</v>
      </c>
      <c r="F1241" s="465" t="s">
        <v>3244</v>
      </c>
      <c r="G1241" s="465" t="s">
        <v>3205</v>
      </c>
      <c r="H1241" s="465" t="s">
        <v>3206</v>
      </c>
      <c r="I1241" s="465" t="s">
        <v>830</v>
      </c>
    </row>
    <row r="1242" hidden="1" ht="15.95" customHeight="1">
      <c r="A1242" s="465" t="s">
        <v>3256</v>
      </c>
      <c r="B1242" s="465" t="s">
        <v>3257</v>
      </c>
      <c r="C1242" s="465"/>
      <c r="D1242" s="465" t="s">
        <v>855</v>
      </c>
      <c r="E1242" s="465" t="s">
        <v>3243</v>
      </c>
      <c r="F1242" s="465" t="s">
        <v>3244</v>
      </c>
      <c r="G1242" s="465" t="s">
        <v>3205</v>
      </c>
      <c r="H1242" s="465" t="s">
        <v>3206</v>
      </c>
      <c r="I1242" s="465" t="s">
        <v>830</v>
      </c>
    </row>
    <row r="1243" hidden="1" ht="15.95" customHeight="1">
      <c r="A1243" s="465" t="s">
        <v>3258</v>
      </c>
      <c r="B1243" s="465" t="s">
        <v>3259</v>
      </c>
      <c r="C1243" s="465"/>
      <c r="D1243" s="465" t="s">
        <v>855</v>
      </c>
      <c r="E1243" s="465" t="s">
        <v>3243</v>
      </c>
      <c r="F1243" s="465" t="s">
        <v>3244</v>
      </c>
      <c r="G1243" s="465" t="s">
        <v>3205</v>
      </c>
      <c r="H1243" s="465" t="s">
        <v>3206</v>
      </c>
      <c r="I1243" s="465" t="s">
        <v>830</v>
      </c>
    </row>
    <row r="1244" hidden="1" ht="15.95" customHeight="1">
      <c r="A1244" s="465" t="s">
        <v>3260</v>
      </c>
      <c r="B1244" s="465" t="s">
        <v>3261</v>
      </c>
      <c r="C1244" s="465"/>
      <c r="D1244" s="465" t="s">
        <v>855</v>
      </c>
      <c r="E1244" s="465" t="s">
        <v>3243</v>
      </c>
      <c r="F1244" s="465" t="s">
        <v>3244</v>
      </c>
      <c r="G1244" s="465" t="s">
        <v>3205</v>
      </c>
      <c r="H1244" s="465" t="s">
        <v>3206</v>
      </c>
      <c r="I1244" s="465" t="s">
        <v>830</v>
      </c>
    </row>
    <row r="1245" hidden="1" ht="15.95" customHeight="1">
      <c r="A1245" s="465" t="s">
        <v>3262</v>
      </c>
      <c r="B1245" s="465" t="s">
        <v>3263</v>
      </c>
      <c r="C1245" s="465"/>
      <c r="D1245" s="465" t="s">
        <v>855</v>
      </c>
      <c r="E1245" s="465" t="s">
        <v>3243</v>
      </c>
      <c r="F1245" s="465" t="s">
        <v>3244</v>
      </c>
      <c r="G1245" s="465" t="s">
        <v>3205</v>
      </c>
      <c r="H1245" s="465" t="s">
        <v>3206</v>
      </c>
      <c r="I1245" s="465" t="s">
        <v>830</v>
      </c>
    </row>
    <row r="1246" hidden="1" ht="15.95" customHeight="1">
      <c r="A1246" s="465" t="s">
        <v>3264</v>
      </c>
      <c r="B1246" s="465" t="s">
        <v>3265</v>
      </c>
      <c r="C1246" s="465"/>
      <c r="D1246" s="465" t="s">
        <v>855</v>
      </c>
      <c r="E1246" s="465" t="s">
        <v>3243</v>
      </c>
      <c r="F1246" s="465" t="s">
        <v>3244</v>
      </c>
      <c r="G1246" s="465" t="s">
        <v>3205</v>
      </c>
      <c r="H1246" s="465" t="s">
        <v>3206</v>
      </c>
      <c r="I1246" s="465" t="s">
        <v>830</v>
      </c>
    </row>
    <row r="1247" hidden="1" ht="15.95" customHeight="1">
      <c r="A1247" s="465" t="s">
        <v>3266</v>
      </c>
      <c r="B1247" s="465" t="s">
        <v>3267</v>
      </c>
      <c r="C1247" s="465"/>
      <c r="D1247" s="465" t="s">
        <v>884</v>
      </c>
      <c r="E1247" s="465" t="s">
        <v>3268</v>
      </c>
      <c r="F1247" s="465" t="s">
        <v>3269</v>
      </c>
      <c r="G1247" s="465" t="s">
        <v>3205</v>
      </c>
      <c r="H1247" s="465" t="s">
        <v>3206</v>
      </c>
      <c r="I1247" s="465" t="s">
        <v>830</v>
      </c>
    </row>
    <row r="1248" hidden="1" ht="15.95" customHeight="1">
      <c r="A1248" s="465" t="s">
        <v>3270</v>
      </c>
      <c r="B1248" s="465" t="s">
        <v>3271</v>
      </c>
      <c r="C1248" s="465"/>
      <c r="D1248" s="465" t="s">
        <v>855</v>
      </c>
      <c r="E1248" s="465" t="s">
        <v>3268</v>
      </c>
      <c r="F1248" s="465" t="s">
        <v>3269</v>
      </c>
      <c r="G1248" s="465" t="s">
        <v>3205</v>
      </c>
      <c r="H1248" s="465" t="s">
        <v>3206</v>
      </c>
      <c r="I1248" s="465" t="s">
        <v>830</v>
      </c>
    </row>
    <row r="1249" hidden="1" ht="15.95" customHeight="1">
      <c r="A1249" s="465" t="s">
        <v>3272</v>
      </c>
      <c r="B1249" s="465" t="s">
        <v>3273</v>
      </c>
      <c r="C1249" s="465"/>
      <c r="D1249" s="465" t="s">
        <v>855</v>
      </c>
      <c r="E1249" s="465" t="s">
        <v>3268</v>
      </c>
      <c r="F1249" s="465" t="s">
        <v>3269</v>
      </c>
      <c r="G1249" s="465" t="s">
        <v>3205</v>
      </c>
      <c r="H1249" s="465" t="s">
        <v>3206</v>
      </c>
      <c r="I1249" s="465" t="s">
        <v>830</v>
      </c>
    </row>
    <row r="1250" hidden="1" ht="15.95" customHeight="1">
      <c r="A1250" s="465" t="s">
        <v>3274</v>
      </c>
      <c r="B1250" s="465" t="s">
        <v>3275</v>
      </c>
      <c r="C1250" s="465"/>
      <c r="D1250" s="465" t="s">
        <v>855</v>
      </c>
      <c r="E1250" s="465" t="s">
        <v>3268</v>
      </c>
      <c r="F1250" s="465" t="s">
        <v>3269</v>
      </c>
      <c r="G1250" s="465" t="s">
        <v>3205</v>
      </c>
      <c r="H1250" s="465" t="s">
        <v>3206</v>
      </c>
      <c r="I1250" s="465" t="s">
        <v>830</v>
      </c>
    </row>
    <row r="1251" hidden="1" ht="15.95" customHeight="1">
      <c r="A1251" s="465" t="s">
        <v>3276</v>
      </c>
      <c r="B1251" s="465" t="s">
        <v>3277</v>
      </c>
      <c r="C1251" s="465"/>
      <c r="D1251" s="465" t="s">
        <v>855</v>
      </c>
      <c r="E1251" s="465" t="s">
        <v>3268</v>
      </c>
      <c r="F1251" s="465" t="s">
        <v>3269</v>
      </c>
      <c r="G1251" s="465" t="s">
        <v>3205</v>
      </c>
      <c r="H1251" s="465" t="s">
        <v>3206</v>
      </c>
      <c r="I1251" s="465" t="s">
        <v>830</v>
      </c>
    </row>
    <row r="1252" hidden="1" ht="15.95" customHeight="1">
      <c r="A1252" s="465" t="s">
        <v>3278</v>
      </c>
      <c r="B1252" s="465" t="s">
        <v>3279</v>
      </c>
      <c r="C1252" s="465"/>
      <c r="D1252" s="465" t="s">
        <v>855</v>
      </c>
      <c r="E1252" s="465" t="s">
        <v>3268</v>
      </c>
      <c r="F1252" s="465" t="s">
        <v>3269</v>
      </c>
      <c r="G1252" s="465" t="s">
        <v>3205</v>
      </c>
      <c r="H1252" s="465" t="s">
        <v>3206</v>
      </c>
      <c r="I1252" s="465" t="s">
        <v>830</v>
      </c>
    </row>
    <row r="1253" hidden="1" ht="15.95" customHeight="1">
      <c r="A1253" s="465" t="s">
        <v>3280</v>
      </c>
      <c r="B1253" s="465" t="s">
        <v>3281</v>
      </c>
      <c r="C1253" s="465"/>
      <c r="D1253" s="465" t="s">
        <v>855</v>
      </c>
      <c r="E1253" s="465" t="s">
        <v>3268</v>
      </c>
      <c r="F1253" s="465" t="s">
        <v>3269</v>
      </c>
      <c r="G1253" s="465" t="s">
        <v>3205</v>
      </c>
      <c r="H1253" s="465" t="s">
        <v>3206</v>
      </c>
      <c r="I1253" s="465" t="s">
        <v>830</v>
      </c>
    </row>
    <row r="1254" hidden="1" ht="15.95" customHeight="1">
      <c r="A1254" s="465" t="s">
        <v>3282</v>
      </c>
      <c r="B1254" s="465" t="s">
        <v>3283</v>
      </c>
      <c r="C1254" s="465"/>
      <c r="D1254" s="465" t="s">
        <v>855</v>
      </c>
      <c r="E1254" s="465" t="s">
        <v>3268</v>
      </c>
      <c r="F1254" s="465" t="s">
        <v>3269</v>
      </c>
      <c r="G1254" s="465" t="s">
        <v>3205</v>
      </c>
      <c r="H1254" s="465" t="s">
        <v>3206</v>
      </c>
      <c r="I1254" s="465" t="s">
        <v>830</v>
      </c>
    </row>
    <row r="1255" hidden="1" ht="15.95" customHeight="1">
      <c r="A1255" s="465" t="s">
        <v>3284</v>
      </c>
      <c r="B1255" s="465" t="s">
        <v>3285</v>
      </c>
      <c r="C1255" s="465"/>
      <c r="D1255" s="465" t="s">
        <v>855</v>
      </c>
      <c r="E1255" s="465" t="s">
        <v>3268</v>
      </c>
      <c r="F1255" s="465" t="s">
        <v>3269</v>
      </c>
      <c r="G1255" s="465" t="s">
        <v>3205</v>
      </c>
      <c r="H1255" s="465" t="s">
        <v>3206</v>
      </c>
      <c r="I1255" s="465" t="s">
        <v>830</v>
      </c>
    </row>
    <row r="1256" hidden="1" ht="15.95" customHeight="1">
      <c r="A1256" s="465" t="s">
        <v>3286</v>
      </c>
      <c r="B1256" s="465" t="s">
        <v>3287</v>
      </c>
      <c r="C1256" s="465"/>
      <c r="D1256" s="465" t="s">
        <v>855</v>
      </c>
      <c r="E1256" s="465" t="s">
        <v>3268</v>
      </c>
      <c r="F1256" s="465" t="s">
        <v>3269</v>
      </c>
      <c r="G1256" s="465" t="s">
        <v>3205</v>
      </c>
      <c r="H1256" s="465" t="s">
        <v>3206</v>
      </c>
      <c r="I1256" s="465" t="s">
        <v>830</v>
      </c>
    </row>
    <row r="1257" hidden="1" ht="15.95" customHeight="1">
      <c r="A1257" s="465" t="s">
        <v>3288</v>
      </c>
      <c r="B1257" s="465" t="s">
        <v>3289</v>
      </c>
      <c r="C1257" s="465"/>
      <c r="D1257" s="465" t="s">
        <v>855</v>
      </c>
      <c r="E1257" s="465" t="s">
        <v>3290</v>
      </c>
      <c r="F1257" s="465" t="s">
        <v>3291</v>
      </c>
      <c r="G1257" s="465" t="s">
        <v>3205</v>
      </c>
      <c r="H1257" s="465" t="s">
        <v>3206</v>
      </c>
      <c r="I1257" s="465" t="s">
        <v>830</v>
      </c>
    </row>
    <row r="1258" hidden="1" ht="15.95" customHeight="1">
      <c r="A1258" s="465" t="s">
        <v>3292</v>
      </c>
      <c r="B1258" s="465" t="s">
        <v>1060</v>
      </c>
      <c r="C1258" s="465"/>
      <c r="D1258" s="465" t="s">
        <v>855</v>
      </c>
      <c r="E1258" s="465" t="s">
        <v>3290</v>
      </c>
      <c r="F1258" s="465" t="s">
        <v>3291</v>
      </c>
      <c r="G1258" s="465" t="s">
        <v>3205</v>
      </c>
      <c r="H1258" s="465" t="s">
        <v>3206</v>
      </c>
      <c r="I1258" s="465" t="s">
        <v>830</v>
      </c>
    </row>
    <row r="1259" hidden="1" ht="15.95" customHeight="1">
      <c r="A1259" s="465" t="s">
        <v>3293</v>
      </c>
      <c r="B1259" s="465" t="s">
        <v>3294</v>
      </c>
      <c r="C1259" s="465"/>
      <c r="D1259" s="465" t="s">
        <v>855</v>
      </c>
      <c r="E1259" s="465" t="s">
        <v>3290</v>
      </c>
      <c r="F1259" s="465" t="s">
        <v>3291</v>
      </c>
      <c r="G1259" s="465" t="s">
        <v>3205</v>
      </c>
      <c r="H1259" s="465" t="s">
        <v>3206</v>
      </c>
      <c r="I1259" s="465" t="s">
        <v>830</v>
      </c>
    </row>
    <row r="1260" hidden="1" ht="15.95" customHeight="1">
      <c r="A1260" s="465" t="s">
        <v>3295</v>
      </c>
      <c r="B1260" s="465" t="s">
        <v>3296</v>
      </c>
      <c r="C1260" s="465"/>
      <c r="D1260" s="465" t="s">
        <v>855</v>
      </c>
      <c r="E1260" s="465" t="s">
        <v>3290</v>
      </c>
      <c r="F1260" s="465" t="s">
        <v>3291</v>
      </c>
      <c r="G1260" s="465" t="s">
        <v>3205</v>
      </c>
      <c r="H1260" s="465" t="s">
        <v>3206</v>
      </c>
      <c r="I1260" s="465" t="s">
        <v>830</v>
      </c>
    </row>
    <row r="1261" hidden="1" ht="15.95" customHeight="1">
      <c r="A1261" s="465" t="s">
        <v>3297</v>
      </c>
      <c r="B1261" s="465" t="s">
        <v>3298</v>
      </c>
      <c r="C1261" s="465"/>
      <c r="D1261" s="465" t="s">
        <v>855</v>
      </c>
      <c r="E1261" s="465" t="s">
        <v>3290</v>
      </c>
      <c r="F1261" s="465" t="s">
        <v>3291</v>
      </c>
      <c r="G1261" s="465" t="s">
        <v>3205</v>
      </c>
      <c r="H1261" s="465" t="s">
        <v>3206</v>
      </c>
      <c r="I1261" s="465" t="s">
        <v>830</v>
      </c>
    </row>
    <row r="1262" hidden="1" ht="15.95" customHeight="1">
      <c r="A1262" s="465" t="s">
        <v>3299</v>
      </c>
      <c r="B1262" s="465" t="s">
        <v>1156</v>
      </c>
      <c r="C1262" s="465"/>
      <c r="D1262" s="465" t="s">
        <v>855</v>
      </c>
      <c r="E1262" s="465" t="s">
        <v>3290</v>
      </c>
      <c r="F1262" s="465" t="s">
        <v>3291</v>
      </c>
      <c r="G1262" s="465" t="s">
        <v>3205</v>
      </c>
      <c r="H1262" s="465" t="s">
        <v>3206</v>
      </c>
      <c r="I1262" s="465" t="s">
        <v>830</v>
      </c>
    </row>
    <row r="1263" hidden="1" ht="15.95" customHeight="1">
      <c r="A1263" s="465" t="s">
        <v>3300</v>
      </c>
      <c r="B1263" s="465" t="s">
        <v>1164</v>
      </c>
      <c r="C1263" s="465"/>
      <c r="D1263" s="465" t="s">
        <v>855</v>
      </c>
      <c r="E1263" s="465" t="s">
        <v>3290</v>
      </c>
      <c r="F1263" s="465" t="s">
        <v>3291</v>
      </c>
      <c r="G1263" s="465" t="s">
        <v>3205</v>
      </c>
      <c r="H1263" s="465" t="s">
        <v>3206</v>
      </c>
      <c r="I1263" s="465" t="s">
        <v>830</v>
      </c>
    </row>
    <row r="1264" hidden="1" ht="15.95" customHeight="1">
      <c r="A1264" s="465" t="s">
        <v>3301</v>
      </c>
      <c r="B1264" s="465" t="s">
        <v>3302</v>
      </c>
      <c r="C1264" s="465"/>
      <c r="D1264" s="465" t="s">
        <v>884</v>
      </c>
      <c r="E1264" s="465" t="s">
        <v>3303</v>
      </c>
      <c r="F1264" s="465" t="s">
        <v>3304</v>
      </c>
      <c r="G1264" s="465" t="s">
        <v>3205</v>
      </c>
      <c r="H1264" s="465" t="s">
        <v>3206</v>
      </c>
      <c r="I1264" s="465" t="s">
        <v>830</v>
      </c>
    </row>
    <row r="1265" hidden="1" ht="15.95" customHeight="1">
      <c r="A1265" s="465" t="s">
        <v>3305</v>
      </c>
      <c r="B1265" s="465" t="s">
        <v>3306</v>
      </c>
      <c r="C1265" s="465"/>
      <c r="D1265" s="465" t="s">
        <v>855</v>
      </c>
      <c r="E1265" s="465" t="s">
        <v>3303</v>
      </c>
      <c r="F1265" s="465" t="s">
        <v>3304</v>
      </c>
      <c r="G1265" s="465" t="s">
        <v>3205</v>
      </c>
      <c r="H1265" s="465" t="s">
        <v>3206</v>
      </c>
      <c r="I1265" s="465" t="s">
        <v>830</v>
      </c>
    </row>
    <row r="1266" hidden="1" ht="15.95" customHeight="1">
      <c r="A1266" s="465" t="s">
        <v>3307</v>
      </c>
      <c r="B1266" s="465" t="s">
        <v>3308</v>
      </c>
      <c r="C1266" s="465"/>
      <c r="D1266" s="465" t="s">
        <v>855</v>
      </c>
      <c r="E1266" s="465" t="s">
        <v>3303</v>
      </c>
      <c r="F1266" s="465" t="s">
        <v>3304</v>
      </c>
      <c r="G1266" s="465" t="s">
        <v>3205</v>
      </c>
      <c r="H1266" s="465" t="s">
        <v>3206</v>
      </c>
      <c r="I1266" s="465" t="s">
        <v>830</v>
      </c>
    </row>
    <row r="1267" hidden="1" ht="15.95" customHeight="1">
      <c r="A1267" s="465" t="s">
        <v>3309</v>
      </c>
      <c r="B1267" s="465" t="s">
        <v>3310</v>
      </c>
      <c r="C1267" s="465"/>
      <c r="D1267" s="465" t="s">
        <v>855</v>
      </c>
      <c r="E1267" s="465" t="s">
        <v>3303</v>
      </c>
      <c r="F1267" s="465" t="s">
        <v>3304</v>
      </c>
      <c r="G1267" s="465" t="s">
        <v>3205</v>
      </c>
      <c r="H1267" s="465" t="s">
        <v>3206</v>
      </c>
      <c r="I1267" s="465" t="s">
        <v>830</v>
      </c>
    </row>
    <row r="1268" hidden="1" ht="15.95" customHeight="1">
      <c r="A1268" s="465" t="s">
        <v>3311</v>
      </c>
      <c r="B1268" s="465" t="s">
        <v>1156</v>
      </c>
      <c r="C1268" s="465"/>
      <c r="D1268" s="465" t="s">
        <v>855</v>
      </c>
      <c r="E1268" s="465" t="s">
        <v>3303</v>
      </c>
      <c r="F1268" s="465" t="s">
        <v>3304</v>
      </c>
      <c r="G1268" s="465" t="s">
        <v>3205</v>
      </c>
      <c r="H1268" s="465" t="s">
        <v>3206</v>
      </c>
      <c r="I1268" s="465" t="s">
        <v>830</v>
      </c>
    </row>
    <row r="1269" hidden="1" ht="15.95" customHeight="1">
      <c r="A1269" s="465" t="s">
        <v>3312</v>
      </c>
      <c r="B1269" s="465" t="s">
        <v>3313</v>
      </c>
      <c r="C1269" s="465"/>
      <c r="D1269" s="465" t="s">
        <v>855</v>
      </c>
      <c r="E1269" s="465" t="s">
        <v>3303</v>
      </c>
      <c r="F1269" s="465" t="s">
        <v>3304</v>
      </c>
      <c r="G1269" s="465" t="s">
        <v>3205</v>
      </c>
      <c r="H1269" s="465" t="s">
        <v>3206</v>
      </c>
      <c r="I1269" s="465" t="s">
        <v>830</v>
      </c>
    </row>
    <row r="1270" hidden="1" ht="15.95" customHeight="1">
      <c r="A1270" s="465" t="s">
        <v>3314</v>
      </c>
      <c r="B1270" s="465" t="s">
        <v>3315</v>
      </c>
      <c r="C1270" s="465"/>
      <c r="D1270" s="465" t="s">
        <v>855</v>
      </c>
      <c r="E1270" s="465" t="s">
        <v>3303</v>
      </c>
      <c r="F1270" s="465" t="s">
        <v>3304</v>
      </c>
      <c r="G1270" s="465" t="s">
        <v>3205</v>
      </c>
      <c r="H1270" s="465" t="s">
        <v>3206</v>
      </c>
      <c r="I1270" s="465" t="s">
        <v>830</v>
      </c>
    </row>
    <row r="1271" hidden="1" ht="15.95" customHeight="1">
      <c r="A1271" s="465" t="s">
        <v>3316</v>
      </c>
      <c r="B1271" s="465" t="s">
        <v>3317</v>
      </c>
      <c r="C1271" s="465"/>
      <c r="D1271" s="465" t="s">
        <v>855</v>
      </c>
      <c r="E1271" s="465" t="s">
        <v>3303</v>
      </c>
      <c r="F1271" s="465" t="s">
        <v>3304</v>
      </c>
      <c r="G1271" s="465" t="s">
        <v>3205</v>
      </c>
      <c r="H1271" s="465" t="s">
        <v>3206</v>
      </c>
      <c r="I1271" s="465" t="s">
        <v>830</v>
      </c>
    </row>
    <row r="1272" hidden="1" ht="15.95" customHeight="1">
      <c r="A1272" s="465" t="s">
        <v>3318</v>
      </c>
      <c r="B1272" s="465" t="s">
        <v>1164</v>
      </c>
      <c r="C1272" s="465"/>
      <c r="D1272" s="465" t="s">
        <v>855</v>
      </c>
      <c r="E1272" s="465" t="s">
        <v>3303</v>
      </c>
      <c r="F1272" s="465" t="s">
        <v>3304</v>
      </c>
      <c r="G1272" s="465" t="s">
        <v>3205</v>
      </c>
      <c r="H1272" s="465" t="s">
        <v>3206</v>
      </c>
      <c r="I1272" s="465" t="s">
        <v>830</v>
      </c>
    </row>
    <row r="1273" hidden="1" ht="15.95" customHeight="1">
      <c r="A1273" s="465" t="s">
        <v>3319</v>
      </c>
      <c r="B1273" s="465" t="s">
        <v>1033</v>
      </c>
      <c r="C1273" s="465"/>
      <c r="D1273" s="465" t="s">
        <v>855</v>
      </c>
      <c r="E1273" s="465" t="s">
        <v>3303</v>
      </c>
      <c r="F1273" s="465" t="s">
        <v>3304</v>
      </c>
      <c r="G1273" s="465" t="s">
        <v>3205</v>
      </c>
      <c r="H1273" s="465" t="s">
        <v>3206</v>
      </c>
      <c r="I1273" s="465" t="s">
        <v>830</v>
      </c>
    </row>
    <row r="1274" hidden="1" ht="15.95" customHeight="1">
      <c r="A1274" s="465" t="s">
        <v>3320</v>
      </c>
      <c r="B1274" s="465" t="s">
        <v>3321</v>
      </c>
      <c r="C1274" s="465"/>
      <c r="D1274" s="465" t="s">
        <v>855</v>
      </c>
      <c r="E1274" s="465" t="s">
        <v>3303</v>
      </c>
      <c r="F1274" s="465" t="s">
        <v>3304</v>
      </c>
      <c r="G1274" s="465" t="s">
        <v>3205</v>
      </c>
      <c r="H1274" s="465" t="s">
        <v>3206</v>
      </c>
      <c r="I1274" s="465" t="s">
        <v>830</v>
      </c>
    </row>
    <row r="1275" hidden="1" ht="15.95" customHeight="1">
      <c r="A1275" s="465" t="s">
        <v>3322</v>
      </c>
      <c r="B1275" s="465" t="s">
        <v>3323</v>
      </c>
      <c r="C1275" s="465"/>
      <c r="D1275" s="465" t="s">
        <v>855</v>
      </c>
      <c r="E1275" s="465" t="s">
        <v>3303</v>
      </c>
      <c r="F1275" s="465" t="s">
        <v>3304</v>
      </c>
      <c r="G1275" s="465" t="s">
        <v>3205</v>
      </c>
      <c r="H1275" s="465" t="s">
        <v>3206</v>
      </c>
      <c r="I1275" s="465" t="s">
        <v>830</v>
      </c>
    </row>
    <row r="1276" hidden="1" ht="15.95" customHeight="1">
      <c r="A1276" s="465" t="s">
        <v>3324</v>
      </c>
      <c r="B1276" s="465" t="s">
        <v>1722</v>
      </c>
      <c r="C1276" s="465"/>
      <c r="D1276" s="465" t="s">
        <v>855</v>
      </c>
      <c r="E1276" s="465" t="s">
        <v>3303</v>
      </c>
      <c r="F1276" s="465" t="s">
        <v>3304</v>
      </c>
      <c r="G1276" s="465" t="s">
        <v>3205</v>
      </c>
      <c r="H1276" s="465" t="s">
        <v>3206</v>
      </c>
      <c r="I1276" s="465" t="s">
        <v>830</v>
      </c>
    </row>
    <row r="1277" hidden="1" ht="15.95" customHeight="1">
      <c r="A1277" s="465" t="s">
        <v>3325</v>
      </c>
      <c r="B1277" s="465" t="s">
        <v>3326</v>
      </c>
      <c r="C1277" s="465"/>
      <c r="D1277" s="465" t="s">
        <v>884</v>
      </c>
      <c r="E1277" s="465" t="s">
        <v>3327</v>
      </c>
      <c r="F1277" s="465" t="s">
        <v>3328</v>
      </c>
      <c r="G1277" s="465" t="s">
        <v>3205</v>
      </c>
      <c r="H1277" s="465" t="s">
        <v>3206</v>
      </c>
      <c r="I1277" s="465" t="s">
        <v>830</v>
      </c>
    </row>
    <row r="1278" hidden="1" ht="15.95" customHeight="1">
      <c r="A1278" s="465" t="s">
        <v>3329</v>
      </c>
      <c r="B1278" s="465" t="s">
        <v>1705</v>
      </c>
      <c r="C1278" s="465"/>
      <c r="D1278" s="465" t="s">
        <v>855</v>
      </c>
      <c r="E1278" s="465" t="s">
        <v>3327</v>
      </c>
      <c r="F1278" s="465" t="s">
        <v>3328</v>
      </c>
      <c r="G1278" s="465" t="s">
        <v>3205</v>
      </c>
      <c r="H1278" s="465" t="s">
        <v>3206</v>
      </c>
      <c r="I1278" s="465" t="s">
        <v>830</v>
      </c>
    </row>
    <row r="1279" hidden="1" ht="15.95" customHeight="1">
      <c r="A1279" s="465" t="s">
        <v>3330</v>
      </c>
      <c r="B1279" s="465" t="s">
        <v>3331</v>
      </c>
      <c r="C1279" s="465"/>
      <c r="D1279" s="465" t="s">
        <v>855</v>
      </c>
      <c r="E1279" s="465" t="s">
        <v>3327</v>
      </c>
      <c r="F1279" s="465" t="s">
        <v>3328</v>
      </c>
      <c r="G1279" s="465" t="s">
        <v>3205</v>
      </c>
      <c r="H1279" s="465" t="s">
        <v>3206</v>
      </c>
      <c r="I1279" s="465" t="s">
        <v>830</v>
      </c>
    </row>
    <row r="1280" hidden="1" ht="15.95" customHeight="1">
      <c r="A1280" s="465" t="s">
        <v>3332</v>
      </c>
      <c r="B1280" s="465" t="s">
        <v>3333</v>
      </c>
      <c r="C1280" s="465"/>
      <c r="D1280" s="465" t="s">
        <v>855</v>
      </c>
      <c r="E1280" s="465" t="s">
        <v>3327</v>
      </c>
      <c r="F1280" s="465" t="s">
        <v>3328</v>
      </c>
      <c r="G1280" s="465" t="s">
        <v>3205</v>
      </c>
      <c r="H1280" s="465" t="s">
        <v>3206</v>
      </c>
      <c r="I1280" s="465" t="s">
        <v>830</v>
      </c>
    </row>
    <row r="1281" hidden="1" ht="15.95" customHeight="1">
      <c r="A1281" s="465" t="s">
        <v>3334</v>
      </c>
      <c r="B1281" s="465" t="s">
        <v>2321</v>
      </c>
      <c r="C1281" s="465"/>
      <c r="D1281" s="465" t="s">
        <v>855</v>
      </c>
      <c r="E1281" s="465" t="s">
        <v>3327</v>
      </c>
      <c r="F1281" s="465" t="s">
        <v>3328</v>
      </c>
      <c r="G1281" s="465" t="s">
        <v>3205</v>
      </c>
      <c r="H1281" s="465" t="s">
        <v>3206</v>
      </c>
      <c r="I1281" s="465" t="s">
        <v>830</v>
      </c>
    </row>
    <row r="1282" hidden="1" ht="15.95" customHeight="1">
      <c r="A1282" s="465" t="s">
        <v>3335</v>
      </c>
      <c r="B1282" s="465" t="s">
        <v>3336</v>
      </c>
      <c r="C1282" s="465"/>
      <c r="D1282" s="465" t="s">
        <v>855</v>
      </c>
      <c r="E1282" s="465" t="s">
        <v>3327</v>
      </c>
      <c r="F1282" s="465" t="s">
        <v>3328</v>
      </c>
      <c r="G1282" s="465" t="s">
        <v>3205</v>
      </c>
      <c r="H1282" s="465" t="s">
        <v>3206</v>
      </c>
      <c r="I1282" s="465" t="s">
        <v>830</v>
      </c>
    </row>
    <row r="1283" hidden="1" ht="15.95" customHeight="1">
      <c r="A1283" s="465" t="s">
        <v>3337</v>
      </c>
      <c r="B1283" s="465" t="s">
        <v>3338</v>
      </c>
      <c r="C1283" s="465"/>
      <c r="D1283" s="465" t="s">
        <v>855</v>
      </c>
      <c r="E1283" s="465" t="s">
        <v>3327</v>
      </c>
      <c r="F1283" s="465" t="s">
        <v>3328</v>
      </c>
      <c r="G1283" s="465" t="s">
        <v>3205</v>
      </c>
      <c r="H1283" s="465" t="s">
        <v>3206</v>
      </c>
      <c r="I1283" s="465" t="s">
        <v>830</v>
      </c>
    </row>
    <row r="1284" hidden="1" ht="15.95" customHeight="1">
      <c r="A1284" s="465" t="s">
        <v>3339</v>
      </c>
      <c r="B1284" s="465" t="s">
        <v>3340</v>
      </c>
      <c r="C1284" s="465"/>
      <c r="D1284" s="465" t="s">
        <v>855</v>
      </c>
      <c r="E1284" s="465" t="s">
        <v>3327</v>
      </c>
      <c r="F1284" s="465" t="s">
        <v>3328</v>
      </c>
      <c r="G1284" s="465" t="s">
        <v>3205</v>
      </c>
      <c r="H1284" s="465" t="s">
        <v>3206</v>
      </c>
      <c r="I1284" s="465" t="s">
        <v>830</v>
      </c>
    </row>
    <row r="1285" hidden="1" ht="15.95" customHeight="1">
      <c r="A1285" s="465" t="s">
        <v>3341</v>
      </c>
      <c r="B1285" s="465" t="s">
        <v>3342</v>
      </c>
      <c r="C1285" s="465"/>
      <c r="D1285" s="465" t="s">
        <v>855</v>
      </c>
      <c r="E1285" s="465" t="s">
        <v>3327</v>
      </c>
      <c r="F1285" s="465" t="s">
        <v>3328</v>
      </c>
      <c r="G1285" s="465" t="s">
        <v>3205</v>
      </c>
      <c r="H1285" s="465" t="s">
        <v>3206</v>
      </c>
      <c r="I1285" s="465" t="s">
        <v>830</v>
      </c>
    </row>
    <row r="1286" hidden="1" ht="15.95" customHeight="1">
      <c r="A1286" s="465" t="s">
        <v>3343</v>
      </c>
      <c r="B1286" s="465" t="s">
        <v>1844</v>
      </c>
      <c r="C1286" s="465"/>
      <c r="D1286" s="465" t="s">
        <v>855</v>
      </c>
      <c r="E1286" s="465" t="s">
        <v>3327</v>
      </c>
      <c r="F1286" s="465" t="s">
        <v>3328</v>
      </c>
      <c r="G1286" s="465" t="s">
        <v>3205</v>
      </c>
      <c r="H1286" s="465" t="s">
        <v>3206</v>
      </c>
      <c r="I1286" s="465" t="s">
        <v>830</v>
      </c>
    </row>
    <row r="1287" hidden="1" ht="15.95" customHeight="1">
      <c r="A1287" s="465" t="s">
        <v>3344</v>
      </c>
      <c r="B1287" s="465" t="s">
        <v>3198</v>
      </c>
      <c r="C1287" s="465"/>
      <c r="D1287" s="465" t="s">
        <v>855</v>
      </c>
      <c r="E1287" s="465" t="s">
        <v>3327</v>
      </c>
      <c r="F1287" s="465" t="s">
        <v>3328</v>
      </c>
      <c r="G1287" s="465" t="s">
        <v>3205</v>
      </c>
      <c r="H1287" s="465" t="s">
        <v>3206</v>
      </c>
      <c r="I1287" s="465" t="s">
        <v>830</v>
      </c>
    </row>
    <row r="1288" hidden="1" ht="15.95" customHeight="1">
      <c r="A1288" s="465" t="s">
        <v>3345</v>
      </c>
      <c r="B1288" s="465" t="s">
        <v>3346</v>
      </c>
      <c r="C1288" s="465"/>
      <c r="D1288" s="465" t="s">
        <v>884</v>
      </c>
      <c r="E1288" s="465" t="s">
        <v>3347</v>
      </c>
      <c r="F1288" s="465" t="s">
        <v>3348</v>
      </c>
      <c r="G1288" s="465" t="s">
        <v>3205</v>
      </c>
      <c r="H1288" s="465" t="s">
        <v>3206</v>
      </c>
      <c r="I1288" s="465" t="s">
        <v>830</v>
      </c>
    </row>
    <row r="1289" hidden="1" ht="15.95" customHeight="1">
      <c r="A1289" s="465" t="s">
        <v>3349</v>
      </c>
      <c r="B1289" s="465" t="s">
        <v>3350</v>
      </c>
      <c r="C1289" s="465"/>
      <c r="D1289" s="465" t="s">
        <v>855</v>
      </c>
      <c r="E1289" s="465" t="s">
        <v>3347</v>
      </c>
      <c r="F1289" s="465" t="s">
        <v>3348</v>
      </c>
      <c r="G1289" s="465" t="s">
        <v>3205</v>
      </c>
      <c r="H1289" s="465" t="s">
        <v>3206</v>
      </c>
      <c r="I1289" s="465" t="s">
        <v>830</v>
      </c>
    </row>
    <row r="1290" hidden="1" ht="15.95" customHeight="1">
      <c r="A1290" s="465" t="s">
        <v>3351</v>
      </c>
      <c r="B1290" s="465" t="s">
        <v>3352</v>
      </c>
      <c r="C1290" s="465"/>
      <c r="D1290" s="465" t="s">
        <v>855</v>
      </c>
      <c r="E1290" s="465" t="s">
        <v>3347</v>
      </c>
      <c r="F1290" s="465" t="s">
        <v>3348</v>
      </c>
      <c r="G1290" s="465" t="s">
        <v>3205</v>
      </c>
      <c r="H1290" s="465" t="s">
        <v>3206</v>
      </c>
      <c r="I1290" s="465" t="s">
        <v>830</v>
      </c>
    </row>
    <row r="1291" hidden="1" ht="15.95" customHeight="1">
      <c r="A1291" s="465" t="s">
        <v>3353</v>
      </c>
      <c r="B1291" s="465" t="s">
        <v>3354</v>
      </c>
      <c r="C1291" s="465"/>
      <c r="D1291" s="465" t="s">
        <v>855</v>
      </c>
      <c r="E1291" s="465" t="s">
        <v>3347</v>
      </c>
      <c r="F1291" s="465" t="s">
        <v>3348</v>
      </c>
      <c r="G1291" s="465" t="s">
        <v>3205</v>
      </c>
      <c r="H1291" s="465" t="s">
        <v>3206</v>
      </c>
      <c r="I1291" s="465" t="s">
        <v>830</v>
      </c>
    </row>
    <row r="1292" hidden="1" ht="15.95" customHeight="1">
      <c r="A1292" s="465" t="s">
        <v>3355</v>
      </c>
      <c r="B1292" s="465" t="s">
        <v>3356</v>
      </c>
      <c r="C1292" s="465"/>
      <c r="D1292" s="465" t="s">
        <v>855</v>
      </c>
      <c r="E1292" s="465" t="s">
        <v>3347</v>
      </c>
      <c r="F1292" s="465" t="s">
        <v>3348</v>
      </c>
      <c r="G1292" s="465" t="s">
        <v>3205</v>
      </c>
      <c r="H1292" s="465" t="s">
        <v>3206</v>
      </c>
      <c r="I1292" s="465" t="s">
        <v>830</v>
      </c>
    </row>
    <row r="1293" hidden="1" ht="15.95" customHeight="1">
      <c r="A1293" s="465" t="s">
        <v>3357</v>
      </c>
      <c r="B1293" s="465" t="s">
        <v>3358</v>
      </c>
      <c r="C1293" s="465"/>
      <c r="D1293" s="465" t="s">
        <v>855</v>
      </c>
      <c r="E1293" s="465" t="s">
        <v>3347</v>
      </c>
      <c r="F1293" s="465" t="s">
        <v>3348</v>
      </c>
      <c r="G1293" s="465" t="s">
        <v>3205</v>
      </c>
      <c r="H1293" s="465" t="s">
        <v>3206</v>
      </c>
      <c r="I1293" s="465" t="s">
        <v>830</v>
      </c>
    </row>
    <row r="1294" hidden="1" ht="15.95" customHeight="1">
      <c r="A1294" s="465" t="s">
        <v>3359</v>
      </c>
      <c r="B1294" s="465" t="s">
        <v>3360</v>
      </c>
      <c r="C1294" s="465"/>
      <c r="D1294" s="465" t="s">
        <v>855</v>
      </c>
      <c r="E1294" s="465" t="s">
        <v>3347</v>
      </c>
      <c r="F1294" s="465" t="s">
        <v>3348</v>
      </c>
      <c r="G1294" s="465" t="s">
        <v>3205</v>
      </c>
      <c r="H1294" s="465" t="s">
        <v>3206</v>
      </c>
      <c r="I1294" s="465" t="s">
        <v>830</v>
      </c>
    </row>
    <row r="1295" hidden="1" ht="15.95" customHeight="1">
      <c r="A1295" s="465" t="s">
        <v>3361</v>
      </c>
      <c r="B1295" s="465" t="s">
        <v>3362</v>
      </c>
      <c r="C1295" s="465"/>
      <c r="D1295" s="465" t="s">
        <v>855</v>
      </c>
      <c r="E1295" s="465" t="s">
        <v>3347</v>
      </c>
      <c r="F1295" s="465" t="s">
        <v>3348</v>
      </c>
      <c r="G1295" s="465" t="s">
        <v>3205</v>
      </c>
      <c r="H1295" s="465" t="s">
        <v>3206</v>
      </c>
      <c r="I1295" s="465" t="s">
        <v>830</v>
      </c>
    </row>
    <row r="1296" hidden="1" ht="15.95" customHeight="1">
      <c r="A1296" s="465" t="s">
        <v>3363</v>
      </c>
      <c r="B1296" s="465" t="s">
        <v>3364</v>
      </c>
      <c r="C1296" s="465"/>
      <c r="D1296" s="465" t="s">
        <v>855</v>
      </c>
      <c r="E1296" s="465" t="s">
        <v>3347</v>
      </c>
      <c r="F1296" s="465" t="s">
        <v>3348</v>
      </c>
      <c r="G1296" s="465" t="s">
        <v>3205</v>
      </c>
      <c r="H1296" s="465" t="s">
        <v>3206</v>
      </c>
      <c r="I1296" s="465" t="s">
        <v>830</v>
      </c>
    </row>
    <row r="1297" hidden="1" ht="15.95" customHeight="1">
      <c r="A1297" s="465" t="s">
        <v>3365</v>
      </c>
      <c r="B1297" s="465" t="s">
        <v>3366</v>
      </c>
      <c r="C1297" s="465"/>
      <c r="D1297" s="465" t="s">
        <v>855</v>
      </c>
      <c r="E1297" s="465" t="s">
        <v>3347</v>
      </c>
      <c r="F1297" s="465" t="s">
        <v>3348</v>
      </c>
      <c r="G1297" s="465" t="s">
        <v>3205</v>
      </c>
      <c r="H1297" s="465" t="s">
        <v>3206</v>
      </c>
      <c r="I1297" s="465" t="s">
        <v>830</v>
      </c>
    </row>
    <row r="1298" hidden="1" ht="15.95" customHeight="1">
      <c r="A1298" s="465" t="s">
        <v>3367</v>
      </c>
      <c r="B1298" s="465" t="s">
        <v>3368</v>
      </c>
      <c r="C1298" s="465"/>
      <c r="D1298" s="465" t="s">
        <v>855</v>
      </c>
      <c r="E1298" s="465" t="s">
        <v>3347</v>
      </c>
      <c r="F1298" s="465" t="s">
        <v>3348</v>
      </c>
      <c r="G1298" s="465" t="s">
        <v>3205</v>
      </c>
      <c r="H1298" s="465" t="s">
        <v>3206</v>
      </c>
      <c r="I1298" s="465" t="s">
        <v>830</v>
      </c>
    </row>
    <row r="1299" hidden="1" ht="15.95" customHeight="1">
      <c r="A1299" s="465" t="s">
        <v>3369</v>
      </c>
      <c r="B1299" s="465" t="s">
        <v>3370</v>
      </c>
      <c r="C1299" s="465"/>
      <c r="D1299" s="465" t="s">
        <v>884</v>
      </c>
      <c r="E1299" s="465" t="s">
        <v>3371</v>
      </c>
      <c r="F1299" s="465" t="s">
        <v>3372</v>
      </c>
      <c r="G1299" s="465" t="s">
        <v>3205</v>
      </c>
      <c r="H1299" s="465" t="s">
        <v>3206</v>
      </c>
      <c r="I1299" s="465" t="s">
        <v>830</v>
      </c>
    </row>
    <row r="1300" hidden="1" ht="15.95" customHeight="1">
      <c r="A1300" s="465" t="s">
        <v>3373</v>
      </c>
      <c r="B1300" s="465" t="s">
        <v>3374</v>
      </c>
      <c r="C1300" s="465"/>
      <c r="D1300" s="465" t="s">
        <v>884</v>
      </c>
      <c r="E1300" s="465" t="s">
        <v>3371</v>
      </c>
      <c r="F1300" s="465" t="s">
        <v>3372</v>
      </c>
      <c r="G1300" s="465" t="s">
        <v>3205</v>
      </c>
      <c r="H1300" s="465" t="s">
        <v>3206</v>
      </c>
      <c r="I1300" s="465" t="s">
        <v>830</v>
      </c>
    </row>
    <row r="1301" hidden="1" ht="15.95" customHeight="1">
      <c r="A1301" s="465" t="s">
        <v>3375</v>
      </c>
      <c r="B1301" s="465" t="s">
        <v>3376</v>
      </c>
      <c r="C1301" s="465"/>
      <c r="D1301" s="465" t="s">
        <v>884</v>
      </c>
      <c r="E1301" s="465" t="s">
        <v>3371</v>
      </c>
      <c r="F1301" s="465" t="s">
        <v>3372</v>
      </c>
      <c r="G1301" s="465" t="s">
        <v>3205</v>
      </c>
      <c r="H1301" s="465" t="s">
        <v>3206</v>
      </c>
      <c r="I1301" s="465" t="s">
        <v>830</v>
      </c>
    </row>
    <row r="1302" hidden="1" ht="15.95" customHeight="1">
      <c r="A1302" s="465" t="s">
        <v>3377</v>
      </c>
      <c r="B1302" s="465" t="s">
        <v>3378</v>
      </c>
      <c r="C1302" s="465"/>
      <c r="D1302" s="465" t="s">
        <v>855</v>
      </c>
      <c r="E1302" s="465" t="s">
        <v>3371</v>
      </c>
      <c r="F1302" s="465" t="s">
        <v>3372</v>
      </c>
      <c r="G1302" s="465" t="s">
        <v>3205</v>
      </c>
      <c r="H1302" s="465" t="s">
        <v>3206</v>
      </c>
      <c r="I1302" s="465" t="s">
        <v>830</v>
      </c>
    </row>
    <row r="1303" hidden="1" ht="15.95" customHeight="1">
      <c r="A1303" s="465" t="s">
        <v>3379</v>
      </c>
      <c r="B1303" s="465" t="s">
        <v>3380</v>
      </c>
      <c r="C1303" s="465"/>
      <c r="D1303" s="465" t="s">
        <v>855</v>
      </c>
      <c r="E1303" s="465" t="s">
        <v>3371</v>
      </c>
      <c r="F1303" s="465" t="s">
        <v>3372</v>
      </c>
      <c r="G1303" s="465" t="s">
        <v>3205</v>
      </c>
      <c r="H1303" s="465" t="s">
        <v>3206</v>
      </c>
      <c r="I1303" s="465" t="s">
        <v>830</v>
      </c>
    </row>
    <row r="1304" hidden="1" ht="15.95" customHeight="1">
      <c r="A1304" s="465" t="s">
        <v>3381</v>
      </c>
      <c r="B1304" s="465" t="s">
        <v>3382</v>
      </c>
      <c r="C1304" s="465"/>
      <c r="D1304" s="465" t="s">
        <v>855</v>
      </c>
      <c r="E1304" s="465" t="s">
        <v>3371</v>
      </c>
      <c r="F1304" s="465" t="s">
        <v>3372</v>
      </c>
      <c r="G1304" s="465" t="s">
        <v>3205</v>
      </c>
      <c r="H1304" s="465" t="s">
        <v>3206</v>
      </c>
      <c r="I1304" s="465" t="s">
        <v>830</v>
      </c>
    </row>
    <row r="1305" hidden="1" ht="15.95" customHeight="1">
      <c r="A1305" s="465" t="s">
        <v>3383</v>
      </c>
      <c r="B1305" s="465" t="s">
        <v>2180</v>
      </c>
      <c r="C1305" s="465"/>
      <c r="D1305" s="465" t="s">
        <v>855</v>
      </c>
      <c r="E1305" s="465" t="s">
        <v>3371</v>
      </c>
      <c r="F1305" s="465" t="s">
        <v>3372</v>
      </c>
      <c r="G1305" s="465" t="s">
        <v>3205</v>
      </c>
      <c r="H1305" s="465" t="s">
        <v>3206</v>
      </c>
      <c r="I1305" s="465" t="s">
        <v>830</v>
      </c>
    </row>
    <row r="1306" hidden="1" ht="15.95" customHeight="1">
      <c r="A1306" s="465" t="s">
        <v>3384</v>
      </c>
      <c r="B1306" s="465" t="s">
        <v>2234</v>
      </c>
      <c r="C1306" s="465"/>
      <c r="D1306" s="465" t="s">
        <v>855</v>
      </c>
      <c r="E1306" s="465" t="s">
        <v>3371</v>
      </c>
      <c r="F1306" s="465" t="s">
        <v>3372</v>
      </c>
      <c r="G1306" s="465" t="s">
        <v>3205</v>
      </c>
      <c r="H1306" s="465" t="s">
        <v>3206</v>
      </c>
      <c r="I1306" s="465" t="s">
        <v>830</v>
      </c>
    </row>
    <row r="1307" hidden="1" ht="15.95" customHeight="1">
      <c r="A1307" s="465" t="s">
        <v>3385</v>
      </c>
      <c r="B1307" s="465" t="s">
        <v>3386</v>
      </c>
      <c r="C1307" s="465"/>
      <c r="D1307" s="465" t="s">
        <v>855</v>
      </c>
      <c r="E1307" s="465" t="s">
        <v>3371</v>
      </c>
      <c r="F1307" s="465" t="s">
        <v>3372</v>
      </c>
      <c r="G1307" s="465" t="s">
        <v>3205</v>
      </c>
      <c r="H1307" s="465" t="s">
        <v>3206</v>
      </c>
      <c r="I1307" s="465" t="s">
        <v>830</v>
      </c>
    </row>
    <row r="1308" hidden="1" ht="15.95" customHeight="1">
      <c r="A1308" s="465" t="s">
        <v>3387</v>
      </c>
      <c r="B1308" s="465" t="s">
        <v>3388</v>
      </c>
      <c r="C1308" s="465"/>
      <c r="D1308" s="465" t="s">
        <v>855</v>
      </c>
      <c r="E1308" s="465" t="s">
        <v>3371</v>
      </c>
      <c r="F1308" s="465" t="s">
        <v>3372</v>
      </c>
      <c r="G1308" s="465" t="s">
        <v>3205</v>
      </c>
      <c r="H1308" s="465" t="s">
        <v>3206</v>
      </c>
      <c r="I1308" s="465" t="s">
        <v>830</v>
      </c>
    </row>
    <row r="1309" hidden="1" ht="15.95" customHeight="1">
      <c r="A1309" s="465" t="s">
        <v>3389</v>
      </c>
      <c r="B1309" s="465" t="s">
        <v>1856</v>
      </c>
      <c r="C1309" s="465"/>
      <c r="D1309" s="465" t="s">
        <v>855</v>
      </c>
      <c r="E1309" s="465" t="s">
        <v>3371</v>
      </c>
      <c r="F1309" s="465" t="s">
        <v>3372</v>
      </c>
      <c r="G1309" s="465" t="s">
        <v>3205</v>
      </c>
      <c r="H1309" s="465" t="s">
        <v>3206</v>
      </c>
      <c r="I1309" s="465" t="s">
        <v>830</v>
      </c>
    </row>
    <row r="1310" hidden="1" ht="15.95" customHeight="1">
      <c r="A1310" s="465" t="s">
        <v>3390</v>
      </c>
      <c r="B1310" s="465" t="s">
        <v>3391</v>
      </c>
      <c r="C1310" s="465"/>
      <c r="D1310" s="465" t="s">
        <v>855</v>
      </c>
      <c r="E1310" s="465" t="s">
        <v>3371</v>
      </c>
      <c r="F1310" s="465" t="s">
        <v>3372</v>
      </c>
      <c r="G1310" s="465" t="s">
        <v>3205</v>
      </c>
      <c r="H1310" s="465" t="s">
        <v>3206</v>
      </c>
      <c r="I1310" s="465" t="s">
        <v>830</v>
      </c>
    </row>
    <row r="1311" hidden="1" ht="15.95" customHeight="1">
      <c r="A1311" s="465" t="s">
        <v>3392</v>
      </c>
      <c r="B1311" s="465" t="s">
        <v>3393</v>
      </c>
      <c r="C1311" s="465"/>
      <c r="D1311" s="465" t="s">
        <v>855</v>
      </c>
      <c r="E1311" s="465" t="s">
        <v>3371</v>
      </c>
      <c r="F1311" s="465" t="s">
        <v>3372</v>
      </c>
      <c r="G1311" s="465" t="s">
        <v>3205</v>
      </c>
      <c r="H1311" s="465" t="s">
        <v>3206</v>
      </c>
      <c r="I1311" s="465" t="s">
        <v>830</v>
      </c>
    </row>
    <row r="1312" hidden="1" ht="15.95" customHeight="1">
      <c r="A1312" s="465" t="s">
        <v>3394</v>
      </c>
      <c r="B1312" s="465" t="s">
        <v>3395</v>
      </c>
      <c r="C1312" s="465"/>
      <c r="D1312" s="465" t="s">
        <v>855</v>
      </c>
      <c r="E1312" s="465" t="s">
        <v>3371</v>
      </c>
      <c r="F1312" s="465" t="s">
        <v>3372</v>
      </c>
      <c r="G1312" s="465" t="s">
        <v>3205</v>
      </c>
      <c r="H1312" s="465" t="s">
        <v>3206</v>
      </c>
      <c r="I1312" s="465" t="s">
        <v>830</v>
      </c>
    </row>
    <row r="1313" hidden="1" ht="15.95" customHeight="1">
      <c r="A1313" s="465" t="s">
        <v>3396</v>
      </c>
      <c r="B1313" s="465" t="s">
        <v>3397</v>
      </c>
      <c r="C1313" s="465"/>
      <c r="D1313" s="465" t="s">
        <v>855</v>
      </c>
      <c r="E1313" s="465" t="s">
        <v>3371</v>
      </c>
      <c r="F1313" s="465" t="s">
        <v>3372</v>
      </c>
      <c r="G1313" s="465" t="s">
        <v>3205</v>
      </c>
      <c r="H1313" s="465" t="s">
        <v>3206</v>
      </c>
      <c r="I1313" s="465" t="s">
        <v>830</v>
      </c>
    </row>
    <row r="1314" hidden="1" ht="15.95" customHeight="1">
      <c r="A1314" s="465" t="s">
        <v>3398</v>
      </c>
      <c r="B1314" s="465" t="s">
        <v>3399</v>
      </c>
      <c r="C1314" s="465"/>
      <c r="D1314" s="465" t="s">
        <v>855</v>
      </c>
      <c r="E1314" s="465" t="s">
        <v>3371</v>
      </c>
      <c r="F1314" s="465" t="s">
        <v>3372</v>
      </c>
      <c r="G1314" s="465" t="s">
        <v>3205</v>
      </c>
      <c r="H1314" s="465" t="s">
        <v>3206</v>
      </c>
      <c r="I1314" s="465" t="s">
        <v>830</v>
      </c>
    </row>
    <row r="1315" hidden="1" ht="15.95" customHeight="1">
      <c r="A1315" s="465" t="s">
        <v>3400</v>
      </c>
      <c r="B1315" s="465" t="s">
        <v>3401</v>
      </c>
      <c r="C1315" s="465"/>
      <c r="D1315" s="465" t="s">
        <v>855</v>
      </c>
      <c r="E1315" s="465" t="s">
        <v>3371</v>
      </c>
      <c r="F1315" s="465" t="s">
        <v>3372</v>
      </c>
      <c r="G1315" s="465" t="s">
        <v>3205</v>
      </c>
      <c r="H1315" s="465" t="s">
        <v>3206</v>
      </c>
      <c r="I1315" s="465" t="s">
        <v>830</v>
      </c>
    </row>
    <row r="1316" hidden="1" ht="15.95" customHeight="1">
      <c r="A1316" s="465" t="s">
        <v>3402</v>
      </c>
      <c r="B1316" s="465" t="s">
        <v>3403</v>
      </c>
      <c r="C1316" s="465"/>
      <c r="D1316" s="465" t="s">
        <v>855</v>
      </c>
      <c r="E1316" s="465" t="s">
        <v>3371</v>
      </c>
      <c r="F1316" s="465" t="s">
        <v>3372</v>
      </c>
      <c r="G1316" s="465" t="s">
        <v>3205</v>
      </c>
      <c r="H1316" s="465" t="s">
        <v>3206</v>
      </c>
      <c r="I1316" s="465" t="s">
        <v>830</v>
      </c>
    </row>
    <row r="1317" hidden="1" ht="15.95" customHeight="1">
      <c r="A1317" s="465" t="s">
        <v>3404</v>
      </c>
      <c r="B1317" s="465" t="s">
        <v>3405</v>
      </c>
      <c r="C1317" s="465"/>
      <c r="D1317" s="465" t="s">
        <v>855</v>
      </c>
      <c r="E1317" s="465" t="s">
        <v>3371</v>
      </c>
      <c r="F1317" s="465" t="s">
        <v>3372</v>
      </c>
      <c r="G1317" s="465" t="s">
        <v>3205</v>
      </c>
      <c r="H1317" s="465" t="s">
        <v>3206</v>
      </c>
      <c r="I1317" s="465" t="s">
        <v>830</v>
      </c>
    </row>
    <row r="1318" hidden="1" ht="15.95" customHeight="1">
      <c r="A1318" s="465" t="s">
        <v>3406</v>
      </c>
      <c r="B1318" s="465" t="s">
        <v>3407</v>
      </c>
      <c r="C1318" s="465"/>
      <c r="D1318" s="465" t="s">
        <v>855</v>
      </c>
      <c r="E1318" s="465" t="s">
        <v>3371</v>
      </c>
      <c r="F1318" s="465" t="s">
        <v>3372</v>
      </c>
      <c r="G1318" s="465" t="s">
        <v>3205</v>
      </c>
      <c r="H1318" s="465" t="s">
        <v>3206</v>
      </c>
      <c r="I1318" s="465" t="s">
        <v>830</v>
      </c>
    </row>
    <row r="1319" hidden="1" ht="15.95" customHeight="1">
      <c r="A1319" s="465" t="s">
        <v>3408</v>
      </c>
      <c r="B1319" s="465" t="s">
        <v>3409</v>
      </c>
      <c r="C1319" s="465"/>
      <c r="D1319" s="465" t="s">
        <v>884</v>
      </c>
      <c r="E1319" s="465" t="s">
        <v>3410</v>
      </c>
      <c r="F1319" s="465" t="s">
        <v>3411</v>
      </c>
      <c r="G1319" s="465" t="s">
        <v>3205</v>
      </c>
      <c r="H1319" s="465" t="s">
        <v>3206</v>
      </c>
      <c r="I1319" s="465" t="s">
        <v>830</v>
      </c>
    </row>
    <row r="1320" hidden="1" ht="15.95" customHeight="1">
      <c r="A1320" s="465" t="s">
        <v>3412</v>
      </c>
      <c r="B1320" s="465" t="s">
        <v>3413</v>
      </c>
      <c r="C1320" s="465"/>
      <c r="D1320" s="465" t="s">
        <v>855</v>
      </c>
      <c r="E1320" s="465" t="s">
        <v>3410</v>
      </c>
      <c r="F1320" s="465" t="s">
        <v>3411</v>
      </c>
      <c r="G1320" s="465" t="s">
        <v>3205</v>
      </c>
      <c r="H1320" s="465" t="s">
        <v>3206</v>
      </c>
      <c r="I1320" s="465" t="s">
        <v>830</v>
      </c>
    </row>
    <row r="1321" hidden="1" ht="15.95" customHeight="1">
      <c r="A1321" s="465" t="s">
        <v>3414</v>
      </c>
      <c r="B1321" s="465" t="s">
        <v>3415</v>
      </c>
      <c r="C1321" s="465"/>
      <c r="D1321" s="465" t="s">
        <v>855</v>
      </c>
      <c r="E1321" s="465" t="s">
        <v>3410</v>
      </c>
      <c r="F1321" s="465" t="s">
        <v>3411</v>
      </c>
      <c r="G1321" s="465" t="s">
        <v>3205</v>
      </c>
      <c r="H1321" s="465" t="s">
        <v>3206</v>
      </c>
      <c r="I1321" s="465" t="s">
        <v>830</v>
      </c>
    </row>
    <row r="1322" hidden="1" ht="15.95" customHeight="1">
      <c r="A1322" s="465" t="s">
        <v>3416</v>
      </c>
      <c r="B1322" s="465" t="s">
        <v>3417</v>
      </c>
      <c r="C1322" s="465"/>
      <c r="D1322" s="465" t="s">
        <v>855</v>
      </c>
      <c r="E1322" s="465" t="s">
        <v>3410</v>
      </c>
      <c r="F1322" s="465" t="s">
        <v>3411</v>
      </c>
      <c r="G1322" s="465" t="s">
        <v>3205</v>
      </c>
      <c r="H1322" s="465" t="s">
        <v>3206</v>
      </c>
      <c r="I1322" s="465" t="s">
        <v>830</v>
      </c>
    </row>
    <row r="1323" hidden="1" ht="15.95" customHeight="1">
      <c r="A1323" s="465" t="s">
        <v>3418</v>
      </c>
      <c r="B1323" s="465" t="s">
        <v>3419</v>
      </c>
      <c r="C1323" s="465"/>
      <c r="D1323" s="465" t="s">
        <v>855</v>
      </c>
      <c r="E1323" s="465" t="s">
        <v>3410</v>
      </c>
      <c r="F1323" s="465" t="s">
        <v>3411</v>
      </c>
      <c r="G1323" s="465" t="s">
        <v>3205</v>
      </c>
      <c r="H1323" s="465" t="s">
        <v>3206</v>
      </c>
      <c r="I1323" s="465" t="s">
        <v>830</v>
      </c>
    </row>
    <row r="1324" hidden="1" ht="15.95" customHeight="1">
      <c r="A1324" s="465" t="s">
        <v>3420</v>
      </c>
      <c r="B1324" s="465" t="s">
        <v>1722</v>
      </c>
      <c r="C1324" s="465"/>
      <c r="D1324" s="465" t="s">
        <v>855</v>
      </c>
      <c r="E1324" s="465" t="s">
        <v>3410</v>
      </c>
      <c r="F1324" s="465" t="s">
        <v>3411</v>
      </c>
      <c r="G1324" s="465" t="s">
        <v>3205</v>
      </c>
      <c r="H1324" s="465" t="s">
        <v>3206</v>
      </c>
      <c r="I1324" s="465" t="s">
        <v>830</v>
      </c>
    </row>
    <row r="1325" hidden="1" ht="15.95" customHeight="1">
      <c r="A1325" s="465" t="s">
        <v>3421</v>
      </c>
      <c r="B1325" s="465" t="s">
        <v>3422</v>
      </c>
      <c r="C1325" s="465"/>
      <c r="D1325" s="465" t="s">
        <v>855</v>
      </c>
      <c r="E1325" s="465" t="s">
        <v>3410</v>
      </c>
      <c r="F1325" s="465" t="s">
        <v>3411</v>
      </c>
      <c r="G1325" s="465" t="s">
        <v>3205</v>
      </c>
      <c r="H1325" s="465" t="s">
        <v>3206</v>
      </c>
      <c r="I1325" s="465" t="s">
        <v>830</v>
      </c>
    </row>
    <row r="1326" hidden="1" ht="15.95" customHeight="1">
      <c r="A1326" s="465" t="s">
        <v>3423</v>
      </c>
      <c r="B1326" s="465" t="s">
        <v>1966</v>
      </c>
      <c r="C1326" s="465"/>
      <c r="D1326" s="465" t="s">
        <v>855</v>
      </c>
      <c r="E1326" s="465" t="s">
        <v>3410</v>
      </c>
      <c r="F1326" s="465" t="s">
        <v>3411</v>
      </c>
      <c r="G1326" s="465" t="s">
        <v>3205</v>
      </c>
      <c r="H1326" s="465" t="s">
        <v>3206</v>
      </c>
      <c r="I1326" s="465" t="s">
        <v>830</v>
      </c>
    </row>
    <row r="1327" hidden="1" ht="15.95" customHeight="1">
      <c r="A1327" s="465" t="s">
        <v>3424</v>
      </c>
      <c r="B1327" s="465" t="s">
        <v>3425</v>
      </c>
      <c r="C1327" s="465"/>
      <c r="D1327" s="465" t="s">
        <v>855</v>
      </c>
      <c r="E1327" s="465" t="s">
        <v>3410</v>
      </c>
      <c r="F1327" s="465" t="s">
        <v>3411</v>
      </c>
      <c r="G1327" s="465" t="s">
        <v>3205</v>
      </c>
      <c r="H1327" s="465" t="s">
        <v>3206</v>
      </c>
      <c r="I1327" s="465" t="s">
        <v>830</v>
      </c>
    </row>
    <row r="1328" hidden="1" ht="15.95" customHeight="1">
      <c r="A1328" s="465" t="s">
        <v>3426</v>
      </c>
      <c r="B1328" s="465" t="s">
        <v>3427</v>
      </c>
      <c r="C1328" s="465"/>
      <c r="D1328" s="465" t="s">
        <v>855</v>
      </c>
      <c r="E1328" s="465" t="s">
        <v>3410</v>
      </c>
      <c r="F1328" s="465" t="s">
        <v>3411</v>
      </c>
      <c r="G1328" s="465" t="s">
        <v>3205</v>
      </c>
      <c r="H1328" s="465" t="s">
        <v>3206</v>
      </c>
      <c r="I1328" s="465" t="s">
        <v>830</v>
      </c>
    </row>
    <row r="1329" hidden="1" ht="15.95" customHeight="1">
      <c r="A1329" s="465" t="s">
        <v>3428</v>
      </c>
      <c r="B1329" s="465" t="s">
        <v>1614</v>
      </c>
      <c r="C1329" s="465"/>
      <c r="D1329" s="465" t="s">
        <v>855</v>
      </c>
      <c r="E1329" s="465" t="s">
        <v>3410</v>
      </c>
      <c r="F1329" s="465" t="s">
        <v>3411</v>
      </c>
      <c r="G1329" s="465" t="s">
        <v>3205</v>
      </c>
      <c r="H1329" s="465" t="s">
        <v>3206</v>
      </c>
      <c r="I1329" s="465" t="s">
        <v>830</v>
      </c>
    </row>
    <row r="1330" hidden="1" ht="15.95" customHeight="1">
      <c r="A1330" s="465" t="s">
        <v>3429</v>
      </c>
      <c r="B1330" s="465" t="s">
        <v>3430</v>
      </c>
      <c r="C1330" s="465"/>
      <c r="D1330" s="465" t="s">
        <v>855</v>
      </c>
      <c r="E1330" s="465" t="s">
        <v>3410</v>
      </c>
      <c r="F1330" s="465" t="s">
        <v>3411</v>
      </c>
      <c r="G1330" s="465" t="s">
        <v>3205</v>
      </c>
      <c r="H1330" s="465" t="s">
        <v>3206</v>
      </c>
      <c r="I1330" s="465" t="s">
        <v>830</v>
      </c>
    </row>
    <row r="1331" hidden="1" ht="15.95" customHeight="1">
      <c r="A1331" s="465" t="s">
        <v>3431</v>
      </c>
      <c r="B1331" s="465" t="s">
        <v>1934</v>
      </c>
      <c r="C1331" s="465"/>
      <c r="D1331" s="465" t="s">
        <v>855</v>
      </c>
      <c r="E1331" s="465" t="s">
        <v>3410</v>
      </c>
      <c r="F1331" s="465" t="s">
        <v>3411</v>
      </c>
      <c r="G1331" s="465" t="s">
        <v>3205</v>
      </c>
      <c r="H1331" s="465" t="s">
        <v>3206</v>
      </c>
      <c r="I1331" s="465" t="s">
        <v>830</v>
      </c>
    </row>
    <row r="1332" hidden="1" ht="15.95" customHeight="1">
      <c r="A1332" s="465" t="s">
        <v>3432</v>
      </c>
      <c r="B1332" s="465" t="s">
        <v>3433</v>
      </c>
      <c r="C1332" s="465"/>
      <c r="D1332" s="465" t="s">
        <v>855</v>
      </c>
      <c r="E1332" s="465" t="s">
        <v>3410</v>
      </c>
      <c r="F1332" s="465" t="s">
        <v>3411</v>
      </c>
      <c r="G1332" s="465" t="s">
        <v>3205</v>
      </c>
      <c r="H1332" s="465" t="s">
        <v>3206</v>
      </c>
      <c r="I1332" s="465" t="s">
        <v>830</v>
      </c>
    </row>
    <row r="1333" hidden="1" ht="15.95" customHeight="1">
      <c r="A1333" s="465" t="s">
        <v>3434</v>
      </c>
      <c r="B1333" s="465" t="s">
        <v>3435</v>
      </c>
      <c r="C1333" s="465"/>
      <c r="D1333" s="465" t="s">
        <v>855</v>
      </c>
      <c r="E1333" s="465" t="s">
        <v>3410</v>
      </c>
      <c r="F1333" s="465" t="s">
        <v>3411</v>
      </c>
      <c r="G1333" s="465" t="s">
        <v>3205</v>
      </c>
      <c r="H1333" s="465" t="s">
        <v>3206</v>
      </c>
      <c r="I1333" s="465" t="s">
        <v>830</v>
      </c>
    </row>
    <row r="1334" hidden="1" ht="15.95" customHeight="1">
      <c r="A1334" s="465" t="s">
        <v>3436</v>
      </c>
      <c r="B1334" s="465" t="s">
        <v>3437</v>
      </c>
      <c r="C1334" s="465"/>
      <c r="D1334" s="465" t="s">
        <v>884</v>
      </c>
      <c r="E1334" s="465" t="s">
        <v>3438</v>
      </c>
      <c r="F1334" s="465" t="s">
        <v>3439</v>
      </c>
      <c r="G1334" s="465" t="s">
        <v>3205</v>
      </c>
      <c r="H1334" s="465" t="s">
        <v>3206</v>
      </c>
      <c r="I1334" s="465" t="s">
        <v>830</v>
      </c>
    </row>
    <row r="1335" hidden="1" ht="15.95" customHeight="1">
      <c r="A1335" s="465" t="s">
        <v>3440</v>
      </c>
      <c r="B1335" s="465" t="s">
        <v>3441</v>
      </c>
      <c r="C1335" s="465"/>
      <c r="D1335" s="465" t="s">
        <v>855</v>
      </c>
      <c r="E1335" s="465" t="s">
        <v>3438</v>
      </c>
      <c r="F1335" s="465" t="s">
        <v>3439</v>
      </c>
      <c r="G1335" s="465" t="s">
        <v>3205</v>
      </c>
      <c r="H1335" s="465" t="s">
        <v>3206</v>
      </c>
      <c r="I1335" s="465" t="s">
        <v>830</v>
      </c>
    </row>
    <row r="1336" hidden="1" ht="15.95" customHeight="1">
      <c r="A1336" s="465" t="s">
        <v>3442</v>
      </c>
      <c r="B1336" s="465" t="s">
        <v>1164</v>
      </c>
      <c r="C1336" s="465"/>
      <c r="D1336" s="465" t="s">
        <v>855</v>
      </c>
      <c r="E1336" s="465" t="s">
        <v>3438</v>
      </c>
      <c r="F1336" s="465" t="s">
        <v>3439</v>
      </c>
      <c r="G1336" s="465" t="s">
        <v>3205</v>
      </c>
      <c r="H1336" s="465" t="s">
        <v>3206</v>
      </c>
      <c r="I1336" s="465" t="s">
        <v>830</v>
      </c>
    </row>
    <row r="1337" hidden="1" ht="15.95" customHeight="1">
      <c r="A1337" s="465" t="s">
        <v>3443</v>
      </c>
      <c r="B1337" s="465" t="s">
        <v>1964</v>
      </c>
      <c r="C1337" s="465"/>
      <c r="D1337" s="465" t="s">
        <v>855</v>
      </c>
      <c r="E1337" s="465" t="s">
        <v>3438</v>
      </c>
      <c r="F1337" s="465" t="s">
        <v>3439</v>
      </c>
      <c r="G1337" s="465" t="s">
        <v>3205</v>
      </c>
      <c r="H1337" s="465" t="s">
        <v>3206</v>
      </c>
      <c r="I1337" s="465" t="s">
        <v>830</v>
      </c>
    </row>
    <row r="1338" hidden="1" ht="15.95" customHeight="1">
      <c r="A1338" s="465" t="s">
        <v>3444</v>
      </c>
      <c r="B1338" s="465" t="s">
        <v>3445</v>
      </c>
      <c r="C1338" s="465"/>
      <c r="D1338" s="465" t="s">
        <v>855</v>
      </c>
      <c r="E1338" s="465" t="s">
        <v>3438</v>
      </c>
      <c r="F1338" s="465" t="s">
        <v>3439</v>
      </c>
      <c r="G1338" s="465" t="s">
        <v>3205</v>
      </c>
      <c r="H1338" s="465" t="s">
        <v>3206</v>
      </c>
      <c r="I1338" s="465" t="s">
        <v>830</v>
      </c>
    </row>
    <row r="1339" hidden="1" ht="15.95" customHeight="1">
      <c r="A1339" s="465" t="s">
        <v>3446</v>
      </c>
      <c r="B1339" s="465" t="s">
        <v>1142</v>
      </c>
      <c r="C1339" s="465"/>
      <c r="D1339" s="465" t="s">
        <v>855</v>
      </c>
      <c r="E1339" s="465" t="s">
        <v>3438</v>
      </c>
      <c r="F1339" s="465" t="s">
        <v>3439</v>
      </c>
      <c r="G1339" s="465" t="s">
        <v>3205</v>
      </c>
      <c r="H1339" s="465" t="s">
        <v>3206</v>
      </c>
      <c r="I1339" s="465" t="s">
        <v>830</v>
      </c>
    </row>
    <row r="1340" hidden="1" ht="15.95" customHeight="1">
      <c r="A1340" s="465" t="s">
        <v>3447</v>
      </c>
      <c r="B1340" s="465" t="s">
        <v>1072</v>
      </c>
      <c r="C1340" s="465"/>
      <c r="D1340" s="465" t="s">
        <v>855</v>
      </c>
      <c r="E1340" s="465" t="s">
        <v>3438</v>
      </c>
      <c r="F1340" s="465" t="s">
        <v>3439</v>
      </c>
      <c r="G1340" s="465" t="s">
        <v>3205</v>
      </c>
      <c r="H1340" s="465" t="s">
        <v>3206</v>
      </c>
      <c r="I1340" s="465" t="s">
        <v>830</v>
      </c>
    </row>
    <row r="1341" hidden="1" ht="15.95" customHeight="1">
      <c r="A1341" s="465" t="s">
        <v>3448</v>
      </c>
      <c r="B1341" s="465" t="s">
        <v>3449</v>
      </c>
      <c r="C1341" s="465"/>
      <c r="D1341" s="465" t="s">
        <v>855</v>
      </c>
      <c r="E1341" s="465" t="s">
        <v>3438</v>
      </c>
      <c r="F1341" s="465" t="s">
        <v>3439</v>
      </c>
      <c r="G1341" s="465" t="s">
        <v>3205</v>
      </c>
      <c r="H1341" s="465" t="s">
        <v>3206</v>
      </c>
      <c r="I1341" s="465" t="s">
        <v>830</v>
      </c>
    </row>
    <row r="1342" hidden="1" ht="15.95" customHeight="1">
      <c r="A1342" s="465" t="s">
        <v>3450</v>
      </c>
      <c r="B1342" s="465" t="s">
        <v>3451</v>
      </c>
      <c r="C1342" s="465"/>
      <c r="D1342" s="465" t="s">
        <v>855</v>
      </c>
      <c r="E1342" s="465" t="s">
        <v>3438</v>
      </c>
      <c r="F1342" s="465" t="s">
        <v>3439</v>
      </c>
      <c r="G1342" s="465" t="s">
        <v>3205</v>
      </c>
      <c r="H1342" s="465" t="s">
        <v>3206</v>
      </c>
      <c r="I1342" s="465" t="s">
        <v>830</v>
      </c>
    </row>
    <row r="1343" hidden="1" ht="15.95" customHeight="1">
      <c r="A1343" s="465" t="s">
        <v>3452</v>
      </c>
      <c r="B1343" s="465" t="s">
        <v>1060</v>
      </c>
      <c r="C1343" s="465"/>
      <c r="D1343" s="465" t="s">
        <v>855</v>
      </c>
      <c r="E1343" s="465" t="s">
        <v>3438</v>
      </c>
      <c r="F1343" s="465" t="s">
        <v>3439</v>
      </c>
      <c r="G1343" s="465" t="s">
        <v>3205</v>
      </c>
      <c r="H1343" s="465" t="s">
        <v>3206</v>
      </c>
      <c r="I1343" s="465" t="s">
        <v>830</v>
      </c>
    </row>
    <row r="1344" hidden="1" ht="15.95" customHeight="1">
      <c r="A1344" s="465" t="s">
        <v>3453</v>
      </c>
      <c r="B1344" s="465" t="s">
        <v>3454</v>
      </c>
      <c r="C1344" s="465"/>
      <c r="D1344" s="465" t="s">
        <v>855</v>
      </c>
      <c r="E1344" s="465" t="s">
        <v>3438</v>
      </c>
      <c r="F1344" s="465" t="s">
        <v>3439</v>
      </c>
      <c r="G1344" s="465" t="s">
        <v>3205</v>
      </c>
      <c r="H1344" s="465" t="s">
        <v>3206</v>
      </c>
      <c r="I1344" s="465" t="s">
        <v>830</v>
      </c>
    </row>
    <row r="1345" hidden="1" ht="15.95" customHeight="1">
      <c r="A1345" s="465" t="s">
        <v>3455</v>
      </c>
      <c r="B1345" s="465" t="s">
        <v>3456</v>
      </c>
      <c r="C1345" s="465"/>
      <c r="D1345" s="465" t="s">
        <v>855</v>
      </c>
      <c r="E1345" s="465" t="s">
        <v>3438</v>
      </c>
      <c r="F1345" s="465" t="s">
        <v>3439</v>
      </c>
      <c r="G1345" s="465" t="s">
        <v>3205</v>
      </c>
      <c r="H1345" s="465" t="s">
        <v>3206</v>
      </c>
      <c r="I1345" s="465" t="s">
        <v>830</v>
      </c>
    </row>
    <row r="1346" hidden="1" ht="15.95" customHeight="1">
      <c r="A1346" s="465" t="s">
        <v>3457</v>
      </c>
      <c r="B1346" s="465" t="s">
        <v>1156</v>
      </c>
      <c r="C1346" s="465"/>
      <c r="D1346" s="465" t="s">
        <v>855</v>
      </c>
      <c r="E1346" s="465" t="s">
        <v>3438</v>
      </c>
      <c r="F1346" s="465" t="s">
        <v>3439</v>
      </c>
      <c r="G1346" s="465" t="s">
        <v>3205</v>
      </c>
      <c r="H1346" s="465" t="s">
        <v>3206</v>
      </c>
      <c r="I1346" s="465" t="s">
        <v>830</v>
      </c>
    </row>
    <row r="1347" hidden="1" ht="15.95" customHeight="1">
      <c r="A1347" s="465" t="s">
        <v>3458</v>
      </c>
      <c r="B1347" s="465" t="s">
        <v>3459</v>
      </c>
      <c r="C1347" s="465"/>
      <c r="D1347" s="465" t="s">
        <v>884</v>
      </c>
      <c r="E1347" s="465" t="s">
        <v>3460</v>
      </c>
      <c r="F1347" s="465" t="s">
        <v>3461</v>
      </c>
      <c r="G1347" s="465" t="s">
        <v>3205</v>
      </c>
      <c r="H1347" s="465" t="s">
        <v>3206</v>
      </c>
      <c r="I1347" s="465" t="s">
        <v>830</v>
      </c>
    </row>
    <row r="1348" hidden="1" ht="15.95" customHeight="1">
      <c r="A1348" s="465" t="s">
        <v>3462</v>
      </c>
      <c r="B1348" s="465" t="s">
        <v>3368</v>
      </c>
      <c r="C1348" s="465"/>
      <c r="D1348" s="465" t="s">
        <v>855</v>
      </c>
      <c r="E1348" s="465" t="s">
        <v>3460</v>
      </c>
      <c r="F1348" s="465" t="s">
        <v>3461</v>
      </c>
      <c r="G1348" s="465" t="s">
        <v>3205</v>
      </c>
      <c r="H1348" s="465" t="s">
        <v>3206</v>
      </c>
      <c r="I1348" s="465" t="s">
        <v>830</v>
      </c>
    </row>
    <row r="1349" hidden="1" ht="15.95" customHeight="1">
      <c r="A1349" s="465" t="s">
        <v>3463</v>
      </c>
      <c r="B1349" s="465" t="s">
        <v>3464</v>
      </c>
      <c r="C1349" s="465"/>
      <c r="D1349" s="465" t="s">
        <v>855</v>
      </c>
      <c r="E1349" s="465" t="s">
        <v>3460</v>
      </c>
      <c r="F1349" s="465" t="s">
        <v>3461</v>
      </c>
      <c r="G1349" s="465" t="s">
        <v>3205</v>
      </c>
      <c r="H1349" s="465" t="s">
        <v>3206</v>
      </c>
      <c r="I1349" s="465" t="s">
        <v>830</v>
      </c>
    </row>
    <row r="1350" hidden="1" ht="15.95" customHeight="1">
      <c r="A1350" s="465" t="s">
        <v>3465</v>
      </c>
      <c r="B1350" s="465" t="s">
        <v>3466</v>
      </c>
      <c r="C1350" s="465"/>
      <c r="D1350" s="465" t="s">
        <v>855</v>
      </c>
      <c r="E1350" s="465" t="s">
        <v>3460</v>
      </c>
      <c r="F1350" s="465" t="s">
        <v>3461</v>
      </c>
      <c r="G1350" s="465" t="s">
        <v>3205</v>
      </c>
      <c r="H1350" s="465" t="s">
        <v>3206</v>
      </c>
      <c r="I1350" s="465" t="s">
        <v>830</v>
      </c>
    </row>
    <row r="1351" hidden="1" ht="15.95" customHeight="1">
      <c r="A1351" s="465" t="s">
        <v>3467</v>
      </c>
      <c r="B1351" s="465" t="s">
        <v>3468</v>
      </c>
      <c r="C1351" s="465"/>
      <c r="D1351" s="465" t="s">
        <v>855</v>
      </c>
      <c r="E1351" s="465" t="s">
        <v>3460</v>
      </c>
      <c r="F1351" s="465" t="s">
        <v>3461</v>
      </c>
      <c r="G1351" s="465" t="s">
        <v>3205</v>
      </c>
      <c r="H1351" s="465" t="s">
        <v>3206</v>
      </c>
      <c r="I1351" s="465" t="s">
        <v>830</v>
      </c>
    </row>
    <row r="1352" hidden="1" ht="15.95" customHeight="1">
      <c r="A1352" s="465" t="s">
        <v>3469</v>
      </c>
      <c r="B1352" s="465" t="s">
        <v>3470</v>
      </c>
      <c r="C1352" s="465"/>
      <c r="D1352" s="465" t="s">
        <v>855</v>
      </c>
      <c r="E1352" s="465" t="s">
        <v>3460</v>
      </c>
      <c r="F1352" s="465" t="s">
        <v>3461</v>
      </c>
      <c r="G1352" s="465" t="s">
        <v>3205</v>
      </c>
      <c r="H1352" s="465" t="s">
        <v>3206</v>
      </c>
      <c r="I1352" s="465" t="s">
        <v>830</v>
      </c>
    </row>
    <row r="1353" hidden="1" ht="15.95" customHeight="1">
      <c r="A1353" s="465" t="s">
        <v>3471</v>
      </c>
      <c r="B1353" s="465" t="s">
        <v>3472</v>
      </c>
      <c r="C1353" s="465"/>
      <c r="D1353" s="465" t="s">
        <v>855</v>
      </c>
      <c r="E1353" s="465" t="s">
        <v>3460</v>
      </c>
      <c r="F1353" s="465" t="s">
        <v>3461</v>
      </c>
      <c r="G1353" s="465" t="s">
        <v>3205</v>
      </c>
      <c r="H1353" s="465" t="s">
        <v>3206</v>
      </c>
      <c r="I1353" s="465" t="s">
        <v>830</v>
      </c>
    </row>
    <row r="1354" hidden="1" ht="15.95" customHeight="1">
      <c r="A1354" s="465" t="s">
        <v>3473</v>
      </c>
      <c r="B1354" s="465" t="s">
        <v>3474</v>
      </c>
      <c r="C1354" s="465"/>
      <c r="D1354" s="465" t="s">
        <v>855</v>
      </c>
      <c r="E1354" s="465" t="s">
        <v>3460</v>
      </c>
      <c r="F1354" s="465" t="s">
        <v>3461</v>
      </c>
      <c r="G1354" s="465" t="s">
        <v>3205</v>
      </c>
      <c r="H1354" s="465" t="s">
        <v>3206</v>
      </c>
      <c r="I1354" s="465" t="s">
        <v>830</v>
      </c>
    </row>
    <row r="1355" hidden="1" ht="15.95" customHeight="1">
      <c r="A1355" s="465" t="s">
        <v>3475</v>
      </c>
      <c r="B1355" s="465" t="s">
        <v>3476</v>
      </c>
      <c r="C1355" s="465"/>
      <c r="D1355" s="465" t="s">
        <v>855</v>
      </c>
      <c r="E1355" s="465" t="s">
        <v>3460</v>
      </c>
      <c r="F1355" s="465" t="s">
        <v>3461</v>
      </c>
      <c r="G1355" s="465" t="s">
        <v>3205</v>
      </c>
      <c r="H1355" s="465" t="s">
        <v>3206</v>
      </c>
      <c r="I1355" s="465" t="s">
        <v>830</v>
      </c>
    </row>
    <row r="1356" hidden="1" ht="15.95" customHeight="1">
      <c r="A1356" s="465" t="s">
        <v>3477</v>
      </c>
      <c r="B1356" s="465" t="s">
        <v>1180</v>
      </c>
      <c r="C1356" s="465"/>
      <c r="D1356" s="465" t="s">
        <v>855</v>
      </c>
      <c r="E1356" s="465" t="s">
        <v>3460</v>
      </c>
      <c r="F1356" s="465" t="s">
        <v>3461</v>
      </c>
      <c r="G1356" s="465" t="s">
        <v>3205</v>
      </c>
      <c r="H1356" s="465" t="s">
        <v>3206</v>
      </c>
      <c r="I1356" s="465" t="s">
        <v>830</v>
      </c>
    </row>
    <row r="1357" hidden="1" ht="15.95" customHeight="1">
      <c r="A1357" s="465" t="s">
        <v>3478</v>
      </c>
      <c r="B1357" s="465" t="s">
        <v>3479</v>
      </c>
      <c r="C1357" s="465"/>
      <c r="D1357" s="465" t="s">
        <v>855</v>
      </c>
      <c r="E1357" s="465" t="s">
        <v>3460</v>
      </c>
      <c r="F1357" s="465" t="s">
        <v>3461</v>
      </c>
      <c r="G1357" s="465" t="s">
        <v>3205</v>
      </c>
      <c r="H1357" s="465" t="s">
        <v>3206</v>
      </c>
      <c r="I1357" s="465" t="s">
        <v>830</v>
      </c>
    </row>
    <row r="1358" hidden="1" ht="15.95" customHeight="1">
      <c r="A1358" s="465" t="s">
        <v>3480</v>
      </c>
      <c r="B1358" s="465" t="s">
        <v>3481</v>
      </c>
      <c r="C1358" s="465"/>
      <c r="D1358" s="465" t="s">
        <v>884</v>
      </c>
      <c r="E1358" s="465" t="s">
        <v>3482</v>
      </c>
      <c r="F1358" s="465" t="s">
        <v>3483</v>
      </c>
      <c r="G1358" s="465" t="s">
        <v>3205</v>
      </c>
      <c r="H1358" s="465" t="s">
        <v>3206</v>
      </c>
      <c r="I1358" s="465" t="s">
        <v>830</v>
      </c>
    </row>
    <row r="1359" hidden="1" ht="15.95" customHeight="1">
      <c r="A1359" s="465" t="s">
        <v>3484</v>
      </c>
      <c r="B1359" s="465" t="s">
        <v>3485</v>
      </c>
      <c r="C1359" s="465"/>
      <c r="D1359" s="465" t="s">
        <v>855</v>
      </c>
      <c r="E1359" s="465" t="s">
        <v>3482</v>
      </c>
      <c r="F1359" s="465" t="s">
        <v>3483</v>
      </c>
      <c r="G1359" s="465" t="s">
        <v>3205</v>
      </c>
      <c r="H1359" s="465" t="s">
        <v>3206</v>
      </c>
      <c r="I1359" s="465" t="s">
        <v>830</v>
      </c>
    </row>
    <row r="1360" hidden="1" ht="15.95" customHeight="1">
      <c r="A1360" s="465" t="s">
        <v>3486</v>
      </c>
      <c r="B1360" s="465" t="s">
        <v>3487</v>
      </c>
      <c r="C1360" s="465"/>
      <c r="D1360" s="465" t="s">
        <v>855</v>
      </c>
      <c r="E1360" s="465" t="s">
        <v>3482</v>
      </c>
      <c r="F1360" s="465" t="s">
        <v>3483</v>
      </c>
      <c r="G1360" s="465" t="s">
        <v>3205</v>
      </c>
      <c r="H1360" s="465" t="s">
        <v>3206</v>
      </c>
      <c r="I1360" s="465" t="s">
        <v>830</v>
      </c>
    </row>
    <row r="1361" hidden="1" ht="15.95" customHeight="1">
      <c r="A1361" s="465" t="s">
        <v>3488</v>
      </c>
      <c r="B1361" s="465" t="s">
        <v>3489</v>
      </c>
      <c r="C1361" s="465"/>
      <c r="D1361" s="465" t="s">
        <v>855</v>
      </c>
      <c r="E1361" s="465" t="s">
        <v>3482</v>
      </c>
      <c r="F1361" s="465" t="s">
        <v>3483</v>
      </c>
      <c r="G1361" s="465" t="s">
        <v>3205</v>
      </c>
      <c r="H1361" s="465" t="s">
        <v>3206</v>
      </c>
      <c r="I1361" s="465" t="s">
        <v>830</v>
      </c>
    </row>
    <row r="1362" hidden="1" ht="15.95" customHeight="1">
      <c r="A1362" s="465" t="s">
        <v>3490</v>
      </c>
      <c r="B1362" s="465" t="s">
        <v>3491</v>
      </c>
      <c r="C1362" s="465"/>
      <c r="D1362" s="465" t="s">
        <v>855</v>
      </c>
      <c r="E1362" s="465" t="s">
        <v>3482</v>
      </c>
      <c r="F1362" s="465" t="s">
        <v>3483</v>
      </c>
      <c r="G1362" s="465" t="s">
        <v>3205</v>
      </c>
      <c r="H1362" s="465" t="s">
        <v>3206</v>
      </c>
      <c r="I1362" s="465" t="s">
        <v>830</v>
      </c>
    </row>
    <row r="1363" hidden="1" ht="15.95" customHeight="1">
      <c r="A1363" s="465" t="s">
        <v>3492</v>
      </c>
      <c r="B1363" s="465" t="s">
        <v>2048</v>
      </c>
      <c r="C1363" s="465"/>
      <c r="D1363" s="465" t="s">
        <v>855</v>
      </c>
      <c r="E1363" s="465" t="s">
        <v>3482</v>
      </c>
      <c r="F1363" s="465" t="s">
        <v>3483</v>
      </c>
      <c r="G1363" s="465" t="s">
        <v>3205</v>
      </c>
      <c r="H1363" s="465" t="s">
        <v>3206</v>
      </c>
      <c r="I1363" s="465" t="s">
        <v>830</v>
      </c>
    </row>
    <row r="1364" hidden="1" ht="15.95" customHeight="1">
      <c r="A1364" s="465" t="s">
        <v>3493</v>
      </c>
      <c r="B1364" s="465" t="s">
        <v>3494</v>
      </c>
      <c r="C1364" s="465"/>
      <c r="D1364" s="465" t="s">
        <v>855</v>
      </c>
      <c r="E1364" s="465" t="s">
        <v>3482</v>
      </c>
      <c r="F1364" s="465" t="s">
        <v>3483</v>
      </c>
      <c r="G1364" s="465" t="s">
        <v>3205</v>
      </c>
      <c r="H1364" s="465" t="s">
        <v>3206</v>
      </c>
      <c r="I1364" s="465" t="s">
        <v>830</v>
      </c>
    </row>
    <row r="1365" hidden="1" ht="15.95" customHeight="1">
      <c r="A1365" s="465" t="s">
        <v>3495</v>
      </c>
      <c r="B1365" s="465" t="s">
        <v>2549</v>
      </c>
      <c r="C1365" s="465"/>
      <c r="D1365" s="465" t="s">
        <v>855</v>
      </c>
      <c r="E1365" s="465" t="s">
        <v>3482</v>
      </c>
      <c r="F1365" s="465" t="s">
        <v>3483</v>
      </c>
      <c r="G1365" s="465" t="s">
        <v>3205</v>
      </c>
      <c r="H1365" s="465" t="s">
        <v>3206</v>
      </c>
      <c r="I1365" s="465" t="s">
        <v>830</v>
      </c>
    </row>
    <row r="1366" hidden="1" ht="15.95" customHeight="1">
      <c r="A1366" s="465" t="s">
        <v>3496</v>
      </c>
      <c r="B1366" s="465" t="s">
        <v>3497</v>
      </c>
      <c r="C1366" s="465"/>
      <c r="D1366" s="465" t="s">
        <v>855</v>
      </c>
      <c r="E1366" s="465" t="s">
        <v>3482</v>
      </c>
      <c r="F1366" s="465" t="s">
        <v>3483</v>
      </c>
      <c r="G1366" s="465" t="s">
        <v>3205</v>
      </c>
      <c r="H1366" s="465" t="s">
        <v>3206</v>
      </c>
      <c r="I1366" s="465" t="s">
        <v>830</v>
      </c>
    </row>
    <row r="1367" hidden="1" ht="15.95" customHeight="1">
      <c r="A1367" s="465" t="s">
        <v>3498</v>
      </c>
      <c r="B1367" s="465" t="s">
        <v>3499</v>
      </c>
      <c r="C1367" s="465"/>
      <c r="D1367" s="465" t="s">
        <v>855</v>
      </c>
      <c r="E1367" s="465" t="s">
        <v>3482</v>
      </c>
      <c r="F1367" s="465" t="s">
        <v>3483</v>
      </c>
      <c r="G1367" s="465" t="s">
        <v>3205</v>
      </c>
      <c r="H1367" s="465" t="s">
        <v>3206</v>
      </c>
      <c r="I1367" s="465" t="s">
        <v>830</v>
      </c>
    </row>
    <row r="1368" hidden="1" ht="15.95" customHeight="1">
      <c r="A1368" s="465" t="s">
        <v>3500</v>
      </c>
      <c r="B1368" s="465" t="s">
        <v>3501</v>
      </c>
      <c r="C1368" s="465"/>
      <c r="D1368" s="465" t="s">
        <v>855</v>
      </c>
      <c r="E1368" s="465" t="s">
        <v>3482</v>
      </c>
      <c r="F1368" s="465" t="s">
        <v>3483</v>
      </c>
      <c r="G1368" s="465" t="s">
        <v>3205</v>
      </c>
      <c r="H1368" s="465" t="s">
        <v>3206</v>
      </c>
      <c r="I1368" s="465" t="s">
        <v>830</v>
      </c>
    </row>
    <row r="1369" hidden="1" ht="15.95" customHeight="1">
      <c r="A1369" s="465" t="s">
        <v>3502</v>
      </c>
      <c r="B1369" s="465" t="s">
        <v>3503</v>
      </c>
      <c r="C1369" s="465"/>
      <c r="D1369" s="465" t="s">
        <v>855</v>
      </c>
      <c r="E1369" s="465" t="s">
        <v>3482</v>
      </c>
      <c r="F1369" s="465" t="s">
        <v>3483</v>
      </c>
      <c r="G1369" s="465" t="s">
        <v>3205</v>
      </c>
      <c r="H1369" s="465" t="s">
        <v>3206</v>
      </c>
      <c r="I1369" s="465" t="s">
        <v>830</v>
      </c>
    </row>
    <row r="1370" hidden="1" ht="15.95" customHeight="1">
      <c r="A1370" s="465" t="s">
        <v>3504</v>
      </c>
      <c r="B1370" s="465" t="s">
        <v>3505</v>
      </c>
      <c r="C1370" s="465"/>
      <c r="D1370" s="465" t="s">
        <v>855</v>
      </c>
      <c r="E1370" s="465" t="s">
        <v>3482</v>
      </c>
      <c r="F1370" s="465" t="s">
        <v>3483</v>
      </c>
      <c r="G1370" s="465" t="s">
        <v>3205</v>
      </c>
      <c r="H1370" s="465" t="s">
        <v>3206</v>
      </c>
      <c r="I1370" s="465" t="s">
        <v>830</v>
      </c>
    </row>
    <row r="1371" hidden="1" ht="15.95" customHeight="1">
      <c r="A1371" s="465" t="s">
        <v>3506</v>
      </c>
      <c r="B1371" s="465" t="s">
        <v>3507</v>
      </c>
      <c r="C1371" s="465"/>
      <c r="D1371" s="465" t="s">
        <v>855</v>
      </c>
      <c r="E1371" s="465" t="s">
        <v>3482</v>
      </c>
      <c r="F1371" s="465" t="s">
        <v>3483</v>
      </c>
      <c r="G1371" s="465" t="s">
        <v>3205</v>
      </c>
      <c r="H1371" s="465" t="s">
        <v>3206</v>
      </c>
      <c r="I1371" s="465" t="s">
        <v>830</v>
      </c>
    </row>
    <row r="1372" hidden="1" ht="15.95" customHeight="1">
      <c r="A1372" s="465" t="s">
        <v>3508</v>
      </c>
      <c r="B1372" s="465" t="s">
        <v>1943</v>
      </c>
      <c r="C1372" s="465"/>
      <c r="D1372" s="465" t="s">
        <v>855</v>
      </c>
      <c r="E1372" s="465" t="s">
        <v>3482</v>
      </c>
      <c r="F1372" s="465" t="s">
        <v>3483</v>
      </c>
      <c r="G1372" s="465" t="s">
        <v>3205</v>
      </c>
      <c r="H1372" s="465" t="s">
        <v>3206</v>
      </c>
      <c r="I1372" s="465" t="s">
        <v>830</v>
      </c>
    </row>
    <row r="1373" hidden="1" ht="15.95" customHeight="1">
      <c r="A1373" s="465" t="s">
        <v>3509</v>
      </c>
      <c r="B1373" s="465" t="s">
        <v>3510</v>
      </c>
      <c r="C1373" s="465"/>
      <c r="D1373" s="465" t="s">
        <v>855</v>
      </c>
      <c r="E1373" s="465" t="s">
        <v>3482</v>
      </c>
      <c r="F1373" s="465" t="s">
        <v>3483</v>
      </c>
      <c r="G1373" s="465" t="s">
        <v>3205</v>
      </c>
      <c r="H1373" s="465" t="s">
        <v>3206</v>
      </c>
      <c r="I1373" s="465" t="s">
        <v>830</v>
      </c>
    </row>
    <row r="1374" hidden="1" ht="15.95" customHeight="1">
      <c r="A1374" s="465" t="s">
        <v>3511</v>
      </c>
      <c r="B1374" s="465" t="s">
        <v>3512</v>
      </c>
      <c r="C1374" s="465"/>
      <c r="D1374" s="465" t="s">
        <v>855</v>
      </c>
      <c r="E1374" s="465" t="s">
        <v>3482</v>
      </c>
      <c r="F1374" s="465" t="s">
        <v>3483</v>
      </c>
      <c r="G1374" s="465" t="s">
        <v>3205</v>
      </c>
      <c r="H1374" s="465" t="s">
        <v>3206</v>
      </c>
      <c r="I1374" s="465" t="s">
        <v>830</v>
      </c>
    </row>
    <row r="1375" hidden="1" ht="15.95" customHeight="1">
      <c r="A1375" s="465" t="s">
        <v>3513</v>
      </c>
      <c r="B1375" s="465" t="s">
        <v>3514</v>
      </c>
      <c r="C1375" s="465"/>
      <c r="D1375" s="465" t="s">
        <v>884</v>
      </c>
      <c r="E1375" s="465" t="s">
        <v>3515</v>
      </c>
      <c r="F1375" s="465" t="s">
        <v>3516</v>
      </c>
      <c r="G1375" s="465" t="s">
        <v>3205</v>
      </c>
      <c r="H1375" s="465" t="s">
        <v>3206</v>
      </c>
      <c r="I1375" s="465" t="s">
        <v>830</v>
      </c>
    </row>
    <row r="1376" hidden="1" ht="15.95" customHeight="1">
      <c r="A1376" s="465" t="s">
        <v>3517</v>
      </c>
      <c r="B1376" s="465" t="s">
        <v>3518</v>
      </c>
      <c r="C1376" s="465"/>
      <c r="D1376" s="465" t="s">
        <v>855</v>
      </c>
      <c r="E1376" s="465" t="s">
        <v>3515</v>
      </c>
      <c r="F1376" s="465" t="s">
        <v>3516</v>
      </c>
      <c r="G1376" s="465" t="s">
        <v>3205</v>
      </c>
      <c r="H1376" s="465" t="s">
        <v>3206</v>
      </c>
      <c r="I1376" s="465" t="s">
        <v>830</v>
      </c>
    </row>
    <row r="1377" hidden="1" ht="15.95" customHeight="1">
      <c r="A1377" s="465" t="s">
        <v>3519</v>
      </c>
      <c r="B1377" s="465" t="s">
        <v>3520</v>
      </c>
      <c r="C1377" s="465"/>
      <c r="D1377" s="465" t="s">
        <v>855</v>
      </c>
      <c r="E1377" s="465" t="s">
        <v>3515</v>
      </c>
      <c r="F1377" s="465" t="s">
        <v>3516</v>
      </c>
      <c r="G1377" s="465" t="s">
        <v>3205</v>
      </c>
      <c r="H1377" s="465" t="s">
        <v>3206</v>
      </c>
      <c r="I1377" s="465" t="s">
        <v>830</v>
      </c>
    </row>
    <row r="1378" hidden="1" ht="15.95" customHeight="1">
      <c r="A1378" s="465" t="s">
        <v>3521</v>
      </c>
      <c r="B1378" s="465" t="s">
        <v>3522</v>
      </c>
      <c r="C1378" s="465"/>
      <c r="D1378" s="465" t="s">
        <v>855</v>
      </c>
      <c r="E1378" s="465" t="s">
        <v>3515</v>
      </c>
      <c r="F1378" s="465" t="s">
        <v>3516</v>
      </c>
      <c r="G1378" s="465" t="s">
        <v>3205</v>
      </c>
      <c r="H1378" s="465" t="s">
        <v>3206</v>
      </c>
      <c r="I1378" s="465" t="s">
        <v>830</v>
      </c>
    </row>
    <row r="1379" hidden="1" ht="15.95" customHeight="1">
      <c r="A1379" s="465" t="s">
        <v>3523</v>
      </c>
      <c r="B1379" s="465" t="s">
        <v>3524</v>
      </c>
      <c r="C1379" s="465"/>
      <c r="D1379" s="465" t="s">
        <v>855</v>
      </c>
      <c r="E1379" s="465" t="s">
        <v>3515</v>
      </c>
      <c r="F1379" s="465" t="s">
        <v>3516</v>
      </c>
      <c r="G1379" s="465" t="s">
        <v>3205</v>
      </c>
      <c r="H1379" s="465" t="s">
        <v>3206</v>
      </c>
      <c r="I1379" s="465" t="s">
        <v>830</v>
      </c>
    </row>
    <row r="1380" hidden="1" ht="15.95" customHeight="1">
      <c r="A1380" s="465" t="s">
        <v>3525</v>
      </c>
      <c r="B1380" s="465" t="s">
        <v>931</v>
      </c>
      <c r="C1380" s="465"/>
      <c r="D1380" s="465" t="s">
        <v>855</v>
      </c>
      <c r="E1380" s="465" t="s">
        <v>3515</v>
      </c>
      <c r="F1380" s="465" t="s">
        <v>3516</v>
      </c>
      <c r="G1380" s="465" t="s">
        <v>3205</v>
      </c>
      <c r="H1380" s="465" t="s">
        <v>3206</v>
      </c>
      <c r="I1380" s="465" t="s">
        <v>830</v>
      </c>
    </row>
    <row r="1381" hidden="1" ht="15.95" customHeight="1">
      <c r="A1381" s="465" t="s">
        <v>3526</v>
      </c>
      <c r="B1381" s="465" t="s">
        <v>3527</v>
      </c>
      <c r="C1381" s="465"/>
      <c r="D1381" s="465" t="s">
        <v>855</v>
      </c>
      <c r="E1381" s="465" t="s">
        <v>3515</v>
      </c>
      <c r="F1381" s="465" t="s">
        <v>3516</v>
      </c>
      <c r="G1381" s="465" t="s">
        <v>3205</v>
      </c>
      <c r="H1381" s="465" t="s">
        <v>3206</v>
      </c>
      <c r="I1381" s="465" t="s">
        <v>830</v>
      </c>
    </row>
    <row r="1382" hidden="1" ht="15.95" customHeight="1">
      <c r="A1382" s="465" t="s">
        <v>3528</v>
      </c>
      <c r="B1382" s="465" t="s">
        <v>3529</v>
      </c>
      <c r="C1382" s="465"/>
      <c r="D1382" s="465" t="s">
        <v>855</v>
      </c>
      <c r="E1382" s="465" t="s">
        <v>3515</v>
      </c>
      <c r="F1382" s="465" t="s">
        <v>3516</v>
      </c>
      <c r="G1382" s="465" t="s">
        <v>3205</v>
      </c>
      <c r="H1382" s="465" t="s">
        <v>3206</v>
      </c>
      <c r="I1382" s="465" t="s">
        <v>830</v>
      </c>
    </row>
    <row r="1383" hidden="1" ht="15.95" customHeight="1">
      <c r="A1383" s="465" t="s">
        <v>3530</v>
      </c>
      <c r="B1383" s="465" t="s">
        <v>3531</v>
      </c>
      <c r="C1383" s="465"/>
      <c r="D1383" s="465" t="s">
        <v>855</v>
      </c>
      <c r="E1383" s="465" t="s">
        <v>3515</v>
      </c>
      <c r="F1383" s="465" t="s">
        <v>3516</v>
      </c>
      <c r="G1383" s="465" t="s">
        <v>3205</v>
      </c>
      <c r="H1383" s="465" t="s">
        <v>3206</v>
      </c>
      <c r="I1383" s="465" t="s">
        <v>830</v>
      </c>
    </row>
    <row r="1384" hidden="1" ht="15.95" customHeight="1">
      <c r="A1384" s="465" t="s">
        <v>3532</v>
      </c>
      <c r="B1384" s="465" t="s">
        <v>3533</v>
      </c>
      <c r="C1384" s="465"/>
      <c r="D1384" s="465" t="s">
        <v>855</v>
      </c>
      <c r="E1384" s="465" t="s">
        <v>3515</v>
      </c>
      <c r="F1384" s="465" t="s">
        <v>3516</v>
      </c>
      <c r="G1384" s="465" t="s">
        <v>3205</v>
      </c>
      <c r="H1384" s="465" t="s">
        <v>3206</v>
      </c>
      <c r="I1384" s="465" t="s">
        <v>830</v>
      </c>
    </row>
    <row r="1385" hidden="1" ht="15.95" customHeight="1">
      <c r="A1385" s="465" t="s">
        <v>3534</v>
      </c>
      <c r="B1385" s="465" t="s">
        <v>3535</v>
      </c>
      <c r="C1385" s="465"/>
      <c r="D1385" s="465" t="s">
        <v>855</v>
      </c>
      <c r="E1385" s="465" t="s">
        <v>3515</v>
      </c>
      <c r="F1385" s="465" t="s">
        <v>3516</v>
      </c>
      <c r="G1385" s="465" t="s">
        <v>3205</v>
      </c>
      <c r="H1385" s="465" t="s">
        <v>3206</v>
      </c>
      <c r="I1385" s="465" t="s">
        <v>830</v>
      </c>
    </row>
    <row r="1386" hidden="1" ht="15.95" customHeight="1">
      <c r="A1386" s="465" t="s">
        <v>3536</v>
      </c>
      <c r="B1386" s="465" t="s">
        <v>3537</v>
      </c>
      <c r="C1386" s="465"/>
      <c r="D1386" s="465" t="s">
        <v>855</v>
      </c>
      <c r="E1386" s="465" t="s">
        <v>3515</v>
      </c>
      <c r="F1386" s="465" t="s">
        <v>3516</v>
      </c>
      <c r="G1386" s="465" t="s">
        <v>3205</v>
      </c>
      <c r="H1386" s="465" t="s">
        <v>3206</v>
      </c>
      <c r="I1386" s="465" t="s">
        <v>830</v>
      </c>
    </row>
    <row r="1387" hidden="1" ht="15.95" customHeight="1">
      <c r="A1387" s="465" t="s">
        <v>3538</v>
      </c>
      <c r="B1387" s="465" t="s">
        <v>3539</v>
      </c>
      <c r="C1387" s="465"/>
      <c r="D1387" s="465" t="s">
        <v>855</v>
      </c>
      <c r="E1387" s="465" t="s">
        <v>3515</v>
      </c>
      <c r="F1387" s="465" t="s">
        <v>3516</v>
      </c>
      <c r="G1387" s="465" t="s">
        <v>3205</v>
      </c>
      <c r="H1387" s="465" t="s">
        <v>3206</v>
      </c>
      <c r="I1387" s="465" t="s">
        <v>830</v>
      </c>
    </row>
    <row r="1388" hidden="1" ht="15.95" customHeight="1">
      <c r="A1388" s="465" t="s">
        <v>3540</v>
      </c>
      <c r="B1388" s="465" t="s">
        <v>2458</v>
      </c>
      <c r="C1388" s="465"/>
      <c r="D1388" s="465" t="s">
        <v>855</v>
      </c>
      <c r="E1388" s="465" t="s">
        <v>3515</v>
      </c>
      <c r="F1388" s="465" t="s">
        <v>3516</v>
      </c>
      <c r="G1388" s="465" t="s">
        <v>3205</v>
      </c>
      <c r="H1388" s="465" t="s">
        <v>3206</v>
      </c>
      <c r="I1388" s="465" t="s">
        <v>830</v>
      </c>
    </row>
    <row r="1389" hidden="1" ht="15.95" customHeight="1">
      <c r="A1389" s="465" t="s">
        <v>3541</v>
      </c>
      <c r="B1389" s="465" t="s">
        <v>3542</v>
      </c>
      <c r="C1389" s="465"/>
      <c r="D1389" s="465" t="s">
        <v>855</v>
      </c>
      <c r="E1389" s="465" t="s">
        <v>3515</v>
      </c>
      <c r="F1389" s="465" t="s">
        <v>3516</v>
      </c>
      <c r="G1389" s="465" t="s">
        <v>3205</v>
      </c>
      <c r="H1389" s="465" t="s">
        <v>3206</v>
      </c>
      <c r="I1389" s="465" t="s">
        <v>830</v>
      </c>
    </row>
    <row r="1390" hidden="1" ht="15.95" customHeight="1">
      <c r="A1390" s="465" t="s">
        <v>3543</v>
      </c>
      <c r="B1390" s="465" t="s">
        <v>3126</v>
      </c>
      <c r="C1390" s="465"/>
      <c r="D1390" s="465" t="s">
        <v>855</v>
      </c>
      <c r="E1390" s="465" t="s">
        <v>3515</v>
      </c>
      <c r="F1390" s="465" t="s">
        <v>3516</v>
      </c>
      <c r="G1390" s="465" t="s">
        <v>3205</v>
      </c>
      <c r="H1390" s="465" t="s">
        <v>3206</v>
      </c>
      <c r="I1390" s="465" t="s">
        <v>830</v>
      </c>
    </row>
    <row r="1391" hidden="1" ht="15.95" customHeight="1">
      <c r="A1391" s="465" t="s">
        <v>3544</v>
      </c>
      <c r="B1391" s="465" t="s">
        <v>3545</v>
      </c>
      <c r="C1391" s="465"/>
      <c r="D1391" s="465" t="s">
        <v>855</v>
      </c>
      <c r="E1391" s="465" t="s">
        <v>3515</v>
      </c>
      <c r="F1391" s="465" t="s">
        <v>3516</v>
      </c>
      <c r="G1391" s="465" t="s">
        <v>3205</v>
      </c>
      <c r="H1391" s="465" t="s">
        <v>3206</v>
      </c>
      <c r="I1391" s="465" t="s">
        <v>830</v>
      </c>
    </row>
    <row r="1392" hidden="1" ht="15.95" customHeight="1">
      <c r="A1392" s="465" t="s">
        <v>3546</v>
      </c>
      <c r="B1392" s="465" t="s">
        <v>3547</v>
      </c>
      <c r="C1392" s="465"/>
      <c r="D1392" s="465" t="s">
        <v>884</v>
      </c>
      <c r="E1392" s="465" t="s">
        <v>3548</v>
      </c>
      <c r="F1392" s="465" t="s">
        <v>1883</v>
      </c>
      <c r="G1392" s="465" t="s">
        <v>3205</v>
      </c>
      <c r="H1392" s="465" t="s">
        <v>3206</v>
      </c>
      <c r="I1392" s="465" t="s">
        <v>830</v>
      </c>
    </row>
    <row r="1393" hidden="1" ht="15.95" customHeight="1">
      <c r="A1393" s="465" t="s">
        <v>3549</v>
      </c>
      <c r="B1393" s="465" t="s">
        <v>3550</v>
      </c>
      <c r="C1393" s="465"/>
      <c r="D1393" s="465" t="s">
        <v>855</v>
      </c>
      <c r="E1393" s="465" t="s">
        <v>3548</v>
      </c>
      <c r="F1393" s="465" t="s">
        <v>1883</v>
      </c>
      <c r="G1393" s="465" t="s">
        <v>3205</v>
      </c>
      <c r="H1393" s="465" t="s">
        <v>3206</v>
      </c>
      <c r="I1393" s="465" t="s">
        <v>830</v>
      </c>
    </row>
    <row r="1394" hidden="1" ht="15.95" customHeight="1">
      <c r="A1394" s="465" t="s">
        <v>3551</v>
      </c>
      <c r="B1394" s="465" t="s">
        <v>1062</v>
      </c>
      <c r="C1394" s="465"/>
      <c r="D1394" s="465" t="s">
        <v>855</v>
      </c>
      <c r="E1394" s="465" t="s">
        <v>3548</v>
      </c>
      <c r="F1394" s="465" t="s">
        <v>1883</v>
      </c>
      <c r="G1394" s="465" t="s">
        <v>3205</v>
      </c>
      <c r="H1394" s="465" t="s">
        <v>3206</v>
      </c>
      <c r="I1394" s="465" t="s">
        <v>830</v>
      </c>
    </row>
    <row r="1395" hidden="1" ht="15.95" customHeight="1">
      <c r="A1395" s="465" t="s">
        <v>3552</v>
      </c>
      <c r="B1395" s="465" t="s">
        <v>3553</v>
      </c>
      <c r="C1395" s="465"/>
      <c r="D1395" s="465" t="s">
        <v>855</v>
      </c>
      <c r="E1395" s="465" t="s">
        <v>3548</v>
      </c>
      <c r="F1395" s="465" t="s">
        <v>1883</v>
      </c>
      <c r="G1395" s="465" t="s">
        <v>3205</v>
      </c>
      <c r="H1395" s="465" t="s">
        <v>3206</v>
      </c>
      <c r="I1395" s="465" t="s">
        <v>830</v>
      </c>
    </row>
    <row r="1396" hidden="1" ht="15.95" customHeight="1">
      <c r="A1396" s="465" t="s">
        <v>3554</v>
      </c>
      <c r="B1396" s="465" t="s">
        <v>3555</v>
      </c>
      <c r="C1396" s="465"/>
      <c r="D1396" s="465" t="s">
        <v>855</v>
      </c>
      <c r="E1396" s="465" t="s">
        <v>3548</v>
      </c>
      <c r="F1396" s="465" t="s">
        <v>1883</v>
      </c>
      <c r="G1396" s="465" t="s">
        <v>3205</v>
      </c>
      <c r="H1396" s="465" t="s">
        <v>3206</v>
      </c>
      <c r="I1396" s="465" t="s">
        <v>830</v>
      </c>
    </row>
    <row r="1397" hidden="1" ht="15.95" customHeight="1">
      <c r="A1397" s="465" t="s">
        <v>3556</v>
      </c>
      <c r="B1397" s="465" t="s">
        <v>3557</v>
      </c>
      <c r="C1397" s="465"/>
      <c r="D1397" s="465" t="s">
        <v>855</v>
      </c>
      <c r="E1397" s="465" t="s">
        <v>3548</v>
      </c>
      <c r="F1397" s="465" t="s">
        <v>1883</v>
      </c>
      <c r="G1397" s="465" t="s">
        <v>3205</v>
      </c>
      <c r="H1397" s="465" t="s">
        <v>3206</v>
      </c>
      <c r="I1397" s="465" t="s">
        <v>830</v>
      </c>
    </row>
    <row r="1398" hidden="1" ht="15.95" customHeight="1">
      <c r="A1398" s="465" t="s">
        <v>3558</v>
      </c>
      <c r="B1398" s="465" t="s">
        <v>1407</v>
      </c>
      <c r="C1398" s="465"/>
      <c r="D1398" s="465" t="s">
        <v>855</v>
      </c>
      <c r="E1398" s="465" t="s">
        <v>3548</v>
      </c>
      <c r="F1398" s="465" t="s">
        <v>1883</v>
      </c>
      <c r="G1398" s="465" t="s">
        <v>3205</v>
      </c>
      <c r="H1398" s="465" t="s">
        <v>3206</v>
      </c>
      <c r="I1398" s="465" t="s">
        <v>830</v>
      </c>
    </row>
    <row r="1399" hidden="1" ht="15.95" customHeight="1">
      <c r="A1399" s="465" t="s">
        <v>3559</v>
      </c>
      <c r="B1399" s="465" t="s">
        <v>3560</v>
      </c>
      <c r="C1399" s="465"/>
      <c r="D1399" s="465" t="s">
        <v>855</v>
      </c>
      <c r="E1399" s="465" t="s">
        <v>3548</v>
      </c>
      <c r="F1399" s="465" t="s">
        <v>1883</v>
      </c>
      <c r="G1399" s="465" t="s">
        <v>3205</v>
      </c>
      <c r="H1399" s="465" t="s">
        <v>3206</v>
      </c>
      <c r="I1399" s="465" t="s">
        <v>830</v>
      </c>
    </row>
    <row r="1400" hidden="1" ht="15.95" customHeight="1">
      <c r="A1400" s="465" t="s">
        <v>3561</v>
      </c>
      <c r="B1400" s="465" t="s">
        <v>3562</v>
      </c>
      <c r="C1400" s="465"/>
      <c r="D1400" s="465" t="s">
        <v>855</v>
      </c>
      <c r="E1400" s="465" t="s">
        <v>3548</v>
      </c>
      <c r="F1400" s="465" t="s">
        <v>1883</v>
      </c>
      <c r="G1400" s="465" t="s">
        <v>3205</v>
      </c>
      <c r="H1400" s="465" t="s">
        <v>3206</v>
      </c>
      <c r="I1400" s="465" t="s">
        <v>830</v>
      </c>
    </row>
    <row r="1401" hidden="1" ht="15.95" customHeight="1">
      <c r="A1401" s="465" t="s">
        <v>3563</v>
      </c>
      <c r="B1401" s="465" t="s">
        <v>3564</v>
      </c>
      <c r="C1401" s="465"/>
      <c r="D1401" s="465" t="s">
        <v>855</v>
      </c>
      <c r="E1401" s="465" t="s">
        <v>3548</v>
      </c>
      <c r="F1401" s="465" t="s">
        <v>1883</v>
      </c>
      <c r="G1401" s="465" t="s">
        <v>3205</v>
      </c>
      <c r="H1401" s="465" t="s">
        <v>3206</v>
      </c>
      <c r="I1401" s="465" t="s">
        <v>830</v>
      </c>
    </row>
    <row r="1402" hidden="1" ht="15.95" customHeight="1">
      <c r="A1402" s="465" t="s">
        <v>3565</v>
      </c>
      <c r="B1402" s="465" t="s">
        <v>3566</v>
      </c>
      <c r="C1402" s="465"/>
      <c r="D1402" s="465" t="s">
        <v>855</v>
      </c>
      <c r="E1402" s="465" t="s">
        <v>3548</v>
      </c>
      <c r="F1402" s="465" t="s">
        <v>1883</v>
      </c>
      <c r="G1402" s="465" t="s">
        <v>3205</v>
      </c>
      <c r="H1402" s="465" t="s">
        <v>3206</v>
      </c>
      <c r="I1402" s="465" t="s">
        <v>830</v>
      </c>
    </row>
    <row r="1403" hidden="1" ht="15.95" customHeight="1">
      <c r="A1403" s="465" t="s">
        <v>3567</v>
      </c>
      <c r="B1403" s="465" t="s">
        <v>3568</v>
      </c>
      <c r="C1403" s="465"/>
      <c r="D1403" s="465" t="s">
        <v>855</v>
      </c>
      <c r="E1403" s="465" t="s">
        <v>3548</v>
      </c>
      <c r="F1403" s="465" t="s">
        <v>1883</v>
      </c>
      <c r="G1403" s="465" t="s">
        <v>3205</v>
      </c>
      <c r="H1403" s="465" t="s">
        <v>3206</v>
      </c>
      <c r="I1403" s="465" t="s">
        <v>830</v>
      </c>
    </row>
    <row r="1404" hidden="1" ht="15.95" customHeight="1">
      <c r="A1404" s="465" t="s">
        <v>3569</v>
      </c>
      <c r="B1404" s="465" t="s">
        <v>3570</v>
      </c>
      <c r="C1404" s="465"/>
      <c r="D1404" s="465" t="s">
        <v>855</v>
      </c>
      <c r="E1404" s="465" t="s">
        <v>3548</v>
      </c>
      <c r="F1404" s="465" t="s">
        <v>1883</v>
      </c>
      <c r="G1404" s="465" t="s">
        <v>3205</v>
      </c>
      <c r="H1404" s="465" t="s">
        <v>3206</v>
      </c>
      <c r="I1404" s="465" t="s">
        <v>830</v>
      </c>
    </row>
    <row r="1405" hidden="1" ht="15.95" customHeight="1">
      <c r="A1405" s="465" t="s">
        <v>3571</v>
      </c>
      <c r="B1405" s="465" t="s">
        <v>1270</v>
      </c>
      <c r="C1405" s="465"/>
      <c r="D1405" s="465" t="s">
        <v>825</v>
      </c>
      <c r="E1405" s="465" t="s">
        <v>3572</v>
      </c>
      <c r="F1405" s="465" t="s">
        <v>3573</v>
      </c>
      <c r="G1405" s="465" t="s">
        <v>3574</v>
      </c>
      <c r="H1405" s="465" t="s">
        <v>3575</v>
      </c>
      <c r="I1405" s="465" t="s">
        <v>830</v>
      </c>
    </row>
    <row r="1406" hidden="1" ht="15.95" customHeight="1">
      <c r="A1406" s="465" t="s">
        <v>3576</v>
      </c>
      <c r="B1406" s="465" t="s">
        <v>1272</v>
      </c>
      <c r="C1406" s="465"/>
      <c r="D1406" s="465" t="s">
        <v>825</v>
      </c>
      <c r="E1406" s="465" t="s">
        <v>3572</v>
      </c>
      <c r="F1406" s="465" t="s">
        <v>3573</v>
      </c>
      <c r="G1406" s="465" t="s">
        <v>3574</v>
      </c>
      <c r="H1406" s="465" t="s">
        <v>3575</v>
      </c>
      <c r="I1406" s="465" t="s">
        <v>830</v>
      </c>
    </row>
    <row r="1407" hidden="1" ht="15.95" customHeight="1">
      <c r="A1407" s="465" t="s">
        <v>3577</v>
      </c>
      <c r="B1407" s="465" t="s">
        <v>1253</v>
      </c>
      <c r="C1407" s="465"/>
      <c r="D1407" s="465" t="s">
        <v>825</v>
      </c>
      <c r="E1407" s="465" t="s">
        <v>3572</v>
      </c>
      <c r="F1407" s="465" t="s">
        <v>3573</v>
      </c>
      <c r="G1407" s="465" t="s">
        <v>3574</v>
      </c>
      <c r="H1407" s="465" t="s">
        <v>3575</v>
      </c>
      <c r="I1407" s="465" t="s">
        <v>830</v>
      </c>
    </row>
    <row r="1408" hidden="1" ht="15.95" customHeight="1">
      <c r="A1408" s="465" t="s">
        <v>3578</v>
      </c>
      <c r="B1408" s="465" t="s">
        <v>1278</v>
      </c>
      <c r="C1408" s="465"/>
      <c r="D1408" s="465" t="s">
        <v>825</v>
      </c>
      <c r="E1408" s="465" t="s">
        <v>3572</v>
      </c>
      <c r="F1408" s="465" t="s">
        <v>3573</v>
      </c>
      <c r="G1408" s="465" t="s">
        <v>3574</v>
      </c>
      <c r="H1408" s="465" t="s">
        <v>3575</v>
      </c>
      <c r="I1408" s="465" t="s">
        <v>830</v>
      </c>
    </row>
    <row r="1409" hidden="1" ht="15.95" customHeight="1">
      <c r="A1409" s="465" t="s">
        <v>3579</v>
      </c>
      <c r="B1409" s="465" t="s">
        <v>1266</v>
      </c>
      <c r="C1409" s="465"/>
      <c r="D1409" s="465" t="s">
        <v>825</v>
      </c>
      <c r="E1409" s="465" t="s">
        <v>3572</v>
      </c>
      <c r="F1409" s="465" t="s">
        <v>3573</v>
      </c>
      <c r="G1409" s="465" t="s">
        <v>3574</v>
      </c>
      <c r="H1409" s="465" t="s">
        <v>3575</v>
      </c>
      <c r="I1409" s="465" t="s">
        <v>830</v>
      </c>
    </row>
    <row r="1410" hidden="1" ht="15.95" customHeight="1">
      <c r="A1410" s="465" t="s">
        <v>3580</v>
      </c>
      <c r="B1410" s="465" t="s">
        <v>1264</v>
      </c>
      <c r="C1410" s="465"/>
      <c r="D1410" s="465" t="s">
        <v>825</v>
      </c>
      <c r="E1410" s="465" t="s">
        <v>3572</v>
      </c>
      <c r="F1410" s="465" t="s">
        <v>3573</v>
      </c>
      <c r="G1410" s="465" t="s">
        <v>3574</v>
      </c>
      <c r="H1410" s="465" t="s">
        <v>3575</v>
      </c>
      <c r="I1410" s="465" t="s">
        <v>830</v>
      </c>
    </row>
    <row r="1411" hidden="1" ht="15.95" customHeight="1">
      <c r="A1411" s="465" t="s">
        <v>3581</v>
      </c>
      <c r="B1411" s="465" t="s">
        <v>449</v>
      </c>
      <c r="C1411" s="465"/>
      <c r="D1411" s="465" t="s">
        <v>825</v>
      </c>
      <c r="E1411" s="465" t="s">
        <v>3572</v>
      </c>
      <c r="F1411" s="465" t="s">
        <v>3573</v>
      </c>
      <c r="G1411" s="465" t="s">
        <v>3574</v>
      </c>
      <c r="H1411" s="465" t="s">
        <v>3575</v>
      </c>
      <c r="I1411" s="465" t="s">
        <v>830</v>
      </c>
    </row>
    <row r="1412" hidden="1" ht="15.95" customHeight="1">
      <c r="A1412" s="465" t="s">
        <v>3582</v>
      </c>
      <c r="B1412" s="465" t="s">
        <v>1268</v>
      </c>
      <c r="C1412" s="465"/>
      <c r="D1412" s="465" t="s">
        <v>825</v>
      </c>
      <c r="E1412" s="465" t="s">
        <v>3572</v>
      </c>
      <c r="F1412" s="465" t="s">
        <v>3573</v>
      </c>
      <c r="G1412" s="465" t="s">
        <v>3574</v>
      </c>
      <c r="H1412" s="465" t="s">
        <v>3575</v>
      </c>
      <c r="I1412" s="465" t="s">
        <v>830</v>
      </c>
    </row>
    <row r="1413" hidden="1" ht="15.95" customHeight="1">
      <c r="A1413" s="465" t="s">
        <v>3583</v>
      </c>
      <c r="B1413" s="465" t="s">
        <v>1262</v>
      </c>
      <c r="C1413" s="465"/>
      <c r="D1413" s="465" t="s">
        <v>825</v>
      </c>
      <c r="E1413" s="465" t="s">
        <v>3572</v>
      </c>
      <c r="F1413" s="465" t="s">
        <v>3573</v>
      </c>
      <c r="G1413" s="465" t="s">
        <v>3574</v>
      </c>
      <c r="H1413" s="465" t="s">
        <v>3575</v>
      </c>
      <c r="I1413" s="465" t="s">
        <v>830</v>
      </c>
    </row>
    <row r="1414" hidden="1" ht="15.95" customHeight="1">
      <c r="A1414" s="465" t="s">
        <v>3584</v>
      </c>
      <c r="B1414" s="465" t="s">
        <v>1274</v>
      </c>
      <c r="C1414" s="465"/>
      <c r="D1414" s="465" t="s">
        <v>825</v>
      </c>
      <c r="E1414" s="465" t="s">
        <v>3572</v>
      </c>
      <c r="F1414" s="465" t="s">
        <v>3573</v>
      </c>
      <c r="G1414" s="465" t="s">
        <v>3574</v>
      </c>
      <c r="H1414" s="465" t="s">
        <v>3575</v>
      </c>
      <c r="I1414" s="465" t="s">
        <v>830</v>
      </c>
    </row>
    <row r="1415" hidden="1" ht="15.95" customHeight="1">
      <c r="A1415" s="465" t="s">
        <v>3585</v>
      </c>
      <c r="B1415" s="465" t="s">
        <v>3586</v>
      </c>
      <c r="C1415" s="465"/>
      <c r="D1415" s="465" t="s">
        <v>825</v>
      </c>
      <c r="E1415" s="465" t="s">
        <v>3572</v>
      </c>
      <c r="F1415" s="465" t="s">
        <v>3573</v>
      </c>
      <c r="G1415" s="465" t="s">
        <v>3574</v>
      </c>
      <c r="H1415" s="465" t="s">
        <v>3575</v>
      </c>
      <c r="I1415" s="465" t="s">
        <v>830</v>
      </c>
    </row>
    <row r="1416" hidden="1" ht="15.95" customHeight="1">
      <c r="A1416" s="465" t="s">
        <v>3587</v>
      </c>
      <c r="B1416" s="465" t="s">
        <v>3588</v>
      </c>
      <c r="C1416" s="465"/>
      <c r="D1416" s="465" t="s">
        <v>855</v>
      </c>
      <c r="E1416" s="465" t="s">
        <v>3572</v>
      </c>
      <c r="F1416" s="465" t="s">
        <v>3573</v>
      </c>
      <c r="G1416" s="465" t="s">
        <v>3574</v>
      </c>
      <c r="H1416" s="465" t="s">
        <v>3575</v>
      </c>
      <c r="I1416" s="465" t="s">
        <v>830</v>
      </c>
    </row>
    <row r="1417" hidden="1" ht="15.95" customHeight="1">
      <c r="A1417" s="465" t="s">
        <v>3589</v>
      </c>
      <c r="B1417" s="465" t="s">
        <v>3098</v>
      </c>
      <c r="C1417" s="465"/>
      <c r="D1417" s="465" t="s">
        <v>855</v>
      </c>
      <c r="E1417" s="465" t="s">
        <v>3572</v>
      </c>
      <c r="F1417" s="465" t="s">
        <v>3573</v>
      </c>
      <c r="G1417" s="465" t="s">
        <v>3574</v>
      </c>
      <c r="H1417" s="465" t="s">
        <v>3575</v>
      </c>
      <c r="I1417" s="465" t="s">
        <v>830</v>
      </c>
    </row>
    <row r="1418" hidden="1" ht="15.95" customHeight="1">
      <c r="A1418" s="465" t="s">
        <v>3590</v>
      </c>
      <c r="B1418" s="465" t="s">
        <v>3591</v>
      </c>
      <c r="C1418" s="465"/>
      <c r="D1418" s="465" t="s">
        <v>855</v>
      </c>
      <c r="E1418" s="465" t="s">
        <v>3572</v>
      </c>
      <c r="F1418" s="465" t="s">
        <v>3573</v>
      </c>
      <c r="G1418" s="465" t="s">
        <v>3574</v>
      </c>
      <c r="H1418" s="465" t="s">
        <v>3575</v>
      </c>
      <c r="I1418" s="465" t="s">
        <v>830</v>
      </c>
    </row>
    <row r="1419" hidden="1" ht="15.95" customHeight="1">
      <c r="A1419" s="465" t="s">
        <v>3592</v>
      </c>
      <c r="B1419" s="465" t="s">
        <v>3593</v>
      </c>
      <c r="C1419" s="465"/>
      <c r="D1419" s="465" t="s">
        <v>855</v>
      </c>
      <c r="E1419" s="465" t="s">
        <v>3572</v>
      </c>
      <c r="F1419" s="465" t="s">
        <v>3573</v>
      </c>
      <c r="G1419" s="465" t="s">
        <v>3574</v>
      </c>
      <c r="H1419" s="465" t="s">
        <v>3575</v>
      </c>
      <c r="I1419" s="465" t="s">
        <v>830</v>
      </c>
    </row>
    <row r="1420" hidden="1" ht="15.95" customHeight="1">
      <c r="A1420" s="465" t="s">
        <v>3594</v>
      </c>
      <c r="B1420" s="465" t="s">
        <v>1941</v>
      </c>
      <c r="C1420" s="465"/>
      <c r="D1420" s="465" t="s">
        <v>855</v>
      </c>
      <c r="E1420" s="465" t="s">
        <v>3572</v>
      </c>
      <c r="F1420" s="465" t="s">
        <v>3573</v>
      </c>
      <c r="G1420" s="465" t="s">
        <v>3574</v>
      </c>
      <c r="H1420" s="465" t="s">
        <v>3575</v>
      </c>
      <c r="I1420" s="465" t="s">
        <v>830</v>
      </c>
    </row>
    <row r="1421" hidden="1" ht="15.95" customHeight="1">
      <c r="A1421" s="465" t="s">
        <v>3595</v>
      </c>
      <c r="B1421" s="465" t="s">
        <v>3596</v>
      </c>
      <c r="C1421" s="465"/>
      <c r="D1421" s="465" t="s">
        <v>855</v>
      </c>
      <c r="E1421" s="465" t="s">
        <v>3572</v>
      </c>
      <c r="F1421" s="465" t="s">
        <v>3573</v>
      </c>
      <c r="G1421" s="465" t="s">
        <v>3574</v>
      </c>
      <c r="H1421" s="465" t="s">
        <v>3575</v>
      </c>
      <c r="I1421" s="465" t="s">
        <v>830</v>
      </c>
    </row>
    <row r="1422" hidden="1" ht="15.95" customHeight="1">
      <c r="A1422" s="465" t="s">
        <v>3597</v>
      </c>
      <c r="B1422" s="465" t="s">
        <v>1278</v>
      </c>
      <c r="C1422" s="465"/>
      <c r="D1422" s="465" t="s">
        <v>825</v>
      </c>
      <c r="E1422" s="465" t="s">
        <v>3598</v>
      </c>
      <c r="F1422" s="465" t="s">
        <v>3599</v>
      </c>
      <c r="G1422" s="465" t="s">
        <v>3574</v>
      </c>
      <c r="H1422" s="465" t="s">
        <v>3575</v>
      </c>
      <c r="I1422" s="465" t="s">
        <v>830</v>
      </c>
    </row>
    <row r="1423" hidden="1" ht="15.95" customHeight="1">
      <c r="A1423" s="465" t="s">
        <v>3600</v>
      </c>
      <c r="B1423" s="465" t="s">
        <v>1264</v>
      </c>
      <c r="C1423" s="465"/>
      <c r="D1423" s="465" t="s">
        <v>825</v>
      </c>
      <c r="E1423" s="465" t="s">
        <v>3598</v>
      </c>
      <c r="F1423" s="465" t="s">
        <v>3599</v>
      </c>
      <c r="G1423" s="465" t="s">
        <v>3574</v>
      </c>
      <c r="H1423" s="465" t="s">
        <v>3575</v>
      </c>
      <c r="I1423" s="465" t="s">
        <v>830</v>
      </c>
    </row>
    <row r="1424" hidden="1" ht="15.95" customHeight="1">
      <c r="A1424" s="465" t="s">
        <v>3601</v>
      </c>
      <c r="B1424" s="465" t="s">
        <v>1272</v>
      </c>
      <c r="C1424" s="465"/>
      <c r="D1424" s="465" t="s">
        <v>825</v>
      </c>
      <c r="E1424" s="465" t="s">
        <v>3598</v>
      </c>
      <c r="F1424" s="465" t="s">
        <v>3599</v>
      </c>
      <c r="G1424" s="465" t="s">
        <v>3574</v>
      </c>
      <c r="H1424" s="465" t="s">
        <v>3575</v>
      </c>
      <c r="I1424" s="465" t="s">
        <v>830</v>
      </c>
    </row>
    <row r="1425" hidden="1" ht="15.95" customHeight="1">
      <c r="A1425" s="465" t="s">
        <v>3602</v>
      </c>
      <c r="B1425" s="465" t="s">
        <v>1266</v>
      </c>
      <c r="C1425" s="465"/>
      <c r="D1425" s="465" t="s">
        <v>825</v>
      </c>
      <c r="E1425" s="465" t="s">
        <v>3598</v>
      </c>
      <c r="F1425" s="465" t="s">
        <v>3599</v>
      </c>
      <c r="G1425" s="465" t="s">
        <v>3574</v>
      </c>
      <c r="H1425" s="465" t="s">
        <v>3575</v>
      </c>
      <c r="I1425" s="465" t="s">
        <v>830</v>
      </c>
    </row>
    <row r="1426" hidden="1" ht="15.95" customHeight="1">
      <c r="A1426" s="465" t="s">
        <v>3603</v>
      </c>
      <c r="B1426" s="465" t="s">
        <v>1270</v>
      </c>
      <c r="C1426" s="465"/>
      <c r="D1426" s="465" t="s">
        <v>825</v>
      </c>
      <c r="E1426" s="465" t="s">
        <v>3598</v>
      </c>
      <c r="F1426" s="465" t="s">
        <v>3599</v>
      </c>
      <c r="G1426" s="465" t="s">
        <v>3574</v>
      </c>
      <c r="H1426" s="465" t="s">
        <v>3575</v>
      </c>
      <c r="I1426" s="465" t="s">
        <v>830</v>
      </c>
    </row>
    <row r="1427" hidden="1" ht="15.95" customHeight="1">
      <c r="A1427" s="465" t="s">
        <v>3604</v>
      </c>
      <c r="B1427" s="465" t="s">
        <v>1788</v>
      </c>
      <c r="C1427" s="465"/>
      <c r="D1427" s="465" t="s">
        <v>855</v>
      </c>
      <c r="E1427" s="465" t="s">
        <v>3598</v>
      </c>
      <c r="F1427" s="465" t="s">
        <v>3599</v>
      </c>
      <c r="G1427" s="465" t="s">
        <v>3574</v>
      </c>
      <c r="H1427" s="465" t="s">
        <v>3575</v>
      </c>
      <c r="I1427" s="465" t="s">
        <v>830</v>
      </c>
    </row>
    <row r="1428" hidden="1" ht="15.95" customHeight="1">
      <c r="A1428" s="465" t="s">
        <v>3605</v>
      </c>
      <c r="B1428" s="465" t="s">
        <v>1964</v>
      </c>
      <c r="C1428" s="465"/>
      <c r="D1428" s="465" t="s">
        <v>855</v>
      </c>
      <c r="E1428" s="465" t="s">
        <v>3598</v>
      </c>
      <c r="F1428" s="465" t="s">
        <v>3599</v>
      </c>
      <c r="G1428" s="465" t="s">
        <v>3574</v>
      </c>
      <c r="H1428" s="465" t="s">
        <v>3575</v>
      </c>
      <c r="I1428" s="465" t="s">
        <v>830</v>
      </c>
    </row>
    <row r="1429" hidden="1" ht="15.95" customHeight="1">
      <c r="A1429" s="465" t="s">
        <v>3606</v>
      </c>
      <c r="B1429" s="465" t="s">
        <v>3607</v>
      </c>
      <c r="C1429" s="465"/>
      <c r="D1429" s="465" t="s">
        <v>855</v>
      </c>
      <c r="E1429" s="465" t="s">
        <v>3598</v>
      </c>
      <c r="F1429" s="465" t="s">
        <v>3599</v>
      </c>
      <c r="G1429" s="465" t="s">
        <v>3574</v>
      </c>
      <c r="H1429" s="465" t="s">
        <v>3575</v>
      </c>
      <c r="I1429" s="465" t="s">
        <v>830</v>
      </c>
    </row>
    <row r="1430" hidden="1" ht="15.95" customHeight="1">
      <c r="A1430" s="465" t="s">
        <v>3608</v>
      </c>
      <c r="B1430" s="465" t="s">
        <v>2048</v>
      </c>
      <c r="C1430" s="465"/>
      <c r="D1430" s="465" t="s">
        <v>855</v>
      </c>
      <c r="E1430" s="465" t="s">
        <v>3598</v>
      </c>
      <c r="F1430" s="465" t="s">
        <v>3599</v>
      </c>
      <c r="G1430" s="465" t="s">
        <v>3574</v>
      </c>
      <c r="H1430" s="465" t="s">
        <v>3575</v>
      </c>
      <c r="I1430" s="465" t="s">
        <v>830</v>
      </c>
    </row>
    <row r="1431" hidden="1" ht="15.95" customHeight="1">
      <c r="A1431" s="465" t="s">
        <v>3609</v>
      </c>
      <c r="B1431" s="465" t="s">
        <v>3610</v>
      </c>
      <c r="C1431" s="465"/>
      <c r="D1431" s="465" t="s">
        <v>855</v>
      </c>
      <c r="E1431" s="465" t="s">
        <v>3598</v>
      </c>
      <c r="F1431" s="465" t="s">
        <v>3599</v>
      </c>
      <c r="G1431" s="465" t="s">
        <v>3574</v>
      </c>
      <c r="H1431" s="465" t="s">
        <v>3575</v>
      </c>
      <c r="I1431" s="465" t="s">
        <v>830</v>
      </c>
    </row>
    <row r="1432" hidden="1" ht="15.95" customHeight="1">
      <c r="A1432" s="465" t="s">
        <v>3611</v>
      </c>
      <c r="B1432" s="465" t="s">
        <v>3612</v>
      </c>
      <c r="C1432" s="465"/>
      <c r="D1432" s="465" t="s">
        <v>855</v>
      </c>
      <c r="E1432" s="465" t="s">
        <v>3598</v>
      </c>
      <c r="F1432" s="465" t="s">
        <v>3599</v>
      </c>
      <c r="G1432" s="465" t="s">
        <v>3574</v>
      </c>
      <c r="H1432" s="465" t="s">
        <v>3575</v>
      </c>
      <c r="I1432" s="465" t="s">
        <v>830</v>
      </c>
    </row>
    <row r="1433" hidden="1" ht="15.95" customHeight="1">
      <c r="A1433" s="465" t="s">
        <v>3613</v>
      </c>
      <c r="B1433" s="465" t="s">
        <v>3614</v>
      </c>
      <c r="C1433" s="465"/>
      <c r="D1433" s="465" t="s">
        <v>855</v>
      </c>
      <c r="E1433" s="465" t="s">
        <v>3598</v>
      </c>
      <c r="F1433" s="465" t="s">
        <v>3599</v>
      </c>
      <c r="G1433" s="465" t="s">
        <v>3574</v>
      </c>
      <c r="H1433" s="465" t="s">
        <v>3575</v>
      </c>
      <c r="I1433" s="465" t="s">
        <v>830</v>
      </c>
    </row>
    <row r="1434" hidden="1" ht="15.95" customHeight="1">
      <c r="A1434" s="465" t="s">
        <v>3615</v>
      </c>
      <c r="B1434" s="465" t="s">
        <v>1266</v>
      </c>
      <c r="C1434" s="465"/>
      <c r="D1434" s="465" t="s">
        <v>825</v>
      </c>
      <c r="E1434" s="465" t="s">
        <v>3616</v>
      </c>
      <c r="F1434" s="465" t="s">
        <v>3617</v>
      </c>
      <c r="G1434" s="465" t="s">
        <v>3574</v>
      </c>
      <c r="H1434" s="465" t="s">
        <v>3575</v>
      </c>
      <c r="I1434" s="465" t="s">
        <v>830</v>
      </c>
    </row>
    <row r="1435" hidden="1" ht="15.95" customHeight="1">
      <c r="A1435" s="465" t="s">
        <v>3618</v>
      </c>
      <c r="B1435" s="465" t="s">
        <v>1264</v>
      </c>
      <c r="C1435" s="465"/>
      <c r="D1435" s="465" t="s">
        <v>825</v>
      </c>
      <c r="E1435" s="465" t="s">
        <v>3616</v>
      </c>
      <c r="F1435" s="465" t="s">
        <v>3617</v>
      </c>
      <c r="G1435" s="465" t="s">
        <v>3574</v>
      </c>
      <c r="H1435" s="465" t="s">
        <v>3575</v>
      </c>
      <c r="I1435" s="465" t="s">
        <v>830</v>
      </c>
    </row>
    <row r="1436" hidden="1" ht="15.95" customHeight="1">
      <c r="A1436" s="465" t="s">
        <v>3619</v>
      </c>
      <c r="B1436" s="465" t="s">
        <v>1278</v>
      </c>
      <c r="C1436" s="465"/>
      <c r="D1436" s="465" t="s">
        <v>825</v>
      </c>
      <c r="E1436" s="465" t="s">
        <v>3616</v>
      </c>
      <c r="F1436" s="465" t="s">
        <v>3617</v>
      </c>
      <c r="G1436" s="465" t="s">
        <v>3574</v>
      </c>
      <c r="H1436" s="465" t="s">
        <v>3575</v>
      </c>
      <c r="I1436" s="465" t="s">
        <v>830</v>
      </c>
    </row>
    <row r="1437" hidden="1" ht="15.95" customHeight="1">
      <c r="A1437" s="465" t="s">
        <v>3620</v>
      </c>
      <c r="B1437" s="465" t="s">
        <v>1272</v>
      </c>
      <c r="C1437" s="465"/>
      <c r="D1437" s="465" t="s">
        <v>825</v>
      </c>
      <c r="E1437" s="465" t="s">
        <v>3616</v>
      </c>
      <c r="F1437" s="465" t="s">
        <v>3617</v>
      </c>
      <c r="G1437" s="465" t="s">
        <v>3574</v>
      </c>
      <c r="H1437" s="465" t="s">
        <v>3575</v>
      </c>
      <c r="I1437" s="465" t="s">
        <v>830</v>
      </c>
    </row>
    <row r="1438" hidden="1" ht="15.95" customHeight="1">
      <c r="A1438" s="465" t="s">
        <v>3621</v>
      </c>
      <c r="B1438" s="465" t="s">
        <v>1270</v>
      </c>
      <c r="C1438" s="465"/>
      <c r="D1438" s="465" t="s">
        <v>825</v>
      </c>
      <c r="E1438" s="465" t="s">
        <v>3616</v>
      </c>
      <c r="F1438" s="465" t="s">
        <v>3617</v>
      </c>
      <c r="G1438" s="465" t="s">
        <v>3574</v>
      </c>
      <c r="H1438" s="465" t="s">
        <v>3575</v>
      </c>
      <c r="I1438" s="465" t="s">
        <v>830</v>
      </c>
    </row>
    <row r="1439" hidden="1" ht="15.95" customHeight="1">
      <c r="A1439" s="465" t="s">
        <v>3622</v>
      </c>
      <c r="B1439" s="465" t="s">
        <v>3623</v>
      </c>
      <c r="C1439" s="465"/>
      <c r="D1439" s="465" t="s">
        <v>855</v>
      </c>
      <c r="E1439" s="465" t="s">
        <v>3616</v>
      </c>
      <c r="F1439" s="465" t="s">
        <v>3617</v>
      </c>
      <c r="G1439" s="465" t="s">
        <v>3574</v>
      </c>
      <c r="H1439" s="465" t="s">
        <v>3575</v>
      </c>
      <c r="I1439" s="465" t="s">
        <v>830</v>
      </c>
    </row>
    <row r="1440" hidden="1" ht="15.95" customHeight="1">
      <c r="A1440" s="465" t="s">
        <v>3624</v>
      </c>
      <c r="B1440" s="465" t="s">
        <v>3625</v>
      </c>
      <c r="C1440" s="465"/>
      <c r="D1440" s="465" t="s">
        <v>855</v>
      </c>
      <c r="E1440" s="465" t="s">
        <v>3616</v>
      </c>
      <c r="F1440" s="465" t="s">
        <v>3617</v>
      </c>
      <c r="G1440" s="465" t="s">
        <v>3574</v>
      </c>
      <c r="H1440" s="465" t="s">
        <v>3575</v>
      </c>
      <c r="I1440" s="465" t="s">
        <v>830</v>
      </c>
    </row>
    <row r="1441" hidden="1" ht="15.95" customHeight="1">
      <c r="A1441" s="465" t="s">
        <v>3626</v>
      </c>
      <c r="B1441" s="465" t="s">
        <v>3627</v>
      </c>
      <c r="C1441" s="465"/>
      <c r="D1441" s="465" t="s">
        <v>855</v>
      </c>
      <c r="E1441" s="465" t="s">
        <v>3616</v>
      </c>
      <c r="F1441" s="465" t="s">
        <v>3617</v>
      </c>
      <c r="G1441" s="465" t="s">
        <v>3574</v>
      </c>
      <c r="H1441" s="465" t="s">
        <v>3575</v>
      </c>
      <c r="I1441" s="465" t="s">
        <v>830</v>
      </c>
    </row>
    <row r="1442" hidden="1" ht="15.95" customHeight="1">
      <c r="A1442" s="465" t="s">
        <v>3628</v>
      </c>
      <c r="B1442" s="465" t="s">
        <v>1856</v>
      </c>
      <c r="C1442" s="465"/>
      <c r="D1442" s="465" t="s">
        <v>855</v>
      </c>
      <c r="E1442" s="465" t="s">
        <v>3616</v>
      </c>
      <c r="F1442" s="465" t="s">
        <v>3617</v>
      </c>
      <c r="G1442" s="465" t="s">
        <v>3574</v>
      </c>
      <c r="H1442" s="465" t="s">
        <v>3575</v>
      </c>
      <c r="I1442" s="465" t="s">
        <v>830</v>
      </c>
    </row>
    <row r="1443" hidden="1" ht="15.95" customHeight="1">
      <c r="A1443" s="465" t="s">
        <v>3629</v>
      </c>
      <c r="B1443" s="465" t="s">
        <v>1033</v>
      </c>
      <c r="C1443" s="465"/>
      <c r="D1443" s="465" t="s">
        <v>855</v>
      </c>
      <c r="E1443" s="465" t="s">
        <v>3616</v>
      </c>
      <c r="F1443" s="465" t="s">
        <v>3617</v>
      </c>
      <c r="G1443" s="465" t="s">
        <v>3574</v>
      </c>
      <c r="H1443" s="465" t="s">
        <v>3575</v>
      </c>
      <c r="I1443" s="465" t="s">
        <v>830</v>
      </c>
    </row>
    <row r="1444" hidden="1" ht="15.95" customHeight="1">
      <c r="A1444" s="465" t="s">
        <v>3630</v>
      </c>
      <c r="B1444" s="465" t="s">
        <v>1412</v>
      </c>
      <c r="C1444" s="465"/>
      <c r="D1444" s="465" t="s">
        <v>855</v>
      </c>
      <c r="E1444" s="465" t="s">
        <v>3616</v>
      </c>
      <c r="F1444" s="465" t="s">
        <v>3617</v>
      </c>
      <c r="G1444" s="465" t="s">
        <v>3574</v>
      </c>
      <c r="H1444" s="465" t="s">
        <v>3575</v>
      </c>
      <c r="I1444" s="465" t="s">
        <v>830</v>
      </c>
    </row>
    <row r="1445" hidden="1" ht="15.95" customHeight="1">
      <c r="A1445" s="465" t="s">
        <v>3631</v>
      </c>
      <c r="B1445" s="465" t="s">
        <v>3632</v>
      </c>
      <c r="C1445" s="465"/>
      <c r="D1445" s="465" t="s">
        <v>825</v>
      </c>
      <c r="E1445" s="465" t="s">
        <v>3616</v>
      </c>
      <c r="F1445" s="465" t="s">
        <v>3617</v>
      </c>
      <c r="G1445" s="465" t="s">
        <v>3574</v>
      </c>
      <c r="H1445" s="465" t="s">
        <v>3575</v>
      </c>
      <c r="I1445" s="465" t="s">
        <v>830</v>
      </c>
    </row>
    <row r="1446" hidden="1" ht="15.95" customHeight="1">
      <c r="A1446" s="465" t="s">
        <v>3633</v>
      </c>
      <c r="B1446" s="465" t="s">
        <v>3634</v>
      </c>
      <c r="C1446" s="465"/>
      <c r="D1446" s="465" t="s">
        <v>855</v>
      </c>
      <c r="E1446" s="465" t="s">
        <v>3616</v>
      </c>
      <c r="F1446" s="465" t="s">
        <v>3617</v>
      </c>
      <c r="G1446" s="465" t="s">
        <v>3574</v>
      </c>
      <c r="H1446" s="465" t="s">
        <v>3575</v>
      </c>
      <c r="I1446" s="465" t="s">
        <v>830</v>
      </c>
    </row>
    <row r="1447" hidden="1" ht="15.95" customHeight="1">
      <c r="A1447" s="465" t="s">
        <v>3635</v>
      </c>
      <c r="B1447" s="465" t="s">
        <v>1677</v>
      </c>
      <c r="C1447" s="465"/>
      <c r="D1447" s="465" t="s">
        <v>855</v>
      </c>
      <c r="E1447" s="465" t="s">
        <v>3616</v>
      </c>
      <c r="F1447" s="465" t="s">
        <v>3617</v>
      </c>
      <c r="G1447" s="465" t="s">
        <v>3574</v>
      </c>
      <c r="H1447" s="465" t="s">
        <v>3575</v>
      </c>
      <c r="I1447" s="465" t="s">
        <v>830</v>
      </c>
    </row>
    <row r="1448" hidden="1" ht="15.95" customHeight="1">
      <c r="A1448" s="465" t="s">
        <v>3636</v>
      </c>
      <c r="B1448" s="465" t="s">
        <v>3637</v>
      </c>
      <c r="C1448" s="465"/>
      <c r="D1448" s="465" t="s">
        <v>855</v>
      </c>
      <c r="E1448" s="465" t="s">
        <v>3616</v>
      </c>
      <c r="F1448" s="465" t="s">
        <v>3617</v>
      </c>
      <c r="G1448" s="465" t="s">
        <v>3574</v>
      </c>
      <c r="H1448" s="465" t="s">
        <v>3575</v>
      </c>
      <c r="I1448" s="465" t="s">
        <v>830</v>
      </c>
    </row>
    <row r="1449" hidden="1" ht="15.95" customHeight="1">
      <c r="A1449" s="465" t="s">
        <v>3638</v>
      </c>
      <c r="B1449" s="465" t="s">
        <v>1960</v>
      </c>
      <c r="C1449" s="465"/>
      <c r="D1449" s="465" t="s">
        <v>855</v>
      </c>
      <c r="E1449" s="465" t="s">
        <v>3616</v>
      </c>
      <c r="F1449" s="465" t="s">
        <v>3617</v>
      </c>
      <c r="G1449" s="465" t="s">
        <v>3574</v>
      </c>
      <c r="H1449" s="465" t="s">
        <v>3575</v>
      </c>
      <c r="I1449" s="465" t="s">
        <v>830</v>
      </c>
    </row>
    <row r="1450" hidden="1" ht="15.95" customHeight="1">
      <c r="A1450" s="465" t="s">
        <v>3639</v>
      </c>
      <c r="B1450" s="465" t="s">
        <v>3640</v>
      </c>
      <c r="C1450" s="465"/>
      <c r="D1450" s="465" t="s">
        <v>884</v>
      </c>
      <c r="E1450" s="465" t="s">
        <v>3641</v>
      </c>
      <c r="F1450" s="465" t="s">
        <v>3642</v>
      </c>
      <c r="G1450" s="465" t="s">
        <v>3574</v>
      </c>
      <c r="H1450" s="465" t="s">
        <v>3575</v>
      </c>
      <c r="I1450" s="465" t="s">
        <v>830</v>
      </c>
    </row>
    <row r="1451" hidden="1" ht="15.95" customHeight="1">
      <c r="A1451" s="465" t="s">
        <v>3643</v>
      </c>
      <c r="B1451" s="465" t="s">
        <v>3644</v>
      </c>
      <c r="C1451" s="465"/>
      <c r="D1451" s="465" t="s">
        <v>855</v>
      </c>
      <c r="E1451" s="465" t="s">
        <v>3641</v>
      </c>
      <c r="F1451" s="465" t="s">
        <v>3642</v>
      </c>
      <c r="G1451" s="465" t="s">
        <v>3574</v>
      </c>
      <c r="H1451" s="465" t="s">
        <v>3575</v>
      </c>
      <c r="I1451" s="465" t="s">
        <v>830</v>
      </c>
    </row>
    <row r="1452" hidden="1" ht="15.95" customHeight="1">
      <c r="A1452" s="465" t="s">
        <v>3645</v>
      </c>
      <c r="B1452" s="465" t="s">
        <v>1811</v>
      </c>
      <c r="C1452" s="465"/>
      <c r="D1452" s="465" t="s">
        <v>855</v>
      </c>
      <c r="E1452" s="465" t="s">
        <v>3641</v>
      </c>
      <c r="F1452" s="465" t="s">
        <v>3642</v>
      </c>
      <c r="G1452" s="465" t="s">
        <v>3574</v>
      </c>
      <c r="H1452" s="465" t="s">
        <v>3575</v>
      </c>
      <c r="I1452" s="465" t="s">
        <v>830</v>
      </c>
    </row>
    <row r="1453" hidden="1" ht="15.95" customHeight="1">
      <c r="A1453" s="465" t="s">
        <v>3646</v>
      </c>
      <c r="B1453" s="465" t="s">
        <v>3647</v>
      </c>
      <c r="C1453" s="465"/>
      <c r="D1453" s="465" t="s">
        <v>855</v>
      </c>
      <c r="E1453" s="465" t="s">
        <v>3641</v>
      </c>
      <c r="F1453" s="465" t="s">
        <v>3642</v>
      </c>
      <c r="G1453" s="465" t="s">
        <v>3574</v>
      </c>
      <c r="H1453" s="465" t="s">
        <v>3575</v>
      </c>
      <c r="I1453" s="465" t="s">
        <v>830</v>
      </c>
    </row>
    <row r="1454" hidden="1" ht="15.95" customHeight="1">
      <c r="A1454" s="465" t="s">
        <v>3648</v>
      </c>
      <c r="B1454" s="465" t="s">
        <v>3417</v>
      </c>
      <c r="C1454" s="465"/>
      <c r="D1454" s="465" t="s">
        <v>855</v>
      </c>
      <c r="E1454" s="465" t="s">
        <v>3641</v>
      </c>
      <c r="F1454" s="465" t="s">
        <v>3642</v>
      </c>
      <c r="G1454" s="465" t="s">
        <v>3574</v>
      </c>
      <c r="H1454" s="465" t="s">
        <v>3575</v>
      </c>
      <c r="I1454" s="465" t="s">
        <v>830</v>
      </c>
    </row>
    <row r="1455" hidden="1" ht="15.95" customHeight="1">
      <c r="A1455" s="465" t="s">
        <v>3649</v>
      </c>
      <c r="B1455" s="465" t="s">
        <v>3650</v>
      </c>
      <c r="C1455" s="465"/>
      <c r="D1455" s="465" t="s">
        <v>855</v>
      </c>
      <c r="E1455" s="465" t="s">
        <v>3641</v>
      </c>
      <c r="F1455" s="465" t="s">
        <v>3642</v>
      </c>
      <c r="G1455" s="465" t="s">
        <v>3574</v>
      </c>
      <c r="H1455" s="465" t="s">
        <v>3575</v>
      </c>
      <c r="I1455" s="465" t="s">
        <v>830</v>
      </c>
    </row>
    <row r="1456" hidden="1" ht="15.95" customHeight="1">
      <c r="A1456" s="465" t="s">
        <v>3651</v>
      </c>
      <c r="B1456" s="465" t="s">
        <v>3652</v>
      </c>
      <c r="C1456" s="465"/>
      <c r="D1456" s="465" t="s">
        <v>855</v>
      </c>
      <c r="E1456" s="465" t="s">
        <v>3641</v>
      </c>
      <c r="F1456" s="465" t="s">
        <v>3642</v>
      </c>
      <c r="G1456" s="465" t="s">
        <v>3574</v>
      </c>
      <c r="H1456" s="465" t="s">
        <v>3575</v>
      </c>
      <c r="I1456" s="465" t="s">
        <v>830</v>
      </c>
    </row>
    <row r="1457" hidden="1" ht="15.95" customHeight="1">
      <c r="A1457" s="465" t="s">
        <v>3653</v>
      </c>
      <c r="B1457" s="465" t="s">
        <v>3253</v>
      </c>
      <c r="C1457" s="465"/>
      <c r="D1457" s="465" t="s">
        <v>855</v>
      </c>
      <c r="E1457" s="465" t="s">
        <v>3641</v>
      </c>
      <c r="F1457" s="465" t="s">
        <v>3642</v>
      </c>
      <c r="G1457" s="465" t="s">
        <v>3574</v>
      </c>
      <c r="H1457" s="465" t="s">
        <v>3575</v>
      </c>
      <c r="I1457" s="465" t="s">
        <v>830</v>
      </c>
    </row>
    <row r="1458" hidden="1" ht="15.95" customHeight="1">
      <c r="A1458" s="465" t="s">
        <v>3654</v>
      </c>
      <c r="B1458" s="465" t="s">
        <v>3655</v>
      </c>
      <c r="C1458" s="465"/>
      <c r="D1458" s="465" t="s">
        <v>855</v>
      </c>
      <c r="E1458" s="465" t="s">
        <v>3641</v>
      </c>
      <c r="F1458" s="465" t="s">
        <v>3642</v>
      </c>
      <c r="G1458" s="465" t="s">
        <v>3574</v>
      </c>
      <c r="H1458" s="465" t="s">
        <v>3575</v>
      </c>
      <c r="I1458" s="465" t="s">
        <v>830</v>
      </c>
    </row>
    <row r="1459" hidden="1" ht="15.95" customHeight="1">
      <c r="A1459" s="465" t="s">
        <v>3656</v>
      </c>
      <c r="B1459" s="465" t="s">
        <v>3657</v>
      </c>
      <c r="C1459" s="465"/>
      <c r="D1459" s="465" t="s">
        <v>855</v>
      </c>
      <c r="E1459" s="465" t="s">
        <v>3641</v>
      </c>
      <c r="F1459" s="465" t="s">
        <v>3642</v>
      </c>
      <c r="G1459" s="465" t="s">
        <v>3574</v>
      </c>
      <c r="H1459" s="465" t="s">
        <v>3575</v>
      </c>
      <c r="I1459" s="465" t="s">
        <v>830</v>
      </c>
    </row>
    <row r="1460" hidden="1" ht="15.95" customHeight="1">
      <c r="A1460" s="465" t="s">
        <v>3658</v>
      </c>
      <c r="B1460" s="465" t="s">
        <v>3659</v>
      </c>
      <c r="C1460" s="465"/>
      <c r="D1460" s="465" t="s">
        <v>855</v>
      </c>
      <c r="E1460" s="465" t="s">
        <v>3641</v>
      </c>
      <c r="F1460" s="465" t="s">
        <v>3642</v>
      </c>
      <c r="G1460" s="465" t="s">
        <v>3574</v>
      </c>
      <c r="H1460" s="465" t="s">
        <v>3575</v>
      </c>
      <c r="I1460" s="465" t="s">
        <v>830</v>
      </c>
    </row>
    <row r="1461" hidden="1" ht="15.95" customHeight="1">
      <c r="A1461" s="465" t="s">
        <v>3660</v>
      </c>
      <c r="B1461" s="465" t="s">
        <v>3661</v>
      </c>
      <c r="C1461" s="465"/>
      <c r="D1461" s="465" t="s">
        <v>855</v>
      </c>
      <c r="E1461" s="465" t="s">
        <v>3641</v>
      </c>
      <c r="F1461" s="465" t="s">
        <v>3642</v>
      </c>
      <c r="G1461" s="465" t="s">
        <v>3574</v>
      </c>
      <c r="H1461" s="465" t="s">
        <v>3575</v>
      </c>
      <c r="I1461" s="465" t="s">
        <v>830</v>
      </c>
    </row>
    <row r="1462" hidden="1" ht="15.95" customHeight="1">
      <c r="A1462" s="465" t="s">
        <v>3662</v>
      </c>
      <c r="B1462" s="465" t="s">
        <v>3663</v>
      </c>
      <c r="C1462" s="465"/>
      <c r="D1462" s="465" t="s">
        <v>855</v>
      </c>
      <c r="E1462" s="465" t="s">
        <v>3641</v>
      </c>
      <c r="F1462" s="465" t="s">
        <v>3642</v>
      </c>
      <c r="G1462" s="465" t="s">
        <v>3574</v>
      </c>
      <c r="H1462" s="465" t="s">
        <v>3575</v>
      </c>
      <c r="I1462" s="465" t="s">
        <v>830</v>
      </c>
    </row>
    <row r="1463" hidden="1" ht="15.95" customHeight="1">
      <c r="A1463" s="465" t="s">
        <v>3664</v>
      </c>
      <c r="B1463" s="465" t="s">
        <v>3665</v>
      </c>
      <c r="C1463" s="465"/>
      <c r="D1463" s="465" t="s">
        <v>884</v>
      </c>
      <c r="E1463" s="465" t="s">
        <v>3666</v>
      </c>
      <c r="F1463" s="465" t="s">
        <v>3667</v>
      </c>
      <c r="G1463" s="465" t="s">
        <v>3574</v>
      </c>
      <c r="H1463" s="465" t="s">
        <v>3575</v>
      </c>
      <c r="I1463" s="465" t="s">
        <v>830</v>
      </c>
    </row>
    <row r="1464" hidden="1" ht="15.95" customHeight="1">
      <c r="A1464" s="465" t="s">
        <v>3668</v>
      </c>
      <c r="B1464" s="465" t="s">
        <v>3669</v>
      </c>
      <c r="C1464" s="465"/>
      <c r="D1464" s="465" t="s">
        <v>855</v>
      </c>
      <c r="E1464" s="465" t="s">
        <v>3666</v>
      </c>
      <c r="F1464" s="465" t="s">
        <v>3667</v>
      </c>
      <c r="G1464" s="465" t="s">
        <v>3574</v>
      </c>
      <c r="H1464" s="465" t="s">
        <v>3575</v>
      </c>
      <c r="I1464" s="465" t="s">
        <v>830</v>
      </c>
    </row>
    <row r="1465" hidden="1" ht="15.95" customHeight="1">
      <c r="A1465" s="465" t="s">
        <v>3670</v>
      </c>
      <c r="B1465" s="465" t="s">
        <v>3671</v>
      </c>
      <c r="C1465" s="465"/>
      <c r="D1465" s="465" t="s">
        <v>855</v>
      </c>
      <c r="E1465" s="465" t="s">
        <v>3666</v>
      </c>
      <c r="F1465" s="465" t="s">
        <v>3667</v>
      </c>
      <c r="G1465" s="465" t="s">
        <v>3574</v>
      </c>
      <c r="H1465" s="465" t="s">
        <v>3575</v>
      </c>
      <c r="I1465" s="465" t="s">
        <v>830</v>
      </c>
    </row>
    <row r="1466" hidden="1" ht="15.95" customHeight="1">
      <c r="A1466" s="465" t="s">
        <v>3672</v>
      </c>
      <c r="B1466" s="465" t="s">
        <v>3673</v>
      </c>
      <c r="C1466" s="465"/>
      <c r="D1466" s="465" t="s">
        <v>855</v>
      </c>
      <c r="E1466" s="465" t="s">
        <v>3666</v>
      </c>
      <c r="F1466" s="465" t="s">
        <v>3667</v>
      </c>
      <c r="G1466" s="465" t="s">
        <v>3574</v>
      </c>
      <c r="H1466" s="465" t="s">
        <v>3575</v>
      </c>
      <c r="I1466" s="465" t="s">
        <v>830</v>
      </c>
    </row>
    <row r="1467" hidden="1" ht="15.95" customHeight="1">
      <c r="A1467" s="465" t="s">
        <v>3674</v>
      </c>
      <c r="B1467" s="465" t="s">
        <v>3675</v>
      </c>
      <c r="C1467" s="465"/>
      <c r="D1467" s="465" t="s">
        <v>855</v>
      </c>
      <c r="E1467" s="465" t="s">
        <v>3666</v>
      </c>
      <c r="F1467" s="465" t="s">
        <v>3667</v>
      </c>
      <c r="G1467" s="465" t="s">
        <v>3574</v>
      </c>
      <c r="H1467" s="465" t="s">
        <v>3575</v>
      </c>
      <c r="I1467" s="465" t="s">
        <v>830</v>
      </c>
    </row>
    <row r="1468" hidden="1" ht="15.95" customHeight="1">
      <c r="A1468" s="465" t="s">
        <v>3676</v>
      </c>
      <c r="B1468" s="465" t="s">
        <v>3677</v>
      </c>
      <c r="C1468" s="465"/>
      <c r="D1468" s="465" t="s">
        <v>855</v>
      </c>
      <c r="E1468" s="465" t="s">
        <v>3666</v>
      </c>
      <c r="F1468" s="465" t="s">
        <v>3667</v>
      </c>
      <c r="G1468" s="465" t="s">
        <v>3574</v>
      </c>
      <c r="H1468" s="465" t="s">
        <v>3575</v>
      </c>
      <c r="I1468" s="465" t="s">
        <v>830</v>
      </c>
    </row>
    <row r="1469" hidden="1" ht="15.95" customHeight="1">
      <c r="A1469" s="465" t="s">
        <v>3678</v>
      </c>
      <c r="B1469" s="465" t="s">
        <v>3679</v>
      </c>
      <c r="C1469" s="465"/>
      <c r="D1469" s="465" t="s">
        <v>855</v>
      </c>
      <c r="E1469" s="465" t="s">
        <v>3666</v>
      </c>
      <c r="F1469" s="465" t="s">
        <v>3667</v>
      </c>
      <c r="G1469" s="465" t="s">
        <v>3574</v>
      </c>
      <c r="H1469" s="465" t="s">
        <v>3575</v>
      </c>
      <c r="I1469" s="465" t="s">
        <v>830</v>
      </c>
    </row>
    <row r="1470" hidden="1" ht="15.95" customHeight="1">
      <c r="A1470" s="465" t="s">
        <v>3680</v>
      </c>
      <c r="B1470" s="465" t="s">
        <v>3681</v>
      </c>
      <c r="C1470" s="465"/>
      <c r="D1470" s="465" t="s">
        <v>855</v>
      </c>
      <c r="E1470" s="465" t="s">
        <v>3666</v>
      </c>
      <c r="F1470" s="465" t="s">
        <v>3667</v>
      </c>
      <c r="G1470" s="465" t="s">
        <v>3574</v>
      </c>
      <c r="H1470" s="465" t="s">
        <v>3575</v>
      </c>
      <c r="I1470" s="465" t="s">
        <v>830</v>
      </c>
    </row>
    <row r="1471" hidden="1" ht="15.95" customHeight="1">
      <c r="A1471" s="465" t="s">
        <v>3682</v>
      </c>
      <c r="B1471" s="465" t="s">
        <v>3683</v>
      </c>
      <c r="C1471" s="465"/>
      <c r="D1471" s="465" t="s">
        <v>855</v>
      </c>
      <c r="E1471" s="465" t="s">
        <v>3666</v>
      </c>
      <c r="F1471" s="465" t="s">
        <v>3667</v>
      </c>
      <c r="G1471" s="465" t="s">
        <v>3574</v>
      </c>
      <c r="H1471" s="465" t="s">
        <v>3575</v>
      </c>
      <c r="I1471" s="465" t="s">
        <v>830</v>
      </c>
    </row>
    <row r="1472" hidden="1" ht="15.95" customHeight="1">
      <c r="A1472" s="465" t="s">
        <v>3684</v>
      </c>
      <c r="B1472" s="465" t="s">
        <v>3685</v>
      </c>
      <c r="C1472" s="465"/>
      <c r="D1472" s="465" t="s">
        <v>855</v>
      </c>
      <c r="E1472" s="465" t="s">
        <v>3666</v>
      </c>
      <c r="F1472" s="465" t="s">
        <v>3667</v>
      </c>
      <c r="G1472" s="465" t="s">
        <v>3574</v>
      </c>
      <c r="H1472" s="465" t="s">
        <v>3575</v>
      </c>
      <c r="I1472" s="465" t="s">
        <v>830</v>
      </c>
    </row>
    <row r="1473" hidden="1" ht="15.95" customHeight="1">
      <c r="A1473" s="465" t="s">
        <v>3686</v>
      </c>
      <c r="B1473" s="465" t="s">
        <v>3687</v>
      </c>
      <c r="C1473" s="465"/>
      <c r="D1473" s="465" t="s">
        <v>855</v>
      </c>
      <c r="E1473" s="465" t="s">
        <v>3666</v>
      </c>
      <c r="F1473" s="465" t="s">
        <v>3667</v>
      </c>
      <c r="G1473" s="465" t="s">
        <v>3574</v>
      </c>
      <c r="H1473" s="465" t="s">
        <v>3575</v>
      </c>
      <c r="I1473" s="465" t="s">
        <v>830</v>
      </c>
    </row>
    <row r="1474" hidden="1" ht="15.95" customHeight="1">
      <c r="A1474" s="465" t="s">
        <v>3688</v>
      </c>
      <c r="B1474" s="465" t="s">
        <v>3689</v>
      </c>
      <c r="C1474" s="465"/>
      <c r="D1474" s="465" t="s">
        <v>855</v>
      </c>
      <c r="E1474" s="465" t="s">
        <v>3666</v>
      </c>
      <c r="F1474" s="465" t="s">
        <v>3667</v>
      </c>
      <c r="G1474" s="465" t="s">
        <v>3574</v>
      </c>
      <c r="H1474" s="465" t="s">
        <v>3575</v>
      </c>
      <c r="I1474" s="465" t="s">
        <v>830</v>
      </c>
    </row>
    <row r="1475" hidden="1" ht="15.95" customHeight="1">
      <c r="A1475" s="465" t="s">
        <v>3690</v>
      </c>
      <c r="B1475" s="465" t="s">
        <v>3691</v>
      </c>
      <c r="C1475" s="465"/>
      <c r="D1475" s="465" t="s">
        <v>855</v>
      </c>
      <c r="E1475" s="465" t="s">
        <v>3666</v>
      </c>
      <c r="F1475" s="465" t="s">
        <v>3667</v>
      </c>
      <c r="G1475" s="465" t="s">
        <v>3574</v>
      </c>
      <c r="H1475" s="465" t="s">
        <v>3575</v>
      </c>
      <c r="I1475" s="465" t="s">
        <v>830</v>
      </c>
    </row>
    <row r="1476" hidden="1" ht="15.95" customHeight="1">
      <c r="A1476" s="465" t="s">
        <v>3692</v>
      </c>
      <c r="B1476" s="465" t="s">
        <v>3693</v>
      </c>
      <c r="C1476" s="465"/>
      <c r="D1476" s="465" t="s">
        <v>855</v>
      </c>
      <c r="E1476" s="465" t="s">
        <v>3666</v>
      </c>
      <c r="F1476" s="465" t="s">
        <v>3667</v>
      </c>
      <c r="G1476" s="465" t="s">
        <v>3574</v>
      </c>
      <c r="H1476" s="465" t="s">
        <v>3575</v>
      </c>
      <c r="I1476" s="465" t="s">
        <v>830</v>
      </c>
    </row>
    <row r="1477" hidden="1" ht="15.95" customHeight="1">
      <c r="A1477" s="465" t="s">
        <v>3694</v>
      </c>
      <c r="B1477" s="465" t="s">
        <v>3695</v>
      </c>
      <c r="C1477" s="465"/>
      <c r="D1477" s="465" t="s">
        <v>855</v>
      </c>
      <c r="E1477" s="465" t="s">
        <v>3666</v>
      </c>
      <c r="F1477" s="465" t="s">
        <v>3667</v>
      </c>
      <c r="G1477" s="465" t="s">
        <v>3574</v>
      </c>
      <c r="H1477" s="465" t="s">
        <v>3575</v>
      </c>
      <c r="I1477" s="465" t="s">
        <v>830</v>
      </c>
    </row>
    <row r="1478" hidden="1" ht="15.95" customHeight="1">
      <c r="A1478" s="465" t="s">
        <v>3696</v>
      </c>
      <c r="B1478" s="465" t="s">
        <v>3697</v>
      </c>
      <c r="C1478" s="465"/>
      <c r="D1478" s="465" t="s">
        <v>855</v>
      </c>
      <c r="E1478" s="465" t="s">
        <v>3666</v>
      </c>
      <c r="F1478" s="465" t="s">
        <v>3667</v>
      </c>
      <c r="G1478" s="465" t="s">
        <v>3574</v>
      </c>
      <c r="H1478" s="465" t="s">
        <v>3575</v>
      </c>
      <c r="I1478" s="465" t="s">
        <v>830</v>
      </c>
    </row>
    <row r="1479" hidden="1" ht="15.95" customHeight="1">
      <c r="A1479" s="465" t="s">
        <v>3698</v>
      </c>
      <c r="B1479" s="465" t="s">
        <v>3699</v>
      </c>
      <c r="C1479" s="465"/>
      <c r="D1479" s="465" t="s">
        <v>855</v>
      </c>
      <c r="E1479" s="465" t="s">
        <v>3666</v>
      </c>
      <c r="F1479" s="465" t="s">
        <v>3667</v>
      </c>
      <c r="G1479" s="465" t="s">
        <v>3574</v>
      </c>
      <c r="H1479" s="465" t="s">
        <v>3575</v>
      </c>
      <c r="I1479" s="465" t="s">
        <v>830</v>
      </c>
    </row>
    <row r="1480" hidden="1" ht="15.95" customHeight="1">
      <c r="A1480" s="465" t="s">
        <v>3700</v>
      </c>
      <c r="B1480" s="465" t="s">
        <v>3701</v>
      </c>
      <c r="C1480" s="465"/>
      <c r="D1480" s="465" t="s">
        <v>855</v>
      </c>
      <c r="E1480" s="465" t="s">
        <v>3666</v>
      </c>
      <c r="F1480" s="465" t="s">
        <v>3667</v>
      </c>
      <c r="G1480" s="465" t="s">
        <v>3574</v>
      </c>
      <c r="H1480" s="465" t="s">
        <v>3575</v>
      </c>
      <c r="I1480" s="465" t="s">
        <v>830</v>
      </c>
    </row>
    <row r="1481" hidden="1" ht="15.95" customHeight="1">
      <c r="A1481" s="465" t="s">
        <v>3702</v>
      </c>
      <c r="B1481" s="465" t="s">
        <v>3703</v>
      </c>
      <c r="C1481" s="465"/>
      <c r="D1481" s="465" t="s">
        <v>855</v>
      </c>
      <c r="E1481" s="465" t="s">
        <v>3666</v>
      </c>
      <c r="F1481" s="465" t="s">
        <v>3667</v>
      </c>
      <c r="G1481" s="465" t="s">
        <v>3574</v>
      </c>
      <c r="H1481" s="465" t="s">
        <v>3575</v>
      </c>
      <c r="I1481" s="465" t="s">
        <v>830</v>
      </c>
    </row>
    <row r="1482" hidden="1" ht="15.95" customHeight="1">
      <c r="A1482" s="465" t="s">
        <v>3704</v>
      </c>
      <c r="B1482" s="465" t="s">
        <v>1691</v>
      </c>
      <c r="C1482" s="465"/>
      <c r="D1482" s="465" t="s">
        <v>855</v>
      </c>
      <c r="E1482" s="465" t="s">
        <v>3666</v>
      </c>
      <c r="F1482" s="465" t="s">
        <v>3667</v>
      </c>
      <c r="G1482" s="465" t="s">
        <v>3574</v>
      </c>
      <c r="H1482" s="465" t="s">
        <v>3575</v>
      </c>
      <c r="I1482" s="465" t="s">
        <v>830</v>
      </c>
    </row>
    <row r="1483" hidden="1" ht="15.95" customHeight="1">
      <c r="A1483" s="465" t="s">
        <v>3705</v>
      </c>
      <c r="B1483" s="465" t="s">
        <v>3706</v>
      </c>
      <c r="C1483" s="465"/>
      <c r="D1483" s="465" t="s">
        <v>855</v>
      </c>
      <c r="E1483" s="465" t="s">
        <v>3666</v>
      </c>
      <c r="F1483" s="465" t="s">
        <v>3667</v>
      </c>
      <c r="G1483" s="465" t="s">
        <v>3574</v>
      </c>
      <c r="H1483" s="465" t="s">
        <v>3575</v>
      </c>
      <c r="I1483" s="465" t="s">
        <v>830</v>
      </c>
    </row>
    <row r="1484" hidden="1" ht="15.95" customHeight="1">
      <c r="A1484" s="465" t="s">
        <v>3707</v>
      </c>
      <c r="B1484" s="465" t="s">
        <v>1364</v>
      </c>
      <c r="C1484" s="465"/>
      <c r="D1484" s="465" t="s">
        <v>855</v>
      </c>
      <c r="E1484" s="465" t="s">
        <v>3666</v>
      </c>
      <c r="F1484" s="465" t="s">
        <v>3667</v>
      </c>
      <c r="G1484" s="465" t="s">
        <v>3574</v>
      </c>
      <c r="H1484" s="465" t="s">
        <v>3575</v>
      </c>
      <c r="I1484" s="465" t="s">
        <v>830</v>
      </c>
    </row>
    <row r="1485" hidden="1" ht="15.95" customHeight="1">
      <c r="A1485" s="465" t="s">
        <v>3708</v>
      </c>
      <c r="B1485" s="465" t="s">
        <v>3709</v>
      </c>
      <c r="C1485" s="465"/>
      <c r="D1485" s="465" t="s">
        <v>855</v>
      </c>
      <c r="E1485" s="465" t="s">
        <v>3666</v>
      </c>
      <c r="F1485" s="465" t="s">
        <v>3667</v>
      </c>
      <c r="G1485" s="465" t="s">
        <v>3574</v>
      </c>
      <c r="H1485" s="465" t="s">
        <v>3575</v>
      </c>
      <c r="I1485" s="465" t="s">
        <v>830</v>
      </c>
    </row>
    <row r="1486" hidden="1" ht="15.95" customHeight="1">
      <c r="A1486" s="465" t="s">
        <v>3710</v>
      </c>
      <c r="B1486" s="465" t="s">
        <v>3711</v>
      </c>
      <c r="C1486" s="465"/>
      <c r="D1486" s="465" t="s">
        <v>855</v>
      </c>
      <c r="E1486" s="465" t="s">
        <v>3666</v>
      </c>
      <c r="F1486" s="465" t="s">
        <v>3667</v>
      </c>
      <c r="G1486" s="465" t="s">
        <v>3574</v>
      </c>
      <c r="H1486" s="465" t="s">
        <v>3575</v>
      </c>
      <c r="I1486" s="465" t="s">
        <v>830</v>
      </c>
    </row>
    <row r="1487" hidden="1" ht="15.95" customHeight="1">
      <c r="A1487" s="465" t="s">
        <v>3712</v>
      </c>
      <c r="B1487" s="465" t="s">
        <v>2625</v>
      </c>
      <c r="C1487" s="465"/>
      <c r="D1487" s="465" t="s">
        <v>855</v>
      </c>
      <c r="E1487" s="465" t="s">
        <v>3666</v>
      </c>
      <c r="F1487" s="465" t="s">
        <v>3667</v>
      </c>
      <c r="G1487" s="465" t="s">
        <v>3574</v>
      </c>
      <c r="H1487" s="465" t="s">
        <v>3575</v>
      </c>
      <c r="I1487" s="465" t="s">
        <v>830</v>
      </c>
    </row>
    <row r="1488" hidden="1" ht="15.95" customHeight="1">
      <c r="A1488" s="465" t="s">
        <v>3713</v>
      </c>
      <c r="B1488" s="465" t="s">
        <v>3714</v>
      </c>
      <c r="C1488" s="465"/>
      <c r="D1488" s="465" t="s">
        <v>855</v>
      </c>
      <c r="E1488" s="465" t="s">
        <v>3715</v>
      </c>
      <c r="F1488" s="465" t="s">
        <v>3716</v>
      </c>
      <c r="G1488" s="465" t="s">
        <v>3574</v>
      </c>
      <c r="H1488" s="465" t="s">
        <v>3575</v>
      </c>
      <c r="I1488" s="465" t="s">
        <v>830</v>
      </c>
    </row>
    <row r="1489" hidden="1" ht="15.95" customHeight="1">
      <c r="A1489" s="465" t="s">
        <v>3717</v>
      </c>
      <c r="B1489" s="465" t="s">
        <v>3718</v>
      </c>
      <c r="C1489" s="465"/>
      <c r="D1489" s="465" t="s">
        <v>855</v>
      </c>
      <c r="E1489" s="465" t="s">
        <v>3715</v>
      </c>
      <c r="F1489" s="465" t="s">
        <v>3716</v>
      </c>
      <c r="G1489" s="465" t="s">
        <v>3574</v>
      </c>
      <c r="H1489" s="465" t="s">
        <v>3575</v>
      </c>
      <c r="I1489" s="465" t="s">
        <v>830</v>
      </c>
    </row>
    <row r="1490" hidden="1" ht="15.95" customHeight="1">
      <c r="A1490" s="465" t="s">
        <v>3719</v>
      </c>
      <c r="B1490" s="465" t="s">
        <v>2352</v>
      </c>
      <c r="C1490" s="465"/>
      <c r="D1490" s="465" t="s">
        <v>855</v>
      </c>
      <c r="E1490" s="465" t="s">
        <v>3715</v>
      </c>
      <c r="F1490" s="465" t="s">
        <v>3716</v>
      </c>
      <c r="G1490" s="465" t="s">
        <v>3574</v>
      </c>
      <c r="H1490" s="465" t="s">
        <v>3575</v>
      </c>
      <c r="I1490" s="465" t="s">
        <v>830</v>
      </c>
    </row>
    <row r="1491" hidden="1" ht="15.95" customHeight="1">
      <c r="A1491" s="465" t="s">
        <v>3720</v>
      </c>
      <c r="B1491" s="465" t="s">
        <v>3721</v>
      </c>
      <c r="C1491" s="465"/>
      <c r="D1491" s="465" t="s">
        <v>855</v>
      </c>
      <c r="E1491" s="465" t="s">
        <v>3715</v>
      </c>
      <c r="F1491" s="465" t="s">
        <v>3716</v>
      </c>
      <c r="G1491" s="465" t="s">
        <v>3574</v>
      </c>
      <c r="H1491" s="465" t="s">
        <v>3575</v>
      </c>
      <c r="I1491" s="465" t="s">
        <v>830</v>
      </c>
    </row>
    <row r="1492" hidden="1" ht="15.95" customHeight="1">
      <c r="A1492" s="465" t="s">
        <v>3722</v>
      </c>
      <c r="B1492" s="465" t="s">
        <v>3723</v>
      </c>
      <c r="C1492" s="465"/>
      <c r="D1492" s="465" t="s">
        <v>855</v>
      </c>
      <c r="E1492" s="465" t="s">
        <v>3715</v>
      </c>
      <c r="F1492" s="465" t="s">
        <v>3716</v>
      </c>
      <c r="G1492" s="465" t="s">
        <v>3574</v>
      </c>
      <c r="H1492" s="465" t="s">
        <v>3575</v>
      </c>
      <c r="I1492" s="465" t="s">
        <v>830</v>
      </c>
    </row>
    <row r="1493" hidden="1" ht="15.95" customHeight="1">
      <c r="A1493" s="465" t="s">
        <v>3724</v>
      </c>
      <c r="B1493" s="465" t="s">
        <v>3725</v>
      </c>
      <c r="C1493" s="465"/>
      <c r="D1493" s="465" t="s">
        <v>855</v>
      </c>
      <c r="E1493" s="465" t="s">
        <v>3715</v>
      </c>
      <c r="F1493" s="465" t="s">
        <v>3716</v>
      </c>
      <c r="G1493" s="465" t="s">
        <v>3574</v>
      </c>
      <c r="H1493" s="465" t="s">
        <v>3575</v>
      </c>
      <c r="I1493" s="465" t="s">
        <v>830</v>
      </c>
    </row>
    <row r="1494" hidden="1" ht="15.95" customHeight="1">
      <c r="A1494" s="465" t="s">
        <v>3726</v>
      </c>
      <c r="B1494" s="465" t="s">
        <v>3727</v>
      </c>
      <c r="C1494" s="465"/>
      <c r="D1494" s="465" t="s">
        <v>855</v>
      </c>
      <c r="E1494" s="465" t="s">
        <v>3715</v>
      </c>
      <c r="F1494" s="465" t="s">
        <v>3716</v>
      </c>
      <c r="G1494" s="465" t="s">
        <v>3574</v>
      </c>
      <c r="H1494" s="465" t="s">
        <v>3575</v>
      </c>
      <c r="I1494" s="465" t="s">
        <v>830</v>
      </c>
    </row>
    <row r="1495" hidden="1" ht="15.95" customHeight="1">
      <c r="A1495" s="465" t="s">
        <v>3728</v>
      </c>
      <c r="B1495" s="465" t="s">
        <v>2076</v>
      </c>
      <c r="C1495" s="465"/>
      <c r="D1495" s="465" t="s">
        <v>855</v>
      </c>
      <c r="E1495" s="465" t="s">
        <v>3715</v>
      </c>
      <c r="F1495" s="465" t="s">
        <v>3716</v>
      </c>
      <c r="G1495" s="465" t="s">
        <v>3574</v>
      </c>
      <c r="H1495" s="465" t="s">
        <v>3575</v>
      </c>
      <c r="I1495" s="465" t="s">
        <v>830</v>
      </c>
    </row>
    <row r="1496" hidden="1" ht="15.95" customHeight="1">
      <c r="A1496" s="465" t="s">
        <v>3729</v>
      </c>
      <c r="B1496" s="465" t="s">
        <v>3730</v>
      </c>
      <c r="C1496" s="465"/>
      <c r="D1496" s="465" t="s">
        <v>855</v>
      </c>
      <c r="E1496" s="465" t="s">
        <v>3715</v>
      </c>
      <c r="F1496" s="465" t="s">
        <v>3716</v>
      </c>
      <c r="G1496" s="465" t="s">
        <v>3574</v>
      </c>
      <c r="H1496" s="465" t="s">
        <v>3575</v>
      </c>
      <c r="I1496" s="465" t="s">
        <v>830</v>
      </c>
    </row>
    <row r="1497" hidden="1" ht="15.95" customHeight="1">
      <c r="A1497" s="465" t="s">
        <v>3731</v>
      </c>
      <c r="B1497" s="465" t="s">
        <v>3732</v>
      </c>
      <c r="C1497" s="465"/>
      <c r="D1497" s="465" t="s">
        <v>855</v>
      </c>
      <c r="E1497" s="465" t="s">
        <v>3715</v>
      </c>
      <c r="F1497" s="465" t="s">
        <v>3716</v>
      </c>
      <c r="G1497" s="465" t="s">
        <v>3574</v>
      </c>
      <c r="H1497" s="465" t="s">
        <v>3575</v>
      </c>
      <c r="I1497" s="465" t="s">
        <v>830</v>
      </c>
    </row>
    <row r="1498" hidden="1" ht="15.95" customHeight="1">
      <c r="A1498" s="465" t="s">
        <v>3733</v>
      </c>
      <c r="B1498" s="465" t="s">
        <v>3734</v>
      </c>
      <c r="C1498" s="465"/>
      <c r="D1498" s="465" t="s">
        <v>855</v>
      </c>
      <c r="E1498" s="465" t="s">
        <v>3715</v>
      </c>
      <c r="F1498" s="465" t="s">
        <v>3716</v>
      </c>
      <c r="G1498" s="465" t="s">
        <v>3574</v>
      </c>
      <c r="H1498" s="465" t="s">
        <v>3575</v>
      </c>
      <c r="I1498" s="465" t="s">
        <v>830</v>
      </c>
    </row>
    <row r="1499" hidden="1" ht="15.95" customHeight="1">
      <c r="A1499" s="465" t="s">
        <v>3735</v>
      </c>
      <c r="B1499" s="465" t="s">
        <v>3736</v>
      </c>
      <c r="C1499" s="465"/>
      <c r="D1499" s="465" t="s">
        <v>855</v>
      </c>
      <c r="E1499" s="465" t="s">
        <v>3715</v>
      </c>
      <c r="F1499" s="465" t="s">
        <v>3716</v>
      </c>
      <c r="G1499" s="465" t="s">
        <v>3574</v>
      </c>
      <c r="H1499" s="465" t="s">
        <v>3575</v>
      </c>
      <c r="I1499" s="465" t="s">
        <v>830</v>
      </c>
    </row>
    <row r="1500" hidden="1" ht="15.95" customHeight="1">
      <c r="A1500" s="465" t="s">
        <v>3737</v>
      </c>
      <c r="B1500" s="465" t="s">
        <v>3738</v>
      </c>
      <c r="C1500" s="465"/>
      <c r="D1500" s="465" t="s">
        <v>855</v>
      </c>
      <c r="E1500" s="465" t="s">
        <v>3715</v>
      </c>
      <c r="F1500" s="465" t="s">
        <v>3716</v>
      </c>
      <c r="G1500" s="465" t="s">
        <v>3574</v>
      </c>
      <c r="H1500" s="465" t="s">
        <v>3575</v>
      </c>
      <c r="I1500" s="465" t="s">
        <v>830</v>
      </c>
    </row>
    <row r="1501" hidden="1" ht="15.95" customHeight="1">
      <c r="A1501" s="465" t="s">
        <v>3739</v>
      </c>
      <c r="B1501" s="465" t="s">
        <v>1833</v>
      </c>
      <c r="C1501" s="465"/>
      <c r="D1501" s="465" t="s">
        <v>855</v>
      </c>
      <c r="E1501" s="465" t="s">
        <v>3715</v>
      </c>
      <c r="F1501" s="465" t="s">
        <v>3716</v>
      </c>
      <c r="G1501" s="465" t="s">
        <v>3574</v>
      </c>
      <c r="H1501" s="465" t="s">
        <v>3575</v>
      </c>
      <c r="I1501" s="465" t="s">
        <v>830</v>
      </c>
    </row>
    <row r="1502" hidden="1" ht="15.95" customHeight="1">
      <c r="A1502" s="465" t="s">
        <v>3740</v>
      </c>
      <c r="B1502" s="465" t="s">
        <v>3741</v>
      </c>
      <c r="C1502" s="465"/>
      <c r="D1502" s="465" t="s">
        <v>855</v>
      </c>
      <c r="E1502" s="465" t="s">
        <v>3715</v>
      </c>
      <c r="F1502" s="465" t="s">
        <v>3716</v>
      </c>
      <c r="G1502" s="465" t="s">
        <v>3574</v>
      </c>
      <c r="H1502" s="465" t="s">
        <v>3575</v>
      </c>
      <c r="I1502" s="465" t="s">
        <v>830</v>
      </c>
    </row>
    <row r="1503" hidden="1" ht="15.95" customHeight="1">
      <c r="A1503" s="465" t="s">
        <v>3742</v>
      </c>
      <c r="B1503" s="465" t="s">
        <v>3743</v>
      </c>
      <c r="C1503" s="465"/>
      <c r="D1503" s="465" t="s">
        <v>855</v>
      </c>
      <c r="E1503" s="465" t="s">
        <v>3715</v>
      </c>
      <c r="F1503" s="465" t="s">
        <v>3716</v>
      </c>
      <c r="G1503" s="465" t="s">
        <v>3574</v>
      </c>
      <c r="H1503" s="465" t="s">
        <v>3575</v>
      </c>
      <c r="I1503" s="465" t="s">
        <v>830</v>
      </c>
    </row>
    <row r="1504" hidden="1" ht="15.95" customHeight="1">
      <c r="A1504" s="465" t="s">
        <v>3744</v>
      </c>
      <c r="B1504" s="465" t="s">
        <v>3745</v>
      </c>
      <c r="C1504" s="465"/>
      <c r="D1504" s="465" t="s">
        <v>884</v>
      </c>
      <c r="E1504" s="465" t="s">
        <v>3746</v>
      </c>
      <c r="F1504" s="465" t="s">
        <v>1883</v>
      </c>
      <c r="G1504" s="465" t="s">
        <v>3574</v>
      </c>
      <c r="H1504" s="465" t="s">
        <v>3575</v>
      </c>
      <c r="I1504" s="465" t="s">
        <v>830</v>
      </c>
    </row>
    <row r="1505" hidden="1" ht="15.95" customHeight="1">
      <c r="A1505" s="465" t="s">
        <v>3747</v>
      </c>
      <c r="B1505" s="465" t="s">
        <v>3748</v>
      </c>
      <c r="C1505" s="465"/>
      <c r="D1505" s="465" t="s">
        <v>855</v>
      </c>
      <c r="E1505" s="465" t="s">
        <v>3746</v>
      </c>
      <c r="F1505" s="465" t="s">
        <v>1883</v>
      </c>
      <c r="G1505" s="465" t="s">
        <v>3574</v>
      </c>
      <c r="H1505" s="465" t="s">
        <v>3575</v>
      </c>
      <c r="I1505" s="465" t="s">
        <v>830</v>
      </c>
    </row>
    <row r="1506" hidden="1" ht="15.95" customHeight="1">
      <c r="A1506" s="465" t="s">
        <v>3749</v>
      </c>
      <c r="B1506" s="465" t="s">
        <v>3750</v>
      </c>
      <c r="C1506" s="465"/>
      <c r="D1506" s="465" t="s">
        <v>855</v>
      </c>
      <c r="E1506" s="465" t="s">
        <v>3746</v>
      </c>
      <c r="F1506" s="465" t="s">
        <v>1883</v>
      </c>
      <c r="G1506" s="465" t="s">
        <v>3574</v>
      </c>
      <c r="H1506" s="465" t="s">
        <v>3575</v>
      </c>
      <c r="I1506" s="465" t="s">
        <v>830</v>
      </c>
    </row>
    <row r="1507" hidden="1" ht="15.95" customHeight="1">
      <c r="A1507" s="465" t="s">
        <v>3751</v>
      </c>
      <c r="B1507" s="465" t="s">
        <v>3752</v>
      </c>
      <c r="C1507" s="465"/>
      <c r="D1507" s="465" t="s">
        <v>855</v>
      </c>
      <c r="E1507" s="465" t="s">
        <v>3746</v>
      </c>
      <c r="F1507" s="465" t="s">
        <v>1883</v>
      </c>
      <c r="G1507" s="465" t="s">
        <v>3574</v>
      </c>
      <c r="H1507" s="465" t="s">
        <v>3575</v>
      </c>
      <c r="I1507" s="465" t="s">
        <v>830</v>
      </c>
    </row>
    <row r="1508" hidden="1" ht="15.95" customHeight="1">
      <c r="A1508" s="465" t="s">
        <v>3753</v>
      </c>
      <c r="B1508" s="465" t="s">
        <v>3754</v>
      </c>
      <c r="C1508" s="465"/>
      <c r="D1508" s="465" t="s">
        <v>855</v>
      </c>
      <c r="E1508" s="465" t="s">
        <v>3746</v>
      </c>
      <c r="F1508" s="465" t="s">
        <v>1883</v>
      </c>
      <c r="G1508" s="465" t="s">
        <v>3574</v>
      </c>
      <c r="H1508" s="465" t="s">
        <v>3575</v>
      </c>
      <c r="I1508" s="465" t="s">
        <v>830</v>
      </c>
    </row>
    <row r="1509" hidden="1" ht="15.95" customHeight="1">
      <c r="A1509" s="465" t="s">
        <v>3755</v>
      </c>
      <c r="B1509" s="465" t="s">
        <v>3756</v>
      </c>
      <c r="C1509" s="465"/>
      <c r="D1509" s="465" t="s">
        <v>855</v>
      </c>
      <c r="E1509" s="465" t="s">
        <v>3746</v>
      </c>
      <c r="F1509" s="465" t="s">
        <v>1883</v>
      </c>
      <c r="G1509" s="465" t="s">
        <v>3574</v>
      </c>
      <c r="H1509" s="465" t="s">
        <v>3575</v>
      </c>
      <c r="I1509" s="465" t="s">
        <v>830</v>
      </c>
    </row>
    <row r="1510" hidden="1" ht="15.95" customHeight="1">
      <c r="A1510" s="465" t="s">
        <v>3757</v>
      </c>
      <c r="B1510" s="465" t="s">
        <v>3758</v>
      </c>
      <c r="C1510" s="465"/>
      <c r="D1510" s="465" t="s">
        <v>855</v>
      </c>
      <c r="E1510" s="465" t="s">
        <v>3746</v>
      </c>
      <c r="F1510" s="465" t="s">
        <v>1883</v>
      </c>
      <c r="G1510" s="465" t="s">
        <v>3574</v>
      </c>
      <c r="H1510" s="465" t="s">
        <v>3575</v>
      </c>
      <c r="I1510" s="465" t="s">
        <v>830</v>
      </c>
    </row>
    <row r="1511" hidden="1" ht="15.95" customHeight="1">
      <c r="A1511" s="465" t="s">
        <v>3759</v>
      </c>
      <c r="B1511" s="465" t="s">
        <v>3760</v>
      </c>
      <c r="C1511" s="465"/>
      <c r="D1511" s="465" t="s">
        <v>855</v>
      </c>
      <c r="E1511" s="465" t="s">
        <v>3746</v>
      </c>
      <c r="F1511" s="465" t="s">
        <v>1883</v>
      </c>
      <c r="G1511" s="465" t="s">
        <v>3574</v>
      </c>
      <c r="H1511" s="465" t="s">
        <v>3575</v>
      </c>
      <c r="I1511" s="465" t="s">
        <v>830</v>
      </c>
    </row>
    <row r="1512" hidden="1" ht="15.95" customHeight="1">
      <c r="A1512" s="465" t="s">
        <v>3761</v>
      </c>
      <c r="B1512" s="465" t="s">
        <v>3124</v>
      </c>
      <c r="C1512" s="465"/>
      <c r="D1512" s="465" t="s">
        <v>855</v>
      </c>
      <c r="E1512" s="465" t="s">
        <v>3746</v>
      </c>
      <c r="F1512" s="465" t="s">
        <v>1883</v>
      </c>
      <c r="G1512" s="465" t="s">
        <v>3574</v>
      </c>
      <c r="H1512" s="465" t="s">
        <v>3575</v>
      </c>
      <c r="I1512" s="465" t="s">
        <v>830</v>
      </c>
    </row>
    <row r="1513" hidden="1" ht="15.95" customHeight="1">
      <c r="A1513" s="465" t="s">
        <v>3762</v>
      </c>
      <c r="B1513" s="465" t="s">
        <v>3763</v>
      </c>
      <c r="C1513" s="465"/>
      <c r="D1513" s="465" t="s">
        <v>855</v>
      </c>
      <c r="E1513" s="465" t="s">
        <v>3746</v>
      </c>
      <c r="F1513" s="465" t="s">
        <v>1883</v>
      </c>
      <c r="G1513" s="465" t="s">
        <v>3574</v>
      </c>
      <c r="H1513" s="465" t="s">
        <v>3575</v>
      </c>
      <c r="I1513" s="465" t="s">
        <v>830</v>
      </c>
    </row>
    <row r="1514" hidden="1" ht="15.95" customHeight="1">
      <c r="A1514" s="465" t="s">
        <v>3764</v>
      </c>
      <c r="B1514" s="465" t="s">
        <v>2373</v>
      </c>
      <c r="C1514" s="465"/>
      <c r="D1514" s="465" t="s">
        <v>855</v>
      </c>
      <c r="E1514" s="465" t="s">
        <v>3746</v>
      </c>
      <c r="F1514" s="465" t="s">
        <v>1883</v>
      </c>
      <c r="G1514" s="465" t="s">
        <v>3574</v>
      </c>
      <c r="H1514" s="465" t="s">
        <v>3575</v>
      </c>
      <c r="I1514" s="465" t="s">
        <v>830</v>
      </c>
    </row>
    <row r="1515" hidden="1" ht="15.95" customHeight="1">
      <c r="A1515" s="465" t="s">
        <v>3765</v>
      </c>
      <c r="B1515" s="465" t="s">
        <v>3489</v>
      </c>
      <c r="C1515" s="465"/>
      <c r="D1515" s="465" t="s">
        <v>855</v>
      </c>
      <c r="E1515" s="465" t="s">
        <v>3746</v>
      </c>
      <c r="F1515" s="465" t="s">
        <v>1883</v>
      </c>
      <c r="G1515" s="465" t="s">
        <v>3574</v>
      </c>
      <c r="H1515" s="465" t="s">
        <v>3575</v>
      </c>
      <c r="I1515" s="465" t="s">
        <v>830</v>
      </c>
    </row>
    <row r="1516" hidden="1" ht="15.95" customHeight="1">
      <c r="A1516" s="465" t="s">
        <v>3766</v>
      </c>
      <c r="B1516" s="465" t="s">
        <v>3767</v>
      </c>
      <c r="C1516" s="465"/>
      <c r="D1516" s="465" t="s">
        <v>855</v>
      </c>
      <c r="E1516" s="465" t="s">
        <v>3746</v>
      </c>
      <c r="F1516" s="465" t="s">
        <v>1883</v>
      </c>
      <c r="G1516" s="465" t="s">
        <v>3574</v>
      </c>
      <c r="H1516" s="465" t="s">
        <v>3575</v>
      </c>
      <c r="I1516" s="465" t="s">
        <v>830</v>
      </c>
    </row>
    <row r="1517" hidden="1" ht="15.95" customHeight="1">
      <c r="A1517" s="465" t="s">
        <v>3768</v>
      </c>
      <c r="B1517" s="465" t="s">
        <v>2458</v>
      </c>
      <c r="C1517" s="465"/>
      <c r="D1517" s="465" t="s">
        <v>855</v>
      </c>
      <c r="E1517" s="465" t="s">
        <v>3746</v>
      </c>
      <c r="F1517" s="465" t="s">
        <v>1883</v>
      </c>
      <c r="G1517" s="465" t="s">
        <v>3574</v>
      </c>
      <c r="H1517" s="465" t="s">
        <v>3575</v>
      </c>
      <c r="I1517" s="465" t="s">
        <v>830</v>
      </c>
    </row>
    <row r="1518" hidden="1" ht="15.95" customHeight="1">
      <c r="A1518" s="465" t="s">
        <v>3769</v>
      </c>
      <c r="B1518" s="465" t="s">
        <v>1788</v>
      </c>
      <c r="C1518" s="465"/>
      <c r="D1518" s="465" t="s">
        <v>855</v>
      </c>
      <c r="E1518" s="465" t="s">
        <v>3746</v>
      </c>
      <c r="F1518" s="465" t="s">
        <v>1883</v>
      </c>
      <c r="G1518" s="465" t="s">
        <v>3574</v>
      </c>
      <c r="H1518" s="465" t="s">
        <v>3575</v>
      </c>
      <c r="I1518" s="465" t="s">
        <v>830</v>
      </c>
    </row>
    <row r="1519" hidden="1" ht="15.95" customHeight="1">
      <c r="A1519" s="465" t="s">
        <v>3770</v>
      </c>
      <c r="B1519" s="465" t="s">
        <v>3771</v>
      </c>
      <c r="C1519" s="465"/>
      <c r="D1519" s="465" t="s">
        <v>855</v>
      </c>
      <c r="E1519" s="465" t="s">
        <v>3746</v>
      </c>
      <c r="F1519" s="465" t="s">
        <v>1883</v>
      </c>
      <c r="G1519" s="465" t="s">
        <v>3574</v>
      </c>
      <c r="H1519" s="465" t="s">
        <v>3575</v>
      </c>
      <c r="I1519" s="465" t="s">
        <v>830</v>
      </c>
    </row>
    <row r="1520" hidden="1" ht="15.95" customHeight="1">
      <c r="A1520" s="465" t="s">
        <v>3772</v>
      </c>
      <c r="B1520" s="465" t="s">
        <v>2321</v>
      </c>
      <c r="C1520" s="465"/>
      <c r="D1520" s="465" t="s">
        <v>855</v>
      </c>
      <c r="E1520" s="465" t="s">
        <v>3746</v>
      </c>
      <c r="F1520" s="465" t="s">
        <v>1883</v>
      </c>
      <c r="G1520" s="465" t="s">
        <v>3574</v>
      </c>
      <c r="H1520" s="465" t="s">
        <v>3575</v>
      </c>
      <c r="I1520" s="465" t="s">
        <v>830</v>
      </c>
    </row>
    <row r="1521" hidden="1" ht="15.95" customHeight="1">
      <c r="A1521" s="465" t="s">
        <v>3773</v>
      </c>
      <c r="B1521" s="465" t="s">
        <v>3774</v>
      </c>
      <c r="C1521" s="465"/>
      <c r="D1521" s="465" t="s">
        <v>855</v>
      </c>
      <c r="E1521" s="465" t="s">
        <v>3746</v>
      </c>
      <c r="F1521" s="465" t="s">
        <v>1883</v>
      </c>
      <c r="G1521" s="465" t="s">
        <v>3574</v>
      </c>
      <c r="H1521" s="465" t="s">
        <v>3575</v>
      </c>
      <c r="I1521" s="465" t="s">
        <v>830</v>
      </c>
    </row>
    <row r="1522" hidden="1" ht="15.95" customHeight="1">
      <c r="A1522" s="465" t="s">
        <v>3775</v>
      </c>
      <c r="B1522" s="465" t="s">
        <v>3776</v>
      </c>
      <c r="C1522" s="465"/>
      <c r="D1522" s="465" t="s">
        <v>855</v>
      </c>
      <c r="E1522" s="465" t="s">
        <v>3746</v>
      </c>
      <c r="F1522" s="465" t="s">
        <v>1883</v>
      </c>
      <c r="G1522" s="465" t="s">
        <v>3574</v>
      </c>
      <c r="H1522" s="465" t="s">
        <v>3575</v>
      </c>
      <c r="I1522" s="465" t="s">
        <v>830</v>
      </c>
    </row>
    <row r="1523" hidden="1" ht="15.95" customHeight="1">
      <c r="A1523" s="465" t="s">
        <v>3777</v>
      </c>
      <c r="B1523" s="465" t="s">
        <v>3425</v>
      </c>
      <c r="C1523" s="465"/>
      <c r="D1523" s="465" t="s">
        <v>855</v>
      </c>
      <c r="E1523" s="465" t="s">
        <v>3746</v>
      </c>
      <c r="F1523" s="465" t="s">
        <v>1883</v>
      </c>
      <c r="G1523" s="465" t="s">
        <v>3574</v>
      </c>
      <c r="H1523" s="465" t="s">
        <v>3575</v>
      </c>
      <c r="I1523" s="465" t="s">
        <v>830</v>
      </c>
    </row>
    <row r="1524" hidden="1" ht="15.95" customHeight="1">
      <c r="A1524" s="465" t="s">
        <v>3778</v>
      </c>
      <c r="B1524" s="465" t="s">
        <v>3779</v>
      </c>
      <c r="C1524" s="465"/>
      <c r="D1524" s="465" t="s">
        <v>855</v>
      </c>
      <c r="E1524" s="465" t="s">
        <v>3746</v>
      </c>
      <c r="F1524" s="465" t="s">
        <v>1883</v>
      </c>
      <c r="G1524" s="465" t="s">
        <v>3574</v>
      </c>
      <c r="H1524" s="465" t="s">
        <v>3575</v>
      </c>
      <c r="I1524" s="465" t="s">
        <v>830</v>
      </c>
    </row>
    <row r="1525" hidden="1" ht="15.95" customHeight="1">
      <c r="A1525" s="465" t="s">
        <v>3780</v>
      </c>
      <c r="B1525" s="465" t="s">
        <v>3781</v>
      </c>
      <c r="C1525" s="465"/>
      <c r="D1525" s="465" t="s">
        <v>855</v>
      </c>
      <c r="E1525" s="465" t="s">
        <v>3746</v>
      </c>
      <c r="F1525" s="465" t="s">
        <v>1883</v>
      </c>
      <c r="G1525" s="465" t="s">
        <v>3574</v>
      </c>
      <c r="H1525" s="465" t="s">
        <v>3575</v>
      </c>
      <c r="I1525" s="465" t="s">
        <v>830</v>
      </c>
    </row>
    <row r="1526" hidden="1" ht="15.95" customHeight="1">
      <c r="A1526" s="465" t="s">
        <v>3782</v>
      </c>
      <c r="B1526" s="465" t="s">
        <v>3783</v>
      </c>
      <c r="C1526" s="465"/>
      <c r="D1526" s="465" t="s">
        <v>855</v>
      </c>
      <c r="E1526" s="465" t="s">
        <v>3746</v>
      </c>
      <c r="F1526" s="465" t="s">
        <v>1883</v>
      </c>
      <c r="G1526" s="465" t="s">
        <v>3574</v>
      </c>
      <c r="H1526" s="465" t="s">
        <v>3575</v>
      </c>
      <c r="I1526" s="465" t="s">
        <v>830</v>
      </c>
    </row>
    <row r="1527" hidden="1" ht="15.95" customHeight="1">
      <c r="A1527" s="465" t="s">
        <v>3784</v>
      </c>
      <c r="B1527" s="465" t="s">
        <v>3785</v>
      </c>
      <c r="C1527" s="465"/>
      <c r="D1527" s="465" t="s">
        <v>884</v>
      </c>
      <c r="E1527" s="465" t="s">
        <v>3786</v>
      </c>
      <c r="F1527" s="465" t="s">
        <v>3787</v>
      </c>
      <c r="G1527" s="465" t="s">
        <v>3574</v>
      </c>
      <c r="H1527" s="465" t="s">
        <v>3575</v>
      </c>
      <c r="I1527" s="465" t="s">
        <v>830</v>
      </c>
    </row>
    <row r="1528" hidden="1" ht="15.95" customHeight="1">
      <c r="A1528" s="465" t="s">
        <v>3788</v>
      </c>
      <c r="B1528" s="465" t="s">
        <v>2381</v>
      </c>
      <c r="C1528" s="465"/>
      <c r="D1528" s="465" t="s">
        <v>855</v>
      </c>
      <c r="E1528" s="465" t="s">
        <v>3786</v>
      </c>
      <c r="F1528" s="465" t="s">
        <v>3787</v>
      </c>
      <c r="G1528" s="465" t="s">
        <v>3574</v>
      </c>
      <c r="H1528" s="465" t="s">
        <v>3575</v>
      </c>
      <c r="I1528" s="465" t="s">
        <v>830</v>
      </c>
    </row>
    <row r="1529" hidden="1" ht="15.95" customHeight="1">
      <c r="A1529" s="465" t="s">
        <v>3789</v>
      </c>
      <c r="B1529" s="465" t="s">
        <v>3790</v>
      </c>
      <c r="C1529" s="465"/>
      <c r="D1529" s="465" t="s">
        <v>855</v>
      </c>
      <c r="E1529" s="465" t="s">
        <v>3786</v>
      </c>
      <c r="F1529" s="465" t="s">
        <v>3787</v>
      </c>
      <c r="G1529" s="465" t="s">
        <v>3574</v>
      </c>
      <c r="H1529" s="465" t="s">
        <v>3575</v>
      </c>
      <c r="I1529" s="465" t="s">
        <v>830</v>
      </c>
    </row>
    <row r="1530" hidden="1" ht="15.95" customHeight="1">
      <c r="A1530" s="465" t="s">
        <v>3791</v>
      </c>
      <c r="B1530" s="465" t="s">
        <v>3792</v>
      </c>
      <c r="C1530" s="465"/>
      <c r="D1530" s="465" t="s">
        <v>855</v>
      </c>
      <c r="E1530" s="465" t="s">
        <v>3786</v>
      </c>
      <c r="F1530" s="465" t="s">
        <v>3787</v>
      </c>
      <c r="G1530" s="465" t="s">
        <v>3574</v>
      </c>
      <c r="H1530" s="465" t="s">
        <v>3575</v>
      </c>
      <c r="I1530" s="465" t="s">
        <v>830</v>
      </c>
    </row>
    <row r="1531" hidden="1" ht="15.95" customHeight="1">
      <c r="A1531" s="465" t="s">
        <v>3793</v>
      </c>
      <c r="B1531" s="465" t="s">
        <v>3794</v>
      </c>
      <c r="C1531" s="465"/>
      <c r="D1531" s="465" t="s">
        <v>855</v>
      </c>
      <c r="E1531" s="465" t="s">
        <v>3786</v>
      </c>
      <c r="F1531" s="465" t="s">
        <v>3787</v>
      </c>
      <c r="G1531" s="465" t="s">
        <v>3574</v>
      </c>
      <c r="H1531" s="465" t="s">
        <v>3575</v>
      </c>
      <c r="I1531" s="465" t="s">
        <v>830</v>
      </c>
    </row>
    <row r="1532" hidden="1" ht="15.95" customHeight="1">
      <c r="A1532" s="465" t="s">
        <v>3795</v>
      </c>
      <c r="B1532" s="465" t="s">
        <v>3796</v>
      </c>
      <c r="C1532" s="465"/>
      <c r="D1532" s="465" t="s">
        <v>855</v>
      </c>
      <c r="E1532" s="465" t="s">
        <v>3786</v>
      </c>
      <c r="F1532" s="465" t="s">
        <v>3787</v>
      </c>
      <c r="G1532" s="465" t="s">
        <v>3574</v>
      </c>
      <c r="H1532" s="465" t="s">
        <v>3575</v>
      </c>
      <c r="I1532" s="465" t="s">
        <v>830</v>
      </c>
    </row>
    <row r="1533" hidden="1" ht="15.95" customHeight="1">
      <c r="A1533" s="465" t="s">
        <v>3797</v>
      </c>
      <c r="B1533" s="465" t="s">
        <v>3798</v>
      </c>
      <c r="C1533" s="465"/>
      <c r="D1533" s="465" t="s">
        <v>855</v>
      </c>
      <c r="E1533" s="465" t="s">
        <v>3786</v>
      </c>
      <c r="F1533" s="465" t="s">
        <v>3787</v>
      </c>
      <c r="G1533" s="465" t="s">
        <v>3574</v>
      </c>
      <c r="H1533" s="465" t="s">
        <v>3575</v>
      </c>
      <c r="I1533" s="465" t="s">
        <v>830</v>
      </c>
    </row>
    <row r="1534" hidden="1" ht="15.95" customHeight="1">
      <c r="A1534" s="465" t="s">
        <v>3799</v>
      </c>
      <c r="B1534" s="465" t="s">
        <v>1699</v>
      </c>
      <c r="C1534" s="465"/>
      <c r="D1534" s="465" t="s">
        <v>855</v>
      </c>
      <c r="E1534" s="465" t="s">
        <v>3786</v>
      </c>
      <c r="F1534" s="465" t="s">
        <v>3787</v>
      </c>
      <c r="G1534" s="465" t="s">
        <v>3574</v>
      </c>
      <c r="H1534" s="465" t="s">
        <v>3575</v>
      </c>
      <c r="I1534" s="465" t="s">
        <v>830</v>
      </c>
    </row>
    <row r="1535" hidden="1" ht="15.95" customHeight="1">
      <c r="A1535" s="465" t="s">
        <v>3800</v>
      </c>
      <c r="B1535" s="465" t="s">
        <v>3801</v>
      </c>
      <c r="C1535" s="465"/>
      <c r="D1535" s="465" t="s">
        <v>855</v>
      </c>
      <c r="E1535" s="465" t="s">
        <v>3786</v>
      </c>
      <c r="F1535" s="465" t="s">
        <v>3787</v>
      </c>
      <c r="G1535" s="465" t="s">
        <v>3574</v>
      </c>
      <c r="H1535" s="465" t="s">
        <v>3575</v>
      </c>
      <c r="I1535" s="465" t="s">
        <v>830</v>
      </c>
    </row>
    <row r="1536" hidden="1" ht="15.95" customHeight="1">
      <c r="A1536" s="465" t="s">
        <v>3802</v>
      </c>
      <c r="B1536" s="465" t="s">
        <v>3803</v>
      </c>
      <c r="C1536" s="465"/>
      <c r="D1536" s="465" t="s">
        <v>855</v>
      </c>
      <c r="E1536" s="465" t="s">
        <v>3786</v>
      </c>
      <c r="F1536" s="465" t="s">
        <v>3787</v>
      </c>
      <c r="G1536" s="465" t="s">
        <v>3574</v>
      </c>
      <c r="H1536" s="465" t="s">
        <v>3575</v>
      </c>
      <c r="I1536" s="465" t="s">
        <v>830</v>
      </c>
    </row>
    <row r="1537" hidden="1" ht="15.95" customHeight="1">
      <c r="A1537" s="465" t="s">
        <v>3804</v>
      </c>
      <c r="B1537" s="465" t="s">
        <v>3805</v>
      </c>
      <c r="C1537" s="465"/>
      <c r="D1537" s="465" t="s">
        <v>855</v>
      </c>
      <c r="E1537" s="465" t="s">
        <v>3786</v>
      </c>
      <c r="F1537" s="465" t="s">
        <v>3787</v>
      </c>
      <c r="G1537" s="465" t="s">
        <v>3574</v>
      </c>
      <c r="H1537" s="465" t="s">
        <v>3575</v>
      </c>
      <c r="I1537" s="465" t="s">
        <v>830</v>
      </c>
    </row>
    <row r="1538" hidden="1" ht="15.95" customHeight="1">
      <c r="A1538" s="465" t="s">
        <v>3806</v>
      </c>
      <c r="B1538" s="465" t="s">
        <v>3807</v>
      </c>
      <c r="C1538" s="465"/>
      <c r="D1538" s="465" t="s">
        <v>855</v>
      </c>
      <c r="E1538" s="465" t="s">
        <v>3786</v>
      </c>
      <c r="F1538" s="465" t="s">
        <v>3787</v>
      </c>
      <c r="G1538" s="465" t="s">
        <v>3574</v>
      </c>
      <c r="H1538" s="465" t="s">
        <v>3575</v>
      </c>
      <c r="I1538" s="465" t="s">
        <v>830</v>
      </c>
    </row>
    <row r="1539" hidden="1" ht="15.95" customHeight="1">
      <c r="A1539" s="465" t="s">
        <v>3808</v>
      </c>
      <c r="B1539" s="465" t="s">
        <v>3809</v>
      </c>
      <c r="C1539" s="465"/>
      <c r="D1539" s="465" t="s">
        <v>855</v>
      </c>
      <c r="E1539" s="465" t="s">
        <v>3786</v>
      </c>
      <c r="F1539" s="465" t="s">
        <v>3787</v>
      </c>
      <c r="G1539" s="465" t="s">
        <v>3574</v>
      </c>
      <c r="H1539" s="465" t="s">
        <v>3575</v>
      </c>
      <c r="I1539" s="465" t="s">
        <v>830</v>
      </c>
    </row>
    <row r="1540" hidden="1" ht="15.95" customHeight="1">
      <c r="A1540" s="465" t="s">
        <v>3810</v>
      </c>
      <c r="B1540" s="465" t="s">
        <v>3811</v>
      </c>
      <c r="C1540" s="465"/>
      <c r="D1540" s="465" t="s">
        <v>855</v>
      </c>
      <c r="E1540" s="465" t="s">
        <v>3786</v>
      </c>
      <c r="F1540" s="465" t="s">
        <v>3787</v>
      </c>
      <c r="G1540" s="465" t="s">
        <v>3574</v>
      </c>
      <c r="H1540" s="465" t="s">
        <v>3575</v>
      </c>
      <c r="I1540" s="465" t="s">
        <v>830</v>
      </c>
    </row>
    <row r="1541" hidden="1" ht="15.95" customHeight="1">
      <c r="A1541" s="465" t="s">
        <v>3812</v>
      </c>
      <c r="B1541" s="465" t="s">
        <v>3813</v>
      </c>
      <c r="C1541" s="465"/>
      <c r="D1541" s="465" t="s">
        <v>855</v>
      </c>
      <c r="E1541" s="465" t="s">
        <v>3786</v>
      </c>
      <c r="F1541" s="465" t="s">
        <v>3787</v>
      </c>
      <c r="G1541" s="465" t="s">
        <v>3574</v>
      </c>
      <c r="H1541" s="465" t="s">
        <v>3575</v>
      </c>
      <c r="I1541" s="465" t="s">
        <v>830</v>
      </c>
    </row>
    <row r="1542" hidden="1" ht="15.95" customHeight="1">
      <c r="A1542" s="465" t="s">
        <v>3814</v>
      </c>
      <c r="B1542" s="465" t="s">
        <v>3815</v>
      </c>
      <c r="C1542" s="465"/>
      <c r="D1542" s="465" t="s">
        <v>855</v>
      </c>
      <c r="E1542" s="465" t="s">
        <v>3786</v>
      </c>
      <c r="F1542" s="465" t="s">
        <v>3787</v>
      </c>
      <c r="G1542" s="465" t="s">
        <v>3574</v>
      </c>
      <c r="H1542" s="465" t="s">
        <v>3575</v>
      </c>
      <c r="I1542" s="465" t="s">
        <v>830</v>
      </c>
    </row>
    <row r="1543" hidden="1" ht="15.95" customHeight="1">
      <c r="A1543" s="465" t="s">
        <v>3816</v>
      </c>
      <c r="B1543" s="465" t="s">
        <v>2437</v>
      </c>
      <c r="C1543" s="465"/>
      <c r="D1543" s="465" t="s">
        <v>855</v>
      </c>
      <c r="E1543" s="465" t="s">
        <v>3786</v>
      </c>
      <c r="F1543" s="465" t="s">
        <v>3787</v>
      </c>
      <c r="G1543" s="465" t="s">
        <v>3574</v>
      </c>
      <c r="H1543" s="465" t="s">
        <v>3575</v>
      </c>
      <c r="I1543" s="465" t="s">
        <v>830</v>
      </c>
    </row>
    <row r="1544" hidden="1" ht="15.95" customHeight="1">
      <c r="A1544" s="465" t="s">
        <v>3817</v>
      </c>
      <c r="B1544" s="465" t="s">
        <v>3818</v>
      </c>
      <c r="C1544" s="465"/>
      <c r="D1544" s="465" t="s">
        <v>855</v>
      </c>
      <c r="E1544" s="465" t="s">
        <v>3786</v>
      </c>
      <c r="F1544" s="465" t="s">
        <v>3787</v>
      </c>
      <c r="G1544" s="465" t="s">
        <v>3574</v>
      </c>
      <c r="H1544" s="465" t="s">
        <v>3575</v>
      </c>
      <c r="I1544" s="465" t="s">
        <v>830</v>
      </c>
    </row>
    <row r="1545" hidden="1" ht="15.95" customHeight="1">
      <c r="A1545" s="465" t="s">
        <v>3819</v>
      </c>
      <c r="B1545" s="465" t="s">
        <v>3820</v>
      </c>
      <c r="C1545" s="465"/>
      <c r="D1545" s="465" t="s">
        <v>855</v>
      </c>
      <c r="E1545" s="465" t="s">
        <v>3786</v>
      </c>
      <c r="F1545" s="465" t="s">
        <v>3787</v>
      </c>
      <c r="G1545" s="465" t="s">
        <v>3574</v>
      </c>
      <c r="H1545" s="465" t="s">
        <v>3575</v>
      </c>
      <c r="I1545" s="465" t="s">
        <v>830</v>
      </c>
    </row>
    <row r="1546" hidden="1" ht="15.95" customHeight="1">
      <c r="A1546" s="465" t="s">
        <v>3821</v>
      </c>
      <c r="B1546" s="465" t="s">
        <v>3822</v>
      </c>
      <c r="C1546" s="465"/>
      <c r="D1546" s="465" t="s">
        <v>884</v>
      </c>
      <c r="E1546" s="465" t="s">
        <v>3823</v>
      </c>
      <c r="F1546" s="465" t="s">
        <v>3824</v>
      </c>
      <c r="G1546" s="465" t="s">
        <v>3574</v>
      </c>
      <c r="H1546" s="465" t="s">
        <v>3575</v>
      </c>
      <c r="I1546" s="465" t="s">
        <v>830</v>
      </c>
    </row>
    <row r="1547" hidden="1" ht="15.95" customHeight="1">
      <c r="A1547" s="465" t="s">
        <v>3825</v>
      </c>
      <c r="B1547" s="465" t="s">
        <v>3826</v>
      </c>
      <c r="C1547" s="465"/>
      <c r="D1547" s="465" t="s">
        <v>855</v>
      </c>
      <c r="E1547" s="465" t="s">
        <v>3823</v>
      </c>
      <c r="F1547" s="465" t="s">
        <v>3824</v>
      </c>
      <c r="G1547" s="465" t="s">
        <v>3574</v>
      </c>
      <c r="H1547" s="465" t="s">
        <v>3575</v>
      </c>
      <c r="I1547" s="465" t="s">
        <v>830</v>
      </c>
    </row>
    <row r="1548" hidden="1" ht="15.95" customHeight="1">
      <c r="A1548" s="465" t="s">
        <v>3827</v>
      </c>
      <c r="B1548" s="465" t="s">
        <v>3725</v>
      </c>
      <c r="C1548" s="465"/>
      <c r="D1548" s="465" t="s">
        <v>855</v>
      </c>
      <c r="E1548" s="465" t="s">
        <v>3823</v>
      </c>
      <c r="F1548" s="465" t="s">
        <v>3824</v>
      </c>
      <c r="G1548" s="465" t="s">
        <v>3574</v>
      </c>
      <c r="H1548" s="465" t="s">
        <v>3575</v>
      </c>
      <c r="I1548" s="465" t="s">
        <v>830</v>
      </c>
    </row>
    <row r="1549" hidden="1" ht="15.95" customHeight="1">
      <c r="A1549" s="465" t="s">
        <v>3828</v>
      </c>
      <c r="B1549" s="465" t="s">
        <v>3829</v>
      </c>
      <c r="C1549" s="465"/>
      <c r="D1549" s="465" t="s">
        <v>855</v>
      </c>
      <c r="E1549" s="465" t="s">
        <v>3823</v>
      </c>
      <c r="F1549" s="465" t="s">
        <v>3824</v>
      </c>
      <c r="G1549" s="465" t="s">
        <v>3574</v>
      </c>
      <c r="H1549" s="465" t="s">
        <v>3575</v>
      </c>
      <c r="I1549" s="465" t="s">
        <v>830</v>
      </c>
    </row>
    <row r="1550" hidden="1" ht="15.95" customHeight="1">
      <c r="A1550" s="465" t="s">
        <v>3830</v>
      </c>
      <c r="B1550" s="465" t="s">
        <v>3831</v>
      </c>
      <c r="C1550" s="465"/>
      <c r="D1550" s="465" t="s">
        <v>855</v>
      </c>
      <c r="E1550" s="465" t="s">
        <v>3823</v>
      </c>
      <c r="F1550" s="465" t="s">
        <v>3824</v>
      </c>
      <c r="G1550" s="465" t="s">
        <v>3574</v>
      </c>
      <c r="H1550" s="465" t="s">
        <v>3575</v>
      </c>
      <c r="I1550" s="465" t="s">
        <v>830</v>
      </c>
    </row>
    <row r="1551" hidden="1" ht="15.95" customHeight="1">
      <c r="A1551" s="465" t="s">
        <v>3832</v>
      </c>
      <c r="B1551" s="465" t="s">
        <v>3833</v>
      </c>
      <c r="C1551" s="465"/>
      <c r="D1551" s="465" t="s">
        <v>855</v>
      </c>
      <c r="E1551" s="465" t="s">
        <v>3823</v>
      </c>
      <c r="F1551" s="465" t="s">
        <v>3824</v>
      </c>
      <c r="G1551" s="465" t="s">
        <v>3574</v>
      </c>
      <c r="H1551" s="465" t="s">
        <v>3575</v>
      </c>
      <c r="I1551" s="465" t="s">
        <v>830</v>
      </c>
    </row>
    <row r="1552" hidden="1" ht="15.95" customHeight="1">
      <c r="A1552" s="465" t="s">
        <v>3834</v>
      </c>
      <c r="B1552" s="465" t="s">
        <v>3835</v>
      </c>
      <c r="C1552" s="465"/>
      <c r="D1552" s="465" t="s">
        <v>855</v>
      </c>
      <c r="E1552" s="465" t="s">
        <v>3823</v>
      </c>
      <c r="F1552" s="465" t="s">
        <v>3824</v>
      </c>
      <c r="G1552" s="465" t="s">
        <v>3574</v>
      </c>
      <c r="H1552" s="465" t="s">
        <v>3575</v>
      </c>
      <c r="I1552" s="465" t="s">
        <v>830</v>
      </c>
    </row>
    <row r="1553" hidden="1" ht="15.95" customHeight="1">
      <c r="A1553" s="465" t="s">
        <v>3836</v>
      </c>
      <c r="B1553" s="465" t="s">
        <v>3232</v>
      </c>
      <c r="C1553" s="465"/>
      <c r="D1553" s="465" t="s">
        <v>855</v>
      </c>
      <c r="E1553" s="465" t="s">
        <v>3823</v>
      </c>
      <c r="F1553" s="465" t="s">
        <v>3824</v>
      </c>
      <c r="G1553" s="465" t="s">
        <v>3574</v>
      </c>
      <c r="H1553" s="465" t="s">
        <v>3575</v>
      </c>
      <c r="I1553" s="465" t="s">
        <v>830</v>
      </c>
    </row>
    <row r="1554" hidden="1" ht="15.95" customHeight="1">
      <c r="A1554" s="465" t="s">
        <v>3837</v>
      </c>
      <c r="B1554" s="465" t="s">
        <v>3838</v>
      </c>
      <c r="C1554" s="465"/>
      <c r="D1554" s="465" t="s">
        <v>855</v>
      </c>
      <c r="E1554" s="465" t="s">
        <v>3823</v>
      </c>
      <c r="F1554" s="465" t="s">
        <v>3824</v>
      </c>
      <c r="G1554" s="465" t="s">
        <v>3574</v>
      </c>
      <c r="H1554" s="465" t="s">
        <v>3575</v>
      </c>
      <c r="I1554" s="465" t="s">
        <v>830</v>
      </c>
    </row>
    <row r="1555" hidden="1" ht="15.95" customHeight="1">
      <c r="A1555" s="465" t="s">
        <v>3839</v>
      </c>
      <c r="B1555" s="465" t="s">
        <v>1910</v>
      </c>
      <c r="C1555" s="465"/>
      <c r="D1555" s="465" t="s">
        <v>855</v>
      </c>
      <c r="E1555" s="465" t="s">
        <v>3823</v>
      </c>
      <c r="F1555" s="465" t="s">
        <v>3824</v>
      </c>
      <c r="G1555" s="465" t="s">
        <v>3574</v>
      </c>
      <c r="H1555" s="465" t="s">
        <v>3575</v>
      </c>
      <c r="I1555" s="465" t="s">
        <v>830</v>
      </c>
    </row>
    <row r="1556" hidden="1" ht="15.95" customHeight="1">
      <c r="A1556" s="465" t="s">
        <v>3840</v>
      </c>
      <c r="B1556" s="465" t="s">
        <v>1094</v>
      </c>
      <c r="C1556" s="465"/>
      <c r="D1556" s="465" t="s">
        <v>855</v>
      </c>
      <c r="E1556" s="465" t="s">
        <v>3823</v>
      </c>
      <c r="F1556" s="465" t="s">
        <v>3824</v>
      </c>
      <c r="G1556" s="465" t="s">
        <v>3574</v>
      </c>
      <c r="H1556" s="465" t="s">
        <v>3575</v>
      </c>
      <c r="I1556" s="465" t="s">
        <v>830</v>
      </c>
    </row>
    <row r="1557" hidden="1" ht="15.95" customHeight="1">
      <c r="A1557" s="465" t="s">
        <v>3841</v>
      </c>
      <c r="B1557" s="465" t="s">
        <v>3842</v>
      </c>
      <c r="C1557" s="465"/>
      <c r="D1557" s="465" t="s">
        <v>855</v>
      </c>
      <c r="E1557" s="465" t="s">
        <v>3823</v>
      </c>
      <c r="F1557" s="465" t="s">
        <v>3824</v>
      </c>
      <c r="G1557" s="465" t="s">
        <v>3574</v>
      </c>
      <c r="H1557" s="465" t="s">
        <v>3575</v>
      </c>
      <c r="I1557" s="465" t="s">
        <v>830</v>
      </c>
    </row>
    <row r="1558" hidden="1" ht="15.95" customHeight="1">
      <c r="A1558" s="465" t="s">
        <v>3843</v>
      </c>
      <c r="B1558" s="465" t="s">
        <v>1781</v>
      </c>
      <c r="C1558" s="465"/>
      <c r="D1558" s="465" t="s">
        <v>855</v>
      </c>
      <c r="E1558" s="465" t="s">
        <v>3823</v>
      </c>
      <c r="F1558" s="465" t="s">
        <v>3824</v>
      </c>
      <c r="G1558" s="465" t="s">
        <v>3574</v>
      </c>
      <c r="H1558" s="465" t="s">
        <v>3575</v>
      </c>
      <c r="I1558" s="465" t="s">
        <v>830</v>
      </c>
    </row>
    <row r="1559" hidden="1" ht="15.95" customHeight="1">
      <c r="A1559" s="465" t="s">
        <v>3844</v>
      </c>
      <c r="B1559" s="465" t="s">
        <v>3845</v>
      </c>
      <c r="C1559" s="465"/>
      <c r="D1559" s="465" t="s">
        <v>884</v>
      </c>
      <c r="E1559" s="465" t="s">
        <v>3846</v>
      </c>
      <c r="F1559" s="465" t="s">
        <v>3847</v>
      </c>
      <c r="G1559" s="465" t="s">
        <v>3574</v>
      </c>
      <c r="H1559" s="465" t="s">
        <v>3575</v>
      </c>
      <c r="I1559" s="465" t="s">
        <v>830</v>
      </c>
    </row>
    <row r="1560" hidden="1" ht="15.95" customHeight="1">
      <c r="A1560" s="465" t="s">
        <v>3848</v>
      </c>
      <c r="B1560" s="465" t="s">
        <v>3849</v>
      </c>
      <c r="C1560" s="465"/>
      <c r="D1560" s="465" t="s">
        <v>855</v>
      </c>
      <c r="E1560" s="465" t="s">
        <v>3846</v>
      </c>
      <c r="F1560" s="465" t="s">
        <v>3847</v>
      </c>
      <c r="G1560" s="465" t="s">
        <v>3574</v>
      </c>
      <c r="H1560" s="465" t="s">
        <v>3575</v>
      </c>
      <c r="I1560" s="465" t="s">
        <v>830</v>
      </c>
    </row>
    <row r="1561" hidden="1" ht="15.95" customHeight="1">
      <c r="A1561" s="465" t="s">
        <v>3850</v>
      </c>
      <c r="B1561" s="465" t="s">
        <v>1035</v>
      </c>
      <c r="C1561" s="465"/>
      <c r="D1561" s="465" t="s">
        <v>855</v>
      </c>
      <c r="E1561" s="465" t="s">
        <v>3846</v>
      </c>
      <c r="F1561" s="465" t="s">
        <v>3847</v>
      </c>
      <c r="G1561" s="465" t="s">
        <v>3574</v>
      </c>
      <c r="H1561" s="465" t="s">
        <v>3575</v>
      </c>
      <c r="I1561" s="465" t="s">
        <v>830</v>
      </c>
    </row>
    <row r="1562" hidden="1" ht="15.95" customHeight="1">
      <c r="A1562" s="465" t="s">
        <v>3851</v>
      </c>
      <c r="B1562" s="465" t="s">
        <v>3852</v>
      </c>
      <c r="C1562" s="465"/>
      <c r="D1562" s="465" t="s">
        <v>855</v>
      </c>
      <c r="E1562" s="465" t="s">
        <v>3846</v>
      </c>
      <c r="F1562" s="465" t="s">
        <v>3847</v>
      </c>
      <c r="G1562" s="465" t="s">
        <v>3574</v>
      </c>
      <c r="H1562" s="465" t="s">
        <v>3575</v>
      </c>
      <c r="I1562" s="465" t="s">
        <v>830</v>
      </c>
    </row>
    <row r="1563" hidden="1" ht="15.95" customHeight="1">
      <c r="A1563" s="465" t="s">
        <v>3853</v>
      </c>
      <c r="B1563" s="465" t="s">
        <v>3854</v>
      </c>
      <c r="C1563" s="465"/>
      <c r="D1563" s="465" t="s">
        <v>884</v>
      </c>
      <c r="E1563" s="465" t="s">
        <v>3846</v>
      </c>
      <c r="F1563" s="465" t="s">
        <v>3847</v>
      </c>
      <c r="G1563" s="465" t="s">
        <v>3574</v>
      </c>
      <c r="H1563" s="465" t="s">
        <v>3575</v>
      </c>
      <c r="I1563" s="465" t="s">
        <v>830</v>
      </c>
    </row>
    <row r="1564" hidden="1" ht="15.95" customHeight="1">
      <c r="A1564" s="465" t="s">
        <v>3855</v>
      </c>
      <c r="B1564" s="465" t="s">
        <v>3342</v>
      </c>
      <c r="C1564" s="465"/>
      <c r="D1564" s="465" t="s">
        <v>855</v>
      </c>
      <c r="E1564" s="465" t="s">
        <v>3846</v>
      </c>
      <c r="F1564" s="465" t="s">
        <v>3847</v>
      </c>
      <c r="G1564" s="465" t="s">
        <v>3574</v>
      </c>
      <c r="H1564" s="465" t="s">
        <v>3575</v>
      </c>
      <c r="I1564" s="465" t="s">
        <v>830</v>
      </c>
    </row>
    <row r="1565" hidden="1" ht="15.95" customHeight="1">
      <c r="A1565" s="465" t="s">
        <v>3856</v>
      </c>
      <c r="B1565" s="465" t="s">
        <v>3857</v>
      </c>
      <c r="C1565" s="465"/>
      <c r="D1565" s="465" t="s">
        <v>855</v>
      </c>
      <c r="E1565" s="465" t="s">
        <v>3846</v>
      </c>
      <c r="F1565" s="465" t="s">
        <v>3847</v>
      </c>
      <c r="G1565" s="465" t="s">
        <v>3574</v>
      </c>
      <c r="H1565" s="465" t="s">
        <v>3575</v>
      </c>
      <c r="I1565" s="465" t="s">
        <v>830</v>
      </c>
    </row>
    <row r="1566" hidden="1" ht="15.95" customHeight="1">
      <c r="A1566" s="465" t="s">
        <v>3858</v>
      </c>
      <c r="B1566" s="465" t="s">
        <v>1844</v>
      </c>
      <c r="C1566" s="465"/>
      <c r="D1566" s="465" t="s">
        <v>855</v>
      </c>
      <c r="E1566" s="465" t="s">
        <v>3846</v>
      </c>
      <c r="F1566" s="465" t="s">
        <v>3847</v>
      </c>
      <c r="G1566" s="465" t="s">
        <v>3574</v>
      </c>
      <c r="H1566" s="465" t="s">
        <v>3575</v>
      </c>
      <c r="I1566" s="465" t="s">
        <v>830</v>
      </c>
    </row>
    <row r="1567" hidden="1" ht="15.95" customHeight="1">
      <c r="A1567" s="465" t="s">
        <v>3859</v>
      </c>
      <c r="B1567" s="465" t="s">
        <v>3860</v>
      </c>
      <c r="C1567" s="465"/>
      <c r="D1567" s="465" t="s">
        <v>855</v>
      </c>
      <c r="E1567" s="465" t="s">
        <v>3846</v>
      </c>
      <c r="F1567" s="465" t="s">
        <v>3847</v>
      </c>
      <c r="G1567" s="465" t="s">
        <v>3574</v>
      </c>
      <c r="H1567" s="465" t="s">
        <v>3575</v>
      </c>
      <c r="I1567" s="465" t="s">
        <v>830</v>
      </c>
    </row>
    <row r="1568" hidden="1" ht="15.95" customHeight="1">
      <c r="A1568" s="465" t="s">
        <v>3861</v>
      </c>
      <c r="B1568" s="465" t="s">
        <v>3862</v>
      </c>
      <c r="C1568" s="465"/>
      <c r="D1568" s="465" t="s">
        <v>855</v>
      </c>
      <c r="E1568" s="465" t="s">
        <v>3846</v>
      </c>
      <c r="F1568" s="465" t="s">
        <v>3847</v>
      </c>
      <c r="G1568" s="465" t="s">
        <v>3574</v>
      </c>
      <c r="H1568" s="465" t="s">
        <v>3575</v>
      </c>
      <c r="I1568" s="465" t="s">
        <v>830</v>
      </c>
    </row>
    <row r="1569" hidden="1" ht="15.95" customHeight="1">
      <c r="A1569" s="465" t="s">
        <v>3863</v>
      </c>
      <c r="B1569" s="465" t="s">
        <v>3864</v>
      </c>
      <c r="C1569" s="465"/>
      <c r="D1569" s="465" t="s">
        <v>855</v>
      </c>
      <c r="E1569" s="465" t="s">
        <v>3846</v>
      </c>
      <c r="F1569" s="465" t="s">
        <v>3847</v>
      </c>
      <c r="G1569" s="465" t="s">
        <v>3574</v>
      </c>
      <c r="H1569" s="465" t="s">
        <v>3575</v>
      </c>
      <c r="I1569" s="465" t="s">
        <v>830</v>
      </c>
    </row>
    <row r="1570" hidden="1" ht="15.95" customHeight="1">
      <c r="A1570" s="465" t="s">
        <v>3865</v>
      </c>
      <c r="B1570" s="465" t="s">
        <v>881</v>
      </c>
      <c r="C1570" s="465"/>
      <c r="D1570" s="465" t="s">
        <v>855</v>
      </c>
      <c r="E1570" s="465" t="s">
        <v>3846</v>
      </c>
      <c r="F1570" s="465" t="s">
        <v>3847</v>
      </c>
      <c r="G1570" s="465" t="s">
        <v>3574</v>
      </c>
      <c r="H1570" s="465" t="s">
        <v>3575</v>
      </c>
      <c r="I1570" s="465" t="s">
        <v>830</v>
      </c>
    </row>
    <row r="1571" hidden="1" ht="15.95" customHeight="1">
      <c r="A1571" s="465" t="s">
        <v>3866</v>
      </c>
      <c r="B1571" s="465" t="s">
        <v>1164</v>
      </c>
      <c r="C1571" s="465"/>
      <c r="D1571" s="465" t="s">
        <v>855</v>
      </c>
      <c r="E1571" s="465" t="s">
        <v>3846</v>
      </c>
      <c r="F1571" s="465" t="s">
        <v>3847</v>
      </c>
      <c r="G1571" s="465" t="s">
        <v>3574</v>
      </c>
      <c r="H1571" s="465" t="s">
        <v>3575</v>
      </c>
      <c r="I1571" s="465" t="s">
        <v>830</v>
      </c>
    </row>
    <row r="1572" hidden="1" ht="15.95" customHeight="1">
      <c r="A1572" s="465" t="s">
        <v>3867</v>
      </c>
      <c r="B1572" s="465" t="s">
        <v>3868</v>
      </c>
      <c r="C1572" s="465"/>
      <c r="D1572" s="465" t="s">
        <v>855</v>
      </c>
      <c r="E1572" s="465" t="s">
        <v>3869</v>
      </c>
      <c r="F1572" s="465" t="s">
        <v>3870</v>
      </c>
      <c r="G1572" s="465" t="s">
        <v>3574</v>
      </c>
      <c r="H1572" s="465" t="s">
        <v>3575</v>
      </c>
      <c r="I1572" s="465" t="s">
        <v>830</v>
      </c>
    </row>
    <row r="1573" hidden="1" ht="15.95" customHeight="1">
      <c r="A1573" s="465" t="s">
        <v>3871</v>
      </c>
      <c r="B1573" s="465" t="s">
        <v>1856</v>
      </c>
      <c r="C1573" s="465"/>
      <c r="D1573" s="465" t="s">
        <v>855</v>
      </c>
      <c r="E1573" s="465" t="s">
        <v>3869</v>
      </c>
      <c r="F1573" s="465" t="s">
        <v>3870</v>
      </c>
      <c r="G1573" s="465" t="s">
        <v>3574</v>
      </c>
      <c r="H1573" s="465" t="s">
        <v>3575</v>
      </c>
      <c r="I1573" s="465" t="s">
        <v>830</v>
      </c>
    </row>
    <row r="1574" hidden="1" ht="15.95" customHeight="1">
      <c r="A1574" s="465" t="s">
        <v>3872</v>
      </c>
      <c r="B1574" s="465" t="s">
        <v>2510</v>
      </c>
      <c r="C1574" s="465"/>
      <c r="D1574" s="465" t="s">
        <v>855</v>
      </c>
      <c r="E1574" s="465" t="s">
        <v>3869</v>
      </c>
      <c r="F1574" s="465" t="s">
        <v>3870</v>
      </c>
      <c r="G1574" s="465" t="s">
        <v>3574</v>
      </c>
      <c r="H1574" s="465" t="s">
        <v>3575</v>
      </c>
      <c r="I1574" s="465" t="s">
        <v>830</v>
      </c>
    </row>
    <row r="1575" hidden="1" ht="15.95" customHeight="1">
      <c r="A1575" s="465" t="s">
        <v>3873</v>
      </c>
      <c r="B1575" s="465" t="s">
        <v>3874</v>
      </c>
      <c r="C1575" s="465"/>
      <c r="D1575" s="465" t="s">
        <v>855</v>
      </c>
      <c r="E1575" s="465" t="s">
        <v>3869</v>
      </c>
      <c r="F1575" s="465" t="s">
        <v>3870</v>
      </c>
      <c r="G1575" s="465" t="s">
        <v>3574</v>
      </c>
      <c r="H1575" s="465" t="s">
        <v>3575</v>
      </c>
      <c r="I1575" s="465" t="s">
        <v>830</v>
      </c>
    </row>
    <row r="1576" hidden="1" ht="15.95" customHeight="1">
      <c r="A1576" s="465" t="s">
        <v>3875</v>
      </c>
      <c r="B1576" s="465" t="s">
        <v>2512</v>
      </c>
      <c r="C1576" s="465"/>
      <c r="D1576" s="465" t="s">
        <v>855</v>
      </c>
      <c r="E1576" s="465" t="s">
        <v>3869</v>
      </c>
      <c r="F1576" s="465" t="s">
        <v>3870</v>
      </c>
      <c r="G1576" s="465" t="s">
        <v>3574</v>
      </c>
      <c r="H1576" s="465" t="s">
        <v>3575</v>
      </c>
      <c r="I1576" s="465" t="s">
        <v>830</v>
      </c>
    </row>
    <row r="1577" hidden="1" ht="15.95" customHeight="1">
      <c r="A1577" s="465" t="s">
        <v>3876</v>
      </c>
      <c r="B1577" s="465" t="s">
        <v>2336</v>
      </c>
      <c r="C1577" s="465"/>
      <c r="D1577" s="465" t="s">
        <v>855</v>
      </c>
      <c r="E1577" s="465" t="s">
        <v>3869</v>
      </c>
      <c r="F1577" s="465" t="s">
        <v>3870</v>
      </c>
      <c r="G1577" s="465" t="s">
        <v>3574</v>
      </c>
      <c r="H1577" s="465" t="s">
        <v>3575</v>
      </c>
      <c r="I1577" s="465" t="s">
        <v>830</v>
      </c>
    </row>
    <row r="1578" hidden="1" ht="15.95" customHeight="1">
      <c r="A1578" s="465" t="s">
        <v>3877</v>
      </c>
      <c r="B1578" s="465" t="s">
        <v>3878</v>
      </c>
      <c r="C1578" s="465"/>
      <c r="D1578" s="465" t="s">
        <v>825</v>
      </c>
      <c r="E1578" s="465" t="s">
        <v>3879</v>
      </c>
      <c r="F1578" s="465" t="s">
        <v>3880</v>
      </c>
      <c r="G1578" s="465" t="s">
        <v>3881</v>
      </c>
      <c r="H1578" s="465" t="s">
        <v>3882</v>
      </c>
      <c r="I1578" s="465" t="s">
        <v>830</v>
      </c>
    </row>
    <row r="1579" hidden="1" ht="15.95" customHeight="1">
      <c r="A1579" s="465" t="s">
        <v>3883</v>
      </c>
      <c r="B1579" s="465" t="s">
        <v>2012</v>
      </c>
      <c r="C1579" s="465"/>
      <c r="D1579" s="465" t="s">
        <v>825</v>
      </c>
      <c r="E1579" s="465" t="s">
        <v>3879</v>
      </c>
      <c r="F1579" s="465" t="s">
        <v>3880</v>
      </c>
      <c r="G1579" s="465" t="s">
        <v>3881</v>
      </c>
      <c r="H1579" s="465" t="s">
        <v>3882</v>
      </c>
      <c r="I1579" s="465" t="s">
        <v>830</v>
      </c>
    </row>
    <row r="1580" hidden="1" ht="15.95" customHeight="1">
      <c r="A1580" s="465" t="s">
        <v>3884</v>
      </c>
      <c r="B1580" s="465" t="s">
        <v>449</v>
      </c>
      <c r="C1580" s="465"/>
      <c r="D1580" s="465" t="s">
        <v>825</v>
      </c>
      <c r="E1580" s="465" t="s">
        <v>3879</v>
      </c>
      <c r="F1580" s="465" t="s">
        <v>3880</v>
      </c>
      <c r="G1580" s="465" t="s">
        <v>3881</v>
      </c>
      <c r="H1580" s="465" t="s">
        <v>3882</v>
      </c>
      <c r="I1580" s="465" t="s">
        <v>830</v>
      </c>
    </row>
    <row r="1581" hidden="1" ht="15.95" customHeight="1">
      <c r="A1581" s="465" t="s">
        <v>3885</v>
      </c>
      <c r="B1581" s="465" t="s">
        <v>1268</v>
      </c>
      <c r="C1581" s="465"/>
      <c r="D1581" s="465" t="s">
        <v>825</v>
      </c>
      <c r="E1581" s="465" t="s">
        <v>3879</v>
      </c>
      <c r="F1581" s="465" t="s">
        <v>3880</v>
      </c>
      <c r="G1581" s="465" t="s">
        <v>3881</v>
      </c>
      <c r="H1581" s="465" t="s">
        <v>3882</v>
      </c>
      <c r="I1581" s="465" t="s">
        <v>830</v>
      </c>
    </row>
    <row r="1582" hidden="1" ht="15.95" customHeight="1">
      <c r="A1582" s="465" t="s">
        <v>3886</v>
      </c>
      <c r="B1582" s="465" t="s">
        <v>1272</v>
      </c>
      <c r="C1582" s="465"/>
      <c r="D1582" s="465" t="s">
        <v>825</v>
      </c>
      <c r="E1582" s="465" t="s">
        <v>3879</v>
      </c>
      <c r="F1582" s="465" t="s">
        <v>3880</v>
      </c>
      <c r="G1582" s="465" t="s">
        <v>3881</v>
      </c>
      <c r="H1582" s="465" t="s">
        <v>3882</v>
      </c>
      <c r="I1582" s="465" t="s">
        <v>830</v>
      </c>
    </row>
    <row r="1583" hidden="1" ht="15.95" customHeight="1">
      <c r="A1583" s="465" t="s">
        <v>3887</v>
      </c>
      <c r="B1583" s="465" t="s">
        <v>1270</v>
      </c>
      <c r="C1583" s="465"/>
      <c r="D1583" s="465" t="s">
        <v>825</v>
      </c>
      <c r="E1583" s="465" t="s">
        <v>3879</v>
      </c>
      <c r="F1583" s="465" t="s">
        <v>3880</v>
      </c>
      <c r="G1583" s="465" t="s">
        <v>3881</v>
      </c>
      <c r="H1583" s="465" t="s">
        <v>3882</v>
      </c>
      <c r="I1583" s="465" t="s">
        <v>830</v>
      </c>
    </row>
    <row r="1584" hidden="1" ht="15.95" customHeight="1">
      <c r="A1584" s="465" t="s">
        <v>3888</v>
      </c>
      <c r="B1584" s="465" t="s">
        <v>1266</v>
      </c>
      <c r="C1584" s="465"/>
      <c r="D1584" s="465" t="s">
        <v>825</v>
      </c>
      <c r="E1584" s="465" t="s">
        <v>3879</v>
      </c>
      <c r="F1584" s="465" t="s">
        <v>3880</v>
      </c>
      <c r="G1584" s="465" t="s">
        <v>3881</v>
      </c>
      <c r="H1584" s="465" t="s">
        <v>3882</v>
      </c>
      <c r="I1584" s="465" t="s">
        <v>830</v>
      </c>
    </row>
    <row r="1585" hidden="1" ht="15.95" customHeight="1">
      <c r="A1585" s="465" t="s">
        <v>3889</v>
      </c>
      <c r="B1585" s="465" t="s">
        <v>1278</v>
      </c>
      <c r="C1585" s="465"/>
      <c r="D1585" s="465" t="s">
        <v>825</v>
      </c>
      <c r="E1585" s="465" t="s">
        <v>3879</v>
      </c>
      <c r="F1585" s="465" t="s">
        <v>3880</v>
      </c>
      <c r="G1585" s="465" t="s">
        <v>3881</v>
      </c>
      <c r="H1585" s="465" t="s">
        <v>3882</v>
      </c>
      <c r="I1585" s="465" t="s">
        <v>830</v>
      </c>
    </row>
    <row r="1586" hidden="1" ht="15.95" customHeight="1">
      <c r="A1586" s="465" t="s">
        <v>3890</v>
      </c>
      <c r="B1586" s="465" t="s">
        <v>1264</v>
      </c>
      <c r="C1586" s="465"/>
      <c r="D1586" s="465" t="s">
        <v>825</v>
      </c>
      <c r="E1586" s="465" t="s">
        <v>3879</v>
      </c>
      <c r="F1586" s="465" t="s">
        <v>3880</v>
      </c>
      <c r="G1586" s="465" t="s">
        <v>3881</v>
      </c>
      <c r="H1586" s="465" t="s">
        <v>3882</v>
      </c>
      <c r="I1586" s="465" t="s">
        <v>830</v>
      </c>
    </row>
    <row r="1587" hidden="1" ht="15.95" customHeight="1">
      <c r="A1587" s="465" t="s">
        <v>3891</v>
      </c>
      <c r="B1587" s="465" t="s">
        <v>1253</v>
      </c>
      <c r="C1587" s="465"/>
      <c r="D1587" s="465" t="s">
        <v>825</v>
      </c>
      <c r="E1587" s="465" t="s">
        <v>3879</v>
      </c>
      <c r="F1587" s="465" t="s">
        <v>3880</v>
      </c>
      <c r="G1587" s="465" t="s">
        <v>3881</v>
      </c>
      <c r="H1587" s="465" t="s">
        <v>3882</v>
      </c>
      <c r="I1587" s="465" t="s">
        <v>830</v>
      </c>
    </row>
    <row r="1588" hidden="1" ht="15.95" customHeight="1">
      <c r="A1588" s="465" t="s">
        <v>3892</v>
      </c>
      <c r="B1588" s="465" t="s">
        <v>3893</v>
      </c>
      <c r="C1588" s="465"/>
      <c r="D1588" s="465" t="s">
        <v>855</v>
      </c>
      <c r="E1588" s="465" t="s">
        <v>3879</v>
      </c>
      <c r="F1588" s="465" t="s">
        <v>3880</v>
      </c>
      <c r="G1588" s="465" t="s">
        <v>3881</v>
      </c>
      <c r="H1588" s="465" t="s">
        <v>3882</v>
      </c>
      <c r="I1588" s="465" t="s">
        <v>830</v>
      </c>
    </row>
    <row r="1589" hidden="1" ht="15.95" customHeight="1">
      <c r="A1589" s="465" t="s">
        <v>3894</v>
      </c>
      <c r="B1589" s="465" t="s">
        <v>3895</v>
      </c>
      <c r="C1589" s="465"/>
      <c r="D1589" s="465" t="s">
        <v>855</v>
      </c>
      <c r="E1589" s="465" t="s">
        <v>3879</v>
      </c>
      <c r="F1589" s="465" t="s">
        <v>3880</v>
      </c>
      <c r="G1589" s="465" t="s">
        <v>3881</v>
      </c>
      <c r="H1589" s="465" t="s">
        <v>3882</v>
      </c>
      <c r="I1589" s="465" t="s">
        <v>830</v>
      </c>
    </row>
    <row r="1590" hidden="1" ht="15.95" customHeight="1">
      <c r="A1590" s="465" t="s">
        <v>3896</v>
      </c>
      <c r="B1590" s="465" t="s">
        <v>3725</v>
      </c>
      <c r="C1590" s="465"/>
      <c r="D1590" s="465" t="s">
        <v>855</v>
      </c>
      <c r="E1590" s="465" t="s">
        <v>3879</v>
      </c>
      <c r="F1590" s="465" t="s">
        <v>3880</v>
      </c>
      <c r="G1590" s="465" t="s">
        <v>3881</v>
      </c>
      <c r="H1590" s="465" t="s">
        <v>3882</v>
      </c>
      <c r="I1590" s="465" t="s">
        <v>830</v>
      </c>
    </row>
    <row r="1591" hidden="1" ht="15.95" customHeight="1">
      <c r="A1591" s="465" t="s">
        <v>3897</v>
      </c>
      <c r="B1591" s="465" t="s">
        <v>3898</v>
      </c>
      <c r="C1591" s="465"/>
      <c r="D1591" s="465" t="s">
        <v>855</v>
      </c>
      <c r="E1591" s="465" t="s">
        <v>3879</v>
      </c>
      <c r="F1591" s="465" t="s">
        <v>3880</v>
      </c>
      <c r="G1591" s="465" t="s">
        <v>3881</v>
      </c>
      <c r="H1591" s="465" t="s">
        <v>3882</v>
      </c>
      <c r="I1591" s="465" t="s">
        <v>830</v>
      </c>
    </row>
    <row r="1592" hidden="1" ht="15.95" customHeight="1">
      <c r="A1592" s="465" t="s">
        <v>3899</v>
      </c>
      <c r="B1592" s="465" t="s">
        <v>3900</v>
      </c>
      <c r="C1592" s="465"/>
      <c r="D1592" s="465" t="s">
        <v>855</v>
      </c>
      <c r="E1592" s="465" t="s">
        <v>3879</v>
      </c>
      <c r="F1592" s="465" t="s">
        <v>3880</v>
      </c>
      <c r="G1592" s="465" t="s">
        <v>3881</v>
      </c>
      <c r="H1592" s="465" t="s">
        <v>3882</v>
      </c>
      <c r="I1592" s="465" t="s">
        <v>830</v>
      </c>
    </row>
    <row r="1593" hidden="1" ht="15.95" customHeight="1">
      <c r="A1593" s="465" t="s">
        <v>3901</v>
      </c>
      <c r="B1593" s="465" t="s">
        <v>3723</v>
      </c>
      <c r="C1593" s="465"/>
      <c r="D1593" s="465" t="s">
        <v>855</v>
      </c>
      <c r="E1593" s="465" t="s">
        <v>3879</v>
      </c>
      <c r="F1593" s="465" t="s">
        <v>3880</v>
      </c>
      <c r="G1593" s="465" t="s">
        <v>3881</v>
      </c>
      <c r="H1593" s="465" t="s">
        <v>3882</v>
      </c>
      <c r="I1593" s="465" t="s">
        <v>830</v>
      </c>
    </row>
    <row r="1594" hidden="1" ht="15.95" customHeight="1">
      <c r="A1594" s="465" t="s">
        <v>3902</v>
      </c>
      <c r="B1594" s="465" t="s">
        <v>3903</v>
      </c>
      <c r="C1594" s="465"/>
      <c r="D1594" s="465" t="s">
        <v>855</v>
      </c>
      <c r="E1594" s="465" t="s">
        <v>3879</v>
      </c>
      <c r="F1594" s="465" t="s">
        <v>3880</v>
      </c>
      <c r="G1594" s="465" t="s">
        <v>3881</v>
      </c>
      <c r="H1594" s="465" t="s">
        <v>3882</v>
      </c>
      <c r="I1594" s="465" t="s">
        <v>830</v>
      </c>
    </row>
    <row r="1595" hidden="1" ht="15.95" customHeight="1">
      <c r="A1595" s="465" t="s">
        <v>3904</v>
      </c>
      <c r="B1595" s="465" t="s">
        <v>1881</v>
      </c>
      <c r="C1595" s="465"/>
      <c r="D1595" s="465" t="s">
        <v>884</v>
      </c>
      <c r="E1595" s="465" t="s">
        <v>3905</v>
      </c>
      <c r="F1595" s="465" t="s">
        <v>1883</v>
      </c>
      <c r="G1595" s="465" t="s">
        <v>3881</v>
      </c>
      <c r="H1595" s="465" t="s">
        <v>3882</v>
      </c>
      <c r="I1595" s="465" t="s">
        <v>830</v>
      </c>
    </row>
    <row r="1596" hidden="1" ht="15.95" customHeight="1">
      <c r="A1596" s="465" t="s">
        <v>3906</v>
      </c>
      <c r="B1596" s="465" t="s">
        <v>3907</v>
      </c>
      <c r="C1596" s="465"/>
      <c r="D1596" s="465" t="s">
        <v>855</v>
      </c>
      <c r="E1596" s="465" t="s">
        <v>3905</v>
      </c>
      <c r="F1596" s="465" t="s">
        <v>1883</v>
      </c>
      <c r="G1596" s="465" t="s">
        <v>3881</v>
      </c>
      <c r="H1596" s="465" t="s">
        <v>3882</v>
      </c>
      <c r="I1596" s="465" t="s">
        <v>830</v>
      </c>
    </row>
    <row r="1597" hidden="1" ht="15.95" customHeight="1">
      <c r="A1597" s="465" t="s">
        <v>3908</v>
      </c>
      <c r="B1597" s="465" t="s">
        <v>3909</v>
      </c>
      <c r="C1597" s="465"/>
      <c r="D1597" s="465" t="s">
        <v>855</v>
      </c>
      <c r="E1597" s="465" t="s">
        <v>3905</v>
      </c>
      <c r="F1597" s="465" t="s">
        <v>1883</v>
      </c>
      <c r="G1597" s="465" t="s">
        <v>3881</v>
      </c>
      <c r="H1597" s="465" t="s">
        <v>3882</v>
      </c>
      <c r="I1597" s="465" t="s">
        <v>830</v>
      </c>
    </row>
    <row r="1598" hidden="1" ht="15.95" customHeight="1">
      <c r="A1598" s="465" t="s">
        <v>3910</v>
      </c>
      <c r="B1598" s="465" t="s">
        <v>3911</v>
      </c>
      <c r="C1598" s="465"/>
      <c r="D1598" s="465" t="s">
        <v>855</v>
      </c>
      <c r="E1598" s="465" t="s">
        <v>3905</v>
      </c>
      <c r="F1598" s="465" t="s">
        <v>1883</v>
      </c>
      <c r="G1598" s="465" t="s">
        <v>3881</v>
      </c>
      <c r="H1598" s="465" t="s">
        <v>3882</v>
      </c>
      <c r="I1598" s="465" t="s">
        <v>830</v>
      </c>
    </row>
    <row r="1599" hidden="1" ht="15.95" customHeight="1">
      <c r="A1599" s="465" t="s">
        <v>3912</v>
      </c>
      <c r="B1599" s="465" t="s">
        <v>3913</v>
      </c>
      <c r="C1599" s="465"/>
      <c r="D1599" s="465" t="s">
        <v>855</v>
      </c>
      <c r="E1599" s="465" t="s">
        <v>3905</v>
      </c>
      <c r="F1599" s="465" t="s">
        <v>1883</v>
      </c>
      <c r="G1599" s="465" t="s">
        <v>3881</v>
      </c>
      <c r="H1599" s="465" t="s">
        <v>3882</v>
      </c>
      <c r="I1599" s="465" t="s">
        <v>830</v>
      </c>
    </row>
    <row r="1600" hidden="1" ht="15.95" customHeight="1">
      <c r="A1600" s="465" t="s">
        <v>3914</v>
      </c>
      <c r="B1600" s="465" t="s">
        <v>3915</v>
      </c>
      <c r="C1600" s="465"/>
      <c r="D1600" s="465" t="s">
        <v>855</v>
      </c>
      <c r="E1600" s="465" t="s">
        <v>3905</v>
      </c>
      <c r="F1600" s="465" t="s">
        <v>1883</v>
      </c>
      <c r="G1600" s="465" t="s">
        <v>3881</v>
      </c>
      <c r="H1600" s="465" t="s">
        <v>3882</v>
      </c>
      <c r="I1600" s="465" t="s">
        <v>830</v>
      </c>
    </row>
    <row r="1601" hidden="1" ht="15.95" customHeight="1">
      <c r="A1601" s="465" t="s">
        <v>3916</v>
      </c>
      <c r="B1601" s="465" t="s">
        <v>2356</v>
      </c>
      <c r="C1601" s="465"/>
      <c r="D1601" s="465" t="s">
        <v>855</v>
      </c>
      <c r="E1601" s="465" t="s">
        <v>3905</v>
      </c>
      <c r="F1601" s="465" t="s">
        <v>1883</v>
      </c>
      <c r="G1601" s="465" t="s">
        <v>3881</v>
      </c>
      <c r="H1601" s="465" t="s">
        <v>3882</v>
      </c>
      <c r="I1601" s="465" t="s">
        <v>830</v>
      </c>
    </row>
    <row r="1602" hidden="1" ht="15.95" customHeight="1">
      <c r="A1602" s="465" t="s">
        <v>3917</v>
      </c>
      <c r="B1602" s="465" t="s">
        <v>3918</v>
      </c>
      <c r="C1602" s="465"/>
      <c r="D1602" s="465" t="s">
        <v>855</v>
      </c>
      <c r="E1602" s="465" t="s">
        <v>3905</v>
      </c>
      <c r="F1602" s="465" t="s">
        <v>1883</v>
      </c>
      <c r="G1602" s="465" t="s">
        <v>3881</v>
      </c>
      <c r="H1602" s="465" t="s">
        <v>3882</v>
      </c>
      <c r="I1602" s="465" t="s">
        <v>830</v>
      </c>
    </row>
    <row r="1603" hidden="1" ht="15.95" customHeight="1">
      <c r="A1603" s="465" t="s">
        <v>3919</v>
      </c>
      <c r="B1603" s="465" t="s">
        <v>3920</v>
      </c>
      <c r="C1603" s="465"/>
      <c r="D1603" s="465" t="s">
        <v>855</v>
      </c>
      <c r="E1603" s="465" t="s">
        <v>3905</v>
      </c>
      <c r="F1603" s="465" t="s">
        <v>1883</v>
      </c>
      <c r="G1603" s="465" t="s">
        <v>3881</v>
      </c>
      <c r="H1603" s="465" t="s">
        <v>3882</v>
      </c>
      <c r="I1603" s="465" t="s">
        <v>830</v>
      </c>
    </row>
    <row r="1604" hidden="1" ht="15.95" customHeight="1">
      <c r="A1604" s="465" t="s">
        <v>3921</v>
      </c>
      <c r="B1604" s="465" t="s">
        <v>2447</v>
      </c>
      <c r="C1604" s="465"/>
      <c r="D1604" s="465" t="s">
        <v>855</v>
      </c>
      <c r="E1604" s="465" t="s">
        <v>3905</v>
      </c>
      <c r="F1604" s="465" t="s">
        <v>1883</v>
      </c>
      <c r="G1604" s="465" t="s">
        <v>3881</v>
      </c>
      <c r="H1604" s="465" t="s">
        <v>3882</v>
      </c>
      <c r="I1604" s="465" t="s">
        <v>830</v>
      </c>
    </row>
    <row r="1605" hidden="1" ht="15.95" customHeight="1">
      <c r="A1605" s="465" t="s">
        <v>3922</v>
      </c>
      <c r="B1605" s="465" t="s">
        <v>2239</v>
      </c>
      <c r="C1605" s="465"/>
      <c r="D1605" s="465" t="s">
        <v>855</v>
      </c>
      <c r="E1605" s="465" t="s">
        <v>3905</v>
      </c>
      <c r="F1605" s="465" t="s">
        <v>1883</v>
      </c>
      <c r="G1605" s="465" t="s">
        <v>3881</v>
      </c>
      <c r="H1605" s="465" t="s">
        <v>3882</v>
      </c>
      <c r="I1605" s="465" t="s">
        <v>830</v>
      </c>
    </row>
    <row r="1606" hidden="1" ht="15.95" customHeight="1">
      <c r="A1606" s="465" t="s">
        <v>3923</v>
      </c>
      <c r="B1606" s="465" t="s">
        <v>3924</v>
      </c>
      <c r="C1606" s="465"/>
      <c r="D1606" s="465" t="s">
        <v>855</v>
      </c>
      <c r="E1606" s="465" t="s">
        <v>3905</v>
      </c>
      <c r="F1606" s="465" t="s">
        <v>1883</v>
      </c>
      <c r="G1606" s="465" t="s">
        <v>3881</v>
      </c>
      <c r="H1606" s="465" t="s">
        <v>3882</v>
      </c>
      <c r="I1606" s="465" t="s">
        <v>830</v>
      </c>
    </row>
    <row r="1607" hidden="1" ht="15.95" customHeight="1">
      <c r="A1607" s="465" t="s">
        <v>3925</v>
      </c>
      <c r="B1607" s="465" t="s">
        <v>3926</v>
      </c>
      <c r="C1607" s="465"/>
      <c r="D1607" s="465" t="s">
        <v>855</v>
      </c>
      <c r="E1607" s="465" t="s">
        <v>3905</v>
      </c>
      <c r="F1607" s="465" t="s">
        <v>1883</v>
      </c>
      <c r="G1607" s="465" t="s">
        <v>3881</v>
      </c>
      <c r="H1607" s="465" t="s">
        <v>3882</v>
      </c>
      <c r="I1607" s="465" t="s">
        <v>830</v>
      </c>
    </row>
    <row r="1608" hidden="1" ht="15.95" customHeight="1">
      <c r="A1608" s="465" t="s">
        <v>3927</v>
      </c>
      <c r="B1608" s="465" t="s">
        <v>1856</v>
      </c>
      <c r="C1608" s="465"/>
      <c r="D1608" s="465" t="s">
        <v>855</v>
      </c>
      <c r="E1608" s="465" t="s">
        <v>3905</v>
      </c>
      <c r="F1608" s="465" t="s">
        <v>1883</v>
      </c>
      <c r="G1608" s="465" t="s">
        <v>3881</v>
      </c>
      <c r="H1608" s="465" t="s">
        <v>3882</v>
      </c>
      <c r="I1608" s="465" t="s">
        <v>830</v>
      </c>
    </row>
    <row r="1609" hidden="1" ht="15.95" customHeight="1">
      <c r="A1609" s="465" t="s">
        <v>3928</v>
      </c>
      <c r="B1609" s="465" t="s">
        <v>3929</v>
      </c>
      <c r="C1609" s="465"/>
      <c r="D1609" s="465" t="s">
        <v>855</v>
      </c>
      <c r="E1609" s="465" t="s">
        <v>3905</v>
      </c>
      <c r="F1609" s="465" t="s">
        <v>1883</v>
      </c>
      <c r="G1609" s="465" t="s">
        <v>3881</v>
      </c>
      <c r="H1609" s="465" t="s">
        <v>3882</v>
      </c>
      <c r="I1609" s="465" t="s">
        <v>830</v>
      </c>
    </row>
    <row r="1610" hidden="1" ht="15.95" customHeight="1">
      <c r="A1610" s="465" t="s">
        <v>3930</v>
      </c>
      <c r="B1610" s="465" t="s">
        <v>1941</v>
      </c>
      <c r="C1610" s="465"/>
      <c r="D1610" s="465" t="s">
        <v>855</v>
      </c>
      <c r="E1610" s="465" t="s">
        <v>3905</v>
      </c>
      <c r="F1610" s="465" t="s">
        <v>1883</v>
      </c>
      <c r="G1610" s="465" t="s">
        <v>3881</v>
      </c>
      <c r="H1610" s="465" t="s">
        <v>3882</v>
      </c>
      <c r="I1610" s="465" t="s">
        <v>830</v>
      </c>
    </row>
    <row r="1611" hidden="1" ht="15.95" customHeight="1">
      <c r="A1611" s="465" t="s">
        <v>3931</v>
      </c>
      <c r="B1611" s="465" t="s">
        <v>3932</v>
      </c>
      <c r="C1611" s="465"/>
      <c r="D1611" s="465" t="s">
        <v>855</v>
      </c>
      <c r="E1611" s="465" t="s">
        <v>3905</v>
      </c>
      <c r="F1611" s="465" t="s">
        <v>1883</v>
      </c>
      <c r="G1611" s="465" t="s">
        <v>3881</v>
      </c>
      <c r="H1611" s="465" t="s">
        <v>3882</v>
      </c>
      <c r="I1611" s="465" t="s">
        <v>830</v>
      </c>
    </row>
    <row r="1612" hidden="1" ht="15.95" customHeight="1">
      <c r="A1612" s="465" t="s">
        <v>3933</v>
      </c>
      <c r="B1612" s="465" t="s">
        <v>3934</v>
      </c>
      <c r="C1612" s="465"/>
      <c r="D1612" s="465" t="s">
        <v>855</v>
      </c>
      <c r="E1612" s="465" t="s">
        <v>3905</v>
      </c>
      <c r="F1612" s="465" t="s">
        <v>1883</v>
      </c>
      <c r="G1612" s="465" t="s">
        <v>3881</v>
      </c>
      <c r="H1612" s="465" t="s">
        <v>3882</v>
      </c>
      <c r="I1612" s="465" t="s">
        <v>830</v>
      </c>
    </row>
    <row r="1613" hidden="1" ht="15.95" customHeight="1">
      <c r="A1613" s="465" t="s">
        <v>3935</v>
      </c>
      <c r="B1613" s="465" t="s">
        <v>3936</v>
      </c>
      <c r="C1613" s="465"/>
      <c r="D1613" s="465" t="s">
        <v>855</v>
      </c>
      <c r="E1613" s="465" t="s">
        <v>3905</v>
      </c>
      <c r="F1613" s="465" t="s">
        <v>1883</v>
      </c>
      <c r="G1613" s="465" t="s">
        <v>3881</v>
      </c>
      <c r="H1613" s="465" t="s">
        <v>3882</v>
      </c>
      <c r="I1613" s="465" t="s">
        <v>830</v>
      </c>
    </row>
    <row r="1614" hidden="1" ht="15.95" customHeight="1">
      <c r="A1614" s="465" t="s">
        <v>3937</v>
      </c>
      <c r="B1614" s="465" t="s">
        <v>3938</v>
      </c>
      <c r="C1614" s="465"/>
      <c r="D1614" s="465" t="s">
        <v>855</v>
      </c>
      <c r="E1614" s="465" t="s">
        <v>3905</v>
      </c>
      <c r="F1614" s="465" t="s">
        <v>1883</v>
      </c>
      <c r="G1614" s="465" t="s">
        <v>3881</v>
      </c>
      <c r="H1614" s="465" t="s">
        <v>3882</v>
      </c>
      <c r="I1614" s="465" t="s">
        <v>830</v>
      </c>
    </row>
    <row r="1615" hidden="1" ht="15.95" customHeight="1">
      <c r="A1615" s="465" t="s">
        <v>3939</v>
      </c>
      <c r="B1615" s="465" t="s">
        <v>3940</v>
      </c>
      <c r="C1615" s="465"/>
      <c r="D1615" s="465" t="s">
        <v>855</v>
      </c>
      <c r="E1615" s="465" t="s">
        <v>3905</v>
      </c>
      <c r="F1615" s="465" t="s">
        <v>1883</v>
      </c>
      <c r="G1615" s="465" t="s">
        <v>3881</v>
      </c>
      <c r="H1615" s="465" t="s">
        <v>3882</v>
      </c>
      <c r="I1615" s="465" t="s">
        <v>830</v>
      </c>
    </row>
    <row r="1616" hidden="1" ht="15.95" customHeight="1">
      <c r="A1616" s="465" t="s">
        <v>3941</v>
      </c>
      <c r="B1616" s="465" t="s">
        <v>3942</v>
      </c>
      <c r="C1616" s="465"/>
      <c r="D1616" s="465" t="s">
        <v>855</v>
      </c>
      <c r="E1616" s="465" t="s">
        <v>3905</v>
      </c>
      <c r="F1616" s="465" t="s">
        <v>1883</v>
      </c>
      <c r="G1616" s="465" t="s">
        <v>3881</v>
      </c>
      <c r="H1616" s="465" t="s">
        <v>3882</v>
      </c>
      <c r="I1616" s="465" t="s">
        <v>830</v>
      </c>
    </row>
    <row r="1617" hidden="1" ht="15.95" customHeight="1">
      <c r="A1617" s="465" t="s">
        <v>3943</v>
      </c>
      <c r="B1617" s="465" t="s">
        <v>3944</v>
      </c>
      <c r="C1617" s="465"/>
      <c r="D1617" s="465" t="s">
        <v>884</v>
      </c>
      <c r="E1617" s="465" t="s">
        <v>3945</v>
      </c>
      <c r="F1617" s="465" t="s">
        <v>3946</v>
      </c>
      <c r="G1617" s="465" t="s">
        <v>3881</v>
      </c>
      <c r="H1617" s="465" t="s">
        <v>3882</v>
      </c>
      <c r="I1617" s="465" t="s">
        <v>830</v>
      </c>
    </row>
    <row r="1618" hidden="1" ht="15.95" customHeight="1">
      <c r="A1618" s="465" t="s">
        <v>3947</v>
      </c>
      <c r="B1618" s="465" t="s">
        <v>3948</v>
      </c>
      <c r="C1618" s="465"/>
      <c r="D1618" s="465" t="s">
        <v>855</v>
      </c>
      <c r="E1618" s="465" t="s">
        <v>3945</v>
      </c>
      <c r="F1618" s="465" t="s">
        <v>3946</v>
      </c>
      <c r="G1618" s="465" t="s">
        <v>3881</v>
      </c>
      <c r="H1618" s="465" t="s">
        <v>3882</v>
      </c>
      <c r="I1618" s="465" t="s">
        <v>830</v>
      </c>
    </row>
    <row r="1619" hidden="1" ht="15.95" customHeight="1">
      <c r="A1619" s="465" t="s">
        <v>3949</v>
      </c>
      <c r="B1619" s="465" t="s">
        <v>3950</v>
      </c>
      <c r="C1619" s="465"/>
      <c r="D1619" s="465" t="s">
        <v>855</v>
      </c>
      <c r="E1619" s="465" t="s">
        <v>3945</v>
      </c>
      <c r="F1619" s="465" t="s">
        <v>3946</v>
      </c>
      <c r="G1619" s="465" t="s">
        <v>3881</v>
      </c>
      <c r="H1619" s="465" t="s">
        <v>3882</v>
      </c>
      <c r="I1619" s="465" t="s">
        <v>830</v>
      </c>
    </row>
    <row r="1620" hidden="1" ht="15.95" customHeight="1">
      <c r="A1620" s="465" t="s">
        <v>3951</v>
      </c>
      <c r="B1620" s="465" t="s">
        <v>3281</v>
      </c>
      <c r="C1620" s="465"/>
      <c r="D1620" s="465" t="s">
        <v>855</v>
      </c>
      <c r="E1620" s="465" t="s">
        <v>3945</v>
      </c>
      <c r="F1620" s="465" t="s">
        <v>3946</v>
      </c>
      <c r="G1620" s="465" t="s">
        <v>3881</v>
      </c>
      <c r="H1620" s="465" t="s">
        <v>3882</v>
      </c>
      <c r="I1620" s="465" t="s">
        <v>830</v>
      </c>
    </row>
    <row r="1621" hidden="1" ht="15.95" customHeight="1">
      <c r="A1621" s="465" t="s">
        <v>3952</v>
      </c>
      <c r="B1621" s="465" t="s">
        <v>3953</v>
      </c>
      <c r="C1621" s="465"/>
      <c r="D1621" s="465" t="s">
        <v>855</v>
      </c>
      <c r="E1621" s="465" t="s">
        <v>3945</v>
      </c>
      <c r="F1621" s="465" t="s">
        <v>3946</v>
      </c>
      <c r="G1621" s="465" t="s">
        <v>3881</v>
      </c>
      <c r="H1621" s="465" t="s">
        <v>3882</v>
      </c>
      <c r="I1621" s="465" t="s">
        <v>830</v>
      </c>
    </row>
    <row r="1622" hidden="1" ht="15.95" customHeight="1">
      <c r="A1622" s="465" t="s">
        <v>3954</v>
      </c>
      <c r="B1622" s="465" t="s">
        <v>3185</v>
      </c>
      <c r="C1622" s="465"/>
      <c r="D1622" s="465" t="s">
        <v>855</v>
      </c>
      <c r="E1622" s="465" t="s">
        <v>3945</v>
      </c>
      <c r="F1622" s="465" t="s">
        <v>3946</v>
      </c>
      <c r="G1622" s="465" t="s">
        <v>3881</v>
      </c>
      <c r="H1622" s="465" t="s">
        <v>3882</v>
      </c>
      <c r="I1622" s="465" t="s">
        <v>830</v>
      </c>
    </row>
    <row r="1623" hidden="1" ht="15.95" customHeight="1">
      <c r="A1623" s="465" t="s">
        <v>3955</v>
      </c>
      <c r="B1623" s="465" t="s">
        <v>1350</v>
      </c>
      <c r="C1623" s="465"/>
      <c r="D1623" s="465" t="s">
        <v>855</v>
      </c>
      <c r="E1623" s="465" t="s">
        <v>3945</v>
      </c>
      <c r="F1623" s="465" t="s">
        <v>3946</v>
      </c>
      <c r="G1623" s="465" t="s">
        <v>3881</v>
      </c>
      <c r="H1623" s="465" t="s">
        <v>3882</v>
      </c>
      <c r="I1623" s="465" t="s">
        <v>830</v>
      </c>
    </row>
    <row r="1624" hidden="1" ht="15.95" customHeight="1">
      <c r="A1624" s="465" t="s">
        <v>3956</v>
      </c>
      <c r="B1624" s="465" t="s">
        <v>3957</v>
      </c>
      <c r="C1624" s="465"/>
      <c r="D1624" s="465" t="s">
        <v>855</v>
      </c>
      <c r="E1624" s="465" t="s">
        <v>3945</v>
      </c>
      <c r="F1624" s="465" t="s">
        <v>3946</v>
      </c>
      <c r="G1624" s="465" t="s">
        <v>3881</v>
      </c>
      <c r="H1624" s="465" t="s">
        <v>3882</v>
      </c>
      <c r="I1624" s="465" t="s">
        <v>830</v>
      </c>
    </row>
    <row r="1625" hidden="1" ht="15.95" customHeight="1">
      <c r="A1625" s="465" t="s">
        <v>3958</v>
      </c>
      <c r="B1625" s="465" t="s">
        <v>3959</v>
      </c>
      <c r="C1625" s="465"/>
      <c r="D1625" s="465" t="s">
        <v>855</v>
      </c>
      <c r="E1625" s="465" t="s">
        <v>3945</v>
      </c>
      <c r="F1625" s="465" t="s">
        <v>3946</v>
      </c>
      <c r="G1625" s="465" t="s">
        <v>3881</v>
      </c>
      <c r="H1625" s="465" t="s">
        <v>3882</v>
      </c>
      <c r="I1625" s="465" t="s">
        <v>830</v>
      </c>
    </row>
    <row r="1626" hidden="1" ht="15.95" customHeight="1">
      <c r="A1626" s="465" t="s">
        <v>3960</v>
      </c>
      <c r="B1626" s="465" t="s">
        <v>2097</v>
      </c>
      <c r="C1626" s="465"/>
      <c r="D1626" s="465" t="s">
        <v>855</v>
      </c>
      <c r="E1626" s="465" t="s">
        <v>3945</v>
      </c>
      <c r="F1626" s="465" t="s">
        <v>3946</v>
      </c>
      <c r="G1626" s="465" t="s">
        <v>3881</v>
      </c>
      <c r="H1626" s="465" t="s">
        <v>3882</v>
      </c>
      <c r="I1626" s="465" t="s">
        <v>830</v>
      </c>
    </row>
    <row r="1627" hidden="1" ht="15.95" customHeight="1">
      <c r="A1627" s="465" t="s">
        <v>3961</v>
      </c>
      <c r="B1627" s="465" t="s">
        <v>3962</v>
      </c>
      <c r="C1627" s="465"/>
      <c r="D1627" s="465" t="s">
        <v>855</v>
      </c>
      <c r="E1627" s="465" t="s">
        <v>3945</v>
      </c>
      <c r="F1627" s="465" t="s">
        <v>3946</v>
      </c>
      <c r="G1627" s="465" t="s">
        <v>3881</v>
      </c>
      <c r="H1627" s="465" t="s">
        <v>3882</v>
      </c>
      <c r="I1627" s="465" t="s">
        <v>830</v>
      </c>
    </row>
    <row r="1628" hidden="1" ht="15.95" customHeight="1">
      <c r="A1628" s="465" t="s">
        <v>3963</v>
      </c>
      <c r="B1628" s="465" t="s">
        <v>3964</v>
      </c>
      <c r="C1628" s="465"/>
      <c r="D1628" s="465" t="s">
        <v>884</v>
      </c>
      <c r="E1628" s="465" t="s">
        <v>3965</v>
      </c>
      <c r="F1628" s="465" t="s">
        <v>3966</v>
      </c>
      <c r="G1628" s="465" t="s">
        <v>3881</v>
      </c>
      <c r="H1628" s="465" t="s">
        <v>3882</v>
      </c>
      <c r="I1628" s="465" t="s">
        <v>830</v>
      </c>
    </row>
    <row r="1629" hidden="1" ht="15.95" customHeight="1">
      <c r="A1629" s="465" t="s">
        <v>3967</v>
      </c>
      <c r="B1629" s="465" t="s">
        <v>3968</v>
      </c>
      <c r="C1629" s="465"/>
      <c r="D1629" s="465" t="s">
        <v>855</v>
      </c>
      <c r="E1629" s="465" t="s">
        <v>3965</v>
      </c>
      <c r="F1629" s="465" t="s">
        <v>3966</v>
      </c>
      <c r="G1629" s="465" t="s">
        <v>3881</v>
      </c>
      <c r="H1629" s="465" t="s">
        <v>3882</v>
      </c>
      <c r="I1629" s="465" t="s">
        <v>830</v>
      </c>
    </row>
    <row r="1630" hidden="1" ht="15.95" customHeight="1">
      <c r="A1630" s="465" t="s">
        <v>3969</v>
      </c>
      <c r="B1630" s="465" t="s">
        <v>3970</v>
      </c>
      <c r="C1630" s="465"/>
      <c r="D1630" s="465" t="s">
        <v>855</v>
      </c>
      <c r="E1630" s="465" t="s">
        <v>3965</v>
      </c>
      <c r="F1630" s="465" t="s">
        <v>3966</v>
      </c>
      <c r="G1630" s="465" t="s">
        <v>3881</v>
      </c>
      <c r="H1630" s="465" t="s">
        <v>3882</v>
      </c>
      <c r="I1630" s="465" t="s">
        <v>830</v>
      </c>
    </row>
    <row r="1631" hidden="1" ht="15.95" customHeight="1">
      <c r="A1631" s="465" t="s">
        <v>3971</v>
      </c>
      <c r="B1631" s="465" t="s">
        <v>1412</v>
      </c>
      <c r="C1631" s="465"/>
      <c r="D1631" s="465" t="s">
        <v>855</v>
      </c>
      <c r="E1631" s="465" t="s">
        <v>3965</v>
      </c>
      <c r="F1631" s="465" t="s">
        <v>3966</v>
      </c>
      <c r="G1631" s="465" t="s">
        <v>3881</v>
      </c>
      <c r="H1631" s="465" t="s">
        <v>3882</v>
      </c>
      <c r="I1631" s="465" t="s">
        <v>830</v>
      </c>
    </row>
    <row r="1632" hidden="1" ht="15.95" customHeight="1">
      <c r="A1632" s="465" t="s">
        <v>3972</v>
      </c>
      <c r="B1632" s="465" t="s">
        <v>3101</v>
      </c>
      <c r="C1632" s="465"/>
      <c r="D1632" s="465" t="s">
        <v>855</v>
      </c>
      <c r="E1632" s="465" t="s">
        <v>3965</v>
      </c>
      <c r="F1632" s="465" t="s">
        <v>3966</v>
      </c>
      <c r="G1632" s="465" t="s">
        <v>3881</v>
      </c>
      <c r="H1632" s="465" t="s">
        <v>3882</v>
      </c>
      <c r="I1632" s="465" t="s">
        <v>830</v>
      </c>
    </row>
    <row r="1633" hidden="1" ht="15.95" customHeight="1">
      <c r="A1633" s="465" t="s">
        <v>3973</v>
      </c>
      <c r="B1633" s="465" t="s">
        <v>3974</v>
      </c>
      <c r="C1633" s="465"/>
      <c r="D1633" s="465" t="s">
        <v>855</v>
      </c>
      <c r="E1633" s="465" t="s">
        <v>3965</v>
      </c>
      <c r="F1633" s="465" t="s">
        <v>3966</v>
      </c>
      <c r="G1633" s="465" t="s">
        <v>3881</v>
      </c>
      <c r="H1633" s="465" t="s">
        <v>3882</v>
      </c>
      <c r="I1633" s="465" t="s">
        <v>830</v>
      </c>
    </row>
    <row r="1634" hidden="1" ht="15.95" customHeight="1">
      <c r="A1634" s="465" t="s">
        <v>3975</v>
      </c>
      <c r="B1634" s="465" t="s">
        <v>1966</v>
      </c>
      <c r="C1634" s="465"/>
      <c r="D1634" s="465" t="s">
        <v>855</v>
      </c>
      <c r="E1634" s="465" t="s">
        <v>3965</v>
      </c>
      <c r="F1634" s="465" t="s">
        <v>3966</v>
      </c>
      <c r="G1634" s="465" t="s">
        <v>3881</v>
      </c>
      <c r="H1634" s="465" t="s">
        <v>3882</v>
      </c>
      <c r="I1634" s="465" t="s">
        <v>830</v>
      </c>
    </row>
    <row r="1635" hidden="1" ht="15.95" customHeight="1">
      <c r="A1635" s="465" t="s">
        <v>3976</v>
      </c>
      <c r="B1635" s="465" t="s">
        <v>3977</v>
      </c>
      <c r="C1635" s="465"/>
      <c r="D1635" s="465" t="s">
        <v>855</v>
      </c>
      <c r="E1635" s="465" t="s">
        <v>3965</v>
      </c>
      <c r="F1635" s="465" t="s">
        <v>3966</v>
      </c>
      <c r="G1635" s="465" t="s">
        <v>3881</v>
      </c>
      <c r="H1635" s="465" t="s">
        <v>3882</v>
      </c>
      <c r="I1635" s="465" t="s">
        <v>830</v>
      </c>
    </row>
    <row r="1636" hidden="1" ht="15.95" customHeight="1">
      <c r="A1636" s="465" t="s">
        <v>3978</v>
      </c>
      <c r="B1636" s="465" t="s">
        <v>3979</v>
      </c>
      <c r="C1636" s="465"/>
      <c r="D1636" s="465" t="s">
        <v>855</v>
      </c>
      <c r="E1636" s="465" t="s">
        <v>3965</v>
      </c>
      <c r="F1636" s="465" t="s">
        <v>3966</v>
      </c>
      <c r="G1636" s="465" t="s">
        <v>3881</v>
      </c>
      <c r="H1636" s="465" t="s">
        <v>3882</v>
      </c>
      <c r="I1636" s="465" t="s">
        <v>830</v>
      </c>
    </row>
    <row r="1637" hidden="1" ht="15.95" customHeight="1">
      <c r="A1637" s="465" t="s">
        <v>3980</v>
      </c>
      <c r="B1637" s="465" t="s">
        <v>3981</v>
      </c>
      <c r="C1637" s="465"/>
      <c r="D1637" s="465" t="s">
        <v>855</v>
      </c>
      <c r="E1637" s="465" t="s">
        <v>3965</v>
      </c>
      <c r="F1637" s="465" t="s">
        <v>3966</v>
      </c>
      <c r="G1637" s="465" t="s">
        <v>3881</v>
      </c>
      <c r="H1637" s="465" t="s">
        <v>3882</v>
      </c>
      <c r="I1637" s="465" t="s">
        <v>830</v>
      </c>
    </row>
    <row r="1638" hidden="1" ht="15.95" customHeight="1">
      <c r="A1638" s="465" t="s">
        <v>3982</v>
      </c>
      <c r="B1638" s="465" t="s">
        <v>3614</v>
      </c>
      <c r="C1638" s="465"/>
      <c r="D1638" s="465" t="s">
        <v>855</v>
      </c>
      <c r="E1638" s="465" t="s">
        <v>3965</v>
      </c>
      <c r="F1638" s="465" t="s">
        <v>3966</v>
      </c>
      <c r="G1638" s="465" t="s">
        <v>3881</v>
      </c>
      <c r="H1638" s="465" t="s">
        <v>3882</v>
      </c>
      <c r="I1638" s="465" t="s">
        <v>830</v>
      </c>
    </row>
    <row r="1639" hidden="1" ht="15.95" customHeight="1">
      <c r="A1639" s="465" t="s">
        <v>3983</v>
      </c>
      <c r="B1639" s="465" t="s">
        <v>3984</v>
      </c>
      <c r="C1639" s="465"/>
      <c r="D1639" s="465" t="s">
        <v>855</v>
      </c>
      <c r="E1639" s="465" t="s">
        <v>3965</v>
      </c>
      <c r="F1639" s="465" t="s">
        <v>3966</v>
      </c>
      <c r="G1639" s="465" t="s">
        <v>3881</v>
      </c>
      <c r="H1639" s="465" t="s">
        <v>3882</v>
      </c>
      <c r="I1639" s="465" t="s">
        <v>830</v>
      </c>
    </row>
    <row r="1640" hidden="1" ht="15.95" customHeight="1">
      <c r="A1640" s="465" t="s">
        <v>3985</v>
      </c>
      <c r="B1640" s="465" t="s">
        <v>3986</v>
      </c>
      <c r="C1640" s="465"/>
      <c r="D1640" s="465" t="s">
        <v>855</v>
      </c>
      <c r="E1640" s="465" t="s">
        <v>3965</v>
      </c>
      <c r="F1640" s="465" t="s">
        <v>3966</v>
      </c>
      <c r="G1640" s="465" t="s">
        <v>3881</v>
      </c>
      <c r="H1640" s="465" t="s">
        <v>3882</v>
      </c>
      <c r="I1640" s="465" t="s">
        <v>830</v>
      </c>
    </row>
    <row r="1641" hidden="1" ht="15.95" customHeight="1">
      <c r="A1641" s="465" t="s">
        <v>3987</v>
      </c>
      <c r="B1641" s="465" t="s">
        <v>1693</v>
      </c>
      <c r="C1641" s="465"/>
      <c r="D1641" s="465" t="s">
        <v>855</v>
      </c>
      <c r="E1641" s="465" t="s">
        <v>3965</v>
      </c>
      <c r="F1641" s="465" t="s">
        <v>3966</v>
      </c>
      <c r="G1641" s="465" t="s">
        <v>3881</v>
      </c>
      <c r="H1641" s="465" t="s">
        <v>3882</v>
      </c>
      <c r="I1641" s="465" t="s">
        <v>830</v>
      </c>
    </row>
    <row r="1642" hidden="1" ht="15.95" customHeight="1">
      <c r="A1642" s="465" t="s">
        <v>3988</v>
      </c>
      <c r="B1642" s="465" t="s">
        <v>3989</v>
      </c>
      <c r="C1642" s="465"/>
      <c r="D1642" s="465" t="s">
        <v>855</v>
      </c>
      <c r="E1642" s="465" t="s">
        <v>3965</v>
      </c>
      <c r="F1642" s="465" t="s">
        <v>3966</v>
      </c>
      <c r="G1642" s="465" t="s">
        <v>3881</v>
      </c>
      <c r="H1642" s="465" t="s">
        <v>3882</v>
      </c>
      <c r="I1642" s="465" t="s">
        <v>830</v>
      </c>
    </row>
    <row r="1643" hidden="1" ht="15.95" customHeight="1">
      <c r="A1643" s="465" t="s">
        <v>3990</v>
      </c>
      <c r="B1643" s="465" t="s">
        <v>3727</v>
      </c>
      <c r="C1643" s="465"/>
      <c r="D1643" s="465" t="s">
        <v>855</v>
      </c>
      <c r="E1643" s="465" t="s">
        <v>3965</v>
      </c>
      <c r="F1643" s="465" t="s">
        <v>3966</v>
      </c>
      <c r="G1643" s="465" t="s">
        <v>3881</v>
      </c>
      <c r="H1643" s="465" t="s">
        <v>3882</v>
      </c>
      <c r="I1643" s="465" t="s">
        <v>830</v>
      </c>
    </row>
    <row r="1644" hidden="1" ht="15.95" customHeight="1">
      <c r="A1644" s="465" t="s">
        <v>3991</v>
      </c>
      <c r="B1644" s="465" t="s">
        <v>3992</v>
      </c>
      <c r="C1644" s="465"/>
      <c r="D1644" s="465" t="s">
        <v>855</v>
      </c>
      <c r="E1644" s="465" t="s">
        <v>3965</v>
      </c>
      <c r="F1644" s="465" t="s">
        <v>3966</v>
      </c>
      <c r="G1644" s="465" t="s">
        <v>3881</v>
      </c>
      <c r="H1644" s="465" t="s">
        <v>3882</v>
      </c>
      <c r="I1644" s="465" t="s">
        <v>830</v>
      </c>
    </row>
    <row r="1645" hidden="1" ht="15.95" customHeight="1">
      <c r="A1645" s="465" t="s">
        <v>3993</v>
      </c>
      <c r="B1645" s="465" t="s">
        <v>3994</v>
      </c>
      <c r="C1645" s="465"/>
      <c r="D1645" s="465" t="s">
        <v>884</v>
      </c>
      <c r="E1645" s="465" t="s">
        <v>3995</v>
      </c>
      <c r="F1645" s="465" t="s">
        <v>3996</v>
      </c>
      <c r="G1645" s="465" t="s">
        <v>3881</v>
      </c>
      <c r="H1645" s="465" t="s">
        <v>3882</v>
      </c>
      <c r="I1645" s="465" t="s">
        <v>830</v>
      </c>
    </row>
    <row r="1646" hidden="1" ht="15.95" customHeight="1">
      <c r="A1646" s="465" t="s">
        <v>3997</v>
      </c>
      <c r="B1646" s="465" t="s">
        <v>1011</v>
      </c>
      <c r="C1646" s="465"/>
      <c r="D1646" s="465" t="s">
        <v>855</v>
      </c>
      <c r="E1646" s="465" t="s">
        <v>3995</v>
      </c>
      <c r="F1646" s="465" t="s">
        <v>3996</v>
      </c>
      <c r="G1646" s="465" t="s">
        <v>3881</v>
      </c>
      <c r="H1646" s="465" t="s">
        <v>3882</v>
      </c>
      <c r="I1646" s="465" t="s">
        <v>830</v>
      </c>
    </row>
    <row r="1647" hidden="1" ht="15.95" customHeight="1">
      <c r="A1647" s="465" t="s">
        <v>3998</v>
      </c>
      <c r="B1647" s="465" t="s">
        <v>3999</v>
      </c>
      <c r="C1647" s="465"/>
      <c r="D1647" s="465" t="s">
        <v>855</v>
      </c>
      <c r="E1647" s="465" t="s">
        <v>3995</v>
      </c>
      <c r="F1647" s="465" t="s">
        <v>3996</v>
      </c>
      <c r="G1647" s="465" t="s">
        <v>3881</v>
      </c>
      <c r="H1647" s="465" t="s">
        <v>3882</v>
      </c>
      <c r="I1647" s="465" t="s">
        <v>830</v>
      </c>
    </row>
    <row r="1648" hidden="1" ht="15.95" customHeight="1">
      <c r="A1648" s="465" t="s">
        <v>4000</v>
      </c>
      <c r="B1648" s="465" t="s">
        <v>1142</v>
      </c>
      <c r="C1648" s="465"/>
      <c r="D1648" s="465" t="s">
        <v>855</v>
      </c>
      <c r="E1648" s="465" t="s">
        <v>3995</v>
      </c>
      <c r="F1648" s="465" t="s">
        <v>3996</v>
      </c>
      <c r="G1648" s="465" t="s">
        <v>3881</v>
      </c>
      <c r="H1648" s="465" t="s">
        <v>3882</v>
      </c>
      <c r="I1648" s="465" t="s">
        <v>830</v>
      </c>
    </row>
    <row r="1649" hidden="1" ht="15.95" customHeight="1">
      <c r="A1649" s="465" t="s">
        <v>4001</v>
      </c>
      <c r="B1649" s="465" t="s">
        <v>4002</v>
      </c>
      <c r="C1649" s="465"/>
      <c r="D1649" s="465" t="s">
        <v>855</v>
      </c>
      <c r="E1649" s="465" t="s">
        <v>3995</v>
      </c>
      <c r="F1649" s="465" t="s">
        <v>3996</v>
      </c>
      <c r="G1649" s="465" t="s">
        <v>3881</v>
      </c>
      <c r="H1649" s="465" t="s">
        <v>3882</v>
      </c>
      <c r="I1649" s="465" t="s">
        <v>830</v>
      </c>
    </row>
    <row r="1650" hidden="1" ht="15.95" customHeight="1">
      <c r="A1650" s="465" t="s">
        <v>4003</v>
      </c>
      <c r="B1650" s="465" t="s">
        <v>3419</v>
      </c>
      <c r="C1650" s="465"/>
      <c r="D1650" s="465" t="s">
        <v>855</v>
      </c>
      <c r="E1650" s="465" t="s">
        <v>3995</v>
      </c>
      <c r="F1650" s="465" t="s">
        <v>3996</v>
      </c>
      <c r="G1650" s="465" t="s">
        <v>3881</v>
      </c>
      <c r="H1650" s="465" t="s">
        <v>3882</v>
      </c>
      <c r="I1650" s="465" t="s">
        <v>830</v>
      </c>
    </row>
    <row r="1651" hidden="1" ht="15.95" customHeight="1">
      <c r="A1651" s="465" t="s">
        <v>4004</v>
      </c>
      <c r="B1651" s="465" t="s">
        <v>4005</v>
      </c>
      <c r="C1651" s="465"/>
      <c r="D1651" s="465" t="s">
        <v>855</v>
      </c>
      <c r="E1651" s="465" t="s">
        <v>3995</v>
      </c>
      <c r="F1651" s="465" t="s">
        <v>3996</v>
      </c>
      <c r="G1651" s="465" t="s">
        <v>3881</v>
      </c>
      <c r="H1651" s="465" t="s">
        <v>3882</v>
      </c>
      <c r="I1651" s="465" t="s">
        <v>830</v>
      </c>
    </row>
    <row r="1652" hidden="1" ht="15.95" customHeight="1">
      <c r="A1652" s="465" t="s">
        <v>4006</v>
      </c>
      <c r="B1652" s="465" t="s">
        <v>4007</v>
      </c>
      <c r="C1652" s="465"/>
      <c r="D1652" s="465" t="s">
        <v>855</v>
      </c>
      <c r="E1652" s="465" t="s">
        <v>3995</v>
      </c>
      <c r="F1652" s="465" t="s">
        <v>3996</v>
      </c>
      <c r="G1652" s="465" t="s">
        <v>3881</v>
      </c>
      <c r="H1652" s="465" t="s">
        <v>3882</v>
      </c>
      <c r="I1652" s="465" t="s">
        <v>830</v>
      </c>
    </row>
    <row r="1653" hidden="1" ht="15.95" customHeight="1">
      <c r="A1653" s="465" t="s">
        <v>4008</v>
      </c>
      <c r="B1653" s="465" t="s">
        <v>4009</v>
      </c>
      <c r="C1653" s="465"/>
      <c r="D1653" s="465" t="s">
        <v>855</v>
      </c>
      <c r="E1653" s="465" t="s">
        <v>3995</v>
      </c>
      <c r="F1653" s="465" t="s">
        <v>3996</v>
      </c>
      <c r="G1653" s="465" t="s">
        <v>3881</v>
      </c>
      <c r="H1653" s="465" t="s">
        <v>3882</v>
      </c>
      <c r="I1653" s="465" t="s">
        <v>830</v>
      </c>
    </row>
    <row r="1654" hidden="1" ht="15.95" customHeight="1">
      <c r="A1654" s="465" t="s">
        <v>4010</v>
      </c>
      <c r="B1654" s="465" t="s">
        <v>4011</v>
      </c>
      <c r="C1654" s="465"/>
      <c r="D1654" s="465" t="s">
        <v>855</v>
      </c>
      <c r="E1654" s="465" t="s">
        <v>3995</v>
      </c>
      <c r="F1654" s="465" t="s">
        <v>3996</v>
      </c>
      <c r="G1654" s="465" t="s">
        <v>3881</v>
      </c>
      <c r="H1654" s="465" t="s">
        <v>3882</v>
      </c>
      <c r="I1654" s="465" t="s">
        <v>830</v>
      </c>
    </row>
    <row r="1655" hidden="1" ht="15.95" customHeight="1">
      <c r="A1655" s="465" t="s">
        <v>4012</v>
      </c>
      <c r="B1655" s="465" t="s">
        <v>4013</v>
      </c>
      <c r="C1655" s="465"/>
      <c r="D1655" s="465" t="s">
        <v>855</v>
      </c>
      <c r="E1655" s="465" t="s">
        <v>3995</v>
      </c>
      <c r="F1655" s="465" t="s">
        <v>3996</v>
      </c>
      <c r="G1655" s="465" t="s">
        <v>3881</v>
      </c>
      <c r="H1655" s="465" t="s">
        <v>3882</v>
      </c>
      <c r="I1655" s="465" t="s">
        <v>830</v>
      </c>
    </row>
    <row r="1656" hidden="1" ht="15.95" customHeight="1">
      <c r="A1656" s="465" t="s">
        <v>4014</v>
      </c>
      <c r="B1656" s="465" t="s">
        <v>2326</v>
      </c>
      <c r="C1656" s="465"/>
      <c r="D1656" s="465" t="s">
        <v>855</v>
      </c>
      <c r="E1656" s="465" t="s">
        <v>3995</v>
      </c>
      <c r="F1656" s="465" t="s">
        <v>3996</v>
      </c>
      <c r="G1656" s="465" t="s">
        <v>3881</v>
      </c>
      <c r="H1656" s="465" t="s">
        <v>3882</v>
      </c>
      <c r="I1656" s="465" t="s">
        <v>830</v>
      </c>
    </row>
    <row r="1657" hidden="1" ht="15.95" customHeight="1">
      <c r="A1657" s="465" t="s">
        <v>4015</v>
      </c>
      <c r="B1657" s="465" t="s">
        <v>4016</v>
      </c>
      <c r="C1657" s="465"/>
      <c r="D1657" s="465" t="s">
        <v>855</v>
      </c>
      <c r="E1657" s="465" t="s">
        <v>3995</v>
      </c>
      <c r="F1657" s="465" t="s">
        <v>3996</v>
      </c>
      <c r="G1657" s="465" t="s">
        <v>3881</v>
      </c>
      <c r="H1657" s="465" t="s">
        <v>3882</v>
      </c>
      <c r="I1657" s="465" t="s">
        <v>830</v>
      </c>
    </row>
    <row r="1658" hidden="1" ht="15.95" customHeight="1">
      <c r="A1658" s="465" t="s">
        <v>4017</v>
      </c>
      <c r="B1658" s="465" t="s">
        <v>4018</v>
      </c>
      <c r="C1658" s="465"/>
      <c r="D1658" s="465" t="s">
        <v>855</v>
      </c>
      <c r="E1658" s="465" t="s">
        <v>3995</v>
      </c>
      <c r="F1658" s="465" t="s">
        <v>3996</v>
      </c>
      <c r="G1658" s="465" t="s">
        <v>3881</v>
      </c>
      <c r="H1658" s="465" t="s">
        <v>3882</v>
      </c>
      <c r="I1658" s="465" t="s">
        <v>830</v>
      </c>
    </row>
    <row r="1659" hidden="1" ht="15.95" customHeight="1">
      <c r="A1659" s="465" t="s">
        <v>4019</v>
      </c>
      <c r="B1659" s="465" t="s">
        <v>2656</v>
      </c>
      <c r="C1659" s="465"/>
      <c r="D1659" s="465" t="s">
        <v>855</v>
      </c>
      <c r="E1659" s="465" t="s">
        <v>3995</v>
      </c>
      <c r="F1659" s="465" t="s">
        <v>3996</v>
      </c>
      <c r="G1659" s="465" t="s">
        <v>3881</v>
      </c>
      <c r="H1659" s="465" t="s">
        <v>3882</v>
      </c>
      <c r="I1659" s="465" t="s">
        <v>830</v>
      </c>
    </row>
    <row r="1660" hidden="1" ht="15.95" customHeight="1">
      <c r="A1660" s="465" t="s">
        <v>4020</v>
      </c>
      <c r="B1660" s="465" t="s">
        <v>4021</v>
      </c>
      <c r="C1660" s="465"/>
      <c r="D1660" s="465" t="s">
        <v>855</v>
      </c>
      <c r="E1660" s="465" t="s">
        <v>3995</v>
      </c>
      <c r="F1660" s="465" t="s">
        <v>3996</v>
      </c>
      <c r="G1660" s="465" t="s">
        <v>3881</v>
      </c>
      <c r="H1660" s="465" t="s">
        <v>3882</v>
      </c>
      <c r="I1660" s="465" t="s">
        <v>830</v>
      </c>
    </row>
    <row r="1661" hidden="1" ht="15.95" customHeight="1">
      <c r="A1661" s="465" t="s">
        <v>4022</v>
      </c>
      <c r="B1661" s="465" t="s">
        <v>3360</v>
      </c>
      <c r="C1661" s="465"/>
      <c r="D1661" s="465" t="s">
        <v>855</v>
      </c>
      <c r="E1661" s="465" t="s">
        <v>3995</v>
      </c>
      <c r="F1661" s="465" t="s">
        <v>3996</v>
      </c>
      <c r="G1661" s="465" t="s">
        <v>3881</v>
      </c>
      <c r="H1661" s="465" t="s">
        <v>3882</v>
      </c>
      <c r="I1661" s="465" t="s">
        <v>830</v>
      </c>
    </row>
    <row r="1662" hidden="1" ht="15.95" customHeight="1">
      <c r="A1662" s="465" t="s">
        <v>4023</v>
      </c>
      <c r="B1662" s="465" t="s">
        <v>1364</v>
      </c>
      <c r="C1662" s="465"/>
      <c r="D1662" s="465" t="s">
        <v>855</v>
      </c>
      <c r="E1662" s="465" t="s">
        <v>3995</v>
      </c>
      <c r="F1662" s="465" t="s">
        <v>3996</v>
      </c>
      <c r="G1662" s="465" t="s">
        <v>3881</v>
      </c>
      <c r="H1662" s="465" t="s">
        <v>3882</v>
      </c>
      <c r="I1662" s="465" t="s">
        <v>830</v>
      </c>
    </row>
    <row r="1663" hidden="1" ht="15.95" customHeight="1">
      <c r="A1663" s="465" t="s">
        <v>4024</v>
      </c>
      <c r="B1663" s="465" t="s">
        <v>4025</v>
      </c>
      <c r="C1663" s="465"/>
      <c r="D1663" s="465" t="s">
        <v>855</v>
      </c>
      <c r="E1663" s="465" t="s">
        <v>3995</v>
      </c>
      <c r="F1663" s="465" t="s">
        <v>3996</v>
      </c>
      <c r="G1663" s="465" t="s">
        <v>3881</v>
      </c>
      <c r="H1663" s="465" t="s">
        <v>3882</v>
      </c>
      <c r="I1663" s="465" t="s">
        <v>830</v>
      </c>
    </row>
    <row r="1664" hidden="1" ht="15.95" customHeight="1">
      <c r="A1664" s="465" t="s">
        <v>4026</v>
      </c>
      <c r="B1664" s="465" t="s">
        <v>4027</v>
      </c>
      <c r="C1664" s="465"/>
      <c r="D1664" s="465" t="s">
        <v>855</v>
      </c>
      <c r="E1664" s="465" t="s">
        <v>3995</v>
      </c>
      <c r="F1664" s="465" t="s">
        <v>3996</v>
      </c>
      <c r="G1664" s="465" t="s">
        <v>3881</v>
      </c>
      <c r="H1664" s="465" t="s">
        <v>3882</v>
      </c>
      <c r="I1664" s="465" t="s">
        <v>830</v>
      </c>
    </row>
    <row r="1665" hidden="1" ht="15.95" customHeight="1">
      <c r="A1665" s="465" t="s">
        <v>4028</v>
      </c>
      <c r="B1665" s="465" t="s">
        <v>4029</v>
      </c>
      <c r="C1665" s="465"/>
      <c r="D1665" s="465" t="s">
        <v>855</v>
      </c>
      <c r="E1665" s="465" t="s">
        <v>3995</v>
      </c>
      <c r="F1665" s="465" t="s">
        <v>3996</v>
      </c>
      <c r="G1665" s="465" t="s">
        <v>3881</v>
      </c>
      <c r="H1665" s="465" t="s">
        <v>3882</v>
      </c>
      <c r="I1665" s="465" t="s">
        <v>830</v>
      </c>
    </row>
    <row r="1666" hidden="1" ht="15.95" customHeight="1">
      <c r="A1666" s="465" t="s">
        <v>4030</v>
      </c>
      <c r="B1666" s="465" t="s">
        <v>4031</v>
      </c>
      <c r="C1666" s="465"/>
      <c r="D1666" s="465" t="s">
        <v>855</v>
      </c>
      <c r="E1666" s="465" t="s">
        <v>3995</v>
      </c>
      <c r="F1666" s="465" t="s">
        <v>3996</v>
      </c>
      <c r="G1666" s="465" t="s">
        <v>3881</v>
      </c>
      <c r="H1666" s="465" t="s">
        <v>3882</v>
      </c>
      <c r="I1666" s="465" t="s">
        <v>830</v>
      </c>
    </row>
    <row r="1667" hidden="1" ht="15.95" customHeight="1">
      <c r="A1667" s="465" t="s">
        <v>4032</v>
      </c>
      <c r="B1667" s="465" t="s">
        <v>4033</v>
      </c>
      <c r="C1667" s="465"/>
      <c r="D1667" s="465" t="s">
        <v>884</v>
      </c>
      <c r="E1667" s="465" t="s">
        <v>4034</v>
      </c>
      <c r="F1667" s="465" t="s">
        <v>4035</v>
      </c>
      <c r="G1667" s="465" t="s">
        <v>3881</v>
      </c>
      <c r="H1667" s="465" t="s">
        <v>3882</v>
      </c>
      <c r="I1667" s="465" t="s">
        <v>830</v>
      </c>
    </row>
    <row r="1668" hidden="1" ht="15.95" customHeight="1">
      <c r="A1668" s="465" t="s">
        <v>4036</v>
      </c>
      <c r="B1668" s="465" t="s">
        <v>3758</v>
      </c>
      <c r="C1668" s="465"/>
      <c r="D1668" s="465" t="s">
        <v>855</v>
      </c>
      <c r="E1668" s="465" t="s">
        <v>4034</v>
      </c>
      <c r="F1668" s="465" t="s">
        <v>4035</v>
      </c>
      <c r="G1668" s="465" t="s">
        <v>3881</v>
      </c>
      <c r="H1668" s="465" t="s">
        <v>3882</v>
      </c>
      <c r="I1668" s="465" t="s">
        <v>830</v>
      </c>
    </row>
    <row r="1669" hidden="1" ht="15.95" customHeight="1">
      <c r="A1669" s="465" t="s">
        <v>4037</v>
      </c>
      <c r="B1669" s="465" t="s">
        <v>3489</v>
      </c>
      <c r="C1669" s="465"/>
      <c r="D1669" s="465" t="s">
        <v>855</v>
      </c>
      <c r="E1669" s="465" t="s">
        <v>4034</v>
      </c>
      <c r="F1669" s="465" t="s">
        <v>4035</v>
      </c>
      <c r="G1669" s="465" t="s">
        <v>3881</v>
      </c>
      <c r="H1669" s="465" t="s">
        <v>3882</v>
      </c>
      <c r="I1669" s="465" t="s">
        <v>830</v>
      </c>
    </row>
    <row r="1670" hidden="1" ht="15.95" customHeight="1">
      <c r="A1670" s="465" t="s">
        <v>4038</v>
      </c>
      <c r="B1670" s="465" t="s">
        <v>2048</v>
      </c>
      <c r="C1670" s="465"/>
      <c r="D1670" s="465" t="s">
        <v>855</v>
      </c>
      <c r="E1670" s="465" t="s">
        <v>4034</v>
      </c>
      <c r="F1670" s="465" t="s">
        <v>4035</v>
      </c>
      <c r="G1670" s="465" t="s">
        <v>3881</v>
      </c>
      <c r="H1670" s="465" t="s">
        <v>3882</v>
      </c>
      <c r="I1670" s="465" t="s">
        <v>830</v>
      </c>
    </row>
    <row r="1671" hidden="1" ht="15.95" customHeight="1">
      <c r="A1671" s="465" t="s">
        <v>4039</v>
      </c>
      <c r="B1671" s="465" t="s">
        <v>4040</v>
      </c>
      <c r="C1671" s="465"/>
      <c r="D1671" s="465" t="s">
        <v>855</v>
      </c>
      <c r="E1671" s="465" t="s">
        <v>4034</v>
      </c>
      <c r="F1671" s="465" t="s">
        <v>4035</v>
      </c>
      <c r="G1671" s="465" t="s">
        <v>3881</v>
      </c>
      <c r="H1671" s="465" t="s">
        <v>3882</v>
      </c>
      <c r="I1671" s="465" t="s">
        <v>830</v>
      </c>
    </row>
    <row r="1672" hidden="1" ht="15.95" customHeight="1">
      <c r="A1672" s="465" t="s">
        <v>4041</v>
      </c>
      <c r="B1672" s="465" t="s">
        <v>4042</v>
      </c>
      <c r="C1672" s="465"/>
      <c r="D1672" s="465" t="s">
        <v>855</v>
      </c>
      <c r="E1672" s="465" t="s">
        <v>4034</v>
      </c>
      <c r="F1672" s="465" t="s">
        <v>4035</v>
      </c>
      <c r="G1672" s="465" t="s">
        <v>3881</v>
      </c>
      <c r="H1672" s="465" t="s">
        <v>3882</v>
      </c>
      <c r="I1672" s="465" t="s">
        <v>830</v>
      </c>
    </row>
    <row r="1673" hidden="1" ht="15.95" customHeight="1">
      <c r="A1673" s="465" t="s">
        <v>4043</v>
      </c>
      <c r="B1673" s="465" t="s">
        <v>4044</v>
      </c>
      <c r="C1673" s="465"/>
      <c r="D1673" s="465" t="s">
        <v>855</v>
      </c>
      <c r="E1673" s="465" t="s">
        <v>4034</v>
      </c>
      <c r="F1673" s="465" t="s">
        <v>4035</v>
      </c>
      <c r="G1673" s="465" t="s">
        <v>3881</v>
      </c>
      <c r="H1673" s="465" t="s">
        <v>3882</v>
      </c>
      <c r="I1673" s="465" t="s">
        <v>830</v>
      </c>
    </row>
    <row r="1674" hidden="1" ht="15.95" customHeight="1">
      <c r="A1674" s="465" t="s">
        <v>4045</v>
      </c>
      <c r="B1674" s="465" t="s">
        <v>4046</v>
      </c>
      <c r="C1674" s="465"/>
      <c r="D1674" s="465" t="s">
        <v>855</v>
      </c>
      <c r="E1674" s="465" t="s">
        <v>4034</v>
      </c>
      <c r="F1674" s="465" t="s">
        <v>4035</v>
      </c>
      <c r="G1674" s="465" t="s">
        <v>3881</v>
      </c>
      <c r="H1674" s="465" t="s">
        <v>3882</v>
      </c>
      <c r="I1674" s="465" t="s">
        <v>830</v>
      </c>
    </row>
    <row r="1675" hidden="1" ht="15.95" customHeight="1">
      <c r="A1675" s="465" t="s">
        <v>4047</v>
      </c>
      <c r="B1675" s="465" t="s">
        <v>4048</v>
      </c>
      <c r="C1675" s="465"/>
      <c r="D1675" s="465" t="s">
        <v>855</v>
      </c>
      <c r="E1675" s="465" t="s">
        <v>4034</v>
      </c>
      <c r="F1675" s="465" t="s">
        <v>4035</v>
      </c>
      <c r="G1675" s="465" t="s">
        <v>3881</v>
      </c>
      <c r="H1675" s="465" t="s">
        <v>3882</v>
      </c>
      <c r="I1675" s="465" t="s">
        <v>830</v>
      </c>
    </row>
    <row r="1676" hidden="1" ht="15.95" customHeight="1">
      <c r="A1676" s="465" t="s">
        <v>4049</v>
      </c>
      <c r="B1676" s="465" t="s">
        <v>1648</v>
      </c>
      <c r="C1676" s="465"/>
      <c r="D1676" s="465" t="s">
        <v>855</v>
      </c>
      <c r="E1676" s="465" t="s">
        <v>4034</v>
      </c>
      <c r="F1676" s="465" t="s">
        <v>4035</v>
      </c>
      <c r="G1676" s="465" t="s">
        <v>3881</v>
      </c>
      <c r="H1676" s="465" t="s">
        <v>3882</v>
      </c>
      <c r="I1676" s="465" t="s">
        <v>830</v>
      </c>
    </row>
    <row r="1677" hidden="1" ht="15.95" customHeight="1">
      <c r="A1677" s="465" t="s">
        <v>4050</v>
      </c>
      <c r="B1677" s="465" t="s">
        <v>4051</v>
      </c>
      <c r="C1677" s="465"/>
      <c r="D1677" s="465" t="s">
        <v>855</v>
      </c>
      <c r="E1677" s="465" t="s">
        <v>4034</v>
      </c>
      <c r="F1677" s="465" t="s">
        <v>4035</v>
      </c>
      <c r="G1677" s="465" t="s">
        <v>3881</v>
      </c>
      <c r="H1677" s="465" t="s">
        <v>3882</v>
      </c>
      <c r="I1677" s="465" t="s">
        <v>830</v>
      </c>
    </row>
    <row r="1678" hidden="1" ht="15.95" customHeight="1">
      <c r="A1678" s="465" t="s">
        <v>4052</v>
      </c>
      <c r="B1678" s="465" t="s">
        <v>4053</v>
      </c>
      <c r="C1678" s="465"/>
      <c r="D1678" s="465" t="s">
        <v>855</v>
      </c>
      <c r="E1678" s="465" t="s">
        <v>4034</v>
      </c>
      <c r="F1678" s="465" t="s">
        <v>4035</v>
      </c>
      <c r="G1678" s="465" t="s">
        <v>3881</v>
      </c>
      <c r="H1678" s="465" t="s">
        <v>3882</v>
      </c>
      <c r="I1678" s="465" t="s">
        <v>830</v>
      </c>
    </row>
    <row r="1679" hidden="1" ht="15.95" customHeight="1">
      <c r="A1679" s="465" t="s">
        <v>4054</v>
      </c>
      <c r="B1679" s="465" t="s">
        <v>4055</v>
      </c>
      <c r="C1679" s="465"/>
      <c r="D1679" s="465" t="s">
        <v>855</v>
      </c>
      <c r="E1679" s="465" t="s">
        <v>4034</v>
      </c>
      <c r="F1679" s="465" t="s">
        <v>4035</v>
      </c>
      <c r="G1679" s="465" t="s">
        <v>3881</v>
      </c>
      <c r="H1679" s="465" t="s">
        <v>3882</v>
      </c>
      <c r="I1679" s="465" t="s">
        <v>830</v>
      </c>
    </row>
    <row r="1680" hidden="1" ht="15.95" customHeight="1">
      <c r="A1680" s="465" t="s">
        <v>4056</v>
      </c>
      <c r="B1680" s="465" t="s">
        <v>4057</v>
      </c>
      <c r="C1680" s="465"/>
      <c r="D1680" s="465" t="s">
        <v>855</v>
      </c>
      <c r="E1680" s="465" t="s">
        <v>4034</v>
      </c>
      <c r="F1680" s="465" t="s">
        <v>4035</v>
      </c>
      <c r="G1680" s="465" t="s">
        <v>3881</v>
      </c>
      <c r="H1680" s="465" t="s">
        <v>3882</v>
      </c>
      <c r="I1680" s="465" t="s">
        <v>830</v>
      </c>
    </row>
    <row r="1681" hidden="1" ht="15.95" customHeight="1">
      <c r="A1681" s="465" t="s">
        <v>4058</v>
      </c>
      <c r="B1681" s="465" t="s">
        <v>1628</v>
      </c>
      <c r="C1681" s="465"/>
      <c r="D1681" s="465" t="s">
        <v>855</v>
      </c>
      <c r="E1681" s="465" t="s">
        <v>4034</v>
      </c>
      <c r="F1681" s="465" t="s">
        <v>4035</v>
      </c>
      <c r="G1681" s="465" t="s">
        <v>3881</v>
      </c>
      <c r="H1681" s="465" t="s">
        <v>3882</v>
      </c>
      <c r="I1681" s="465" t="s">
        <v>830</v>
      </c>
    </row>
    <row r="1682" hidden="1" ht="15.95" customHeight="1">
      <c r="A1682" s="465" t="s">
        <v>4059</v>
      </c>
      <c r="B1682" s="465" t="s">
        <v>3232</v>
      </c>
      <c r="C1682" s="465"/>
      <c r="D1682" s="465" t="s">
        <v>855</v>
      </c>
      <c r="E1682" s="465" t="s">
        <v>4034</v>
      </c>
      <c r="F1682" s="465" t="s">
        <v>4035</v>
      </c>
      <c r="G1682" s="465" t="s">
        <v>3881</v>
      </c>
      <c r="H1682" s="465" t="s">
        <v>3882</v>
      </c>
      <c r="I1682" s="465" t="s">
        <v>830</v>
      </c>
    </row>
    <row r="1683" hidden="1" ht="15.95" customHeight="1">
      <c r="A1683" s="465" t="s">
        <v>4060</v>
      </c>
      <c r="B1683" s="465" t="s">
        <v>4061</v>
      </c>
      <c r="C1683" s="465"/>
      <c r="D1683" s="465" t="s">
        <v>855</v>
      </c>
      <c r="E1683" s="465" t="s">
        <v>4034</v>
      </c>
      <c r="F1683" s="465" t="s">
        <v>4035</v>
      </c>
      <c r="G1683" s="465" t="s">
        <v>3881</v>
      </c>
      <c r="H1683" s="465" t="s">
        <v>3882</v>
      </c>
      <c r="I1683" s="465" t="s">
        <v>830</v>
      </c>
    </row>
    <row r="1684" hidden="1" ht="15.95" customHeight="1">
      <c r="A1684" s="465" t="s">
        <v>4062</v>
      </c>
      <c r="B1684" s="465" t="s">
        <v>2429</v>
      </c>
      <c r="C1684" s="465"/>
      <c r="D1684" s="465" t="s">
        <v>855</v>
      </c>
      <c r="E1684" s="465" t="s">
        <v>4034</v>
      </c>
      <c r="F1684" s="465" t="s">
        <v>4035</v>
      </c>
      <c r="G1684" s="465" t="s">
        <v>3881</v>
      </c>
      <c r="H1684" s="465" t="s">
        <v>3882</v>
      </c>
      <c r="I1684" s="465" t="s">
        <v>830</v>
      </c>
    </row>
    <row r="1685" hidden="1" ht="15.95" customHeight="1">
      <c r="A1685" s="465" t="s">
        <v>4063</v>
      </c>
      <c r="B1685" s="465" t="s">
        <v>3333</v>
      </c>
      <c r="C1685" s="465"/>
      <c r="D1685" s="465" t="s">
        <v>855</v>
      </c>
      <c r="E1685" s="465" t="s">
        <v>4034</v>
      </c>
      <c r="F1685" s="465" t="s">
        <v>4035</v>
      </c>
      <c r="G1685" s="465" t="s">
        <v>3881</v>
      </c>
      <c r="H1685" s="465" t="s">
        <v>3882</v>
      </c>
      <c r="I1685" s="465" t="s">
        <v>830</v>
      </c>
    </row>
    <row r="1686" hidden="1" ht="15.95" customHeight="1">
      <c r="A1686" s="465" t="s">
        <v>4064</v>
      </c>
      <c r="B1686" s="465" t="s">
        <v>4065</v>
      </c>
      <c r="C1686" s="465"/>
      <c r="D1686" s="465" t="s">
        <v>855</v>
      </c>
      <c r="E1686" s="465" t="s">
        <v>4034</v>
      </c>
      <c r="F1686" s="465" t="s">
        <v>4035</v>
      </c>
      <c r="G1686" s="465" t="s">
        <v>3881</v>
      </c>
      <c r="H1686" s="465" t="s">
        <v>3882</v>
      </c>
      <c r="I1686" s="465" t="s">
        <v>830</v>
      </c>
    </row>
    <row r="1687" hidden="1" ht="15.95" customHeight="1">
      <c r="A1687" s="465" t="s">
        <v>4066</v>
      </c>
      <c r="B1687" s="465" t="s">
        <v>4067</v>
      </c>
      <c r="C1687" s="465"/>
      <c r="D1687" s="465" t="s">
        <v>884</v>
      </c>
      <c r="E1687" s="465" t="s">
        <v>4068</v>
      </c>
      <c r="F1687" s="465" t="s">
        <v>4069</v>
      </c>
      <c r="G1687" s="465" t="s">
        <v>3881</v>
      </c>
      <c r="H1687" s="465" t="s">
        <v>3882</v>
      </c>
      <c r="I1687" s="465" t="s">
        <v>830</v>
      </c>
    </row>
    <row r="1688" hidden="1" ht="15.95" customHeight="1">
      <c r="A1688" s="465" t="s">
        <v>4070</v>
      </c>
      <c r="B1688" s="465" t="s">
        <v>2180</v>
      </c>
      <c r="C1688" s="465"/>
      <c r="D1688" s="465" t="s">
        <v>855</v>
      </c>
      <c r="E1688" s="465" t="s">
        <v>4068</v>
      </c>
      <c r="F1688" s="465" t="s">
        <v>4069</v>
      </c>
      <c r="G1688" s="465" t="s">
        <v>3881</v>
      </c>
      <c r="H1688" s="465" t="s">
        <v>3882</v>
      </c>
      <c r="I1688" s="465" t="s">
        <v>830</v>
      </c>
    </row>
    <row r="1689" hidden="1" ht="15.95" customHeight="1">
      <c r="A1689" s="465" t="s">
        <v>4071</v>
      </c>
      <c r="B1689" s="465" t="s">
        <v>4072</v>
      </c>
      <c r="C1689" s="465"/>
      <c r="D1689" s="465" t="s">
        <v>855</v>
      </c>
      <c r="E1689" s="465" t="s">
        <v>4068</v>
      </c>
      <c r="F1689" s="465" t="s">
        <v>4069</v>
      </c>
      <c r="G1689" s="465" t="s">
        <v>3881</v>
      </c>
      <c r="H1689" s="465" t="s">
        <v>3882</v>
      </c>
      <c r="I1689" s="465" t="s">
        <v>830</v>
      </c>
    </row>
    <row r="1690" hidden="1" ht="15.95" customHeight="1">
      <c r="A1690" s="465" t="s">
        <v>4073</v>
      </c>
      <c r="B1690" s="465" t="s">
        <v>1241</v>
      </c>
      <c r="C1690" s="465"/>
      <c r="D1690" s="465" t="s">
        <v>855</v>
      </c>
      <c r="E1690" s="465" t="s">
        <v>4068</v>
      </c>
      <c r="F1690" s="465" t="s">
        <v>4069</v>
      </c>
      <c r="G1690" s="465" t="s">
        <v>3881</v>
      </c>
      <c r="H1690" s="465" t="s">
        <v>3882</v>
      </c>
      <c r="I1690" s="465" t="s">
        <v>830</v>
      </c>
    </row>
    <row r="1691" hidden="1" ht="15.95" customHeight="1">
      <c r="A1691" s="465" t="s">
        <v>4074</v>
      </c>
      <c r="B1691" s="465" t="s">
        <v>4075</v>
      </c>
      <c r="C1691" s="465"/>
      <c r="D1691" s="465" t="s">
        <v>855</v>
      </c>
      <c r="E1691" s="465" t="s">
        <v>4068</v>
      </c>
      <c r="F1691" s="465" t="s">
        <v>4069</v>
      </c>
      <c r="G1691" s="465" t="s">
        <v>3881</v>
      </c>
      <c r="H1691" s="465" t="s">
        <v>3882</v>
      </c>
      <c r="I1691" s="465" t="s">
        <v>830</v>
      </c>
    </row>
    <row r="1692" hidden="1" ht="15.95" customHeight="1">
      <c r="A1692" s="465" t="s">
        <v>4076</v>
      </c>
      <c r="B1692" s="465" t="s">
        <v>4077</v>
      </c>
      <c r="C1692" s="465"/>
      <c r="D1692" s="465" t="s">
        <v>855</v>
      </c>
      <c r="E1692" s="465" t="s">
        <v>4068</v>
      </c>
      <c r="F1692" s="465" t="s">
        <v>4069</v>
      </c>
      <c r="G1692" s="465" t="s">
        <v>3881</v>
      </c>
      <c r="H1692" s="465" t="s">
        <v>3882</v>
      </c>
      <c r="I1692" s="465" t="s">
        <v>830</v>
      </c>
    </row>
    <row r="1693" hidden="1" ht="15.95" customHeight="1">
      <c r="A1693" s="465" t="s">
        <v>4078</v>
      </c>
      <c r="B1693" s="465" t="s">
        <v>4079</v>
      </c>
      <c r="C1693" s="465"/>
      <c r="D1693" s="465" t="s">
        <v>855</v>
      </c>
      <c r="E1693" s="465" t="s">
        <v>4068</v>
      </c>
      <c r="F1693" s="465" t="s">
        <v>4069</v>
      </c>
      <c r="G1693" s="465" t="s">
        <v>3881</v>
      </c>
      <c r="H1693" s="465" t="s">
        <v>3882</v>
      </c>
      <c r="I1693" s="465" t="s">
        <v>830</v>
      </c>
    </row>
    <row r="1694" hidden="1" ht="15.95" customHeight="1">
      <c r="A1694" s="465" t="s">
        <v>4080</v>
      </c>
      <c r="B1694" s="465" t="s">
        <v>1142</v>
      </c>
      <c r="C1694" s="465"/>
      <c r="D1694" s="465" t="s">
        <v>855</v>
      </c>
      <c r="E1694" s="465" t="s">
        <v>4068</v>
      </c>
      <c r="F1694" s="465" t="s">
        <v>4069</v>
      </c>
      <c r="G1694" s="465" t="s">
        <v>3881</v>
      </c>
      <c r="H1694" s="465" t="s">
        <v>3882</v>
      </c>
      <c r="I1694" s="465" t="s">
        <v>830</v>
      </c>
    </row>
    <row r="1695" hidden="1" ht="15.95" customHeight="1">
      <c r="A1695" s="465" t="s">
        <v>4081</v>
      </c>
      <c r="B1695" s="465" t="s">
        <v>4082</v>
      </c>
      <c r="C1695" s="465"/>
      <c r="D1695" s="465" t="s">
        <v>855</v>
      </c>
      <c r="E1695" s="465" t="s">
        <v>4068</v>
      </c>
      <c r="F1695" s="465" t="s">
        <v>4069</v>
      </c>
      <c r="G1695" s="465" t="s">
        <v>3881</v>
      </c>
      <c r="H1695" s="465" t="s">
        <v>3882</v>
      </c>
      <c r="I1695" s="465" t="s">
        <v>830</v>
      </c>
    </row>
    <row r="1696" hidden="1" ht="15.95" customHeight="1">
      <c r="A1696" s="465" t="s">
        <v>4083</v>
      </c>
      <c r="B1696" s="465" t="s">
        <v>3503</v>
      </c>
      <c r="C1696" s="465"/>
      <c r="D1696" s="465" t="s">
        <v>855</v>
      </c>
      <c r="E1696" s="465" t="s">
        <v>4068</v>
      </c>
      <c r="F1696" s="465" t="s">
        <v>4069</v>
      </c>
      <c r="G1696" s="465" t="s">
        <v>3881</v>
      </c>
      <c r="H1696" s="465" t="s">
        <v>3882</v>
      </c>
      <c r="I1696" s="465" t="s">
        <v>830</v>
      </c>
    </row>
    <row r="1697" hidden="1" ht="15.95" customHeight="1">
      <c r="A1697" s="465" t="s">
        <v>4084</v>
      </c>
      <c r="B1697" s="465" t="s">
        <v>4085</v>
      </c>
      <c r="C1697" s="465"/>
      <c r="D1697" s="465" t="s">
        <v>855</v>
      </c>
      <c r="E1697" s="465" t="s">
        <v>4068</v>
      </c>
      <c r="F1697" s="465" t="s">
        <v>4069</v>
      </c>
      <c r="G1697" s="465" t="s">
        <v>3881</v>
      </c>
      <c r="H1697" s="465" t="s">
        <v>3882</v>
      </c>
      <c r="I1697" s="465" t="s">
        <v>830</v>
      </c>
    </row>
    <row r="1698" hidden="1" ht="15.95" customHeight="1">
      <c r="A1698" s="465" t="s">
        <v>4086</v>
      </c>
      <c r="B1698" s="465" t="s">
        <v>4087</v>
      </c>
      <c r="C1698" s="465"/>
      <c r="D1698" s="465" t="s">
        <v>855</v>
      </c>
      <c r="E1698" s="465" t="s">
        <v>4068</v>
      </c>
      <c r="F1698" s="465" t="s">
        <v>4069</v>
      </c>
      <c r="G1698" s="465" t="s">
        <v>3881</v>
      </c>
      <c r="H1698" s="465" t="s">
        <v>3882</v>
      </c>
      <c r="I1698" s="465" t="s">
        <v>830</v>
      </c>
    </row>
    <row r="1699" hidden="1" ht="15.95" customHeight="1">
      <c r="A1699" s="465" t="s">
        <v>4088</v>
      </c>
      <c r="B1699" s="465" t="s">
        <v>4089</v>
      </c>
      <c r="C1699" s="465"/>
      <c r="D1699" s="465" t="s">
        <v>855</v>
      </c>
      <c r="E1699" s="465" t="s">
        <v>4068</v>
      </c>
      <c r="F1699" s="465" t="s">
        <v>4069</v>
      </c>
      <c r="G1699" s="465" t="s">
        <v>3881</v>
      </c>
      <c r="H1699" s="465" t="s">
        <v>3882</v>
      </c>
      <c r="I1699" s="465" t="s">
        <v>830</v>
      </c>
    </row>
    <row r="1700" hidden="1" ht="15.95" customHeight="1">
      <c r="A1700" s="465" t="s">
        <v>4090</v>
      </c>
      <c r="B1700" s="465" t="s">
        <v>4091</v>
      </c>
      <c r="C1700" s="465"/>
      <c r="D1700" s="465" t="s">
        <v>855</v>
      </c>
      <c r="E1700" s="465" t="s">
        <v>4068</v>
      </c>
      <c r="F1700" s="465" t="s">
        <v>4069</v>
      </c>
      <c r="G1700" s="465" t="s">
        <v>3881</v>
      </c>
      <c r="H1700" s="465" t="s">
        <v>3882</v>
      </c>
      <c r="I1700" s="465" t="s">
        <v>830</v>
      </c>
    </row>
    <row r="1701" hidden="1" ht="15.95" customHeight="1">
      <c r="A1701" s="465" t="s">
        <v>4092</v>
      </c>
      <c r="B1701" s="465" t="s">
        <v>1455</v>
      </c>
      <c r="C1701" s="465"/>
      <c r="D1701" s="465" t="s">
        <v>855</v>
      </c>
      <c r="E1701" s="465" t="s">
        <v>4068</v>
      </c>
      <c r="F1701" s="465" t="s">
        <v>4069</v>
      </c>
      <c r="G1701" s="465" t="s">
        <v>3881</v>
      </c>
      <c r="H1701" s="465" t="s">
        <v>3882</v>
      </c>
      <c r="I1701" s="465" t="s">
        <v>830</v>
      </c>
    </row>
    <row r="1702" hidden="1" ht="15.95" customHeight="1">
      <c r="A1702" s="465" t="s">
        <v>4093</v>
      </c>
      <c r="B1702" s="465" t="s">
        <v>1691</v>
      </c>
      <c r="C1702" s="465"/>
      <c r="D1702" s="465" t="s">
        <v>855</v>
      </c>
      <c r="E1702" s="465" t="s">
        <v>4068</v>
      </c>
      <c r="F1702" s="465" t="s">
        <v>4069</v>
      </c>
      <c r="G1702" s="465" t="s">
        <v>3881</v>
      </c>
      <c r="H1702" s="465" t="s">
        <v>3882</v>
      </c>
      <c r="I1702" s="465" t="s">
        <v>830</v>
      </c>
    </row>
    <row r="1703" hidden="1" ht="15.95" customHeight="1">
      <c r="A1703" s="465" t="s">
        <v>4094</v>
      </c>
      <c r="B1703" s="465" t="s">
        <v>4095</v>
      </c>
      <c r="C1703" s="465"/>
      <c r="D1703" s="465" t="s">
        <v>855</v>
      </c>
      <c r="E1703" s="465" t="s">
        <v>4068</v>
      </c>
      <c r="F1703" s="465" t="s">
        <v>4069</v>
      </c>
      <c r="G1703" s="465" t="s">
        <v>3881</v>
      </c>
      <c r="H1703" s="465" t="s">
        <v>3882</v>
      </c>
      <c r="I1703" s="465" t="s">
        <v>830</v>
      </c>
    </row>
    <row r="1704" hidden="1" ht="15.95" customHeight="1">
      <c r="A1704" s="465" t="s">
        <v>4096</v>
      </c>
      <c r="B1704" s="465" t="s">
        <v>3936</v>
      </c>
      <c r="C1704" s="465"/>
      <c r="D1704" s="465" t="s">
        <v>855</v>
      </c>
      <c r="E1704" s="465" t="s">
        <v>4068</v>
      </c>
      <c r="F1704" s="465" t="s">
        <v>4069</v>
      </c>
      <c r="G1704" s="465" t="s">
        <v>3881</v>
      </c>
      <c r="H1704" s="465" t="s">
        <v>3882</v>
      </c>
      <c r="I1704" s="465" t="s">
        <v>830</v>
      </c>
    </row>
    <row r="1705" hidden="1" ht="15.95" customHeight="1">
      <c r="A1705" s="465" t="s">
        <v>4097</v>
      </c>
      <c r="B1705" s="465" t="s">
        <v>2097</v>
      </c>
      <c r="C1705" s="465"/>
      <c r="D1705" s="465" t="s">
        <v>855</v>
      </c>
      <c r="E1705" s="465" t="s">
        <v>4068</v>
      </c>
      <c r="F1705" s="465" t="s">
        <v>4069</v>
      </c>
      <c r="G1705" s="465" t="s">
        <v>3881</v>
      </c>
      <c r="H1705" s="465" t="s">
        <v>3882</v>
      </c>
      <c r="I1705" s="465" t="s">
        <v>830</v>
      </c>
    </row>
    <row r="1706" hidden="1" ht="15.95" customHeight="1">
      <c r="A1706" s="465" t="s">
        <v>4098</v>
      </c>
      <c r="B1706" s="465" t="s">
        <v>4099</v>
      </c>
      <c r="C1706" s="465"/>
      <c r="D1706" s="465" t="s">
        <v>855</v>
      </c>
      <c r="E1706" s="465" t="s">
        <v>4068</v>
      </c>
      <c r="F1706" s="465" t="s">
        <v>4069</v>
      </c>
      <c r="G1706" s="465" t="s">
        <v>3881</v>
      </c>
      <c r="H1706" s="465" t="s">
        <v>3882</v>
      </c>
      <c r="I1706" s="465" t="s">
        <v>830</v>
      </c>
    </row>
    <row r="1707" hidden="1" ht="15.95" customHeight="1">
      <c r="A1707" s="465" t="s">
        <v>4100</v>
      </c>
      <c r="B1707" s="465" t="s">
        <v>4101</v>
      </c>
      <c r="C1707" s="465"/>
      <c r="D1707" s="465" t="s">
        <v>855</v>
      </c>
      <c r="E1707" s="465" t="s">
        <v>4068</v>
      </c>
      <c r="F1707" s="465" t="s">
        <v>4069</v>
      </c>
      <c r="G1707" s="465" t="s">
        <v>3881</v>
      </c>
      <c r="H1707" s="465" t="s">
        <v>3882</v>
      </c>
      <c r="I1707" s="465" t="s">
        <v>830</v>
      </c>
    </row>
    <row r="1708" hidden="1" ht="15.95" customHeight="1">
      <c r="A1708" s="465" t="s">
        <v>4102</v>
      </c>
      <c r="B1708" s="465" t="s">
        <v>4103</v>
      </c>
      <c r="C1708" s="465"/>
      <c r="D1708" s="465" t="s">
        <v>855</v>
      </c>
      <c r="E1708" s="465" t="s">
        <v>4068</v>
      </c>
      <c r="F1708" s="465" t="s">
        <v>4069</v>
      </c>
      <c r="G1708" s="465" t="s">
        <v>3881</v>
      </c>
      <c r="H1708" s="465" t="s">
        <v>3882</v>
      </c>
      <c r="I1708" s="465" t="s">
        <v>830</v>
      </c>
    </row>
    <row r="1709" hidden="1" ht="15.95" customHeight="1">
      <c r="A1709" s="465" t="s">
        <v>4104</v>
      </c>
      <c r="B1709" s="465" t="s">
        <v>4105</v>
      </c>
      <c r="C1709" s="465"/>
      <c r="D1709" s="465" t="s">
        <v>855</v>
      </c>
      <c r="E1709" s="465" t="s">
        <v>4068</v>
      </c>
      <c r="F1709" s="465" t="s">
        <v>4069</v>
      </c>
      <c r="G1709" s="465" t="s">
        <v>3881</v>
      </c>
      <c r="H1709" s="465" t="s">
        <v>3882</v>
      </c>
      <c r="I1709" s="465" t="s">
        <v>830</v>
      </c>
    </row>
    <row r="1710" hidden="1" ht="15.95" customHeight="1">
      <c r="A1710" s="465" t="s">
        <v>4106</v>
      </c>
      <c r="B1710" s="465" t="s">
        <v>4107</v>
      </c>
      <c r="C1710" s="465"/>
      <c r="D1710" s="465" t="s">
        <v>855</v>
      </c>
      <c r="E1710" s="465" t="s">
        <v>4068</v>
      </c>
      <c r="F1710" s="465" t="s">
        <v>4069</v>
      </c>
      <c r="G1710" s="465" t="s">
        <v>3881</v>
      </c>
      <c r="H1710" s="465" t="s">
        <v>3882</v>
      </c>
      <c r="I1710" s="465" t="s">
        <v>830</v>
      </c>
    </row>
    <row r="1711" hidden="1" ht="15.95" customHeight="1">
      <c r="A1711" s="465" t="s">
        <v>4108</v>
      </c>
      <c r="B1711" s="465" t="s">
        <v>4109</v>
      </c>
      <c r="C1711" s="465"/>
      <c r="D1711" s="465" t="s">
        <v>884</v>
      </c>
      <c r="E1711" s="465" t="s">
        <v>4110</v>
      </c>
      <c r="F1711" s="465" t="s">
        <v>4111</v>
      </c>
      <c r="G1711" s="465" t="s">
        <v>3881</v>
      </c>
      <c r="H1711" s="465" t="s">
        <v>3882</v>
      </c>
      <c r="I1711" s="465" t="s">
        <v>830</v>
      </c>
    </row>
    <row r="1712" hidden="1" ht="15.95" customHeight="1">
      <c r="A1712" s="465" t="s">
        <v>4112</v>
      </c>
      <c r="B1712" s="465" t="s">
        <v>4113</v>
      </c>
      <c r="C1712" s="465"/>
      <c r="D1712" s="465" t="s">
        <v>855</v>
      </c>
      <c r="E1712" s="465" t="s">
        <v>4110</v>
      </c>
      <c r="F1712" s="465" t="s">
        <v>4111</v>
      </c>
      <c r="G1712" s="465" t="s">
        <v>3881</v>
      </c>
      <c r="H1712" s="465" t="s">
        <v>3882</v>
      </c>
      <c r="I1712" s="465" t="s">
        <v>830</v>
      </c>
    </row>
    <row r="1713" hidden="1" ht="15.95" customHeight="1">
      <c r="A1713" s="465" t="s">
        <v>4114</v>
      </c>
      <c r="B1713" s="465" t="s">
        <v>4115</v>
      </c>
      <c r="C1713" s="465"/>
      <c r="D1713" s="465" t="s">
        <v>855</v>
      </c>
      <c r="E1713" s="465" t="s">
        <v>4110</v>
      </c>
      <c r="F1713" s="465" t="s">
        <v>4111</v>
      </c>
      <c r="G1713" s="465" t="s">
        <v>3881</v>
      </c>
      <c r="H1713" s="465" t="s">
        <v>3882</v>
      </c>
      <c r="I1713" s="465" t="s">
        <v>830</v>
      </c>
    </row>
    <row r="1714" hidden="1" ht="15.95" customHeight="1">
      <c r="A1714" s="465" t="s">
        <v>4116</v>
      </c>
      <c r="B1714" s="465" t="s">
        <v>4117</v>
      </c>
      <c r="C1714" s="465"/>
      <c r="D1714" s="465" t="s">
        <v>855</v>
      </c>
      <c r="E1714" s="465" t="s">
        <v>4110</v>
      </c>
      <c r="F1714" s="465" t="s">
        <v>4111</v>
      </c>
      <c r="G1714" s="465" t="s">
        <v>3881</v>
      </c>
      <c r="H1714" s="465" t="s">
        <v>3882</v>
      </c>
      <c r="I1714" s="465" t="s">
        <v>830</v>
      </c>
    </row>
    <row r="1715" hidden="1" ht="15.95" customHeight="1">
      <c r="A1715" s="465" t="s">
        <v>4118</v>
      </c>
      <c r="B1715" s="465" t="s">
        <v>1833</v>
      </c>
      <c r="C1715" s="465"/>
      <c r="D1715" s="465" t="s">
        <v>855</v>
      </c>
      <c r="E1715" s="465" t="s">
        <v>4110</v>
      </c>
      <c r="F1715" s="465" t="s">
        <v>4111</v>
      </c>
      <c r="G1715" s="465" t="s">
        <v>3881</v>
      </c>
      <c r="H1715" s="465" t="s">
        <v>3882</v>
      </c>
      <c r="I1715" s="465" t="s">
        <v>830</v>
      </c>
    </row>
    <row r="1716" hidden="1" ht="15.95" customHeight="1">
      <c r="A1716" s="465" t="s">
        <v>4119</v>
      </c>
      <c r="B1716" s="465" t="s">
        <v>4120</v>
      </c>
      <c r="C1716" s="465"/>
      <c r="D1716" s="465" t="s">
        <v>855</v>
      </c>
      <c r="E1716" s="465" t="s">
        <v>4110</v>
      </c>
      <c r="F1716" s="465" t="s">
        <v>4111</v>
      </c>
      <c r="G1716" s="465" t="s">
        <v>3881</v>
      </c>
      <c r="H1716" s="465" t="s">
        <v>3882</v>
      </c>
      <c r="I1716" s="465" t="s">
        <v>830</v>
      </c>
    </row>
    <row r="1717" hidden="1" ht="15.95" customHeight="1">
      <c r="A1717" s="465" t="s">
        <v>4121</v>
      </c>
      <c r="B1717" s="465" t="s">
        <v>1966</v>
      </c>
      <c r="C1717" s="465"/>
      <c r="D1717" s="465" t="s">
        <v>855</v>
      </c>
      <c r="E1717" s="465" t="s">
        <v>4110</v>
      </c>
      <c r="F1717" s="465" t="s">
        <v>4111</v>
      </c>
      <c r="G1717" s="465" t="s">
        <v>3881</v>
      </c>
      <c r="H1717" s="465" t="s">
        <v>3882</v>
      </c>
      <c r="I1717" s="465" t="s">
        <v>830</v>
      </c>
    </row>
    <row r="1718" hidden="1" ht="15.95" customHeight="1">
      <c r="A1718" s="465" t="s">
        <v>4122</v>
      </c>
      <c r="B1718" s="465" t="s">
        <v>4123</v>
      </c>
      <c r="C1718" s="465"/>
      <c r="D1718" s="465" t="s">
        <v>855</v>
      </c>
      <c r="E1718" s="465" t="s">
        <v>4110</v>
      </c>
      <c r="F1718" s="465" t="s">
        <v>4111</v>
      </c>
      <c r="G1718" s="465" t="s">
        <v>3881</v>
      </c>
      <c r="H1718" s="465" t="s">
        <v>3882</v>
      </c>
      <c r="I1718" s="465" t="s">
        <v>830</v>
      </c>
    </row>
    <row r="1719" hidden="1" ht="15.95" customHeight="1">
      <c r="A1719" s="465" t="s">
        <v>4124</v>
      </c>
      <c r="B1719" s="465" t="s">
        <v>4125</v>
      </c>
      <c r="C1719" s="465"/>
      <c r="D1719" s="465" t="s">
        <v>855</v>
      </c>
      <c r="E1719" s="465" t="s">
        <v>4110</v>
      </c>
      <c r="F1719" s="465" t="s">
        <v>4111</v>
      </c>
      <c r="G1719" s="465" t="s">
        <v>3881</v>
      </c>
      <c r="H1719" s="465" t="s">
        <v>3882</v>
      </c>
      <c r="I1719" s="465" t="s">
        <v>830</v>
      </c>
    </row>
    <row r="1720" hidden="1" ht="15.95" customHeight="1">
      <c r="A1720" s="465" t="s">
        <v>4126</v>
      </c>
      <c r="B1720" s="465" t="s">
        <v>2066</v>
      </c>
      <c r="C1720" s="465"/>
      <c r="D1720" s="465" t="s">
        <v>855</v>
      </c>
      <c r="E1720" s="465" t="s">
        <v>4110</v>
      </c>
      <c r="F1720" s="465" t="s">
        <v>4111</v>
      </c>
      <c r="G1720" s="465" t="s">
        <v>3881</v>
      </c>
      <c r="H1720" s="465" t="s">
        <v>3882</v>
      </c>
      <c r="I1720" s="465" t="s">
        <v>830</v>
      </c>
    </row>
    <row r="1721" hidden="1" ht="15.95" customHeight="1">
      <c r="A1721" s="465" t="s">
        <v>4127</v>
      </c>
      <c r="B1721" s="465" t="s">
        <v>1060</v>
      </c>
      <c r="C1721" s="465"/>
      <c r="D1721" s="465" t="s">
        <v>855</v>
      </c>
      <c r="E1721" s="465" t="s">
        <v>4110</v>
      </c>
      <c r="F1721" s="465" t="s">
        <v>4111</v>
      </c>
      <c r="G1721" s="465" t="s">
        <v>3881</v>
      </c>
      <c r="H1721" s="465" t="s">
        <v>3882</v>
      </c>
      <c r="I1721" s="465" t="s">
        <v>830</v>
      </c>
    </row>
    <row r="1722" hidden="1" ht="15.95" customHeight="1">
      <c r="A1722" s="465" t="s">
        <v>4128</v>
      </c>
      <c r="B1722" s="465" t="s">
        <v>4129</v>
      </c>
      <c r="C1722" s="465"/>
      <c r="D1722" s="465" t="s">
        <v>855</v>
      </c>
      <c r="E1722" s="465" t="s">
        <v>4110</v>
      </c>
      <c r="F1722" s="465" t="s">
        <v>4111</v>
      </c>
      <c r="G1722" s="465" t="s">
        <v>3881</v>
      </c>
      <c r="H1722" s="465" t="s">
        <v>3882</v>
      </c>
      <c r="I1722" s="465" t="s">
        <v>830</v>
      </c>
    </row>
    <row r="1723" hidden="1" ht="15.95" customHeight="1">
      <c r="A1723" s="465" t="s">
        <v>4130</v>
      </c>
      <c r="B1723" s="465" t="s">
        <v>4131</v>
      </c>
      <c r="C1723" s="465"/>
      <c r="D1723" s="465" t="s">
        <v>855</v>
      </c>
      <c r="E1723" s="465" t="s">
        <v>4110</v>
      </c>
      <c r="F1723" s="465" t="s">
        <v>4111</v>
      </c>
      <c r="G1723" s="465" t="s">
        <v>3881</v>
      </c>
      <c r="H1723" s="465" t="s">
        <v>3882</v>
      </c>
      <c r="I1723" s="465" t="s">
        <v>830</v>
      </c>
    </row>
    <row r="1724" hidden="1" ht="15.95" customHeight="1">
      <c r="A1724" s="465" t="s">
        <v>4132</v>
      </c>
      <c r="B1724" s="465" t="s">
        <v>4133</v>
      </c>
      <c r="C1724" s="465"/>
      <c r="D1724" s="465" t="s">
        <v>855</v>
      </c>
      <c r="E1724" s="465" t="s">
        <v>4110</v>
      </c>
      <c r="F1724" s="465" t="s">
        <v>4111</v>
      </c>
      <c r="G1724" s="465" t="s">
        <v>3881</v>
      </c>
      <c r="H1724" s="465" t="s">
        <v>3882</v>
      </c>
      <c r="I1724" s="465" t="s">
        <v>830</v>
      </c>
    </row>
    <row r="1725" hidden="1" ht="15.95" customHeight="1">
      <c r="A1725" s="465" t="s">
        <v>4134</v>
      </c>
      <c r="B1725" s="465" t="s">
        <v>1525</v>
      </c>
      <c r="C1725" s="465"/>
      <c r="D1725" s="465" t="s">
        <v>855</v>
      </c>
      <c r="E1725" s="465" t="s">
        <v>4110</v>
      </c>
      <c r="F1725" s="465" t="s">
        <v>4111</v>
      </c>
      <c r="G1725" s="465" t="s">
        <v>3881</v>
      </c>
      <c r="H1725" s="465" t="s">
        <v>3882</v>
      </c>
      <c r="I1725" s="465" t="s">
        <v>830</v>
      </c>
    </row>
    <row r="1726" hidden="1" ht="15.95" customHeight="1">
      <c r="A1726" s="465" t="s">
        <v>4135</v>
      </c>
      <c r="B1726" s="465" t="s">
        <v>4136</v>
      </c>
      <c r="C1726" s="465"/>
      <c r="D1726" s="465" t="s">
        <v>855</v>
      </c>
      <c r="E1726" s="465" t="s">
        <v>4110</v>
      </c>
      <c r="F1726" s="465" t="s">
        <v>4111</v>
      </c>
      <c r="G1726" s="465" t="s">
        <v>3881</v>
      </c>
      <c r="H1726" s="465" t="s">
        <v>3882</v>
      </c>
      <c r="I1726" s="465" t="s">
        <v>830</v>
      </c>
    </row>
    <row r="1727" hidden="1" ht="15.95" customHeight="1">
      <c r="A1727" s="465" t="s">
        <v>4137</v>
      </c>
      <c r="B1727" s="465" t="s">
        <v>4138</v>
      </c>
      <c r="C1727" s="465"/>
      <c r="D1727" s="465" t="s">
        <v>855</v>
      </c>
      <c r="E1727" s="465" t="s">
        <v>4110</v>
      </c>
      <c r="F1727" s="465" t="s">
        <v>4111</v>
      </c>
      <c r="G1727" s="465" t="s">
        <v>3881</v>
      </c>
      <c r="H1727" s="465" t="s">
        <v>3882</v>
      </c>
      <c r="I1727" s="465" t="s">
        <v>830</v>
      </c>
    </row>
    <row r="1728" hidden="1" ht="15.95" customHeight="1">
      <c r="A1728" s="465" t="s">
        <v>4139</v>
      </c>
      <c r="B1728" s="465" t="s">
        <v>3451</v>
      </c>
      <c r="C1728" s="465"/>
      <c r="D1728" s="465" t="s">
        <v>855</v>
      </c>
      <c r="E1728" s="465" t="s">
        <v>4110</v>
      </c>
      <c r="F1728" s="465" t="s">
        <v>4111</v>
      </c>
      <c r="G1728" s="465" t="s">
        <v>3881</v>
      </c>
      <c r="H1728" s="465" t="s">
        <v>3882</v>
      </c>
      <c r="I1728" s="465" t="s">
        <v>830</v>
      </c>
    </row>
    <row r="1729" hidden="1" ht="15.95" customHeight="1">
      <c r="A1729" s="465" t="s">
        <v>4140</v>
      </c>
      <c r="B1729" s="465" t="s">
        <v>3650</v>
      </c>
      <c r="C1729" s="465"/>
      <c r="D1729" s="465" t="s">
        <v>855</v>
      </c>
      <c r="E1729" s="465" t="s">
        <v>4141</v>
      </c>
      <c r="F1729" s="465" t="s">
        <v>4142</v>
      </c>
      <c r="G1729" s="465" t="s">
        <v>3881</v>
      </c>
      <c r="H1729" s="465" t="s">
        <v>3882</v>
      </c>
      <c r="I1729" s="465" t="s">
        <v>830</v>
      </c>
    </row>
    <row r="1730" hidden="1" ht="15.95" customHeight="1">
      <c r="A1730" s="465" t="s">
        <v>4143</v>
      </c>
      <c r="B1730" s="465" t="s">
        <v>4144</v>
      </c>
      <c r="C1730" s="465"/>
      <c r="D1730" s="465" t="s">
        <v>855</v>
      </c>
      <c r="E1730" s="465" t="s">
        <v>4141</v>
      </c>
      <c r="F1730" s="465" t="s">
        <v>4142</v>
      </c>
      <c r="G1730" s="465" t="s">
        <v>3881</v>
      </c>
      <c r="H1730" s="465" t="s">
        <v>3882</v>
      </c>
      <c r="I1730" s="465" t="s">
        <v>830</v>
      </c>
    </row>
    <row r="1731" hidden="1" ht="15.95" customHeight="1">
      <c r="A1731" s="465" t="s">
        <v>4145</v>
      </c>
      <c r="B1731" s="465" t="s">
        <v>4146</v>
      </c>
      <c r="C1731" s="465"/>
      <c r="D1731" s="465" t="s">
        <v>855</v>
      </c>
      <c r="E1731" s="465" t="s">
        <v>4141</v>
      </c>
      <c r="F1731" s="465" t="s">
        <v>4142</v>
      </c>
      <c r="G1731" s="465" t="s">
        <v>3881</v>
      </c>
      <c r="H1731" s="465" t="s">
        <v>3882</v>
      </c>
      <c r="I1731" s="465" t="s">
        <v>830</v>
      </c>
    </row>
    <row r="1732" hidden="1" ht="15.95" customHeight="1">
      <c r="A1732" s="465" t="s">
        <v>4147</v>
      </c>
      <c r="B1732" s="465" t="s">
        <v>4148</v>
      </c>
      <c r="C1732" s="465"/>
      <c r="D1732" s="465" t="s">
        <v>855</v>
      </c>
      <c r="E1732" s="465" t="s">
        <v>4141</v>
      </c>
      <c r="F1732" s="465" t="s">
        <v>4142</v>
      </c>
      <c r="G1732" s="465" t="s">
        <v>3881</v>
      </c>
      <c r="H1732" s="465" t="s">
        <v>3882</v>
      </c>
      <c r="I1732" s="465" t="s">
        <v>830</v>
      </c>
    </row>
    <row r="1733" hidden="1" ht="15.95" customHeight="1">
      <c r="A1733" s="465" t="s">
        <v>4149</v>
      </c>
      <c r="B1733" s="465" t="s">
        <v>4150</v>
      </c>
      <c r="C1733" s="465"/>
      <c r="D1733" s="465" t="s">
        <v>855</v>
      </c>
      <c r="E1733" s="465" t="s">
        <v>4141</v>
      </c>
      <c r="F1733" s="465" t="s">
        <v>4142</v>
      </c>
      <c r="G1733" s="465" t="s">
        <v>3881</v>
      </c>
      <c r="H1733" s="465" t="s">
        <v>3882</v>
      </c>
      <c r="I1733" s="465" t="s">
        <v>830</v>
      </c>
    </row>
    <row r="1734" hidden="1" ht="15.95" customHeight="1">
      <c r="A1734" s="465" t="s">
        <v>4151</v>
      </c>
      <c r="B1734" s="465" t="s">
        <v>4152</v>
      </c>
      <c r="C1734" s="465"/>
      <c r="D1734" s="465" t="s">
        <v>855</v>
      </c>
      <c r="E1734" s="465" t="s">
        <v>4141</v>
      </c>
      <c r="F1734" s="465" t="s">
        <v>4142</v>
      </c>
      <c r="G1734" s="465" t="s">
        <v>3881</v>
      </c>
      <c r="H1734" s="465" t="s">
        <v>3882</v>
      </c>
      <c r="I1734" s="465" t="s">
        <v>830</v>
      </c>
    </row>
    <row r="1735" hidden="1" ht="15.95" customHeight="1">
      <c r="A1735" s="465" t="s">
        <v>4153</v>
      </c>
      <c r="B1735" s="465" t="s">
        <v>4154</v>
      </c>
      <c r="C1735" s="465"/>
      <c r="D1735" s="465" t="s">
        <v>855</v>
      </c>
      <c r="E1735" s="465" t="s">
        <v>4141</v>
      </c>
      <c r="F1735" s="465" t="s">
        <v>4142</v>
      </c>
      <c r="G1735" s="465" t="s">
        <v>3881</v>
      </c>
      <c r="H1735" s="465" t="s">
        <v>3882</v>
      </c>
      <c r="I1735" s="465" t="s">
        <v>830</v>
      </c>
    </row>
    <row r="1736" hidden="1" ht="15.95" customHeight="1">
      <c r="A1736" s="465" t="s">
        <v>4155</v>
      </c>
      <c r="B1736" s="465" t="s">
        <v>4156</v>
      </c>
      <c r="C1736" s="465"/>
      <c r="D1736" s="465" t="s">
        <v>855</v>
      </c>
      <c r="E1736" s="465" t="s">
        <v>4141</v>
      </c>
      <c r="F1736" s="465" t="s">
        <v>4142</v>
      </c>
      <c r="G1736" s="465" t="s">
        <v>3881</v>
      </c>
      <c r="H1736" s="465" t="s">
        <v>3882</v>
      </c>
      <c r="I1736" s="465" t="s">
        <v>830</v>
      </c>
    </row>
    <row r="1737" hidden="1" ht="15.95" customHeight="1">
      <c r="A1737" s="465" t="s">
        <v>4157</v>
      </c>
      <c r="B1737" s="465" t="s">
        <v>4158</v>
      </c>
      <c r="C1737" s="465"/>
      <c r="D1737" s="465" t="s">
        <v>855</v>
      </c>
      <c r="E1737" s="465" t="s">
        <v>4141</v>
      </c>
      <c r="F1737" s="465" t="s">
        <v>4142</v>
      </c>
      <c r="G1737" s="465" t="s">
        <v>3881</v>
      </c>
      <c r="H1737" s="465" t="s">
        <v>3882</v>
      </c>
      <c r="I1737" s="465" t="s">
        <v>830</v>
      </c>
    </row>
    <row r="1738" hidden="1" ht="15.95" customHeight="1">
      <c r="A1738" s="465" t="s">
        <v>4159</v>
      </c>
      <c r="B1738" s="465" t="s">
        <v>4160</v>
      </c>
      <c r="C1738" s="465"/>
      <c r="D1738" s="465" t="s">
        <v>855</v>
      </c>
      <c r="E1738" s="465" t="s">
        <v>4141</v>
      </c>
      <c r="F1738" s="465" t="s">
        <v>4142</v>
      </c>
      <c r="G1738" s="465" t="s">
        <v>3881</v>
      </c>
      <c r="H1738" s="465" t="s">
        <v>3882</v>
      </c>
      <c r="I1738" s="465" t="s">
        <v>830</v>
      </c>
    </row>
    <row r="1739" hidden="1" ht="15.95" customHeight="1">
      <c r="A1739" s="465" t="s">
        <v>4161</v>
      </c>
      <c r="B1739" s="465" t="s">
        <v>1033</v>
      </c>
      <c r="C1739" s="465"/>
      <c r="D1739" s="465" t="s">
        <v>855</v>
      </c>
      <c r="E1739" s="465" t="s">
        <v>4141</v>
      </c>
      <c r="F1739" s="465" t="s">
        <v>4142</v>
      </c>
      <c r="G1739" s="465" t="s">
        <v>3881</v>
      </c>
      <c r="H1739" s="465" t="s">
        <v>3882</v>
      </c>
      <c r="I1739" s="465" t="s">
        <v>830</v>
      </c>
    </row>
    <row r="1740" hidden="1" ht="15.95" customHeight="1">
      <c r="A1740" s="465" t="s">
        <v>4162</v>
      </c>
      <c r="B1740" s="465" t="s">
        <v>4163</v>
      </c>
      <c r="C1740" s="465"/>
      <c r="D1740" s="465" t="s">
        <v>855</v>
      </c>
      <c r="E1740" s="465" t="s">
        <v>4141</v>
      </c>
      <c r="F1740" s="465" t="s">
        <v>4142</v>
      </c>
      <c r="G1740" s="465" t="s">
        <v>3881</v>
      </c>
      <c r="H1740" s="465" t="s">
        <v>3882</v>
      </c>
      <c r="I1740" s="465" t="s">
        <v>830</v>
      </c>
    </row>
    <row r="1741" hidden="1" ht="15.95" customHeight="1">
      <c r="A1741" s="465" t="s">
        <v>4164</v>
      </c>
      <c r="B1741" s="465" t="s">
        <v>4165</v>
      </c>
      <c r="C1741" s="465"/>
      <c r="D1741" s="465" t="s">
        <v>855</v>
      </c>
      <c r="E1741" s="465" t="s">
        <v>4141</v>
      </c>
      <c r="F1741" s="465" t="s">
        <v>4142</v>
      </c>
      <c r="G1741" s="465" t="s">
        <v>3881</v>
      </c>
      <c r="H1741" s="465" t="s">
        <v>3882</v>
      </c>
      <c r="I1741" s="465" t="s">
        <v>830</v>
      </c>
    </row>
    <row r="1742" hidden="1" ht="15.95" customHeight="1">
      <c r="A1742" s="465" t="s">
        <v>4166</v>
      </c>
      <c r="B1742" s="465" t="s">
        <v>1272</v>
      </c>
      <c r="C1742" s="465"/>
      <c r="D1742" s="465" t="s">
        <v>825</v>
      </c>
      <c r="E1742" s="465" t="s">
        <v>4167</v>
      </c>
      <c r="F1742" s="465" t="s">
        <v>4168</v>
      </c>
      <c r="G1742" s="465" t="s">
        <v>4169</v>
      </c>
      <c r="H1742" s="465" t="s">
        <v>4170</v>
      </c>
      <c r="I1742" s="465" t="s">
        <v>830</v>
      </c>
    </row>
    <row r="1743" hidden="1" ht="15.95" customHeight="1">
      <c r="A1743" s="465" t="s">
        <v>4171</v>
      </c>
      <c r="B1743" s="465" t="s">
        <v>1266</v>
      </c>
      <c r="C1743" s="465"/>
      <c r="D1743" s="465" t="s">
        <v>825</v>
      </c>
      <c r="E1743" s="465" t="s">
        <v>4167</v>
      </c>
      <c r="F1743" s="465" t="s">
        <v>4168</v>
      </c>
      <c r="G1743" s="465" t="s">
        <v>4169</v>
      </c>
      <c r="H1743" s="465" t="s">
        <v>4170</v>
      </c>
      <c r="I1743" s="465" t="s">
        <v>830</v>
      </c>
    </row>
    <row r="1744" hidden="1" ht="15.95" customHeight="1">
      <c r="A1744" s="465" t="s">
        <v>4172</v>
      </c>
      <c r="B1744" s="465" t="s">
        <v>1278</v>
      </c>
      <c r="C1744" s="465"/>
      <c r="D1744" s="465" t="s">
        <v>825</v>
      </c>
      <c r="E1744" s="465" t="s">
        <v>4167</v>
      </c>
      <c r="F1744" s="465" t="s">
        <v>4168</v>
      </c>
      <c r="G1744" s="465" t="s">
        <v>4169</v>
      </c>
      <c r="H1744" s="465" t="s">
        <v>4170</v>
      </c>
      <c r="I1744" s="465" t="s">
        <v>830</v>
      </c>
    </row>
    <row r="1745" hidden="1" ht="15.95" customHeight="1">
      <c r="A1745" s="465" t="s">
        <v>4173</v>
      </c>
      <c r="B1745" s="465" t="s">
        <v>1264</v>
      </c>
      <c r="C1745" s="465"/>
      <c r="D1745" s="465" t="s">
        <v>825</v>
      </c>
      <c r="E1745" s="465" t="s">
        <v>4167</v>
      </c>
      <c r="F1745" s="465" t="s">
        <v>4168</v>
      </c>
      <c r="G1745" s="465" t="s">
        <v>4169</v>
      </c>
      <c r="H1745" s="465" t="s">
        <v>4170</v>
      </c>
      <c r="I1745" s="465" t="s">
        <v>830</v>
      </c>
    </row>
    <row r="1746" hidden="1" ht="15.95" customHeight="1">
      <c r="A1746" s="465" t="s">
        <v>4174</v>
      </c>
      <c r="B1746" s="465" t="s">
        <v>1270</v>
      </c>
      <c r="C1746" s="465"/>
      <c r="D1746" s="465" t="s">
        <v>825</v>
      </c>
      <c r="E1746" s="465" t="s">
        <v>4167</v>
      </c>
      <c r="F1746" s="465" t="s">
        <v>4168</v>
      </c>
      <c r="G1746" s="465" t="s">
        <v>4169</v>
      </c>
      <c r="H1746" s="465" t="s">
        <v>4170</v>
      </c>
      <c r="I1746" s="465" t="s">
        <v>830</v>
      </c>
    </row>
    <row r="1747" hidden="1" ht="15.95" customHeight="1">
      <c r="A1747" s="465" t="s">
        <v>4175</v>
      </c>
      <c r="B1747" s="465" t="s">
        <v>1268</v>
      </c>
      <c r="C1747" s="465"/>
      <c r="D1747" s="465" t="s">
        <v>825</v>
      </c>
      <c r="E1747" s="465" t="s">
        <v>4167</v>
      </c>
      <c r="F1747" s="465" t="s">
        <v>4168</v>
      </c>
      <c r="G1747" s="465" t="s">
        <v>4169</v>
      </c>
      <c r="H1747" s="465" t="s">
        <v>4170</v>
      </c>
      <c r="I1747" s="465" t="s">
        <v>830</v>
      </c>
    </row>
    <row r="1748" hidden="1" ht="15.95" customHeight="1">
      <c r="A1748" s="465" t="s">
        <v>4176</v>
      </c>
      <c r="B1748" s="465" t="s">
        <v>1253</v>
      </c>
      <c r="C1748" s="465"/>
      <c r="D1748" s="465" t="s">
        <v>825</v>
      </c>
      <c r="E1748" s="465" t="s">
        <v>4167</v>
      </c>
      <c r="F1748" s="465" t="s">
        <v>4168</v>
      </c>
      <c r="G1748" s="465" t="s">
        <v>4169</v>
      </c>
      <c r="H1748" s="465" t="s">
        <v>4170</v>
      </c>
      <c r="I1748" s="465" t="s">
        <v>830</v>
      </c>
    </row>
    <row r="1749" hidden="1" ht="15.95" customHeight="1">
      <c r="A1749" s="465" t="s">
        <v>4177</v>
      </c>
      <c r="B1749" s="465" t="s">
        <v>449</v>
      </c>
      <c r="C1749" s="465"/>
      <c r="D1749" s="465" t="s">
        <v>825</v>
      </c>
      <c r="E1749" s="465" t="s">
        <v>4167</v>
      </c>
      <c r="F1749" s="465" t="s">
        <v>4168</v>
      </c>
      <c r="G1749" s="465" t="s">
        <v>4169</v>
      </c>
      <c r="H1749" s="465" t="s">
        <v>4170</v>
      </c>
      <c r="I1749" s="465" t="s">
        <v>830</v>
      </c>
    </row>
    <row r="1750" hidden="1" ht="15.95" customHeight="1">
      <c r="A1750" s="465" t="s">
        <v>4178</v>
      </c>
      <c r="B1750" s="465" t="s">
        <v>1262</v>
      </c>
      <c r="C1750" s="465"/>
      <c r="D1750" s="465" t="s">
        <v>825</v>
      </c>
      <c r="E1750" s="465" t="s">
        <v>4167</v>
      </c>
      <c r="F1750" s="465" t="s">
        <v>4168</v>
      </c>
      <c r="G1750" s="465" t="s">
        <v>4169</v>
      </c>
      <c r="H1750" s="465" t="s">
        <v>4170</v>
      </c>
      <c r="I1750" s="465" t="s">
        <v>830</v>
      </c>
    </row>
    <row r="1751" hidden="1" ht="15.95" customHeight="1">
      <c r="A1751" s="465" t="s">
        <v>4179</v>
      </c>
      <c r="B1751" s="465" t="s">
        <v>2450</v>
      </c>
      <c r="C1751" s="465"/>
      <c r="D1751" s="465" t="s">
        <v>855</v>
      </c>
      <c r="E1751" s="465" t="s">
        <v>4167</v>
      </c>
      <c r="F1751" s="465" t="s">
        <v>4168</v>
      </c>
      <c r="G1751" s="465" t="s">
        <v>4169</v>
      </c>
      <c r="H1751" s="465" t="s">
        <v>4170</v>
      </c>
      <c r="I1751" s="465" t="s">
        <v>830</v>
      </c>
    </row>
    <row r="1752" hidden="1" ht="15.95" customHeight="1">
      <c r="A1752" s="465" t="s">
        <v>4180</v>
      </c>
      <c r="B1752" s="465" t="s">
        <v>4181</v>
      </c>
      <c r="C1752" s="465"/>
      <c r="D1752" s="465" t="s">
        <v>884</v>
      </c>
      <c r="E1752" s="465" t="s">
        <v>4182</v>
      </c>
      <c r="F1752" s="465" t="s">
        <v>4183</v>
      </c>
      <c r="G1752" s="465" t="s">
        <v>4169</v>
      </c>
      <c r="H1752" s="465" t="s">
        <v>4170</v>
      </c>
      <c r="I1752" s="465" t="s">
        <v>830</v>
      </c>
    </row>
    <row r="1753" hidden="1" ht="15.95" customHeight="1">
      <c r="A1753" s="465" t="s">
        <v>4184</v>
      </c>
      <c r="B1753" s="465" t="s">
        <v>4185</v>
      </c>
      <c r="C1753" s="465"/>
      <c r="D1753" s="465" t="s">
        <v>855</v>
      </c>
      <c r="E1753" s="465" t="s">
        <v>4182</v>
      </c>
      <c r="F1753" s="465" t="s">
        <v>4183</v>
      </c>
      <c r="G1753" s="465" t="s">
        <v>4169</v>
      </c>
      <c r="H1753" s="465" t="s">
        <v>4170</v>
      </c>
      <c r="I1753" s="465" t="s">
        <v>830</v>
      </c>
    </row>
    <row r="1754" hidden="1" ht="15.95" customHeight="1">
      <c r="A1754" s="465" t="s">
        <v>4186</v>
      </c>
      <c r="B1754" s="465" t="s">
        <v>4187</v>
      </c>
      <c r="C1754" s="465"/>
      <c r="D1754" s="465" t="s">
        <v>855</v>
      </c>
      <c r="E1754" s="465" t="s">
        <v>4182</v>
      </c>
      <c r="F1754" s="465" t="s">
        <v>4183</v>
      </c>
      <c r="G1754" s="465" t="s">
        <v>4169</v>
      </c>
      <c r="H1754" s="465" t="s">
        <v>4170</v>
      </c>
      <c r="I1754" s="465" t="s">
        <v>830</v>
      </c>
    </row>
    <row r="1755" hidden="1" ht="15.95" customHeight="1">
      <c r="A1755" s="465" t="s">
        <v>4188</v>
      </c>
      <c r="B1755" s="465" t="s">
        <v>4189</v>
      </c>
      <c r="C1755" s="465"/>
      <c r="D1755" s="465" t="s">
        <v>855</v>
      </c>
      <c r="E1755" s="465" t="s">
        <v>4182</v>
      </c>
      <c r="F1755" s="465" t="s">
        <v>4183</v>
      </c>
      <c r="G1755" s="465" t="s">
        <v>4169</v>
      </c>
      <c r="H1755" s="465" t="s">
        <v>4170</v>
      </c>
      <c r="I1755" s="465" t="s">
        <v>830</v>
      </c>
    </row>
    <row r="1756" hidden="1" ht="15.95" customHeight="1">
      <c r="A1756" s="465" t="s">
        <v>4190</v>
      </c>
      <c r="B1756" s="465" t="s">
        <v>4191</v>
      </c>
      <c r="C1756" s="465"/>
      <c r="D1756" s="465" t="s">
        <v>855</v>
      </c>
      <c r="E1756" s="465" t="s">
        <v>4182</v>
      </c>
      <c r="F1756" s="465" t="s">
        <v>4183</v>
      </c>
      <c r="G1756" s="465" t="s">
        <v>4169</v>
      </c>
      <c r="H1756" s="465" t="s">
        <v>4170</v>
      </c>
      <c r="I1756" s="465" t="s">
        <v>830</v>
      </c>
    </row>
    <row r="1757" hidden="1" ht="15.95" customHeight="1">
      <c r="A1757" s="465" t="s">
        <v>4192</v>
      </c>
      <c r="B1757" s="465" t="s">
        <v>2316</v>
      </c>
      <c r="C1757" s="465"/>
      <c r="D1757" s="465" t="s">
        <v>855</v>
      </c>
      <c r="E1757" s="465" t="s">
        <v>4182</v>
      </c>
      <c r="F1757" s="465" t="s">
        <v>4183</v>
      </c>
      <c r="G1757" s="465" t="s">
        <v>4169</v>
      </c>
      <c r="H1757" s="465" t="s">
        <v>4170</v>
      </c>
      <c r="I1757" s="465" t="s">
        <v>830</v>
      </c>
    </row>
    <row r="1758" hidden="1" ht="15.95" customHeight="1">
      <c r="A1758" s="465" t="s">
        <v>4193</v>
      </c>
      <c r="B1758" s="465" t="s">
        <v>1033</v>
      </c>
      <c r="C1758" s="465"/>
      <c r="D1758" s="465" t="s">
        <v>855</v>
      </c>
      <c r="E1758" s="465" t="s">
        <v>4182</v>
      </c>
      <c r="F1758" s="465" t="s">
        <v>4183</v>
      </c>
      <c r="G1758" s="465" t="s">
        <v>4169</v>
      </c>
      <c r="H1758" s="465" t="s">
        <v>4170</v>
      </c>
      <c r="I1758" s="465" t="s">
        <v>830</v>
      </c>
    </row>
    <row r="1759" hidden="1" ht="15.95" customHeight="1">
      <c r="A1759" s="465" t="s">
        <v>4194</v>
      </c>
      <c r="B1759" s="465" t="s">
        <v>3725</v>
      </c>
      <c r="C1759" s="465"/>
      <c r="D1759" s="465" t="s">
        <v>855</v>
      </c>
      <c r="E1759" s="465" t="s">
        <v>4182</v>
      </c>
      <c r="F1759" s="465" t="s">
        <v>4183</v>
      </c>
      <c r="G1759" s="465" t="s">
        <v>4169</v>
      </c>
      <c r="H1759" s="465" t="s">
        <v>4170</v>
      </c>
      <c r="I1759" s="465" t="s">
        <v>830</v>
      </c>
    </row>
    <row r="1760" hidden="1" ht="15.95" customHeight="1">
      <c r="A1760" s="465" t="s">
        <v>4195</v>
      </c>
      <c r="B1760" s="465" t="s">
        <v>4196</v>
      </c>
      <c r="C1760" s="465"/>
      <c r="D1760" s="465" t="s">
        <v>855</v>
      </c>
      <c r="E1760" s="465" t="s">
        <v>4182</v>
      </c>
      <c r="F1760" s="465" t="s">
        <v>4183</v>
      </c>
      <c r="G1760" s="465" t="s">
        <v>4169</v>
      </c>
      <c r="H1760" s="465" t="s">
        <v>4170</v>
      </c>
      <c r="I1760" s="465" t="s">
        <v>830</v>
      </c>
    </row>
    <row r="1761" hidden="1" ht="15.95" customHeight="1">
      <c r="A1761" s="465" t="s">
        <v>4197</v>
      </c>
      <c r="B1761" s="465" t="s">
        <v>4198</v>
      </c>
      <c r="C1761" s="465"/>
      <c r="D1761" s="465" t="s">
        <v>855</v>
      </c>
      <c r="E1761" s="465" t="s">
        <v>4182</v>
      </c>
      <c r="F1761" s="465" t="s">
        <v>4183</v>
      </c>
      <c r="G1761" s="465" t="s">
        <v>4169</v>
      </c>
      <c r="H1761" s="465" t="s">
        <v>4170</v>
      </c>
      <c r="I1761" s="465" t="s">
        <v>830</v>
      </c>
    </row>
    <row r="1762" hidden="1" ht="15.95" customHeight="1">
      <c r="A1762" s="465" t="s">
        <v>4199</v>
      </c>
      <c r="B1762" s="465" t="s">
        <v>2503</v>
      </c>
      <c r="C1762" s="465"/>
      <c r="D1762" s="465" t="s">
        <v>855</v>
      </c>
      <c r="E1762" s="465" t="s">
        <v>4182</v>
      </c>
      <c r="F1762" s="465" t="s">
        <v>4183</v>
      </c>
      <c r="G1762" s="465" t="s">
        <v>4169</v>
      </c>
      <c r="H1762" s="465" t="s">
        <v>4170</v>
      </c>
      <c r="I1762" s="465" t="s">
        <v>830</v>
      </c>
    </row>
    <row r="1763" hidden="1" ht="15.95" customHeight="1">
      <c r="A1763" s="465" t="s">
        <v>4200</v>
      </c>
      <c r="B1763" s="465" t="s">
        <v>4201</v>
      </c>
      <c r="C1763" s="465"/>
      <c r="D1763" s="465" t="s">
        <v>855</v>
      </c>
      <c r="E1763" s="465" t="s">
        <v>4182</v>
      </c>
      <c r="F1763" s="465" t="s">
        <v>4183</v>
      </c>
      <c r="G1763" s="465" t="s">
        <v>4169</v>
      </c>
      <c r="H1763" s="465" t="s">
        <v>4170</v>
      </c>
      <c r="I1763" s="465" t="s">
        <v>830</v>
      </c>
    </row>
    <row r="1764" hidden="1" ht="15.95" customHeight="1">
      <c r="A1764" s="465" t="s">
        <v>4202</v>
      </c>
      <c r="B1764" s="465" t="s">
        <v>4203</v>
      </c>
      <c r="C1764" s="465"/>
      <c r="D1764" s="465" t="s">
        <v>855</v>
      </c>
      <c r="E1764" s="465" t="s">
        <v>4182</v>
      </c>
      <c r="F1764" s="465" t="s">
        <v>4183</v>
      </c>
      <c r="G1764" s="465" t="s">
        <v>4169</v>
      </c>
      <c r="H1764" s="465" t="s">
        <v>4170</v>
      </c>
      <c r="I1764" s="465" t="s">
        <v>830</v>
      </c>
    </row>
    <row r="1765" hidden="1" ht="15.95" customHeight="1">
      <c r="A1765" s="465" t="s">
        <v>4204</v>
      </c>
      <c r="B1765" s="465" t="s">
        <v>4205</v>
      </c>
      <c r="C1765" s="465"/>
      <c r="D1765" s="465" t="s">
        <v>855</v>
      </c>
      <c r="E1765" s="465" t="s">
        <v>4182</v>
      </c>
      <c r="F1765" s="465" t="s">
        <v>4183</v>
      </c>
      <c r="G1765" s="465" t="s">
        <v>4169</v>
      </c>
      <c r="H1765" s="465" t="s">
        <v>4170</v>
      </c>
      <c r="I1765" s="465" t="s">
        <v>830</v>
      </c>
    </row>
    <row r="1766" hidden="1" ht="15.95" customHeight="1">
      <c r="A1766" s="465" t="s">
        <v>4206</v>
      </c>
      <c r="B1766" s="465" t="s">
        <v>4207</v>
      </c>
      <c r="C1766" s="465"/>
      <c r="D1766" s="465" t="s">
        <v>884</v>
      </c>
      <c r="E1766" s="465" t="s">
        <v>4208</v>
      </c>
      <c r="F1766" s="465" t="s">
        <v>4209</v>
      </c>
      <c r="G1766" s="465" t="s">
        <v>4169</v>
      </c>
      <c r="H1766" s="465" t="s">
        <v>4170</v>
      </c>
      <c r="I1766" s="465" t="s">
        <v>830</v>
      </c>
    </row>
    <row r="1767" hidden="1" ht="15.95" customHeight="1">
      <c r="A1767" s="465" t="s">
        <v>4210</v>
      </c>
      <c r="B1767" s="465" t="s">
        <v>4211</v>
      </c>
      <c r="C1767" s="465"/>
      <c r="D1767" s="465" t="s">
        <v>855</v>
      </c>
      <c r="E1767" s="465" t="s">
        <v>4208</v>
      </c>
      <c r="F1767" s="465" t="s">
        <v>4209</v>
      </c>
      <c r="G1767" s="465" t="s">
        <v>4169</v>
      </c>
      <c r="H1767" s="465" t="s">
        <v>4170</v>
      </c>
      <c r="I1767" s="465" t="s">
        <v>830</v>
      </c>
    </row>
    <row r="1768" hidden="1" ht="15.95" customHeight="1">
      <c r="A1768" s="465" t="s">
        <v>4212</v>
      </c>
      <c r="B1768" s="465" t="s">
        <v>4213</v>
      </c>
      <c r="C1768" s="465"/>
      <c r="D1768" s="465" t="s">
        <v>855</v>
      </c>
      <c r="E1768" s="465" t="s">
        <v>4208</v>
      </c>
      <c r="F1768" s="465" t="s">
        <v>4209</v>
      </c>
      <c r="G1768" s="465" t="s">
        <v>4169</v>
      </c>
      <c r="H1768" s="465" t="s">
        <v>4170</v>
      </c>
      <c r="I1768" s="465" t="s">
        <v>830</v>
      </c>
    </row>
    <row r="1769" hidden="1" ht="15.95" customHeight="1">
      <c r="A1769" s="465" t="s">
        <v>4214</v>
      </c>
      <c r="B1769" s="465" t="s">
        <v>4215</v>
      </c>
      <c r="C1769" s="465"/>
      <c r="D1769" s="465" t="s">
        <v>855</v>
      </c>
      <c r="E1769" s="465" t="s">
        <v>4208</v>
      </c>
      <c r="F1769" s="465" t="s">
        <v>4209</v>
      </c>
      <c r="G1769" s="465" t="s">
        <v>4169</v>
      </c>
      <c r="H1769" s="465" t="s">
        <v>4170</v>
      </c>
      <c r="I1769" s="465" t="s">
        <v>830</v>
      </c>
    </row>
    <row r="1770" hidden="1" ht="15.95" customHeight="1">
      <c r="A1770" s="465" t="s">
        <v>4216</v>
      </c>
      <c r="B1770" s="465" t="s">
        <v>4217</v>
      </c>
      <c r="C1770" s="465"/>
      <c r="D1770" s="465" t="s">
        <v>855</v>
      </c>
      <c r="E1770" s="465" t="s">
        <v>4208</v>
      </c>
      <c r="F1770" s="465" t="s">
        <v>4209</v>
      </c>
      <c r="G1770" s="465" t="s">
        <v>4169</v>
      </c>
      <c r="H1770" s="465" t="s">
        <v>4170</v>
      </c>
      <c r="I1770" s="465" t="s">
        <v>830</v>
      </c>
    </row>
    <row r="1771" hidden="1" ht="15.95" customHeight="1">
      <c r="A1771" s="465" t="s">
        <v>4218</v>
      </c>
      <c r="B1771" s="465" t="s">
        <v>4219</v>
      </c>
      <c r="C1771" s="465"/>
      <c r="D1771" s="465" t="s">
        <v>855</v>
      </c>
      <c r="E1771" s="465" t="s">
        <v>4208</v>
      </c>
      <c r="F1771" s="465" t="s">
        <v>4209</v>
      </c>
      <c r="G1771" s="465" t="s">
        <v>4169</v>
      </c>
      <c r="H1771" s="465" t="s">
        <v>4170</v>
      </c>
      <c r="I1771" s="465" t="s">
        <v>830</v>
      </c>
    </row>
    <row r="1772" hidden="1" ht="15.95" customHeight="1">
      <c r="A1772" s="465" t="s">
        <v>4220</v>
      </c>
      <c r="B1772" s="465" t="s">
        <v>1046</v>
      </c>
      <c r="C1772" s="465"/>
      <c r="D1772" s="465" t="s">
        <v>855</v>
      </c>
      <c r="E1772" s="465" t="s">
        <v>4208</v>
      </c>
      <c r="F1772" s="465" t="s">
        <v>4209</v>
      </c>
      <c r="G1772" s="465" t="s">
        <v>4169</v>
      </c>
      <c r="H1772" s="465" t="s">
        <v>4170</v>
      </c>
      <c r="I1772" s="465" t="s">
        <v>830</v>
      </c>
    </row>
    <row r="1773" hidden="1" ht="15.95" customHeight="1">
      <c r="A1773" s="465" t="s">
        <v>4221</v>
      </c>
      <c r="B1773" s="465" t="s">
        <v>4222</v>
      </c>
      <c r="C1773" s="465"/>
      <c r="D1773" s="465" t="s">
        <v>855</v>
      </c>
      <c r="E1773" s="465" t="s">
        <v>4208</v>
      </c>
      <c r="F1773" s="465" t="s">
        <v>4209</v>
      </c>
      <c r="G1773" s="465" t="s">
        <v>4169</v>
      </c>
      <c r="H1773" s="465" t="s">
        <v>4170</v>
      </c>
      <c r="I1773" s="465" t="s">
        <v>830</v>
      </c>
    </row>
    <row r="1774" hidden="1" ht="15.95" customHeight="1">
      <c r="A1774" s="465" t="s">
        <v>4223</v>
      </c>
      <c r="B1774" s="465" t="s">
        <v>4224</v>
      </c>
      <c r="C1774" s="465"/>
      <c r="D1774" s="465" t="s">
        <v>855</v>
      </c>
      <c r="E1774" s="465" t="s">
        <v>4208</v>
      </c>
      <c r="F1774" s="465" t="s">
        <v>4209</v>
      </c>
      <c r="G1774" s="465" t="s">
        <v>4169</v>
      </c>
      <c r="H1774" s="465" t="s">
        <v>4170</v>
      </c>
      <c r="I1774" s="465" t="s">
        <v>830</v>
      </c>
    </row>
    <row r="1775" hidden="1" ht="15.95" customHeight="1">
      <c r="A1775" s="465" t="s">
        <v>4225</v>
      </c>
      <c r="B1775" s="465" t="s">
        <v>4226</v>
      </c>
      <c r="C1775" s="465"/>
      <c r="D1775" s="465" t="s">
        <v>855</v>
      </c>
      <c r="E1775" s="465" t="s">
        <v>4208</v>
      </c>
      <c r="F1775" s="465" t="s">
        <v>4209</v>
      </c>
      <c r="G1775" s="465" t="s">
        <v>4169</v>
      </c>
      <c r="H1775" s="465" t="s">
        <v>4170</v>
      </c>
      <c r="I1775" s="465" t="s">
        <v>830</v>
      </c>
    </row>
    <row r="1776" hidden="1" ht="15.95" customHeight="1">
      <c r="A1776" s="465" t="s">
        <v>4227</v>
      </c>
      <c r="B1776" s="465" t="s">
        <v>2321</v>
      </c>
      <c r="C1776" s="465"/>
      <c r="D1776" s="465" t="s">
        <v>855</v>
      </c>
      <c r="E1776" s="465" t="s">
        <v>4208</v>
      </c>
      <c r="F1776" s="465" t="s">
        <v>4209</v>
      </c>
      <c r="G1776" s="465" t="s">
        <v>4169</v>
      </c>
      <c r="H1776" s="465" t="s">
        <v>4170</v>
      </c>
      <c r="I1776" s="465" t="s">
        <v>830</v>
      </c>
    </row>
    <row r="1777" hidden="1" ht="15.95" customHeight="1">
      <c r="A1777" s="465" t="s">
        <v>4228</v>
      </c>
      <c r="B1777" s="465" t="s">
        <v>4229</v>
      </c>
      <c r="C1777" s="465"/>
      <c r="D1777" s="465" t="s">
        <v>884</v>
      </c>
      <c r="E1777" s="465" t="s">
        <v>4230</v>
      </c>
      <c r="F1777" s="465" t="s">
        <v>4231</v>
      </c>
      <c r="G1777" s="465" t="s">
        <v>4169</v>
      </c>
      <c r="H1777" s="465" t="s">
        <v>4170</v>
      </c>
      <c r="I1777" s="465" t="s">
        <v>830</v>
      </c>
    </row>
    <row r="1778" hidden="1" ht="15.95" customHeight="1">
      <c r="A1778" s="465" t="s">
        <v>4232</v>
      </c>
      <c r="B1778" s="465" t="s">
        <v>4233</v>
      </c>
      <c r="C1778" s="465"/>
      <c r="D1778" s="465" t="s">
        <v>884</v>
      </c>
      <c r="E1778" s="465" t="s">
        <v>4230</v>
      </c>
      <c r="F1778" s="465" t="s">
        <v>4231</v>
      </c>
      <c r="G1778" s="465" t="s">
        <v>4169</v>
      </c>
      <c r="H1778" s="465" t="s">
        <v>4170</v>
      </c>
      <c r="I1778" s="465" t="s">
        <v>830</v>
      </c>
    </row>
    <row r="1779" hidden="1" ht="15.95" customHeight="1">
      <c r="A1779" s="465" t="s">
        <v>4234</v>
      </c>
      <c r="B1779" s="465" t="s">
        <v>4235</v>
      </c>
      <c r="C1779" s="465"/>
      <c r="D1779" s="465" t="s">
        <v>855</v>
      </c>
      <c r="E1779" s="465" t="s">
        <v>4230</v>
      </c>
      <c r="F1779" s="465" t="s">
        <v>4231</v>
      </c>
      <c r="G1779" s="465" t="s">
        <v>4169</v>
      </c>
      <c r="H1779" s="465" t="s">
        <v>4170</v>
      </c>
      <c r="I1779" s="465" t="s">
        <v>830</v>
      </c>
    </row>
    <row r="1780" hidden="1" ht="15.95" customHeight="1">
      <c r="A1780" s="465" t="s">
        <v>4236</v>
      </c>
      <c r="B1780" s="465" t="s">
        <v>4237</v>
      </c>
      <c r="C1780" s="465"/>
      <c r="D1780" s="465" t="s">
        <v>855</v>
      </c>
      <c r="E1780" s="465" t="s">
        <v>4230</v>
      </c>
      <c r="F1780" s="465" t="s">
        <v>4231</v>
      </c>
      <c r="G1780" s="465" t="s">
        <v>4169</v>
      </c>
      <c r="H1780" s="465" t="s">
        <v>4170</v>
      </c>
      <c r="I1780" s="465" t="s">
        <v>830</v>
      </c>
    </row>
    <row r="1781" hidden="1" ht="15.95" customHeight="1">
      <c r="A1781" s="465" t="s">
        <v>4238</v>
      </c>
      <c r="B1781" s="465" t="s">
        <v>4239</v>
      </c>
      <c r="C1781" s="465"/>
      <c r="D1781" s="465" t="s">
        <v>855</v>
      </c>
      <c r="E1781" s="465" t="s">
        <v>4230</v>
      </c>
      <c r="F1781" s="465" t="s">
        <v>4231</v>
      </c>
      <c r="G1781" s="465" t="s">
        <v>4169</v>
      </c>
      <c r="H1781" s="465" t="s">
        <v>4170</v>
      </c>
      <c r="I1781" s="465" t="s">
        <v>830</v>
      </c>
    </row>
    <row r="1782" hidden="1" ht="15.95" customHeight="1">
      <c r="A1782" s="465" t="s">
        <v>4240</v>
      </c>
      <c r="B1782" s="465" t="s">
        <v>3185</v>
      </c>
      <c r="C1782" s="465"/>
      <c r="D1782" s="465" t="s">
        <v>855</v>
      </c>
      <c r="E1782" s="465" t="s">
        <v>4230</v>
      </c>
      <c r="F1782" s="465" t="s">
        <v>4231</v>
      </c>
      <c r="G1782" s="465" t="s">
        <v>4169</v>
      </c>
      <c r="H1782" s="465" t="s">
        <v>4170</v>
      </c>
      <c r="I1782" s="465" t="s">
        <v>830</v>
      </c>
    </row>
    <row r="1783" hidden="1" ht="15.95" customHeight="1">
      <c r="A1783" s="465" t="s">
        <v>4241</v>
      </c>
      <c r="B1783" s="465" t="s">
        <v>4242</v>
      </c>
      <c r="C1783" s="465"/>
      <c r="D1783" s="465" t="s">
        <v>855</v>
      </c>
      <c r="E1783" s="465" t="s">
        <v>4230</v>
      </c>
      <c r="F1783" s="465" t="s">
        <v>4231</v>
      </c>
      <c r="G1783" s="465" t="s">
        <v>4169</v>
      </c>
      <c r="H1783" s="465" t="s">
        <v>4170</v>
      </c>
      <c r="I1783" s="465" t="s">
        <v>830</v>
      </c>
    </row>
    <row r="1784" hidden="1" ht="15.95" customHeight="1">
      <c r="A1784" s="465" t="s">
        <v>4243</v>
      </c>
      <c r="B1784" s="465" t="s">
        <v>4244</v>
      </c>
      <c r="C1784" s="465"/>
      <c r="D1784" s="465" t="s">
        <v>855</v>
      </c>
      <c r="E1784" s="465" t="s">
        <v>4230</v>
      </c>
      <c r="F1784" s="465" t="s">
        <v>4231</v>
      </c>
      <c r="G1784" s="465" t="s">
        <v>4169</v>
      </c>
      <c r="H1784" s="465" t="s">
        <v>4170</v>
      </c>
      <c r="I1784" s="465" t="s">
        <v>830</v>
      </c>
    </row>
    <row r="1785" hidden="1" ht="15.95" customHeight="1">
      <c r="A1785" s="465" t="s">
        <v>4245</v>
      </c>
      <c r="B1785" s="465" t="s">
        <v>4246</v>
      </c>
      <c r="C1785" s="465"/>
      <c r="D1785" s="465" t="s">
        <v>855</v>
      </c>
      <c r="E1785" s="465" t="s">
        <v>4230</v>
      </c>
      <c r="F1785" s="465" t="s">
        <v>4231</v>
      </c>
      <c r="G1785" s="465" t="s">
        <v>4169</v>
      </c>
      <c r="H1785" s="465" t="s">
        <v>4170</v>
      </c>
      <c r="I1785" s="465" t="s">
        <v>830</v>
      </c>
    </row>
    <row r="1786" hidden="1" ht="15.95" customHeight="1">
      <c r="A1786" s="465" t="s">
        <v>4247</v>
      </c>
      <c r="B1786" s="465" t="s">
        <v>4248</v>
      </c>
      <c r="C1786" s="465"/>
      <c r="D1786" s="465" t="s">
        <v>855</v>
      </c>
      <c r="E1786" s="465" t="s">
        <v>4230</v>
      </c>
      <c r="F1786" s="465" t="s">
        <v>4231</v>
      </c>
      <c r="G1786" s="465" t="s">
        <v>4169</v>
      </c>
      <c r="H1786" s="465" t="s">
        <v>4170</v>
      </c>
      <c r="I1786" s="465" t="s">
        <v>830</v>
      </c>
    </row>
    <row r="1787" hidden="1" ht="15.95" customHeight="1">
      <c r="A1787" s="465" t="s">
        <v>4249</v>
      </c>
      <c r="B1787" s="465" t="s">
        <v>1722</v>
      </c>
      <c r="C1787" s="465"/>
      <c r="D1787" s="465" t="s">
        <v>855</v>
      </c>
      <c r="E1787" s="465" t="s">
        <v>4230</v>
      </c>
      <c r="F1787" s="465" t="s">
        <v>4231</v>
      </c>
      <c r="G1787" s="465" t="s">
        <v>4169</v>
      </c>
      <c r="H1787" s="465" t="s">
        <v>4170</v>
      </c>
      <c r="I1787" s="465" t="s">
        <v>830</v>
      </c>
    </row>
    <row r="1788" hidden="1" ht="15.95" customHeight="1">
      <c r="A1788" s="465" t="s">
        <v>4250</v>
      </c>
      <c r="B1788" s="465" t="s">
        <v>1881</v>
      </c>
      <c r="C1788" s="465"/>
      <c r="D1788" s="465" t="s">
        <v>884</v>
      </c>
      <c r="E1788" s="465" t="s">
        <v>4251</v>
      </c>
      <c r="F1788" s="465" t="s">
        <v>1883</v>
      </c>
      <c r="G1788" s="465" t="s">
        <v>4169</v>
      </c>
      <c r="H1788" s="465" t="s">
        <v>4170</v>
      </c>
      <c r="I1788" s="465" t="s">
        <v>830</v>
      </c>
    </row>
    <row r="1789" hidden="1" ht="15.95" customHeight="1">
      <c r="A1789" s="465" t="s">
        <v>4252</v>
      </c>
      <c r="B1789" s="465" t="s">
        <v>4253</v>
      </c>
      <c r="C1789" s="465"/>
      <c r="D1789" s="465" t="s">
        <v>855</v>
      </c>
      <c r="E1789" s="465" t="s">
        <v>4251</v>
      </c>
      <c r="F1789" s="465" t="s">
        <v>1883</v>
      </c>
      <c r="G1789" s="465" t="s">
        <v>4169</v>
      </c>
      <c r="H1789" s="465" t="s">
        <v>4170</v>
      </c>
      <c r="I1789" s="465" t="s">
        <v>830</v>
      </c>
    </row>
    <row r="1790" hidden="1" ht="15.95" customHeight="1">
      <c r="A1790" s="465" t="s">
        <v>4254</v>
      </c>
      <c r="B1790" s="465" t="s">
        <v>4075</v>
      </c>
      <c r="C1790" s="465"/>
      <c r="D1790" s="465" t="s">
        <v>855</v>
      </c>
      <c r="E1790" s="465" t="s">
        <v>4251</v>
      </c>
      <c r="F1790" s="465" t="s">
        <v>1883</v>
      </c>
      <c r="G1790" s="465" t="s">
        <v>4169</v>
      </c>
      <c r="H1790" s="465" t="s">
        <v>4170</v>
      </c>
      <c r="I1790" s="465" t="s">
        <v>830</v>
      </c>
    </row>
    <row r="1791" hidden="1" ht="15.95" customHeight="1">
      <c r="A1791" s="465" t="s">
        <v>4255</v>
      </c>
      <c r="B1791" s="465" t="s">
        <v>4256</v>
      </c>
      <c r="C1791" s="465"/>
      <c r="D1791" s="465" t="s">
        <v>855</v>
      </c>
      <c r="E1791" s="465" t="s">
        <v>4251</v>
      </c>
      <c r="F1791" s="465" t="s">
        <v>1883</v>
      </c>
      <c r="G1791" s="465" t="s">
        <v>4169</v>
      </c>
      <c r="H1791" s="465" t="s">
        <v>4170</v>
      </c>
      <c r="I1791" s="465" t="s">
        <v>830</v>
      </c>
    </row>
    <row r="1792" hidden="1" ht="15.95" customHeight="1">
      <c r="A1792" s="465" t="s">
        <v>4257</v>
      </c>
      <c r="B1792" s="465" t="s">
        <v>4258</v>
      </c>
      <c r="C1792" s="465"/>
      <c r="D1792" s="465" t="s">
        <v>855</v>
      </c>
      <c r="E1792" s="465" t="s">
        <v>4251</v>
      </c>
      <c r="F1792" s="465" t="s">
        <v>1883</v>
      </c>
      <c r="G1792" s="465" t="s">
        <v>4169</v>
      </c>
      <c r="H1792" s="465" t="s">
        <v>4170</v>
      </c>
      <c r="I1792" s="465" t="s">
        <v>830</v>
      </c>
    </row>
    <row r="1793" hidden="1" ht="15.95" customHeight="1">
      <c r="A1793" s="465" t="s">
        <v>4259</v>
      </c>
      <c r="B1793" s="465" t="s">
        <v>3419</v>
      </c>
      <c r="C1793" s="465"/>
      <c r="D1793" s="465" t="s">
        <v>855</v>
      </c>
      <c r="E1793" s="465" t="s">
        <v>4251</v>
      </c>
      <c r="F1793" s="465" t="s">
        <v>1883</v>
      </c>
      <c r="G1793" s="465" t="s">
        <v>4169</v>
      </c>
      <c r="H1793" s="465" t="s">
        <v>4170</v>
      </c>
      <c r="I1793" s="465" t="s">
        <v>830</v>
      </c>
    </row>
    <row r="1794" hidden="1" ht="15.95" customHeight="1">
      <c r="A1794" s="465" t="s">
        <v>4260</v>
      </c>
      <c r="B1794" s="465" t="s">
        <v>4261</v>
      </c>
      <c r="C1794" s="465"/>
      <c r="D1794" s="465" t="s">
        <v>855</v>
      </c>
      <c r="E1794" s="465" t="s">
        <v>4251</v>
      </c>
      <c r="F1794" s="465" t="s">
        <v>1883</v>
      </c>
      <c r="G1794" s="465" t="s">
        <v>4169</v>
      </c>
      <c r="H1794" s="465" t="s">
        <v>4170</v>
      </c>
      <c r="I1794" s="465" t="s">
        <v>830</v>
      </c>
    </row>
    <row r="1795" hidden="1" ht="15.95" customHeight="1">
      <c r="A1795" s="465" t="s">
        <v>4262</v>
      </c>
      <c r="B1795" s="465" t="s">
        <v>4263</v>
      </c>
      <c r="C1795" s="465"/>
      <c r="D1795" s="465" t="s">
        <v>855</v>
      </c>
      <c r="E1795" s="465" t="s">
        <v>4251</v>
      </c>
      <c r="F1795" s="465" t="s">
        <v>1883</v>
      </c>
      <c r="G1795" s="465" t="s">
        <v>4169</v>
      </c>
      <c r="H1795" s="465" t="s">
        <v>4170</v>
      </c>
      <c r="I1795" s="465" t="s">
        <v>830</v>
      </c>
    </row>
    <row r="1796" hidden="1" ht="15.95" customHeight="1">
      <c r="A1796" s="465" t="s">
        <v>4264</v>
      </c>
      <c r="B1796" s="465" t="s">
        <v>4265</v>
      </c>
      <c r="C1796" s="465"/>
      <c r="D1796" s="465" t="s">
        <v>855</v>
      </c>
      <c r="E1796" s="465" t="s">
        <v>4251</v>
      </c>
      <c r="F1796" s="465" t="s">
        <v>1883</v>
      </c>
      <c r="G1796" s="465" t="s">
        <v>4169</v>
      </c>
      <c r="H1796" s="465" t="s">
        <v>4170</v>
      </c>
      <c r="I1796" s="465" t="s">
        <v>830</v>
      </c>
    </row>
    <row r="1797" hidden="1" ht="15.95" customHeight="1">
      <c r="A1797" s="465" t="s">
        <v>4266</v>
      </c>
      <c r="B1797" s="465" t="s">
        <v>4125</v>
      </c>
      <c r="C1797" s="465"/>
      <c r="D1797" s="465" t="s">
        <v>855</v>
      </c>
      <c r="E1797" s="465" t="s">
        <v>4251</v>
      </c>
      <c r="F1797" s="465" t="s">
        <v>1883</v>
      </c>
      <c r="G1797" s="465" t="s">
        <v>4169</v>
      </c>
      <c r="H1797" s="465" t="s">
        <v>4170</v>
      </c>
      <c r="I1797" s="465" t="s">
        <v>830</v>
      </c>
    </row>
    <row r="1798" hidden="1" ht="15.95" customHeight="1">
      <c r="A1798" s="465" t="s">
        <v>4267</v>
      </c>
      <c r="B1798" s="465" t="s">
        <v>4268</v>
      </c>
      <c r="C1798" s="465"/>
      <c r="D1798" s="465" t="s">
        <v>855</v>
      </c>
      <c r="E1798" s="465" t="s">
        <v>4251</v>
      </c>
      <c r="F1798" s="465" t="s">
        <v>1883</v>
      </c>
      <c r="G1798" s="465" t="s">
        <v>4169</v>
      </c>
      <c r="H1798" s="465" t="s">
        <v>4170</v>
      </c>
      <c r="I1798" s="465" t="s">
        <v>830</v>
      </c>
    </row>
    <row r="1799" hidden="1" ht="15.95" customHeight="1">
      <c r="A1799" s="465" t="s">
        <v>4269</v>
      </c>
      <c r="B1799" s="465" t="s">
        <v>4270</v>
      </c>
      <c r="C1799" s="465"/>
      <c r="D1799" s="465" t="s">
        <v>855</v>
      </c>
      <c r="E1799" s="465" t="s">
        <v>4251</v>
      </c>
      <c r="F1799" s="465" t="s">
        <v>1883</v>
      </c>
      <c r="G1799" s="465" t="s">
        <v>4169</v>
      </c>
      <c r="H1799" s="465" t="s">
        <v>4170</v>
      </c>
      <c r="I1799" s="465" t="s">
        <v>830</v>
      </c>
    </row>
    <row r="1800" hidden="1" ht="15.95" customHeight="1">
      <c r="A1800" s="465" t="s">
        <v>4271</v>
      </c>
      <c r="B1800" s="465" t="s">
        <v>1056</v>
      </c>
      <c r="C1800" s="465"/>
      <c r="D1800" s="465" t="s">
        <v>855</v>
      </c>
      <c r="E1800" s="465" t="s">
        <v>4251</v>
      </c>
      <c r="F1800" s="465" t="s">
        <v>1883</v>
      </c>
      <c r="G1800" s="465" t="s">
        <v>4169</v>
      </c>
      <c r="H1800" s="465" t="s">
        <v>4170</v>
      </c>
      <c r="I1800" s="465" t="s">
        <v>830</v>
      </c>
    </row>
    <row r="1801" hidden="1" ht="15.95" customHeight="1">
      <c r="A1801" s="465" t="s">
        <v>4272</v>
      </c>
      <c r="B1801" s="465" t="s">
        <v>2048</v>
      </c>
      <c r="C1801" s="465"/>
      <c r="D1801" s="465" t="s">
        <v>855</v>
      </c>
      <c r="E1801" s="465" t="s">
        <v>4251</v>
      </c>
      <c r="F1801" s="465" t="s">
        <v>1883</v>
      </c>
      <c r="G1801" s="465" t="s">
        <v>4169</v>
      </c>
      <c r="H1801" s="465" t="s">
        <v>4170</v>
      </c>
      <c r="I1801" s="465" t="s">
        <v>830</v>
      </c>
    </row>
    <row r="1802" hidden="1" ht="15.95" customHeight="1">
      <c r="A1802" s="465" t="s">
        <v>4273</v>
      </c>
      <c r="B1802" s="465" t="s">
        <v>4274</v>
      </c>
      <c r="C1802" s="465"/>
      <c r="D1802" s="465" t="s">
        <v>884</v>
      </c>
      <c r="E1802" s="465" t="s">
        <v>4275</v>
      </c>
      <c r="F1802" s="465" t="s">
        <v>4276</v>
      </c>
      <c r="G1802" s="465" t="s">
        <v>4169</v>
      </c>
      <c r="H1802" s="465" t="s">
        <v>4170</v>
      </c>
      <c r="I1802" s="465" t="s">
        <v>830</v>
      </c>
    </row>
    <row r="1803" hidden="1" ht="15.95" customHeight="1">
      <c r="A1803" s="465" t="s">
        <v>4277</v>
      </c>
      <c r="B1803" s="465" t="s">
        <v>4278</v>
      </c>
      <c r="C1803" s="465"/>
      <c r="D1803" s="465" t="s">
        <v>884</v>
      </c>
      <c r="E1803" s="465" t="s">
        <v>4275</v>
      </c>
      <c r="F1803" s="465" t="s">
        <v>4276</v>
      </c>
      <c r="G1803" s="465" t="s">
        <v>4169</v>
      </c>
      <c r="H1803" s="465" t="s">
        <v>4170</v>
      </c>
      <c r="I1803" s="465" t="s">
        <v>830</v>
      </c>
    </row>
    <row r="1804" hidden="1" ht="15.95" customHeight="1">
      <c r="A1804" s="465" t="s">
        <v>4279</v>
      </c>
      <c r="B1804" s="465" t="s">
        <v>4280</v>
      </c>
      <c r="C1804" s="465"/>
      <c r="D1804" s="465" t="s">
        <v>855</v>
      </c>
      <c r="E1804" s="465" t="s">
        <v>4275</v>
      </c>
      <c r="F1804" s="465" t="s">
        <v>4276</v>
      </c>
      <c r="G1804" s="465" t="s">
        <v>4169</v>
      </c>
      <c r="H1804" s="465" t="s">
        <v>4170</v>
      </c>
      <c r="I1804" s="465" t="s">
        <v>830</v>
      </c>
    </row>
    <row r="1805" hidden="1" ht="15.95" customHeight="1">
      <c r="A1805" s="465" t="s">
        <v>4281</v>
      </c>
      <c r="B1805" s="465" t="s">
        <v>4282</v>
      </c>
      <c r="C1805" s="465"/>
      <c r="D1805" s="465" t="s">
        <v>855</v>
      </c>
      <c r="E1805" s="465" t="s">
        <v>4275</v>
      </c>
      <c r="F1805" s="465" t="s">
        <v>4276</v>
      </c>
      <c r="G1805" s="465" t="s">
        <v>4169</v>
      </c>
      <c r="H1805" s="465" t="s">
        <v>4170</v>
      </c>
      <c r="I1805" s="465" t="s">
        <v>830</v>
      </c>
    </row>
    <row r="1806" hidden="1" ht="15.95" customHeight="1">
      <c r="A1806" s="465" t="s">
        <v>4283</v>
      </c>
      <c r="B1806" s="465" t="s">
        <v>4072</v>
      </c>
      <c r="C1806" s="465"/>
      <c r="D1806" s="465" t="s">
        <v>855</v>
      </c>
      <c r="E1806" s="465" t="s">
        <v>4275</v>
      </c>
      <c r="F1806" s="465" t="s">
        <v>4276</v>
      </c>
      <c r="G1806" s="465" t="s">
        <v>4169</v>
      </c>
      <c r="H1806" s="465" t="s">
        <v>4170</v>
      </c>
      <c r="I1806" s="465" t="s">
        <v>830</v>
      </c>
    </row>
    <row r="1807" hidden="1" ht="15.95" customHeight="1">
      <c r="A1807" s="465" t="s">
        <v>4284</v>
      </c>
      <c r="B1807" s="465" t="s">
        <v>3776</v>
      </c>
      <c r="C1807" s="465"/>
      <c r="D1807" s="465" t="s">
        <v>855</v>
      </c>
      <c r="E1807" s="465" t="s">
        <v>4275</v>
      </c>
      <c r="F1807" s="465" t="s">
        <v>4276</v>
      </c>
      <c r="G1807" s="465" t="s">
        <v>4169</v>
      </c>
      <c r="H1807" s="465" t="s">
        <v>4170</v>
      </c>
      <c r="I1807" s="465" t="s">
        <v>830</v>
      </c>
    </row>
    <row r="1808" hidden="1" ht="15.95" customHeight="1">
      <c r="A1808" s="465" t="s">
        <v>4285</v>
      </c>
      <c r="B1808" s="465" t="s">
        <v>4286</v>
      </c>
      <c r="C1808" s="465"/>
      <c r="D1808" s="465" t="s">
        <v>855</v>
      </c>
      <c r="E1808" s="465" t="s">
        <v>4275</v>
      </c>
      <c r="F1808" s="465" t="s">
        <v>4276</v>
      </c>
      <c r="G1808" s="465" t="s">
        <v>4169</v>
      </c>
      <c r="H1808" s="465" t="s">
        <v>4170</v>
      </c>
      <c r="I1808" s="465" t="s">
        <v>830</v>
      </c>
    </row>
    <row r="1809" hidden="1" ht="15.95" customHeight="1">
      <c r="A1809" s="465" t="s">
        <v>4287</v>
      </c>
      <c r="B1809" s="465" t="s">
        <v>2234</v>
      </c>
      <c r="C1809" s="465"/>
      <c r="D1809" s="465" t="s">
        <v>855</v>
      </c>
      <c r="E1809" s="465" t="s">
        <v>4275</v>
      </c>
      <c r="F1809" s="465" t="s">
        <v>4276</v>
      </c>
      <c r="G1809" s="465" t="s">
        <v>4169</v>
      </c>
      <c r="H1809" s="465" t="s">
        <v>4170</v>
      </c>
      <c r="I1809" s="465" t="s">
        <v>830</v>
      </c>
    </row>
    <row r="1810" hidden="1" ht="15.95" customHeight="1">
      <c r="A1810" s="465" t="s">
        <v>4288</v>
      </c>
      <c r="B1810" s="465" t="s">
        <v>1112</v>
      </c>
      <c r="C1810" s="465"/>
      <c r="D1810" s="465" t="s">
        <v>855</v>
      </c>
      <c r="E1810" s="465" t="s">
        <v>4275</v>
      </c>
      <c r="F1810" s="465" t="s">
        <v>4276</v>
      </c>
      <c r="G1810" s="465" t="s">
        <v>4169</v>
      </c>
      <c r="H1810" s="465" t="s">
        <v>4170</v>
      </c>
      <c r="I1810" s="465" t="s">
        <v>830</v>
      </c>
    </row>
    <row r="1811" hidden="1" ht="15.95" customHeight="1">
      <c r="A1811" s="465" t="s">
        <v>4289</v>
      </c>
      <c r="B1811" s="465" t="s">
        <v>2549</v>
      </c>
      <c r="C1811" s="465"/>
      <c r="D1811" s="465" t="s">
        <v>855</v>
      </c>
      <c r="E1811" s="465" t="s">
        <v>4275</v>
      </c>
      <c r="F1811" s="465" t="s">
        <v>4276</v>
      </c>
      <c r="G1811" s="465" t="s">
        <v>4169</v>
      </c>
      <c r="H1811" s="465" t="s">
        <v>4170</v>
      </c>
      <c r="I1811" s="465" t="s">
        <v>830</v>
      </c>
    </row>
    <row r="1812" hidden="1" ht="15.95" customHeight="1">
      <c r="A1812" s="465" t="s">
        <v>4290</v>
      </c>
      <c r="B1812" s="465" t="s">
        <v>4291</v>
      </c>
      <c r="C1812" s="465"/>
      <c r="D1812" s="465" t="s">
        <v>855</v>
      </c>
      <c r="E1812" s="465" t="s">
        <v>4275</v>
      </c>
      <c r="F1812" s="465" t="s">
        <v>4276</v>
      </c>
      <c r="G1812" s="465" t="s">
        <v>4169</v>
      </c>
      <c r="H1812" s="465" t="s">
        <v>4170</v>
      </c>
      <c r="I1812" s="465" t="s">
        <v>830</v>
      </c>
    </row>
    <row r="1813" hidden="1" ht="15.95" customHeight="1">
      <c r="A1813" s="465" t="s">
        <v>4292</v>
      </c>
      <c r="B1813" s="465" t="s">
        <v>4293</v>
      </c>
      <c r="C1813" s="465"/>
      <c r="D1813" s="465" t="s">
        <v>855</v>
      </c>
      <c r="E1813" s="465" t="s">
        <v>4275</v>
      </c>
      <c r="F1813" s="465" t="s">
        <v>4276</v>
      </c>
      <c r="G1813" s="465" t="s">
        <v>4169</v>
      </c>
      <c r="H1813" s="465" t="s">
        <v>4170</v>
      </c>
      <c r="I1813" s="465" t="s">
        <v>830</v>
      </c>
    </row>
    <row r="1814" hidden="1" ht="15.95" customHeight="1">
      <c r="A1814" s="465" t="s">
        <v>4294</v>
      </c>
      <c r="B1814" s="465" t="s">
        <v>4295</v>
      </c>
      <c r="C1814" s="465"/>
      <c r="D1814" s="465" t="s">
        <v>855</v>
      </c>
      <c r="E1814" s="465" t="s">
        <v>4275</v>
      </c>
      <c r="F1814" s="465" t="s">
        <v>4276</v>
      </c>
      <c r="G1814" s="465" t="s">
        <v>4169</v>
      </c>
      <c r="H1814" s="465" t="s">
        <v>4170</v>
      </c>
      <c r="I1814" s="465" t="s">
        <v>830</v>
      </c>
    </row>
    <row r="1815" hidden="1" ht="15.95" customHeight="1">
      <c r="A1815" s="465" t="s">
        <v>4296</v>
      </c>
      <c r="B1815" s="465" t="s">
        <v>4297</v>
      </c>
      <c r="C1815" s="465"/>
      <c r="D1815" s="465" t="s">
        <v>855</v>
      </c>
      <c r="E1815" s="465" t="s">
        <v>4275</v>
      </c>
      <c r="F1815" s="465" t="s">
        <v>4276</v>
      </c>
      <c r="G1815" s="465" t="s">
        <v>4169</v>
      </c>
      <c r="H1815" s="465" t="s">
        <v>4170</v>
      </c>
      <c r="I1815" s="465" t="s">
        <v>830</v>
      </c>
    </row>
    <row r="1816" hidden="1" ht="15.95" customHeight="1">
      <c r="A1816" s="465" t="s">
        <v>4298</v>
      </c>
      <c r="B1816" s="465" t="s">
        <v>4299</v>
      </c>
      <c r="C1816" s="465"/>
      <c r="D1816" s="465" t="s">
        <v>855</v>
      </c>
      <c r="E1816" s="465" t="s">
        <v>4275</v>
      </c>
      <c r="F1816" s="465" t="s">
        <v>4276</v>
      </c>
      <c r="G1816" s="465" t="s">
        <v>4169</v>
      </c>
      <c r="H1816" s="465" t="s">
        <v>4170</v>
      </c>
      <c r="I1816" s="465" t="s">
        <v>830</v>
      </c>
    </row>
    <row r="1817" hidden="1" ht="15.95" customHeight="1">
      <c r="A1817" s="465" t="s">
        <v>4300</v>
      </c>
      <c r="B1817" s="465" t="s">
        <v>4301</v>
      </c>
      <c r="C1817" s="465"/>
      <c r="D1817" s="465" t="s">
        <v>884</v>
      </c>
      <c r="E1817" s="465" t="s">
        <v>4302</v>
      </c>
      <c r="F1817" s="465" t="s">
        <v>4303</v>
      </c>
      <c r="G1817" s="465" t="s">
        <v>4169</v>
      </c>
      <c r="H1817" s="465" t="s">
        <v>4170</v>
      </c>
      <c r="I1817" s="465" t="s">
        <v>830</v>
      </c>
    </row>
    <row r="1818" hidden="1" ht="15.95" customHeight="1">
      <c r="A1818" s="465" t="s">
        <v>4304</v>
      </c>
      <c r="B1818" s="465" t="s">
        <v>4305</v>
      </c>
      <c r="C1818" s="465"/>
      <c r="D1818" s="465" t="s">
        <v>884</v>
      </c>
      <c r="E1818" s="465" t="s">
        <v>4302</v>
      </c>
      <c r="F1818" s="465" t="s">
        <v>4303</v>
      </c>
      <c r="G1818" s="465" t="s">
        <v>4169</v>
      </c>
      <c r="H1818" s="465" t="s">
        <v>4170</v>
      </c>
      <c r="I1818" s="465" t="s">
        <v>830</v>
      </c>
    </row>
    <row r="1819" hidden="1" ht="15.95" customHeight="1">
      <c r="A1819" s="465" t="s">
        <v>4306</v>
      </c>
      <c r="B1819" s="465" t="s">
        <v>2646</v>
      </c>
      <c r="C1819" s="465"/>
      <c r="D1819" s="465" t="s">
        <v>855</v>
      </c>
      <c r="E1819" s="465" t="s">
        <v>4302</v>
      </c>
      <c r="F1819" s="465" t="s">
        <v>4303</v>
      </c>
      <c r="G1819" s="465" t="s">
        <v>4169</v>
      </c>
      <c r="H1819" s="465" t="s">
        <v>4170</v>
      </c>
      <c r="I1819" s="465" t="s">
        <v>830</v>
      </c>
    </row>
    <row r="1820" hidden="1" ht="15.95" customHeight="1">
      <c r="A1820" s="465" t="s">
        <v>4307</v>
      </c>
      <c r="B1820" s="465" t="s">
        <v>4308</v>
      </c>
      <c r="C1820" s="465"/>
      <c r="D1820" s="465" t="s">
        <v>855</v>
      </c>
      <c r="E1820" s="465" t="s">
        <v>4302</v>
      </c>
      <c r="F1820" s="465" t="s">
        <v>4303</v>
      </c>
      <c r="G1820" s="465" t="s">
        <v>4169</v>
      </c>
      <c r="H1820" s="465" t="s">
        <v>4170</v>
      </c>
      <c r="I1820" s="465" t="s">
        <v>830</v>
      </c>
    </row>
    <row r="1821" hidden="1" ht="15.95" customHeight="1">
      <c r="A1821" s="465" t="s">
        <v>4309</v>
      </c>
      <c r="B1821" s="465" t="s">
        <v>4310</v>
      </c>
      <c r="C1821" s="465"/>
      <c r="D1821" s="465" t="s">
        <v>855</v>
      </c>
      <c r="E1821" s="465" t="s">
        <v>4302</v>
      </c>
      <c r="F1821" s="465" t="s">
        <v>4303</v>
      </c>
      <c r="G1821" s="465" t="s">
        <v>4169</v>
      </c>
      <c r="H1821" s="465" t="s">
        <v>4170</v>
      </c>
      <c r="I1821" s="465" t="s">
        <v>830</v>
      </c>
    </row>
    <row r="1822" hidden="1" ht="15.95" customHeight="1">
      <c r="A1822" s="465" t="s">
        <v>4311</v>
      </c>
      <c r="B1822" s="465" t="s">
        <v>4312</v>
      </c>
      <c r="C1822" s="465"/>
      <c r="D1822" s="465" t="s">
        <v>855</v>
      </c>
      <c r="E1822" s="465" t="s">
        <v>4302</v>
      </c>
      <c r="F1822" s="465" t="s">
        <v>4303</v>
      </c>
      <c r="G1822" s="465" t="s">
        <v>4169</v>
      </c>
      <c r="H1822" s="465" t="s">
        <v>4170</v>
      </c>
      <c r="I1822" s="465" t="s">
        <v>830</v>
      </c>
    </row>
    <row r="1823" hidden="1" ht="15.95" customHeight="1">
      <c r="A1823" s="465" t="s">
        <v>4313</v>
      </c>
      <c r="B1823" s="465" t="s">
        <v>4314</v>
      </c>
      <c r="C1823" s="465"/>
      <c r="D1823" s="465" t="s">
        <v>855</v>
      </c>
      <c r="E1823" s="465" t="s">
        <v>4302</v>
      </c>
      <c r="F1823" s="465" t="s">
        <v>4303</v>
      </c>
      <c r="G1823" s="465" t="s">
        <v>4169</v>
      </c>
      <c r="H1823" s="465" t="s">
        <v>4170</v>
      </c>
      <c r="I1823" s="465" t="s">
        <v>830</v>
      </c>
    </row>
    <row r="1824" hidden="1" ht="15.95" customHeight="1">
      <c r="A1824" s="465" t="s">
        <v>4315</v>
      </c>
      <c r="B1824" s="465" t="s">
        <v>4316</v>
      </c>
      <c r="C1824" s="465"/>
      <c r="D1824" s="465" t="s">
        <v>855</v>
      </c>
      <c r="E1824" s="465" t="s">
        <v>4302</v>
      </c>
      <c r="F1824" s="465" t="s">
        <v>4303</v>
      </c>
      <c r="G1824" s="465" t="s">
        <v>4169</v>
      </c>
      <c r="H1824" s="465" t="s">
        <v>4170</v>
      </c>
      <c r="I1824" s="465" t="s">
        <v>830</v>
      </c>
    </row>
    <row r="1825" hidden="1" ht="15.95" customHeight="1">
      <c r="A1825" s="465" t="s">
        <v>4317</v>
      </c>
      <c r="B1825" s="465" t="s">
        <v>3781</v>
      </c>
      <c r="C1825" s="465"/>
      <c r="D1825" s="465" t="s">
        <v>855</v>
      </c>
      <c r="E1825" s="465" t="s">
        <v>4302</v>
      </c>
      <c r="F1825" s="465" t="s">
        <v>4303</v>
      </c>
      <c r="G1825" s="465" t="s">
        <v>4169</v>
      </c>
      <c r="H1825" s="465" t="s">
        <v>4170</v>
      </c>
      <c r="I1825" s="465" t="s">
        <v>830</v>
      </c>
    </row>
    <row r="1826" hidden="1" ht="15.95" customHeight="1">
      <c r="A1826" s="465" t="s">
        <v>4318</v>
      </c>
      <c r="B1826" s="465" t="s">
        <v>2291</v>
      </c>
      <c r="C1826" s="465"/>
      <c r="D1826" s="465" t="s">
        <v>855</v>
      </c>
      <c r="E1826" s="465" t="s">
        <v>4302</v>
      </c>
      <c r="F1826" s="465" t="s">
        <v>4303</v>
      </c>
      <c r="G1826" s="465" t="s">
        <v>4169</v>
      </c>
      <c r="H1826" s="465" t="s">
        <v>4170</v>
      </c>
      <c r="I1826" s="465" t="s">
        <v>830</v>
      </c>
    </row>
    <row r="1827" hidden="1" ht="15.95" customHeight="1">
      <c r="A1827" s="465" t="s">
        <v>4319</v>
      </c>
      <c r="B1827" s="465" t="s">
        <v>4320</v>
      </c>
      <c r="C1827" s="465"/>
      <c r="D1827" s="465" t="s">
        <v>855</v>
      </c>
      <c r="E1827" s="465" t="s">
        <v>4302</v>
      </c>
      <c r="F1827" s="465" t="s">
        <v>4303</v>
      </c>
      <c r="G1827" s="465" t="s">
        <v>4169</v>
      </c>
      <c r="H1827" s="465" t="s">
        <v>4170</v>
      </c>
      <c r="I1827" s="465" t="s">
        <v>830</v>
      </c>
    </row>
    <row r="1828" hidden="1" ht="15.95" customHeight="1">
      <c r="A1828" s="465" t="s">
        <v>4321</v>
      </c>
      <c r="B1828" s="465" t="s">
        <v>4322</v>
      </c>
      <c r="C1828" s="465"/>
      <c r="D1828" s="465" t="s">
        <v>855</v>
      </c>
      <c r="E1828" s="465" t="s">
        <v>4302</v>
      </c>
      <c r="F1828" s="465" t="s">
        <v>4303</v>
      </c>
      <c r="G1828" s="465" t="s">
        <v>4169</v>
      </c>
      <c r="H1828" s="465" t="s">
        <v>4170</v>
      </c>
      <c r="I1828" s="465" t="s">
        <v>830</v>
      </c>
    </row>
    <row r="1829" hidden="1" ht="15.95" customHeight="1">
      <c r="A1829" s="465" t="s">
        <v>4323</v>
      </c>
      <c r="B1829" s="465" t="s">
        <v>4324</v>
      </c>
      <c r="C1829" s="465"/>
      <c r="D1829" s="465" t="s">
        <v>855</v>
      </c>
      <c r="E1829" s="465" t="s">
        <v>4302</v>
      </c>
      <c r="F1829" s="465" t="s">
        <v>4303</v>
      </c>
      <c r="G1829" s="465" t="s">
        <v>4169</v>
      </c>
      <c r="H1829" s="465" t="s">
        <v>4170</v>
      </c>
      <c r="I1829" s="465" t="s">
        <v>830</v>
      </c>
    </row>
    <row r="1830" hidden="1" ht="15.95" customHeight="1">
      <c r="A1830" s="465" t="s">
        <v>4325</v>
      </c>
      <c r="B1830" s="465" t="s">
        <v>2046</v>
      </c>
      <c r="C1830" s="465"/>
      <c r="D1830" s="465" t="s">
        <v>855</v>
      </c>
      <c r="E1830" s="465" t="s">
        <v>4302</v>
      </c>
      <c r="F1830" s="465" t="s">
        <v>4303</v>
      </c>
      <c r="G1830" s="465" t="s">
        <v>4169</v>
      </c>
      <c r="H1830" s="465" t="s">
        <v>4170</v>
      </c>
      <c r="I1830" s="465" t="s">
        <v>830</v>
      </c>
    </row>
    <row r="1831" hidden="1" ht="15.95" customHeight="1">
      <c r="A1831" s="465" t="s">
        <v>4326</v>
      </c>
      <c r="B1831" s="465" t="s">
        <v>4327</v>
      </c>
      <c r="C1831" s="465"/>
      <c r="D1831" s="465" t="s">
        <v>855</v>
      </c>
      <c r="E1831" s="465" t="s">
        <v>4302</v>
      </c>
      <c r="F1831" s="465" t="s">
        <v>4303</v>
      </c>
      <c r="G1831" s="465" t="s">
        <v>4169</v>
      </c>
      <c r="H1831" s="465" t="s">
        <v>4170</v>
      </c>
      <c r="I1831" s="465" t="s">
        <v>830</v>
      </c>
    </row>
    <row r="1832" hidden="1" ht="15.95" customHeight="1">
      <c r="A1832" s="465" t="s">
        <v>4328</v>
      </c>
      <c r="B1832" s="465" t="s">
        <v>3430</v>
      </c>
      <c r="C1832" s="465"/>
      <c r="D1832" s="465" t="s">
        <v>855</v>
      </c>
      <c r="E1832" s="465" t="s">
        <v>4302</v>
      </c>
      <c r="F1832" s="465" t="s">
        <v>4303</v>
      </c>
      <c r="G1832" s="465" t="s">
        <v>4169</v>
      </c>
      <c r="H1832" s="465" t="s">
        <v>4170</v>
      </c>
      <c r="I1832" s="465" t="s">
        <v>830</v>
      </c>
    </row>
    <row r="1833" hidden="1" ht="15.95" customHeight="1">
      <c r="A1833" s="465" t="s">
        <v>4329</v>
      </c>
      <c r="B1833" s="465" t="s">
        <v>1705</v>
      </c>
      <c r="C1833" s="465"/>
      <c r="D1833" s="465" t="s">
        <v>855</v>
      </c>
      <c r="E1833" s="465" t="s">
        <v>4302</v>
      </c>
      <c r="F1833" s="465" t="s">
        <v>4303</v>
      </c>
      <c r="G1833" s="465" t="s">
        <v>4169</v>
      </c>
      <c r="H1833" s="465" t="s">
        <v>4170</v>
      </c>
      <c r="I1833" s="465" t="s">
        <v>830</v>
      </c>
    </row>
    <row r="1834" hidden="1" ht="15.95" customHeight="1">
      <c r="A1834" s="465" t="s">
        <v>4330</v>
      </c>
      <c r="B1834" s="465" t="s">
        <v>4331</v>
      </c>
      <c r="C1834" s="465"/>
      <c r="D1834" s="465" t="s">
        <v>855</v>
      </c>
      <c r="E1834" s="465" t="s">
        <v>4332</v>
      </c>
      <c r="F1834" s="465" t="s">
        <v>4333</v>
      </c>
      <c r="G1834" s="465" t="s">
        <v>4169</v>
      </c>
      <c r="H1834" s="465" t="s">
        <v>4170</v>
      </c>
      <c r="I1834" s="465" t="s">
        <v>830</v>
      </c>
    </row>
    <row r="1835" hidden="1" ht="15.95" customHeight="1">
      <c r="A1835" s="465" t="s">
        <v>4334</v>
      </c>
      <c r="B1835" s="465" t="s">
        <v>4335</v>
      </c>
      <c r="C1835" s="465"/>
      <c r="D1835" s="465" t="s">
        <v>855</v>
      </c>
      <c r="E1835" s="465" t="s">
        <v>4332</v>
      </c>
      <c r="F1835" s="465" t="s">
        <v>4333</v>
      </c>
      <c r="G1835" s="465" t="s">
        <v>4169</v>
      </c>
      <c r="H1835" s="465" t="s">
        <v>4170</v>
      </c>
      <c r="I1835" s="465" t="s">
        <v>830</v>
      </c>
    </row>
    <row r="1836" hidden="1" ht="15.95" customHeight="1">
      <c r="A1836" s="465" t="s">
        <v>4336</v>
      </c>
      <c r="B1836" s="465" t="s">
        <v>2443</v>
      </c>
      <c r="C1836" s="465"/>
      <c r="D1836" s="465" t="s">
        <v>884</v>
      </c>
      <c r="E1836" s="465" t="s">
        <v>4332</v>
      </c>
      <c r="F1836" s="465" t="s">
        <v>4333</v>
      </c>
      <c r="G1836" s="465" t="s">
        <v>4169</v>
      </c>
      <c r="H1836" s="465" t="s">
        <v>4170</v>
      </c>
      <c r="I1836" s="465" t="s">
        <v>830</v>
      </c>
    </row>
    <row r="1837" hidden="1" ht="15.95" customHeight="1">
      <c r="A1837" s="465" t="s">
        <v>4337</v>
      </c>
      <c r="B1837" s="465" t="s">
        <v>1960</v>
      </c>
      <c r="C1837" s="465"/>
      <c r="D1837" s="465" t="s">
        <v>855</v>
      </c>
      <c r="E1837" s="465" t="s">
        <v>4332</v>
      </c>
      <c r="F1837" s="465" t="s">
        <v>4333</v>
      </c>
      <c r="G1837" s="465" t="s">
        <v>4169</v>
      </c>
      <c r="H1837" s="465" t="s">
        <v>4170</v>
      </c>
      <c r="I1837" s="465" t="s">
        <v>830</v>
      </c>
    </row>
    <row r="1838" hidden="1" ht="15.95" customHeight="1">
      <c r="A1838" s="465" t="s">
        <v>4338</v>
      </c>
      <c r="B1838" s="465" t="s">
        <v>4339</v>
      </c>
      <c r="C1838" s="465"/>
      <c r="D1838" s="465" t="s">
        <v>855</v>
      </c>
      <c r="E1838" s="465" t="s">
        <v>4332</v>
      </c>
      <c r="F1838" s="465" t="s">
        <v>4333</v>
      </c>
      <c r="G1838" s="465" t="s">
        <v>4169</v>
      </c>
      <c r="H1838" s="465" t="s">
        <v>4170</v>
      </c>
      <c r="I1838" s="465" t="s">
        <v>830</v>
      </c>
    </row>
    <row r="1839" hidden="1" ht="15.95" customHeight="1">
      <c r="A1839" s="465" t="s">
        <v>4340</v>
      </c>
      <c r="B1839" s="465" t="s">
        <v>1910</v>
      </c>
      <c r="C1839" s="465"/>
      <c r="D1839" s="465" t="s">
        <v>855</v>
      </c>
      <c r="E1839" s="465" t="s">
        <v>4332</v>
      </c>
      <c r="F1839" s="465" t="s">
        <v>4333</v>
      </c>
      <c r="G1839" s="465" t="s">
        <v>4169</v>
      </c>
      <c r="H1839" s="465" t="s">
        <v>4170</v>
      </c>
      <c r="I1839" s="465" t="s">
        <v>830</v>
      </c>
    </row>
    <row r="1840" hidden="1" ht="15.95" customHeight="1">
      <c r="A1840" s="465" t="s">
        <v>4341</v>
      </c>
      <c r="B1840" s="465" t="s">
        <v>4342</v>
      </c>
      <c r="C1840" s="465"/>
      <c r="D1840" s="465" t="s">
        <v>855</v>
      </c>
      <c r="E1840" s="465" t="s">
        <v>4332</v>
      </c>
      <c r="F1840" s="465" t="s">
        <v>4333</v>
      </c>
      <c r="G1840" s="465" t="s">
        <v>4169</v>
      </c>
      <c r="H1840" s="465" t="s">
        <v>4170</v>
      </c>
      <c r="I1840" s="465" t="s">
        <v>830</v>
      </c>
    </row>
    <row r="1841" hidden="1" ht="15.95" customHeight="1">
      <c r="A1841" s="465" t="s">
        <v>4343</v>
      </c>
      <c r="B1841" s="465" t="s">
        <v>1266</v>
      </c>
      <c r="C1841" s="465"/>
      <c r="D1841" s="465" t="s">
        <v>825</v>
      </c>
      <c r="E1841" s="465" t="s">
        <v>4344</v>
      </c>
      <c r="F1841" s="465" t="s">
        <v>4345</v>
      </c>
      <c r="G1841" s="465" t="s">
        <v>4169</v>
      </c>
      <c r="H1841" s="465" t="s">
        <v>4170</v>
      </c>
      <c r="I1841" s="465" t="s">
        <v>830</v>
      </c>
    </row>
    <row r="1842" hidden="1" ht="15.95" customHeight="1">
      <c r="A1842" s="465" t="s">
        <v>4346</v>
      </c>
      <c r="B1842" s="465" t="s">
        <v>4347</v>
      </c>
      <c r="C1842" s="465"/>
      <c r="D1842" s="465" t="s">
        <v>855</v>
      </c>
      <c r="E1842" s="465" t="s">
        <v>4344</v>
      </c>
      <c r="F1842" s="465" t="s">
        <v>4345</v>
      </c>
      <c r="G1842" s="465" t="s">
        <v>4169</v>
      </c>
      <c r="H1842" s="465" t="s">
        <v>4170</v>
      </c>
      <c r="I1842" s="465" t="s">
        <v>830</v>
      </c>
    </row>
    <row r="1843" hidden="1" ht="15.95" customHeight="1">
      <c r="A1843" s="465" t="s">
        <v>4348</v>
      </c>
      <c r="B1843" s="465" t="s">
        <v>1264</v>
      </c>
      <c r="C1843" s="465"/>
      <c r="D1843" s="465" t="s">
        <v>825</v>
      </c>
      <c r="E1843" s="465" t="s">
        <v>4344</v>
      </c>
      <c r="F1843" s="465" t="s">
        <v>4345</v>
      </c>
      <c r="G1843" s="465" t="s">
        <v>4169</v>
      </c>
      <c r="H1843" s="465" t="s">
        <v>4170</v>
      </c>
      <c r="I1843" s="465" t="s">
        <v>830</v>
      </c>
    </row>
    <row r="1844" hidden="1" ht="15.95" customHeight="1">
      <c r="A1844" s="465" t="s">
        <v>4349</v>
      </c>
      <c r="B1844" s="465" t="s">
        <v>4350</v>
      </c>
      <c r="C1844" s="465"/>
      <c r="D1844" s="465" t="s">
        <v>855</v>
      </c>
      <c r="E1844" s="465" t="s">
        <v>4344</v>
      </c>
      <c r="F1844" s="465" t="s">
        <v>4345</v>
      </c>
      <c r="G1844" s="465" t="s">
        <v>4169</v>
      </c>
      <c r="H1844" s="465" t="s">
        <v>4170</v>
      </c>
      <c r="I1844" s="465" t="s">
        <v>830</v>
      </c>
    </row>
    <row r="1845" hidden="1" ht="15.95" customHeight="1">
      <c r="A1845" s="465" t="s">
        <v>4351</v>
      </c>
      <c r="B1845" s="465" t="s">
        <v>4352</v>
      </c>
      <c r="C1845" s="465"/>
      <c r="D1845" s="465" t="s">
        <v>855</v>
      </c>
      <c r="E1845" s="465" t="s">
        <v>4344</v>
      </c>
      <c r="F1845" s="465" t="s">
        <v>4345</v>
      </c>
      <c r="G1845" s="465" t="s">
        <v>4169</v>
      </c>
      <c r="H1845" s="465" t="s">
        <v>4170</v>
      </c>
      <c r="I1845" s="465" t="s">
        <v>830</v>
      </c>
    </row>
    <row r="1846" hidden="1" ht="15.95" customHeight="1">
      <c r="A1846" s="465" t="s">
        <v>4353</v>
      </c>
      <c r="B1846" s="465" t="s">
        <v>4354</v>
      </c>
      <c r="C1846" s="465"/>
      <c r="D1846" s="465" t="s">
        <v>855</v>
      </c>
      <c r="E1846" s="465" t="s">
        <v>4344</v>
      </c>
      <c r="F1846" s="465" t="s">
        <v>4345</v>
      </c>
      <c r="G1846" s="465" t="s">
        <v>4169</v>
      </c>
      <c r="H1846" s="465" t="s">
        <v>4170</v>
      </c>
      <c r="I1846" s="465" t="s">
        <v>830</v>
      </c>
    </row>
    <row r="1847" hidden="1" ht="15.95" customHeight="1">
      <c r="A1847" s="465" t="s">
        <v>4355</v>
      </c>
      <c r="B1847" s="465" t="s">
        <v>1407</v>
      </c>
      <c r="C1847" s="465"/>
      <c r="D1847" s="465" t="s">
        <v>855</v>
      </c>
      <c r="E1847" s="465" t="s">
        <v>4344</v>
      </c>
      <c r="F1847" s="465" t="s">
        <v>4345</v>
      </c>
      <c r="G1847" s="465" t="s">
        <v>4169</v>
      </c>
      <c r="H1847" s="465" t="s">
        <v>4170</v>
      </c>
      <c r="I1847" s="465" t="s">
        <v>830</v>
      </c>
    </row>
    <row r="1848" hidden="1" ht="15.95" customHeight="1">
      <c r="A1848" s="465" t="s">
        <v>4356</v>
      </c>
      <c r="B1848" s="465" t="s">
        <v>1262</v>
      </c>
      <c r="C1848" s="465"/>
      <c r="D1848" s="465" t="s">
        <v>825</v>
      </c>
      <c r="E1848" s="465" t="s">
        <v>4357</v>
      </c>
      <c r="F1848" s="465" t="s">
        <v>4358</v>
      </c>
      <c r="G1848" s="465" t="s">
        <v>4359</v>
      </c>
      <c r="H1848" s="465" t="s">
        <v>4360</v>
      </c>
      <c r="I1848" s="465" t="s">
        <v>830</v>
      </c>
    </row>
    <row r="1849" hidden="1" ht="15.95" customHeight="1">
      <c r="A1849" s="465" t="s">
        <v>4361</v>
      </c>
      <c r="B1849" s="465" t="s">
        <v>1270</v>
      </c>
      <c r="C1849" s="465"/>
      <c r="D1849" s="465" t="s">
        <v>825</v>
      </c>
      <c r="E1849" s="465" t="s">
        <v>4357</v>
      </c>
      <c r="F1849" s="465" t="s">
        <v>4358</v>
      </c>
      <c r="G1849" s="465" t="s">
        <v>4359</v>
      </c>
      <c r="H1849" s="465" t="s">
        <v>4360</v>
      </c>
      <c r="I1849" s="465" t="s">
        <v>830</v>
      </c>
    </row>
    <row r="1850" hidden="1" ht="15.95" customHeight="1">
      <c r="A1850" s="465" t="s">
        <v>4362</v>
      </c>
      <c r="B1850" s="465" t="s">
        <v>1266</v>
      </c>
      <c r="C1850" s="465"/>
      <c r="D1850" s="465" t="s">
        <v>825</v>
      </c>
      <c r="E1850" s="465" t="s">
        <v>4357</v>
      </c>
      <c r="F1850" s="465" t="s">
        <v>4358</v>
      </c>
      <c r="G1850" s="465" t="s">
        <v>4359</v>
      </c>
      <c r="H1850" s="465" t="s">
        <v>4360</v>
      </c>
      <c r="I1850" s="465" t="s">
        <v>830</v>
      </c>
    </row>
    <row r="1851" hidden="1" ht="15.95" customHeight="1">
      <c r="A1851" s="465" t="s">
        <v>4363</v>
      </c>
      <c r="B1851" s="465" t="s">
        <v>1264</v>
      </c>
      <c r="C1851" s="465"/>
      <c r="D1851" s="465" t="s">
        <v>825</v>
      </c>
      <c r="E1851" s="465" t="s">
        <v>4357</v>
      </c>
      <c r="F1851" s="465" t="s">
        <v>4358</v>
      </c>
      <c r="G1851" s="465" t="s">
        <v>4359</v>
      </c>
      <c r="H1851" s="465" t="s">
        <v>4360</v>
      </c>
      <c r="I1851" s="465" t="s">
        <v>830</v>
      </c>
    </row>
    <row r="1852" hidden="1" ht="15.95" customHeight="1">
      <c r="A1852" s="465" t="s">
        <v>4364</v>
      </c>
      <c r="B1852" s="465" t="s">
        <v>1272</v>
      </c>
      <c r="C1852" s="465"/>
      <c r="D1852" s="465" t="s">
        <v>825</v>
      </c>
      <c r="E1852" s="465" t="s">
        <v>4357</v>
      </c>
      <c r="F1852" s="465" t="s">
        <v>4358</v>
      </c>
      <c r="G1852" s="465" t="s">
        <v>4359</v>
      </c>
      <c r="H1852" s="465" t="s">
        <v>4360</v>
      </c>
      <c r="I1852" s="465" t="s">
        <v>830</v>
      </c>
    </row>
    <row r="1853" hidden="1" ht="15.95" customHeight="1">
      <c r="A1853" s="465" t="s">
        <v>4365</v>
      </c>
      <c r="B1853" s="465" t="s">
        <v>1278</v>
      </c>
      <c r="C1853" s="465"/>
      <c r="D1853" s="465" t="s">
        <v>825</v>
      </c>
      <c r="E1853" s="465" t="s">
        <v>4357</v>
      </c>
      <c r="F1853" s="465" t="s">
        <v>4358</v>
      </c>
      <c r="G1853" s="465" t="s">
        <v>4359</v>
      </c>
      <c r="H1853" s="465" t="s">
        <v>4360</v>
      </c>
      <c r="I1853" s="465" t="s">
        <v>830</v>
      </c>
    </row>
    <row r="1854" hidden="1" ht="15.95" customHeight="1">
      <c r="A1854" s="465" t="s">
        <v>4366</v>
      </c>
      <c r="B1854" s="465" t="s">
        <v>449</v>
      </c>
      <c r="C1854" s="465"/>
      <c r="D1854" s="465" t="s">
        <v>825</v>
      </c>
      <c r="E1854" s="465" t="s">
        <v>4357</v>
      </c>
      <c r="F1854" s="465" t="s">
        <v>4358</v>
      </c>
      <c r="G1854" s="465" t="s">
        <v>4359</v>
      </c>
      <c r="H1854" s="465" t="s">
        <v>4360</v>
      </c>
      <c r="I1854" s="465" t="s">
        <v>830</v>
      </c>
    </row>
    <row r="1855" hidden="1" ht="15.95" customHeight="1">
      <c r="A1855" s="465" t="s">
        <v>4367</v>
      </c>
      <c r="B1855" s="465" t="s">
        <v>4368</v>
      </c>
      <c r="C1855" s="465"/>
      <c r="D1855" s="465" t="s">
        <v>855</v>
      </c>
      <c r="E1855" s="465" t="s">
        <v>4357</v>
      </c>
      <c r="F1855" s="465" t="s">
        <v>4358</v>
      </c>
      <c r="G1855" s="465" t="s">
        <v>4359</v>
      </c>
      <c r="H1855" s="465" t="s">
        <v>4360</v>
      </c>
      <c r="I1855" s="465" t="s">
        <v>830</v>
      </c>
    </row>
    <row r="1856" hidden="1" ht="15.95" customHeight="1">
      <c r="A1856" s="465" t="s">
        <v>4369</v>
      </c>
      <c r="B1856" s="465" t="s">
        <v>1722</v>
      </c>
      <c r="C1856" s="465"/>
      <c r="D1856" s="465" t="s">
        <v>855</v>
      </c>
      <c r="E1856" s="465" t="s">
        <v>4357</v>
      </c>
      <c r="F1856" s="465" t="s">
        <v>4358</v>
      </c>
      <c r="G1856" s="465" t="s">
        <v>4359</v>
      </c>
      <c r="H1856" s="465" t="s">
        <v>4360</v>
      </c>
      <c r="I1856" s="465" t="s">
        <v>830</v>
      </c>
    </row>
    <row r="1857" hidden="1" ht="15.95" customHeight="1">
      <c r="A1857" s="465" t="s">
        <v>4370</v>
      </c>
      <c r="B1857" s="465" t="s">
        <v>1412</v>
      </c>
      <c r="C1857" s="465"/>
      <c r="D1857" s="465" t="s">
        <v>855</v>
      </c>
      <c r="E1857" s="465" t="s">
        <v>4357</v>
      </c>
      <c r="F1857" s="465" t="s">
        <v>4358</v>
      </c>
      <c r="G1857" s="465" t="s">
        <v>4359</v>
      </c>
      <c r="H1857" s="465" t="s">
        <v>4360</v>
      </c>
      <c r="I1857" s="465" t="s">
        <v>830</v>
      </c>
    </row>
    <row r="1858" hidden="1" ht="15.95" customHeight="1">
      <c r="A1858" s="465" t="s">
        <v>4371</v>
      </c>
      <c r="B1858" s="465" t="s">
        <v>4372</v>
      </c>
      <c r="C1858" s="465"/>
      <c r="D1858" s="465" t="s">
        <v>855</v>
      </c>
      <c r="E1858" s="465" t="s">
        <v>4357</v>
      </c>
      <c r="F1858" s="465" t="s">
        <v>4358</v>
      </c>
      <c r="G1858" s="465" t="s">
        <v>4359</v>
      </c>
      <c r="H1858" s="465" t="s">
        <v>4360</v>
      </c>
      <c r="I1858" s="465" t="s">
        <v>830</v>
      </c>
    </row>
    <row r="1859" hidden="1" ht="15.95" customHeight="1">
      <c r="A1859" s="465" t="s">
        <v>4373</v>
      </c>
      <c r="B1859" s="465" t="s">
        <v>4374</v>
      </c>
      <c r="C1859" s="465"/>
      <c r="D1859" s="465" t="s">
        <v>884</v>
      </c>
      <c r="E1859" s="465" t="s">
        <v>4375</v>
      </c>
      <c r="F1859" s="465" t="s">
        <v>4376</v>
      </c>
      <c r="G1859" s="465" t="s">
        <v>4359</v>
      </c>
      <c r="H1859" s="465" t="s">
        <v>4360</v>
      </c>
      <c r="I1859" s="465" t="s">
        <v>830</v>
      </c>
    </row>
    <row r="1860" hidden="1" ht="15.95" customHeight="1">
      <c r="A1860" s="465" t="s">
        <v>4377</v>
      </c>
      <c r="B1860" s="465" t="s">
        <v>4378</v>
      </c>
      <c r="C1860" s="465"/>
      <c r="D1860" s="465" t="s">
        <v>855</v>
      </c>
      <c r="E1860" s="465" t="s">
        <v>4375</v>
      </c>
      <c r="F1860" s="465" t="s">
        <v>4376</v>
      </c>
      <c r="G1860" s="465" t="s">
        <v>4359</v>
      </c>
      <c r="H1860" s="465" t="s">
        <v>4360</v>
      </c>
      <c r="I1860" s="465" t="s">
        <v>830</v>
      </c>
    </row>
    <row r="1861" hidden="1" ht="15.95" customHeight="1">
      <c r="A1861" s="465" t="s">
        <v>4379</v>
      </c>
      <c r="B1861" s="465" t="s">
        <v>4380</v>
      </c>
      <c r="C1861" s="465"/>
      <c r="D1861" s="465" t="s">
        <v>855</v>
      </c>
      <c r="E1861" s="465" t="s">
        <v>4375</v>
      </c>
      <c r="F1861" s="465" t="s">
        <v>4376</v>
      </c>
      <c r="G1861" s="465" t="s">
        <v>4359</v>
      </c>
      <c r="H1861" s="465" t="s">
        <v>4360</v>
      </c>
      <c r="I1861" s="465" t="s">
        <v>830</v>
      </c>
    </row>
    <row r="1862" hidden="1" ht="15.95" customHeight="1">
      <c r="A1862" s="465" t="s">
        <v>4381</v>
      </c>
      <c r="B1862" s="465" t="s">
        <v>1457</v>
      </c>
      <c r="C1862" s="465"/>
      <c r="D1862" s="465" t="s">
        <v>855</v>
      </c>
      <c r="E1862" s="465" t="s">
        <v>4375</v>
      </c>
      <c r="F1862" s="465" t="s">
        <v>4376</v>
      </c>
      <c r="G1862" s="465" t="s">
        <v>4359</v>
      </c>
      <c r="H1862" s="465" t="s">
        <v>4360</v>
      </c>
      <c r="I1862" s="465" t="s">
        <v>830</v>
      </c>
    </row>
    <row r="1863" hidden="1" ht="15.95" customHeight="1">
      <c r="A1863" s="465" t="s">
        <v>4382</v>
      </c>
      <c r="B1863" s="465" t="s">
        <v>1902</v>
      </c>
      <c r="C1863" s="465"/>
      <c r="D1863" s="465" t="s">
        <v>855</v>
      </c>
      <c r="E1863" s="465" t="s">
        <v>4375</v>
      </c>
      <c r="F1863" s="465" t="s">
        <v>4376</v>
      </c>
      <c r="G1863" s="465" t="s">
        <v>4359</v>
      </c>
      <c r="H1863" s="465" t="s">
        <v>4360</v>
      </c>
      <c r="I1863" s="465" t="s">
        <v>830</v>
      </c>
    </row>
    <row r="1864" hidden="1" ht="15.95" customHeight="1">
      <c r="A1864" s="465" t="s">
        <v>4383</v>
      </c>
      <c r="B1864" s="465" t="s">
        <v>4384</v>
      </c>
      <c r="C1864" s="465"/>
      <c r="D1864" s="465" t="s">
        <v>855</v>
      </c>
      <c r="E1864" s="465" t="s">
        <v>4375</v>
      </c>
      <c r="F1864" s="465" t="s">
        <v>4376</v>
      </c>
      <c r="G1864" s="465" t="s">
        <v>4359</v>
      </c>
      <c r="H1864" s="465" t="s">
        <v>4360</v>
      </c>
      <c r="I1864" s="465" t="s">
        <v>830</v>
      </c>
    </row>
    <row r="1865" hidden="1" ht="15.95" customHeight="1">
      <c r="A1865" s="465" t="s">
        <v>4385</v>
      </c>
      <c r="B1865" s="465" t="s">
        <v>2232</v>
      </c>
      <c r="C1865" s="465"/>
      <c r="D1865" s="465" t="s">
        <v>855</v>
      </c>
      <c r="E1865" s="465" t="s">
        <v>4375</v>
      </c>
      <c r="F1865" s="465" t="s">
        <v>4376</v>
      </c>
      <c r="G1865" s="465" t="s">
        <v>4359</v>
      </c>
      <c r="H1865" s="465" t="s">
        <v>4360</v>
      </c>
      <c r="I1865" s="465" t="s">
        <v>830</v>
      </c>
    </row>
    <row r="1866" hidden="1" ht="15.95" customHeight="1">
      <c r="A1866" s="465" t="s">
        <v>4386</v>
      </c>
      <c r="B1866" s="465" t="s">
        <v>931</v>
      </c>
      <c r="C1866" s="465"/>
      <c r="D1866" s="465" t="s">
        <v>855</v>
      </c>
      <c r="E1866" s="465" t="s">
        <v>4375</v>
      </c>
      <c r="F1866" s="465" t="s">
        <v>4376</v>
      </c>
      <c r="G1866" s="465" t="s">
        <v>4359</v>
      </c>
      <c r="H1866" s="465" t="s">
        <v>4360</v>
      </c>
      <c r="I1866" s="465" t="s">
        <v>830</v>
      </c>
    </row>
    <row r="1867" hidden="1" ht="15.95" customHeight="1">
      <c r="A1867" s="465" t="s">
        <v>4387</v>
      </c>
      <c r="B1867" s="465" t="s">
        <v>1955</v>
      </c>
      <c r="C1867" s="465"/>
      <c r="D1867" s="465" t="s">
        <v>855</v>
      </c>
      <c r="E1867" s="465" t="s">
        <v>4375</v>
      </c>
      <c r="F1867" s="465" t="s">
        <v>4376</v>
      </c>
      <c r="G1867" s="465" t="s">
        <v>4359</v>
      </c>
      <c r="H1867" s="465" t="s">
        <v>4360</v>
      </c>
      <c r="I1867" s="465" t="s">
        <v>830</v>
      </c>
    </row>
    <row r="1868" hidden="1" ht="15.95" customHeight="1">
      <c r="A1868" s="465" t="s">
        <v>4388</v>
      </c>
      <c r="B1868" s="465" t="s">
        <v>3918</v>
      </c>
      <c r="C1868" s="465"/>
      <c r="D1868" s="465" t="s">
        <v>855</v>
      </c>
      <c r="E1868" s="465" t="s">
        <v>4375</v>
      </c>
      <c r="F1868" s="465" t="s">
        <v>4376</v>
      </c>
      <c r="G1868" s="465" t="s">
        <v>4359</v>
      </c>
      <c r="H1868" s="465" t="s">
        <v>4360</v>
      </c>
      <c r="I1868" s="465" t="s">
        <v>830</v>
      </c>
    </row>
    <row r="1869" hidden="1" ht="15.95" customHeight="1">
      <c r="A1869" s="465" t="s">
        <v>4389</v>
      </c>
      <c r="B1869" s="465" t="s">
        <v>1636</v>
      </c>
      <c r="C1869" s="465"/>
      <c r="D1869" s="465" t="s">
        <v>855</v>
      </c>
      <c r="E1869" s="465" t="s">
        <v>4375</v>
      </c>
      <c r="F1869" s="465" t="s">
        <v>4376</v>
      </c>
      <c r="G1869" s="465" t="s">
        <v>4359</v>
      </c>
      <c r="H1869" s="465" t="s">
        <v>4360</v>
      </c>
      <c r="I1869" s="465" t="s">
        <v>830</v>
      </c>
    </row>
    <row r="1870" hidden="1" ht="15.95" customHeight="1">
      <c r="A1870" s="465" t="s">
        <v>4390</v>
      </c>
      <c r="B1870" s="465" t="s">
        <v>2458</v>
      </c>
      <c r="C1870" s="465"/>
      <c r="D1870" s="465" t="s">
        <v>855</v>
      </c>
      <c r="E1870" s="465" t="s">
        <v>4375</v>
      </c>
      <c r="F1870" s="465" t="s">
        <v>4376</v>
      </c>
      <c r="G1870" s="465" t="s">
        <v>4359</v>
      </c>
      <c r="H1870" s="465" t="s">
        <v>4360</v>
      </c>
      <c r="I1870" s="465" t="s">
        <v>830</v>
      </c>
    </row>
    <row r="1871" hidden="1" ht="15.95" customHeight="1">
      <c r="A1871" s="465" t="s">
        <v>4391</v>
      </c>
      <c r="B1871" s="465" t="s">
        <v>4392</v>
      </c>
      <c r="C1871" s="465"/>
      <c r="D1871" s="465" t="s">
        <v>855</v>
      </c>
      <c r="E1871" s="465" t="s">
        <v>4375</v>
      </c>
      <c r="F1871" s="465" t="s">
        <v>4376</v>
      </c>
      <c r="G1871" s="465" t="s">
        <v>4359</v>
      </c>
      <c r="H1871" s="465" t="s">
        <v>4360</v>
      </c>
      <c r="I1871" s="465" t="s">
        <v>830</v>
      </c>
    </row>
    <row r="1872" hidden="1" ht="15.95" customHeight="1">
      <c r="A1872" s="465" t="s">
        <v>4393</v>
      </c>
      <c r="B1872" s="465" t="s">
        <v>4394</v>
      </c>
      <c r="C1872" s="465"/>
      <c r="D1872" s="465" t="s">
        <v>855</v>
      </c>
      <c r="E1872" s="465" t="s">
        <v>4375</v>
      </c>
      <c r="F1872" s="465" t="s">
        <v>4376</v>
      </c>
      <c r="G1872" s="465" t="s">
        <v>4359</v>
      </c>
      <c r="H1872" s="465" t="s">
        <v>4360</v>
      </c>
      <c r="I1872" s="465" t="s">
        <v>830</v>
      </c>
    </row>
    <row r="1873" hidden="1" ht="15.95" customHeight="1">
      <c r="A1873" s="465" t="s">
        <v>4395</v>
      </c>
      <c r="B1873" s="465" t="s">
        <v>1062</v>
      </c>
      <c r="C1873" s="465"/>
      <c r="D1873" s="465" t="s">
        <v>855</v>
      </c>
      <c r="E1873" s="465" t="s">
        <v>4375</v>
      </c>
      <c r="F1873" s="465" t="s">
        <v>4376</v>
      </c>
      <c r="G1873" s="465" t="s">
        <v>4359</v>
      </c>
      <c r="H1873" s="465" t="s">
        <v>4360</v>
      </c>
      <c r="I1873" s="465" t="s">
        <v>830</v>
      </c>
    </row>
    <row r="1874" hidden="1" ht="15.95" customHeight="1">
      <c r="A1874" s="465" t="s">
        <v>4396</v>
      </c>
      <c r="B1874" s="465" t="s">
        <v>4397</v>
      </c>
      <c r="C1874" s="465"/>
      <c r="D1874" s="465" t="s">
        <v>884</v>
      </c>
      <c r="E1874" s="465" t="s">
        <v>4398</v>
      </c>
      <c r="F1874" s="465" t="s">
        <v>4399</v>
      </c>
      <c r="G1874" s="465" t="s">
        <v>4359</v>
      </c>
      <c r="H1874" s="465" t="s">
        <v>4360</v>
      </c>
      <c r="I1874" s="465" t="s">
        <v>830</v>
      </c>
    </row>
    <row r="1875" hidden="1" ht="15.95" customHeight="1">
      <c r="A1875" s="465" t="s">
        <v>4400</v>
      </c>
      <c r="B1875" s="465" t="s">
        <v>3451</v>
      </c>
      <c r="C1875" s="465"/>
      <c r="D1875" s="465" t="s">
        <v>855</v>
      </c>
      <c r="E1875" s="465" t="s">
        <v>4398</v>
      </c>
      <c r="F1875" s="465" t="s">
        <v>4399</v>
      </c>
      <c r="G1875" s="465" t="s">
        <v>4359</v>
      </c>
      <c r="H1875" s="465" t="s">
        <v>4360</v>
      </c>
      <c r="I1875" s="465" t="s">
        <v>830</v>
      </c>
    </row>
    <row r="1876" hidden="1" ht="15.95" customHeight="1">
      <c r="A1876" s="465" t="s">
        <v>4401</v>
      </c>
      <c r="B1876" s="465" t="s">
        <v>3659</v>
      </c>
      <c r="C1876" s="465"/>
      <c r="D1876" s="465" t="s">
        <v>855</v>
      </c>
      <c r="E1876" s="465" t="s">
        <v>4398</v>
      </c>
      <c r="F1876" s="465" t="s">
        <v>4399</v>
      </c>
      <c r="G1876" s="465" t="s">
        <v>4359</v>
      </c>
      <c r="H1876" s="465" t="s">
        <v>4360</v>
      </c>
      <c r="I1876" s="465" t="s">
        <v>830</v>
      </c>
    </row>
    <row r="1877" hidden="1" ht="15.95" customHeight="1">
      <c r="A1877" s="465" t="s">
        <v>4402</v>
      </c>
      <c r="B1877" s="465" t="s">
        <v>2447</v>
      </c>
      <c r="C1877" s="465"/>
      <c r="D1877" s="465" t="s">
        <v>855</v>
      </c>
      <c r="E1877" s="465" t="s">
        <v>4398</v>
      </c>
      <c r="F1877" s="465" t="s">
        <v>4399</v>
      </c>
      <c r="G1877" s="465" t="s">
        <v>4359</v>
      </c>
      <c r="H1877" s="465" t="s">
        <v>4360</v>
      </c>
      <c r="I1877" s="465" t="s">
        <v>830</v>
      </c>
    </row>
    <row r="1878" hidden="1" ht="15.95" customHeight="1">
      <c r="A1878" s="465" t="s">
        <v>4403</v>
      </c>
      <c r="B1878" s="465" t="s">
        <v>4404</v>
      </c>
      <c r="C1878" s="465"/>
      <c r="D1878" s="465" t="s">
        <v>855</v>
      </c>
      <c r="E1878" s="465" t="s">
        <v>4398</v>
      </c>
      <c r="F1878" s="465" t="s">
        <v>4399</v>
      </c>
      <c r="G1878" s="465" t="s">
        <v>4359</v>
      </c>
      <c r="H1878" s="465" t="s">
        <v>4360</v>
      </c>
      <c r="I1878" s="465" t="s">
        <v>830</v>
      </c>
    </row>
    <row r="1879" hidden="1" ht="15.95" customHeight="1">
      <c r="A1879" s="465" t="s">
        <v>4405</v>
      </c>
      <c r="B1879" s="465" t="s">
        <v>2656</v>
      </c>
      <c r="C1879" s="465"/>
      <c r="D1879" s="465" t="s">
        <v>855</v>
      </c>
      <c r="E1879" s="465" t="s">
        <v>4398</v>
      </c>
      <c r="F1879" s="465" t="s">
        <v>4399</v>
      </c>
      <c r="G1879" s="465" t="s">
        <v>4359</v>
      </c>
      <c r="H1879" s="465" t="s">
        <v>4360</v>
      </c>
      <c r="I1879" s="465" t="s">
        <v>830</v>
      </c>
    </row>
    <row r="1880" hidden="1" ht="15.95" customHeight="1">
      <c r="A1880" s="465" t="s">
        <v>4406</v>
      </c>
      <c r="B1880" s="465" t="s">
        <v>3790</v>
      </c>
      <c r="C1880" s="465"/>
      <c r="D1880" s="465" t="s">
        <v>855</v>
      </c>
      <c r="E1880" s="465" t="s">
        <v>4398</v>
      </c>
      <c r="F1880" s="465" t="s">
        <v>4399</v>
      </c>
      <c r="G1880" s="465" t="s">
        <v>4359</v>
      </c>
      <c r="H1880" s="465" t="s">
        <v>4360</v>
      </c>
      <c r="I1880" s="465" t="s">
        <v>830</v>
      </c>
    </row>
    <row r="1881" hidden="1" ht="15.95" customHeight="1">
      <c r="A1881" s="465" t="s">
        <v>4407</v>
      </c>
      <c r="B1881" s="465" t="s">
        <v>4408</v>
      </c>
      <c r="C1881" s="465"/>
      <c r="D1881" s="465" t="s">
        <v>855</v>
      </c>
      <c r="E1881" s="465" t="s">
        <v>4398</v>
      </c>
      <c r="F1881" s="465" t="s">
        <v>4399</v>
      </c>
      <c r="G1881" s="465" t="s">
        <v>4359</v>
      </c>
      <c r="H1881" s="465" t="s">
        <v>4360</v>
      </c>
      <c r="I1881" s="465" t="s">
        <v>830</v>
      </c>
    </row>
    <row r="1882" hidden="1" ht="15.95" customHeight="1">
      <c r="A1882" s="465" t="s">
        <v>4409</v>
      </c>
      <c r="B1882" s="465" t="s">
        <v>4410</v>
      </c>
      <c r="C1882" s="465"/>
      <c r="D1882" s="465" t="s">
        <v>855</v>
      </c>
      <c r="E1882" s="465" t="s">
        <v>4398</v>
      </c>
      <c r="F1882" s="465" t="s">
        <v>4399</v>
      </c>
      <c r="G1882" s="465" t="s">
        <v>4359</v>
      </c>
      <c r="H1882" s="465" t="s">
        <v>4360</v>
      </c>
      <c r="I1882" s="465" t="s">
        <v>830</v>
      </c>
    </row>
    <row r="1883" hidden="1" ht="15.95" customHeight="1">
      <c r="A1883" s="465" t="s">
        <v>4411</v>
      </c>
      <c r="B1883" s="465" t="s">
        <v>4412</v>
      </c>
      <c r="C1883" s="465"/>
      <c r="D1883" s="465" t="s">
        <v>855</v>
      </c>
      <c r="E1883" s="465" t="s">
        <v>4398</v>
      </c>
      <c r="F1883" s="465" t="s">
        <v>4399</v>
      </c>
      <c r="G1883" s="465" t="s">
        <v>4359</v>
      </c>
      <c r="H1883" s="465" t="s">
        <v>4360</v>
      </c>
      <c r="I1883" s="465" t="s">
        <v>830</v>
      </c>
    </row>
    <row r="1884" hidden="1" ht="15.95" customHeight="1">
      <c r="A1884" s="465" t="s">
        <v>4413</v>
      </c>
      <c r="B1884" s="465" t="s">
        <v>3103</v>
      </c>
      <c r="C1884" s="465"/>
      <c r="D1884" s="465" t="s">
        <v>855</v>
      </c>
      <c r="E1884" s="465" t="s">
        <v>4398</v>
      </c>
      <c r="F1884" s="465" t="s">
        <v>4399</v>
      </c>
      <c r="G1884" s="465" t="s">
        <v>4359</v>
      </c>
      <c r="H1884" s="465" t="s">
        <v>4360</v>
      </c>
      <c r="I1884" s="465" t="s">
        <v>830</v>
      </c>
    </row>
    <row r="1885" hidden="1" ht="15.95" customHeight="1">
      <c r="A1885" s="465" t="s">
        <v>4414</v>
      </c>
      <c r="B1885" s="465" t="s">
        <v>2095</v>
      </c>
      <c r="C1885" s="465"/>
      <c r="D1885" s="465" t="s">
        <v>855</v>
      </c>
      <c r="E1885" s="465" t="s">
        <v>4398</v>
      </c>
      <c r="F1885" s="465" t="s">
        <v>4399</v>
      </c>
      <c r="G1885" s="465" t="s">
        <v>4359</v>
      </c>
      <c r="H1885" s="465" t="s">
        <v>4360</v>
      </c>
      <c r="I1885" s="465" t="s">
        <v>830</v>
      </c>
    </row>
    <row r="1886" hidden="1" ht="15.95" customHeight="1">
      <c r="A1886" s="465" t="s">
        <v>4415</v>
      </c>
      <c r="B1886" s="465" t="s">
        <v>4416</v>
      </c>
      <c r="C1886" s="465"/>
      <c r="D1886" s="465" t="s">
        <v>855</v>
      </c>
      <c r="E1886" s="465" t="s">
        <v>4398</v>
      </c>
      <c r="F1886" s="465" t="s">
        <v>4399</v>
      </c>
      <c r="G1886" s="465" t="s">
        <v>4359</v>
      </c>
      <c r="H1886" s="465" t="s">
        <v>4360</v>
      </c>
      <c r="I1886" s="465" t="s">
        <v>830</v>
      </c>
    </row>
    <row r="1887" hidden="1" ht="15.95" customHeight="1">
      <c r="A1887" s="465" t="s">
        <v>4417</v>
      </c>
      <c r="B1887" s="465" t="s">
        <v>4418</v>
      </c>
      <c r="C1887" s="465"/>
      <c r="D1887" s="465" t="s">
        <v>884</v>
      </c>
      <c r="E1887" s="465" t="s">
        <v>4419</v>
      </c>
      <c r="F1887" s="465" t="s">
        <v>4420</v>
      </c>
      <c r="G1887" s="465" t="s">
        <v>4359</v>
      </c>
      <c r="H1887" s="465" t="s">
        <v>4360</v>
      </c>
      <c r="I1887" s="465" t="s">
        <v>830</v>
      </c>
    </row>
    <row r="1888" hidden="1" ht="15.95" customHeight="1">
      <c r="A1888" s="465" t="s">
        <v>4421</v>
      </c>
      <c r="B1888" s="465" t="s">
        <v>4422</v>
      </c>
      <c r="C1888" s="465"/>
      <c r="D1888" s="465" t="s">
        <v>855</v>
      </c>
      <c r="E1888" s="465" t="s">
        <v>4419</v>
      </c>
      <c r="F1888" s="465" t="s">
        <v>4420</v>
      </c>
      <c r="G1888" s="465" t="s">
        <v>4359</v>
      </c>
      <c r="H1888" s="465" t="s">
        <v>4360</v>
      </c>
      <c r="I1888" s="465" t="s">
        <v>830</v>
      </c>
    </row>
    <row r="1889" hidden="1" ht="15.95" customHeight="1">
      <c r="A1889" s="465" t="s">
        <v>4423</v>
      </c>
      <c r="B1889" s="465" t="s">
        <v>4424</v>
      </c>
      <c r="C1889" s="465"/>
      <c r="D1889" s="465" t="s">
        <v>855</v>
      </c>
      <c r="E1889" s="465" t="s">
        <v>4419</v>
      </c>
      <c r="F1889" s="465" t="s">
        <v>4420</v>
      </c>
      <c r="G1889" s="465" t="s">
        <v>4359</v>
      </c>
      <c r="H1889" s="465" t="s">
        <v>4360</v>
      </c>
      <c r="I1889" s="465" t="s">
        <v>830</v>
      </c>
    </row>
    <row r="1890" hidden="1" ht="15.95" customHeight="1">
      <c r="A1890" s="465" t="s">
        <v>4425</v>
      </c>
      <c r="B1890" s="465" t="s">
        <v>4426</v>
      </c>
      <c r="C1890" s="465"/>
      <c r="D1890" s="465" t="s">
        <v>855</v>
      </c>
      <c r="E1890" s="465" t="s">
        <v>4419</v>
      </c>
      <c r="F1890" s="465" t="s">
        <v>4420</v>
      </c>
      <c r="G1890" s="465" t="s">
        <v>4359</v>
      </c>
      <c r="H1890" s="465" t="s">
        <v>4360</v>
      </c>
      <c r="I1890" s="465" t="s">
        <v>830</v>
      </c>
    </row>
    <row r="1891" hidden="1" ht="15.95" customHeight="1">
      <c r="A1891" s="465" t="s">
        <v>4427</v>
      </c>
      <c r="B1891" s="465" t="s">
        <v>3137</v>
      </c>
      <c r="C1891" s="465"/>
      <c r="D1891" s="465" t="s">
        <v>855</v>
      </c>
      <c r="E1891" s="465" t="s">
        <v>4419</v>
      </c>
      <c r="F1891" s="465" t="s">
        <v>4420</v>
      </c>
      <c r="G1891" s="465" t="s">
        <v>4359</v>
      </c>
      <c r="H1891" s="465" t="s">
        <v>4360</v>
      </c>
      <c r="I1891" s="465" t="s">
        <v>830</v>
      </c>
    </row>
    <row r="1892" hidden="1" ht="15.95" customHeight="1">
      <c r="A1892" s="465" t="s">
        <v>4428</v>
      </c>
      <c r="B1892" s="465" t="s">
        <v>4429</v>
      </c>
      <c r="C1892" s="465"/>
      <c r="D1892" s="465" t="s">
        <v>855</v>
      </c>
      <c r="E1892" s="465" t="s">
        <v>4419</v>
      </c>
      <c r="F1892" s="465" t="s">
        <v>4420</v>
      </c>
      <c r="G1892" s="465" t="s">
        <v>4359</v>
      </c>
      <c r="H1892" s="465" t="s">
        <v>4360</v>
      </c>
      <c r="I1892" s="465" t="s">
        <v>830</v>
      </c>
    </row>
    <row r="1893" hidden="1" ht="15.95" customHeight="1">
      <c r="A1893" s="465" t="s">
        <v>4430</v>
      </c>
      <c r="B1893" s="465" t="s">
        <v>1699</v>
      </c>
      <c r="C1893" s="465"/>
      <c r="D1893" s="465" t="s">
        <v>855</v>
      </c>
      <c r="E1893" s="465" t="s">
        <v>4419</v>
      </c>
      <c r="F1893" s="465" t="s">
        <v>4420</v>
      </c>
      <c r="G1893" s="465" t="s">
        <v>4359</v>
      </c>
      <c r="H1893" s="465" t="s">
        <v>4360</v>
      </c>
      <c r="I1893" s="465" t="s">
        <v>830</v>
      </c>
    </row>
    <row r="1894" hidden="1" ht="15.95" customHeight="1">
      <c r="A1894" s="465" t="s">
        <v>4431</v>
      </c>
      <c r="B1894" s="465" t="s">
        <v>4432</v>
      </c>
      <c r="C1894" s="465"/>
      <c r="D1894" s="465" t="s">
        <v>855</v>
      </c>
      <c r="E1894" s="465" t="s">
        <v>4419</v>
      </c>
      <c r="F1894" s="465" t="s">
        <v>4420</v>
      </c>
      <c r="G1894" s="465" t="s">
        <v>4359</v>
      </c>
      <c r="H1894" s="465" t="s">
        <v>4360</v>
      </c>
      <c r="I1894" s="465" t="s">
        <v>830</v>
      </c>
    </row>
    <row r="1895" hidden="1" ht="15.95" customHeight="1">
      <c r="A1895" s="465" t="s">
        <v>4433</v>
      </c>
      <c r="B1895" s="465" t="s">
        <v>4434</v>
      </c>
      <c r="C1895" s="465"/>
      <c r="D1895" s="465" t="s">
        <v>855</v>
      </c>
      <c r="E1895" s="465" t="s">
        <v>4419</v>
      </c>
      <c r="F1895" s="465" t="s">
        <v>4420</v>
      </c>
      <c r="G1895" s="465" t="s">
        <v>4359</v>
      </c>
      <c r="H1895" s="465" t="s">
        <v>4360</v>
      </c>
      <c r="I1895" s="465" t="s">
        <v>830</v>
      </c>
    </row>
    <row r="1896" hidden="1" ht="15.95" customHeight="1">
      <c r="A1896" s="465" t="s">
        <v>4435</v>
      </c>
      <c r="B1896" s="465" t="s">
        <v>4436</v>
      </c>
      <c r="C1896" s="465"/>
      <c r="D1896" s="465" t="s">
        <v>855</v>
      </c>
      <c r="E1896" s="465" t="s">
        <v>4419</v>
      </c>
      <c r="F1896" s="465" t="s">
        <v>4420</v>
      </c>
      <c r="G1896" s="465" t="s">
        <v>4359</v>
      </c>
      <c r="H1896" s="465" t="s">
        <v>4360</v>
      </c>
      <c r="I1896" s="465" t="s">
        <v>830</v>
      </c>
    </row>
    <row r="1897" hidden="1" ht="15.95" customHeight="1">
      <c r="A1897" s="465" t="s">
        <v>4437</v>
      </c>
      <c r="B1897" s="465" t="s">
        <v>4438</v>
      </c>
      <c r="C1897" s="465"/>
      <c r="D1897" s="465" t="s">
        <v>855</v>
      </c>
      <c r="E1897" s="465" t="s">
        <v>4419</v>
      </c>
      <c r="F1897" s="465" t="s">
        <v>4420</v>
      </c>
      <c r="G1897" s="465" t="s">
        <v>4359</v>
      </c>
      <c r="H1897" s="465" t="s">
        <v>4360</v>
      </c>
      <c r="I1897" s="465" t="s">
        <v>830</v>
      </c>
    </row>
    <row r="1898" hidden="1" ht="15.95" customHeight="1">
      <c r="A1898" s="465" t="s">
        <v>4439</v>
      </c>
      <c r="B1898" s="465" t="s">
        <v>4440</v>
      </c>
      <c r="C1898" s="465"/>
      <c r="D1898" s="465" t="s">
        <v>855</v>
      </c>
      <c r="E1898" s="465" t="s">
        <v>4419</v>
      </c>
      <c r="F1898" s="465" t="s">
        <v>4420</v>
      </c>
      <c r="G1898" s="465" t="s">
        <v>4359</v>
      </c>
      <c r="H1898" s="465" t="s">
        <v>4360</v>
      </c>
      <c r="I1898" s="465" t="s">
        <v>830</v>
      </c>
    </row>
    <row r="1899" hidden="1" ht="15.95" customHeight="1">
      <c r="A1899" s="465" t="s">
        <v>4441</v>
      </c>
      <c r="B1899" s="465" t="s">
        <v>4442</v>
      </c>
      <c r="C1899" s="465"/>
      <c r="D1899" s="465" t="s">
        <v>855</v>
      </c>
      <c r="E1899" s="465" t="s">
        <v>4419</v>
      </c>
      <c r="F1899" s="465" t="s">
        <v>4420</v>
      </c>
      <c r="G1899" s="465" t="s">
        <v>4359</v>
      </c>
      <c r="H1899" s="465" t="s">
        <v>4360</v>
      </c>
      <c r="I1899" s="465" t="s">
        <v>830</v>
      </c>
    </row>
    <row r="1900" hidden="1" ht="15.95" customHeight="1">
      <c r="A1900" s="465" t="s">
        <v>4443</v>
      </c>
      <c r="B1900" s="465" t="s">
        <v>4444</v>
      </c>
      <c r="C1900" s="465"/>
      <c r="D1900" s="465" t="s">
        <v>855</v>
      </c>
      <c r="E1900" s="465" t="s">
        <v>4419</v>
      </c>
      <c r="F1900" s="465" t="s">
        <v>4420</v>
      </c>
      <c r="G1900" s="465" t="s">
        <v>4359</v>
      </c>
      <c r="H1900" s="465" t="s">
        <v>4360</v>
      </c>
      <c r="I1900" s="465" t="s">
        <v>830</v>
      </c>
    </row>
    <row r="1901" hidden="1" ht="15.95" customHeight="1">
      <c r="A1901" s="465" t="s">
        <v>4445</v>
      </c>
      <c r="B1901" s="465" t="s">
        <v>4446</v>
      </c>
      <c r="C1901" s="465"/>
      <c r="D1901" s="465" t="s">
        <v>855</v>
      </c>
      <c r="E1901" s="465" t="s">
        <v>4419</v>
      </c>
      <c r="F1901" s="465" t="s">
        <v>4420</v>
      </c>
      <c r="G1901" s="465" t="s">
        <v>4359</v>
      </c>
      <c r="H1901" s="465" t="s">
        <v>4360</v>
      </c>
      <c r="I1901" s="465" t="s">
        <v>830</v>
      </c>
    </row>
    <row r="1902" hidden="1" ht="15.95" customHeight="1">
      <c r="A1902" s="465" t="s">
        <v>4447</v>
      </c>
      <c r="B1902" s="465" t="s">
        <v>4448</v>
      </c>
      <c r="C1902" s="465"/>
      <c r="D1902" s="465" t="s">
        <v>855</v>
      </c>
      <c r="E1902" s="465" t="s">
        <v>4419</v>
      </c>
      <c r="F1902" s="465" t="s">
        <v>4420</v>
      </c>
      <c r="G1902" s="465" t="s">
        <v>4359</v>
      </c>
      <c r="H1902" s="465" t="s">
        <v>4360</v>
      </c>
      <c r="I1902" s="465" t="s">
        <v>830</v>
      </c>
    </row>
    <row r="1903" hidden="1" ht="15.95" customHeight="1">
      <c r="A1903" s="465" t="s">
        <v>4449</v>
      </c>
      <c r="B1903" s="465" t="s">
        <v>3098</v>
      </c>
      <c r="C1903" s="465"/>
      <c r="D1903" s="465" t="s">
        <v>855</v>
      </c>
      <c r="E1903" s="465" t="s">
        <v>4419</v>
      </c>
      <c r="F1903" s="465" t="s">
        <v>4420</v>
      </c>
      <c r="G1903" s="465" t="s">
        <v>4359</v>
      </c>
      <c r="H1903" s="465" t="s">
        <v>4360</v>
      </c>
      <c r="I1903" s="465" t="s">
        <v>830</v>
      </c>
    </row>
    <row r="1904" hidden="1" ht="15.95" customHeight="1">
      <c r="A1904" s="465" t="s">
        <v>4450</v>
      </c>
      <c r="B1904" s="465" t="s">
        <v>4451</v>
      </c>
      <c r="C1904" s="465"/>
      <c r="D1904" s="465" t="s">
        <v>855</v>
      </c>
      <c r="E1904" s="465" t="s">
        <v>4419</v>
      </c>
      <c r="F1904" s="465" t="s">
        <v>4420</v>
      </c>
      <c r="G1904" s="465" t="s">
        <v>4359</v>
      </c>
      <c r="H1904" s="465" t="s">
        <v>4360</v>
      </c>
      <c r="I1904" s="465" t="s">
        <v>830</v>
      </c>
    </row>
    <row r="1905" hidden="1" ht="15.95" customHeight="1">
      <c r="A1905" s="465" t="s">
        <v>4452</v>
      </c>
      <c r="B1905" s="465" t="s">
        <v>4453</v>
      </c>
      <c r="C1905" s="465"/>
      <c r="D1905" s="465" t="s">
        <v>855</v>
      </c>
      <c r="E1905" s="465" t="s">
        <v>4419</v>
      </c>
      <c r="F1905" s="465" t="s">
        <v>4420</v>
      </c>
      <c r="G1905" s="465" t="s">
        <v>4359</v>
      </c>
      <c r="H1905" s="465" t="s">
        <v>4360</v>
      </c>
      <c r="I1905" s="465" t="s">
        <v>830</v>
      </c>
    </row>
    <row r="1906" hidden="1" ht="15.95" customHeight="1">
      <c r="A1906" s="465" t="s">
        <v>4454</v>
      </c>
      <c r="B1906" s="465" t="s">
        <v>4455</v>
      </c>
      <c r="C1906" s="465"/>
      <c r="D1906" s="465" t="s">
        <v>855</v>
      </c>
      <c r="E1906" s="465" t="s">
        <v>4419</v>
      </c>
      <c r="F1906" s="465" t="s">
        <v>4420</v>
      </c>
      <c r="G1906" s="465" t="s">
        <v>4359</v>
      </c>
      <c r="H1906" s="465" t="s">
        <v>4360</v>
      </c>
      <c r="I1906" s="465" t="s">
        <v>830</v>
      </c>
    </row>
    <row r="1907" hidden="1" ht="15.95" customHeight="1">
      <c r="A1907" s="465" t="s">
        <v>4456</v>
      </c>
      <c r="B1907" s="465" t="s">
        <v>4457</v>
      </c>
      <c r="C1907" s="465"/>
      <c r="D1907" s="465" t="s">
        <v>884</v>
      </c>
      <c r="E1907" s="465" t="s">
        <v>4458</v>
      </c>
      <c r="F1907" s="465" t="s">
        <v>4459</v>
      </c>
      <c r="G1907" s="465" t="s">
        <v>4359</v>
      </c>
      <c r="H1907" s="465" t="s">
        <v>4360</v>
      </c>
      <c r="I1907" s="465" t="s">
        <v>830</v>
      </c>
    </row>
    <row r="1908" hidden="1" ht="15.95" customHeight="1">
      <c r="A1908" s="465" t="s">
        <v>4460</v>
      </c>
      <c r="B1908" s="465" t="s">
        <v>4461</v>
      </c>
      <c r="C1908" s="465"/>
      <c r="D1908" s="465" t="s">
        <v>855</v>
      </c>
      <c r="E1908" s="465" t="s">
        <v>4458</v>
      </c>
      <c r="F1908" s="465" t="s">
        <v>4459</v>
      </c>
      <c r="G1908" s="465" t="s">
        <v>4359</v>
      </c>
      <c r="H1908" s="465" t="s">
        <v>4360</v>
      </c>
      <c r="I1908" s="465" t="s">
        <v>830</v>
      </c>
    </row>
    <row r="1909" hidden="1" ht="15.95" customHeight="1">
      <c r="A1909" s="465" t="s">
        <v>4462</v>
      </c>
      <c r="B1909" s="465" t="s">
        <v>2289</v>
      </c>
      <c r="C1909" s="465"/>
      <c r="D1909" s="465" t="s">
        <v>855</v>
      </c>
      <c r="E1909" s="465" t="s">
        <v>4458</v>
      </c>
      <c r="F1909" s="465" t="s">
        <v>4459</v>
      </c>
      <c r="G1909" s="465" t="s">
        <v>4359</v>
      </c>
      <c r="H1909" s="465" t="s">
        <v>4360</v>
      </c>
      <c r="I1909" s="465" t="s">
        <v>830</v>
      </c>
    </row>
    <row r="1910" hidden="1" ht="15.95" customHeight="1">
      <c r="A1910" s="465" t="s">
        <v>4463</v>
      </c>
      <c r="B1910" s="465" t="s">
        <v>4464</v>
      </c>
      <c r="C1910" s="465"/>
      <c r="D1910" s="465" t="s">
        <v>855</v>
      </c>
      <c r="E1910" s="465" t="s">
        <v>4458</v>
      </c>
      <c r="F1910" s="465" t="s">
        <v>4459</v>
      </c>
      <c r="G1910" s="465" t="s">
        <v>4359</v>
      </c>
      <c r="H1910" s="465" t="s">
        <v>4360</v>
      </c>
      <c r="I1910" s="465" t="s">
        <v>830</v>
      </c>
    </row>
    <row r="1911" hidden="1" ht="15.95" customHeight="1">
      <c r="A1911" s="465" t="s">
        <v>4465</v>
      </c>
      <c r="B1911" s="465" t="s">
        <v>1896</v>
      </c>
      <c r="C1911" s="465"/>
      <c r="D1911" s="465" t="s">
        <v>855</v>
      </c>
      <c r="E1911" s="465" t="s">
        <v>4458</v>
      </c>
      <c r="F1911" s="465" t="s">
        <v>4459</v>
      </c>
      <c r="G1911" s="465" t="s">
        <v>4359</v>
      </c>
      <c r="H1911" s="465" t="s">
        <v>4360</v>
      </c>
      <c r="I1911" s="465" t="s">
        <v>830</v>
      </c>
    </row>
    <row r="1912" hidden="1" ht="15.95" customHeight="1">
      <c r="A1912" s="465" t="s">
        <v>4466</v>
      </c>
      <c r="B1912" s="465" t="s">
        <v>4158</v>
      </c>
      <c r="C1912" s="465"/>
      <c r="D1912" s="465" t="s">
        <v>855</v>
      </c>
      <c r="E1912" s="465" t="s">
        <v>4458</v>
      </c>
      <c r="F1912" s="465" t="s">
        <v>4459</v>
      </c>
      <c r="G1912" s="465" t="s">
        <v>4359</v>
      </c>
      <c r="H1912" s="465" t="s">
        <v>4360</v>
      </c>
      <c r="I1912" s="465" t="s">
        <v>830</v>
      </c>
    </row>
    <row r="1913" hidden="1" ht="15.95" customHeight="1">
      <c r="A1913" s="465" t="s">
        <v>4467</v>
      </c>
      <c r="B1913" s="465" t="s">
        <v>2296</v>
      </c>
      <c r="C1913" s="465"/>
      <c r="D1913" s="465" t="s">
        <v>855</v>
      </c>
      <c r="E1913" s="465" t="s">
        <v>4458</v>
      </c>
      <c r="F1913" s="465" t="s">
        <v>4459</v>
      </c>
      <c r="G1913" s="465" t="s">
        <v>4359</v>
      </c>
      <c r="H1913" s="465" t="s">
        <v>4360</v>
      </c>
      <c r="I1913" s="465" t="s">
        <v>830</v>
      </c>
    </row>
    <row r="1914" hidden="1" ht="15.95" customHeight="1">
      <c r="A1914" s="465" t="s">
        <v>4468</v>
      </c>
      <c r="B1914" s="465" t="s">
        <v>4469</v>
      </c>
      <c r="C1914" s="465"/>
      <c r="D1914" s="465" t="s">
        <v>855</v>
      </c>
      <c r="E1914" s="465" t="s">
        <v>4458</v>
      </c>
      <c r="F1914" s="465" t="s">
        <v>4459</v>
      </c>
      <c r="G1914" s="465" t="s">
        <v>4359</v>
      </c>
      <c r="H1914" s="465" t="s">
        <v>4360</v>
      </c>
      <c r="I1914" s="465" t="s">
        <v>830</v>
      </c>
    </row>
    <row r="1915" hidden="1" ht="15.95" customHeight="1">
      <c r="A1915" s="465" t="s">
        <v>4470</v>
      </c>
      <c r="B1915" s="465" t="s">
        <v>1831</v>
      </c>
      <c r="C1915" s="465"/>
      <c r="D1915" s="465" t="s">
        <v>855</v>
      </c>
      <c r="E1915" s="465" t="s">
        <v>4458</v>
      </c>
      <c r="F1915" s="465" t="s">
        <v>4459</v>
      </c>
      <c r="G1915" s="465" t="s">
        <v>4359</v>
      </c>
      <c r="H1915" s="465" t="s">
        <v>4360</v>
      </c>
      <c r="I1915" s="465" t="s">
        <v>830</v>
      </c>
    </row>
    <row r="1916" hidden="1" ht="15.95" customHeight="1">
      <c r="A1916" s="465" t="s">
        <v>4471</v>
      </c>
      <c r="B1916" s="465" t="s">
        <v>3527</v>
      </c>
      <c r="C1916" s="465"/>
      <c r="D1916" s="465" t="s">
        <v>855</v>
      </c>
      <c r="E1916" s="465" t="s">
        <v>4458</v>
      </c>
      <c r="F1916" s="465" t="s">
        <v>4459</v>
      </c>
      <c r="G1916" s="465" t="s">
        <v>4359</v>
      </c>
      <c r="H1916" s="465" t="s">
        <v>4360</v>
      </c>
      <c r="I1916" s="465" t="s">
        <v>830</v>
      </c>
    </row>
    <row r="1917" hidden="1" ht="15.95" customHeight="1">
      <c r="A1917" s="465" t="s">
        <v>4472</v>
      </c>
      <c r="B1917" s="465" t="s">
        <v>1856</v>
      </c>
      <c r="C1917" s="465"/>
      <c r="D1917" s="465" t="s">
        <v>855</v>
      </c>
      <c r="E1917" s="465" t="s">
        <v>4458</v>
      </c>
      <c r="F1917" s="465" t="s">
        <v>4459</v>
      </c>
      <c r="G1917" s="465" t="s">
        <v>4359</v>
      </c>
      <c r="H1917" s="465" t="s">
        <v>4360</v>
      </c>
      <c r="I1917" s="465" t="s">
        <v>830</v>
      </c>
    </row>
    <row r="1918" hidden="1" ht="15.95" customHeight="1">
      <c r="A1918" s="465" t="s">
        <v>4473</v>
      </c>
      <c r="B1918" s="465" t="s">
        <v>4474</v>
      </c>
      <c r="C1918" s="465"/>
      <c r="D1918" s="465" t="s">
        <v>855</v>
      </c>
      <c r="E1918" s="465" t="s">
        <v>4458</v>
      </c>
      <c r="F1918" s="465" t="s">
        <v>4459</v>
      </c>
      <c r="G1918" s="465" t="s">
        <v>4359</v>
      </c>
      <c r="H1918" s="465" t="s">
        <v>4360</v>
      </c>
      <c r="I1918" s="465" t="s">
        <v>830</v>
      </c>
    </row>
    <row r="1919" hidden="1" ht="15.95" customHeight="1">
      <c r="A1919" s="465" t="s">
        <v>4475</v>
      </c>
      <c r="B1919" s="465" t="s">
        <v>4476</v>
      </c>
      <c r="C1919" s="465"/>
      <c r="D1919" s="465" t="s">
        <v>855</v>
      </c>
      <c r="E1919" s="465" t="s">
        <v>4458</v>
      </c>
      <c r="F1919" s="465" t="s">
        <v>4459</v>
      </c>
      <c r="G1919" s="465" t="s">
        <v>4359</v>
      </c>
      <c r="H1919" s="465" t="s">
        <v>4360</v>
      </c>
      <c r="I1919" s="465" t="s">
        <v>830</v>
      </c>
    </row>
    <row r="1920" hidden="1" ht="15.95" customHeight="1">
      <c r="A1920" s="465" t="s">
        <v>4477</v>
      </c>
      <c r="B1920" s="465" t="s">
        <v>4478</v>
      </c>
      <c r="C1920" s="465"/>
      <c r="D1920" s="465" t="s">
        <v>855</v>
      </c>
      <c r="E1920" s="465" t="s">
        <v>4458</v>
      </c>
      <c r="F1920" s="465" t="s">
        <v>4459</v>
      </c>
      <c r="G1920" s="465" t="s">
        <v>4359</v>
      </c>
      <c r="H1920" s="465" t="s">
        <v>4360</v>
      </c>
      <c r="I1920" s="465" t="s">
        <v>830</v>
      </c>
    </row>
    <row r="1921" hidden="1" ht="15.95" customHeight="1">
      <c r="A1921" s="465" t="s">
        <v>4479</v>
      </c>
      <c r="B1921" s="465" t="s">
        <v>4480</v>
      </c>
      <c r="C1921" s="465"/>
      <c r="D1921" s="465" t="s">
        <v>855</v>
      </c>
      <c r="E1921" s="465" t="s">
        <v>4458</v>
      </c>
      <c r="F1921" s="465" t="s">
        <v>4459</v>
      </c>
      <c r="G1921" s="465" t="s">
        <v>4359</v>
      </c>
      <c r="H1921" s="465" t="s">
        <v>4360</v>
      </c>
      <c r="I1921" s="465" t="s">
        <v>830</v>
      </c>
    </row>
    <row r="1922" hidden="1" ht="15.95" customHeight="1">
      <c r="A1922" s="465" t="s">
        <v>4481</v>
      </c>
      <c r="B1922" s="465" t="s">
        <v>4482</v>
      </c>
      <c r="C1922" s="465"/>
      <c r="D1922" s="465" t="s">
        <v>855</v>
      </c>
      <c r="E1922" s="465" t="s">
        <v>4458</v>
      </c>
      <c r="F1922" s="465" t="s">
        <v>4459</v>
      </c>
      <c r="G1922" s="465" t="s">
        <v>4359</v>
      </c>
      <c r="H1922" s="465" t="s">
        <v>4360</v>
      </c>
      <c r="I1922" s="465" t="s">
        <v>830</v>
      </c>
    </row>
    <row r="1923" hidden="1" ht="15.95" customHeight="1">
      <c r="A1923" s="465" t="s">
        <v>4483</v>
      </c>
      <c r="B1923" s="465" t="s">
        <v>3820</v>
      </c>
      <c r="C1923" s="465"/>
      <c r="D1923" s="465" t="s">
        <v>855</v>
      </c>
      <c r="E1923" s="465" t="s">
        <v>4458</v>
      </c>
      <c r="F1923" s="465" t="s">
        <v>4459</v>
      </c>
      <c r="G1923" s="465" t="s">
        <v>4359</v>
      </c>
      <c r="H1923" s="465" t="s">
        <v>4360</v>
      </c>
      <c r="I1923" s="465" t="s">
        <v>830</v>
      </c>
    </row>
    <row r="1924" hidden="1" ht="15.95" customHeight="1">
      <c r="A1924" s="465" t="s">
        <v>4484</v>
      </c>
      <c r="B1924" s="465" t="s">
        <v>4485</v>
      </c>
      <c r="C1924" s="465"/>
      <c r="D1924" s="465" t="s">
        <v>825</v>
      </c>
      <c r="E1924" s="465" t="s">
        <v>4486</v>
      </c>
      <c r="F1924" s="465" t="s">
        <v>4487</v>
      </c>
      <c r="G1924" s="465" t="s">
        <v>4359</v>
      </c>
      <c r="H1924" s="465" t="s">
        <v>4360</v>
      </c>
      <c r="I1924" s="465" t="s">
        <v>830</v>
      </c>
    </row>
    <row r="1925" hidden="1" ht="15.95" customHeight="1">
      <c r="A1925" s="465" t="s">
        <v>4488</v>
      </c>
      <c r="B1925" s="465" t="s">
        <v>4489</v>
      </c>
      <c r="C1925" s="465"/>
      <c r="D1925" s="465" t="s">
        <v>825</v>
      </c>
      <c r="E1925" s="465" t="s">
        <v>4486</v>
      </c>
      <c r="F1925" s="465" t="s">
        <v>4487</v>
      </c>
      <c r="G1925" s="465" t="s">
        <v>4359</v>
      </c>
      <c r="H1925" s="465" t="s">
        <v>4360</v>
      </c>
      <c r="I1925" s="465" t="s">
        <v>830</v>
      </c>
    </row>
    <row r="1926" hidden="1" ht="15.95" customHeight="1">
      <c r="A1926" s="465" t="s">
        <v>4490</v>
      </c>
      <c r="B1926" s="465" t="s">
        <v>4491</v>
      </c>
      <c r="C1926" s="465"/>
      <c r="D1926" s="465" t="s">
        <v>855</v>
      </c>
      <c r="E1926" s="465" t="s">
        <v>4486</v>
      </c>
      <c r="F1926" s="465" t="s">
        <v>4487</v>
      </c>
      <c r="G1926" s="465" t="s">
        <v>4359</v>
      </c>
      <c r="H1926" s="465" t="s">
        <v>4360</v>
      </c>
      <c r="I1926" s="465" t="s">
        <v>830</v>
      </c>
    </row>
    <row r="1927" hidden="1" ht="15.95" customHeight="1">
      <c r="A1927" s="465" t="s">
        <v>4492</v>
      </c>
      <c r="B1927" s="465" t="s">
        <v>3126</v>
      </c>
      <c r="C1927" s="465"/>
      <c r="D1927" s="465" t="s">
        <v>855</v>
      </c>
      <c r="E1927" s="465" t="s">
        <v>4486</v>
      </c>
      <c r="F1927" s="465" t="s">
        <v>4487</v>
      </c>
      <c r="G1927" s="465" t="s">
        <v>4359</v>
      </c>
      <c r="H1927" s="465" t="s">
        <v>4360</v>
      </c>
      <c r="I1927" s="465" t="s">
        <v>830</v>
      </c>
    </row>
    <row r="1928" hidden="1" ht="15.95" customHeight="1">
      <c r="A1928" s="465" t="s">
        <v>4493</v>
      </c>
      <c r="B1928" s="465" t="s">
        <v>4494</v>
      </c>
      <c r="C1928" s="465"/>
      <c r="D1928" s="465" t="s">
        <v>855</v>
      </c>
      <c r="E1928" s="465" t="s">
        <v>4486</v>
      </c>
      <c r="F1928" s="465" t="s">
        <v>4487</v>
      </c>
      <c r="G1928" s="465" t="s">
        <v>4359</v>
      </c>
      <c r="H1928" s="465" t="s">
        <v>4360</v>
      </c>
      <c r="I1928" s="465" t="s">
        <v>830</v>
      </c>
    </row>
    <row r="1929" hidden="1" ht="15.95" customHeight="1">
      <c r="A1929" s="465" t="s">
        <v>4495</v>
      </c>
      <c r="B1929" s="465" t="s">
        <v>4496</v>
      </c>
      <c r="C1929" s="465"/>
      <c r="D1929" s="465" t="s">
        <v>825</v>
      </c>
      <c r="E1929" s="465" t="s">
        <v>4486</v>
      </c>
      <c r="F1929" s="465" t="s">
        <v>4487</v>
      </c>
      <c r="G1929" s="465" t="s">
        <v>4359</v>
      </c>
      <c r="H1929" s="465" t="s">
        <v>4360</v>
      </c>
      <c r="I1929" s="465" t="s">
        <v>830</v>
      </c>
    </row>
    <row r="1930" hidden="1" ht="15.95" customHeight="1">
      <c r="A1930" s="465" t="s">
        <v>4497</v>
      </c>
      <c r="B1930" s="465" t="s">
        <v>4072</v>
      </c>
      <c r="C1930" s="465"/>
      <c r="D1930" s="465" t="s">
        <v>855</v>
      </c>
      <c r="E1930" s="465" t="s">
        <v>4486</v>
      </c>
      <c r="F1930" s="465" t="s">
        <v>4487</v>
      </c>
      <c r="G1930" s="465" t="s">
        <v>4359</v>
      </c>
      <c r="H1930" s="465" t="s">
        <v>4360</v>
      </c>
      <c r="I1930" s="465" t="s">
        <v>830</v>
      </c>
    </row>
    <row r="1931" hidden="1" ht="15.95" customHeight="1">
      <c r="A1931" s="465" t="s">
        <v>4498</v>
      </c>
      <c r="B1931" s="465" t="s">
        <v>4499</v>
      </c>
      <c r="C1931" s="465"/>
      <c r="D1931" s="465" t="s">
        <v>855</v>
      </c>
      <c r="E1931" s="465" t="s">
        <v>4486</v>
      </c>
      <c r="F1931" s="465" t="s">
        <v>4487</v>
      </c>
      <c r="G1931" s="465" t="s">
        <v>4359</v>
      </c>
      <c r="H1931" s="465" t="s">
        <v>4360</v>
      </c>
      <c r="I1931" s="465" t="s">
        <v>830</v>
      </c>
    </row>
    <row r="1932" hidden="1" ht="15.95" customHeight="1">
      <c r="A1932" s="465" t="s">
        <v>4500</v>
      </c>
      <c r="B1932" s="465" t="s">
        <v>4501</v>
      </c>
      <c r="C1932" s="465"/>
      <c r="D1932" s="465" t="s">
        <v>884</v>
      </c>
      <c r="E1932" s="465" t="s">
        <v>4502</v>
      </c>
      <c r="F1932" s="465" t="s">
        <v>4503</v>
      </c>
      <c r="G1932" s="465" t="s">
        <v>4359</v>
      </c>
      <c r="H1932" s="465" t="s">
        <v>4360</v>
      </c>
      <c r="I1932" s="465" t="s">
        <v>830</v>
      </c>
    </row>
    <row r="1933" hidden="1" ht="15.95" customHeight="1">
      <c r="A1933" s="465" t="s">
        <v>4504</v>
      </c>
      <c r="B1933" s="465" t="s">
        <v>2488</v>
      </c>
      <c r="C1933" s="465"/>
      <c r="D1933" s="465" t="s">
        <v>855</v>
      </c>
      <c r="E1933" s="465" t="s">
        <v>4502</v>
      </c>
      <c r="F1933" s="465" t="s">
        <v>4503</v>
      </c>
      <c r="G1933" s="465" t="s">
        <v>4359</v>
      </c>
      <c r="H1933" s="465" t="s">
        <v>4360</v>
      </c>
      <c r="I1933" s="465" t="s">
        <v>830</v>
      </c>
    </row>
    <row r="1934" hidden="1" ht="15.95" customHeight="1">
      <c r="A1934" s="465" t="s">
        <v>4505</v>
      </c>
      <c r="B1934" s="465" t="s">
        <v>4506</v>
      </c>
      <c r="C1934" s="465"/>
      <c r="D1934" s="465" t="s">
        <v>855</v>
      </c>
      <c r="E1934" s="465" t="s">
        <v>4502</v>
      </c>
      <c r="F1934" s="465" t="s">
        <v>4503</v>
      </c>
      <c r="G1934" s="465" t="s">
        <v>4359</v>
      </c>
      <c r="H1934" s="465" t="s">
        <v>4360</v>
      </c>
      <c r="I1934" s="465" t="s">
        <v>830</v>
      </c>
    </row>
    <row r="1935" hidden="1" ht="15.95" customHeight="1">
      <c r="A1935" s="465" t="s">
        <v>4507</v>
      </c>
      <c r="B1935" s="465" t="s">
        <v>2623</v>
      </c>
      <c r="C1935" s="465"/>
      <c r="D1935" s="465" t="s">
        <v>855</v>
      </c>
      <c r="E1935" s="465" t="s">
        <v>4502</v>
      </c>
      <c r="F1935" s="465" t="s">
        <v>4503</v>
      </c>
      <c r="G1935" s="465" t="s">
        <v>4359</v>
      </c>
      <c r="H1935" s="465" t="s">
        <v>4360</v>
      </c>
      <c r="I1935" s="465" t="s">
        <v>830</v>
      </c>
    </row>
    <row r="1936" hidden="1" ht="15.95" customHeight="1">
      <c r="A1936" s="465" t="s">
        <v>4508</v>
      </c>
      <c r="B1936" s="465" t="s">
        <v>4509</v>
      </c>
      <c r="C1936" s="465"/>
      <c r="D1936" s="465" t="s">
        <v>855</v>
      </c>
      <c r="E1936" s="465" t="s">
        <v>4502</v>
      </c>
      <c r="F1936" s="465" t="s">
        <v>4503</v>
      </c>
      <c r="G1936" s="465" t="s">
        <v>4359</v>
      </c>
      <c r="H1936" s="465" t="s">
        <v>4360</v>
      </c>
      <c r="I1936" s="465" t="s">
        <v>830</v>
      </c>
    </row>
    <row r="1937" hidden="1" ht="15.95" customHeight="1">
      <c r="A1937" s="465" t="s">
        <v>4510</v>
      </c>
      <c r="B1937" s="465" t="s">
        <v>4511</v>
      </c>
      <c r="C1937" s="465"/>
      <c r="D1937" s="465" t="s">
        <v>855</v>
      </c>
      <c r="E1937" s="465" t="s">
        <v>4502</v>
      </c>
      <c r="F1937" s="465" t="s">
        <v>4503</v>
      </c>
      <c r="G1937" s="465" t="s">
        <v>4359</v>
      </c>
      <c r="H1937" s="465" t="s">
        <v>4360</v>
      </c>
      <c r="I1937" s="465" t="s">
        <v>830</v>
      </c>
    </row>
    <row r="1938" hidden="1" ht="15.95" customHeight="1">
      <c r="A1938" s="465" t="s">
        <v>4512</v>
      </c>
      <c r="B1938" s="465" t="s">
        <v>2180</v>
      </c>
      <c r="C1938" s="465"/>
      <c r="D1938" s="465" t="s">
        <v>855</v>
      </c>
      <c r="E1938" s="465" t="s">
        <v>4502</v>
      </c>
      <c r="F1938" s="465" t="s">
        <v>4503</v>
      </c>
      <c r="G1938" s="465" t="s">
        <v>4359</v>
      </c>
      <c r="H1938" s="465" t="s">
        <v>4360</v>
      </c>
      <c r="I1938" s="465" t="s">
        <v>830</v>
      </c>
    </row>
    <row r="1939" hidden="1" ht="15.95" customHeight="1">
      <c r="A1939" s="465" t="s">
        <v>4513</v>
      </c>
      <c r="B1939" s="465" t="s">
        <v>4514</v>
      </c>
      <c r="C1939" s="465"/>
      <c r="D1939" s="465" t="s">
        <v>855</v>
      </c>
      <c r="E1939" s="465" t="s">
        <v>4502</v>
      </c>
      <c r="F1939" s="465" t="s">
        <v>4503</v>
      </c>
      <c r="G1939" s="465" t="s">
        <v>4359</v>
      </c>
      <c r="H1939" s="465" t="s">
        <v>4360</v>
      </c>
      <c r="I1939" s="465" t="s">
        <v>830</v>
      </c>
    </row>
    <row r="1940" hidden="1" ht="15.95" customHeight="1">
      <c r="A1940" s="465" t="s">
        <v>4515</v>
      </c>
      <c r="B1940" s="465" t="s">
        <v>4516</v>
      </c>
      <c r="C1940" s="465"/>
      <c r="D1940" s="465" t="s">
        <v>855</v>
      </c>
      <c r="E1940" s="465" t="s">
        <v>4502</v>
      </c>
      <c r="F1940" s="465" t="s">
        <v>4503</v>
      </c>
      <c r="G1940" s="465" t="s">
        <v>4359</v>
      </c>
      <c r="H1940" s="465" t="s">
        <v>4360</v>
      </c>
      <c r="I1940" s="465" t="s">
        <v>830</v>
      </c>
    </row>
    <row r="1941" hidden="1" ht="15.95" customHeight="1">
      <c r="A1941" s="465" t="s">
        <v>4517</v>
      </c>
      <c r="B1941" s="465" t="s">
        <v>4518</v>
      </c>
      <c r="C1941" s="465"/>
      <c r="D1941" s="465" t="s">
        <v>855</v>
      </c>
      <c r="E1941" s="465" t="s">
        <v>4502</v>
      </c>
      <c r="F1941" s="465" t="s">
        <v>4503</v>
      </c>
      <c r="G1941" s="465" t="s">
        <v>4359</v>
      </c>
      <c r="H1941" s="465" t="s">
        <v>4360</v>
      </c>
      <c r="I1941" s="465" t="s">
        <v>830</v>
      </c>
    </row>
    <row r="1942" hidden="1" ht="15.95" customHeight="1">
      <c r="A1942" s="465" t="s">
        <v>4519</v>
      </c>
      <c r="B1942" s="465" t="s">
        <v>4520</v>
      </c>
      <c r="C1942" s="465"/>
      <c r="D1942" s="465" t="s">
        <v>855</v>
      </c>
      <c r="E1942" s="465" t="s">
        <v>4502</v>
      </c>
      <c r="F1942" s="465" t="s">
        <v>4503</v>
      </c>
      <c r="G1942" s="465" t="s">
        <v>4359</v>
      </c>
      <c r="H1942" s="465" t="s">
        <v>4360</v>
      </c>
      <c r="I1942" s="465" t="s">
        <v>830</v>
      </c>
    </row>
    <row r="1943" hidden="1" ht="15.95" customHeight="1">
      <c r="A1943" s="465" t="s">
        <v>4521</v>
      </c>
      <c r="B1943" s="465" t="s">
        <v>4522</v>
      </c>
      <c r="C1943" s="465"/>
      <c r="D1943" s="465" t="s">
        <v>855</v>
      </c>
      <c r="E1943" s="465" t="s">
        <v>4502</v>
      </c>
      <c r="F1943" s="465" t="s">
        <v>4503</v>
      </c>
      <c r="G1943" s="465" t="s">
        <v>4359</v>
      </c>
      <c r="H1943" s="465" t="s">
        <v>4360</v>
      </c>
      <c r="I1943" s="465" t="s">
        <v>830</v>
      </c>
    </row>
    <row r="1944" hidden="1" ht="15.95" customHeight="1">
      <c r="A1944" s="465" t="s">
        <v>4523</v>
      </c>
      <c r="B1944" s="465" t="s">
        <v>4524</v>
      </c>
      <c r="C1944" s="465"/>
      <c r="D1944" s="465" t="s">
        <v>855</v>
      </c>
      <c r="E1944" s="465" t="s">
        <v>4502</v>
      </c>
      <c r="F1944" s="465" t="s">
        <v>4503</v>
      </c>
      <c r="G1944" s="465" t="s">
        <v>4359</v>
      </c>
      <c r="H1944" s="465" t="s">
        <v>4360</v>
      </c>
      <c r="I1944" s="465" t="s">
        <v>830</v>
      </c>
    </row>
    <row r="1945" hidden="1" ht="15.95" customHeight="1">
      <c r="A1945" s="465" t="s">
        <v>4525</v>
      </c>
      <c r="B1945" s="465" t="s">
        <v>4526</v>
      </c>
      <c r="C1945" s="465"/>
      <c r="D1945" s="465" t="s">
        <v>855</v>
      </c>
      <c r="E1945" s="465" t="s">
        <v>4502</v>
      </c>
      <c r="F1945" s="465" t="s">
        <v>4503</v>
      </c>
      <c r="G1945" s="465" t="s">
        <v>4359</v>
      </c>
      <c r="H1945" s="465" t="s">
        <v>4360</v>
      </c>
      <c r="I1945" s="465" t="s">
        <v>830</v>
      </c>
    </row>
    <row r="1946" hidden="1" ht="15.95" customHeight="1">
      <c r="A1946" s="465" t="s">
        <v>4527</v>
      </c>
      <c r="B1946" s="465" t="s">
        <v>1691</v>
      </c>
      <c r="C1946" s="465"/>
      <c r="D1946" s="465" t="s">
        <v>855</v>
      </c>
      <c r="E1946" s="465" t="s">
        <v>4528</v>
      </c>
      <c r="F1946" s="465" t="s">
        <v>4529</v>
      </c>
      <c r="G1946" s="465" t="s">
        <v>4359</v>
      </c>
      <c r="H1946" s="465" t="s">
        <v>4360</v>
      </c>
      <c r="I1946" s="465" t="s">
        <v>830</v>
      </c>
    </row>
    <row r="1947" hidden="1" ht="15.95" customHeight="1">
      <c r="A1947" s="465" t="s">
        <v>4530</v>
      </c>
      <c r="B1947" s="465" t="s">
        <v>1164</v>
      </c>
      <c r="C1947" s="465"/>
      <c r="D1947" s="465" t="s">
        <v>855</v>
      </c>
      <c r="E1947" s="465" t="s">
        <v>4528</v>
      </c>
      <c r="F1947" s="465" t="s">
        <v>4529</v>
      </c>
      <c r="G1947" s="465" t="s">
        <v>4359</v>
      </c>
      <c r="H1947" s="465" t="s">
        <v>4360</v>
      </c>
      <c r="I1947" s="465" t="s">
        <v>830</v>
      </c>
    </row>
    <row r="1948" hidden="1" ht="15.95" customHeight="1">
      <c r="A1948" s="465" t="s">
        <v>4531</v>
      </c>
      <c r="B1948" s="465" t="s">
        <v>4532</v>
      </c>
      <c r="C1948" s="465"/>
      <c r="D1948" s="465" t="s">
        <v>855</v>
      </c>
      <c r="E1948" s="465" t="s">
        <v>4528</v>
      </c>
      <c r="F1948" s="465" t="s">
        <v>4529</v>
      </c>
      <c r="G1948" s="465" t="s">
        <v>4359</v>
      </c>
      <c r="H1948" s="465" t="s">
        <v>4360</v>
      </c>
      <c r="I1948" s="465" t="s">
        <v>830</v>
      </c>
    </row>
    <row r="1949" hidden="1" ht="15.95" customHeight="1">
      <c r="A1949" s="465" t="s">
        <v>4533</v>
      </c>
      <c r="B1949" s="465" t="s">
        <v>4534</v>
      </c>
      <c r="C1949" s="465"/>
      <c r="D1949" s="465" t="s">
        <v>855</v>
      </c>
      <c r="E1949" s="465" t="s">
        <v>4528</v>
      </c>
      <c r="F1949" s="465" t="s">
        <v>4529</v>
      </c>
      <c r="G1949" s="465" t="s">
        <v>4359</v>
      </c>
      <c r="H1949" s="465" t="s">
        <v>4360</v>
      </c>
      <c r="I1949" s="465" t="s">
        <v>830</v>
      </c>
    </row>
    <row r="1950" hidden="1" ht="15.95" customHeight="1">
      <c r="A1950" s="465" t="s">
        <v>4535</v>
      </c>
      <c r="B1950" s="465" t="s">
        <v>4536</v>
      </c>
      <c r="C1950" s="465"/>
      <c r="D1950" s="465" t="s">
        <v>855</v>
      </c>
      <c r="E1950" s="465" t="s">
        <v>4528</v>
      </c>
      <c r="F1950" s="465" t="s">
        <v>4529</v>
      </c>
      <c r="G1950" s="465" t="s">
        <v>4359</v>
      </c>
      <c r="H1950" s="465" t="s">
        <v>4360</v>
      </c>
      <c r="I1950" s="465" t="s">
        <v>830</v>
      </c>
    </row>
    <row r="1951" hidden="1" ht="15.95" customHeight="1">
      <c r="A1951" s="465" t="s">
        <v>4537</v>
      </c>
      <c r="B1951" s="465" t="s">
        <v>4538</v>
      </c>
      <c r="C1951" s="465"/>
      <c r="D1951" s="465" t="s">
        <v>855</v>
      </c>
      <c r="E1951" s="465" t="s">
        <v>4528</v>
      </c>
      <c r="F1951" s="465" t="s">
        <v>4529</v>
      </c>
      <c r="G1951" s="465" t="s">
        <v>4359</v>
      </c>
      <c r="H1951" s="465" t="s">
        <v>4360</v>
      </c>
      <c r="I1951" s="465" t="s">
        <v>830</v>
      </c>
    </row>
    <row r="1952" hidden="1" ht="15.95" customHeight="1">
      <c r="A1952" s="465" t="s">
        <v>4539</v>
      </c>
      <c r="B1952" s="465" t="s">
        <v>4540</v>
      </c>
      <c r="C1952" s="465"/>
      <c r="D1952" s="465" t="s">
        <v>855</v>
      </c>
      <c r="E1952" s="465" t="s">
        <v>4528</v>
      </c>
      <c r="F1952" s="465" t="s">
        <v>4529</v>
      </c>
      <c r="G1952" s="465" t="s">
        <v>4359</v>
      </c>
      <c r="H1952" s="465" t="s">
        <v>4360</v>
      </c>
      <c r="I1952" s="465" t="s">
        <v>830</v>
      </c>
    </row>
    <row r="1953" hidden="1" ht="15.95" customHeight="1">
      <c r="A1953" s="465" t="s">
        <v>4541</v>
      </c>
      <c r="B1953" s="465" t="s">
        <v>4542</v>
      </c>
      <c r="C1953" s="465"/>
      <c r="D1953" s="465" t="s">
        <v>855</v>
      </c>
      <c r="E1953" s="465" t="s">
        <v>4528</v>
      </c>
      <c r="F1953" s="465" t="s">
        <v>4529</v>
      </c>
      <c r="G1953" s="465" t="s">
        <v>4359</v>
      </c>
      <c r="H1953" s="465" t="s">
        <v>4360</v>
      </c>
      <c r="I1953" s="465" t="s">
        <v>830</v>
      </c>
    </row>
    <row r="1954" hidden="1" ht="15.95" customHeight="1">
      <c r="A1954" s="465" t="s">
        <v>4543</v>
      </c>
      <c r="B1954" s="465" t="s">
        <v>1033</v>
      </c>
      <c r="C1954" s="465"/>
      <c r="D1954" s="465" t="s">
        <v>855</v>
      </c>
      <c r="E1954" s="465" t="s">
        <v>4528</v>
      </c>
      <c r="F1954" s="465" t="s">
        <v>4529</v>
      </c>
      <c r="G1954" s="465" t="s">
        <v>4359</v>
      </c>
      <c r="H1954" s="465" t="s">
        <v>4360</v>
      </c>
      <c r="I1954" s="465" t="s">
        <v>830</v>
      </c>
    </row>
    <row r="1955" hidden="1" ht="15.95" customHeight="1">
      <c r="A1955" s="465" t="s">
        <v>4544</v>
      </c>
      <c r="B1955" s="465" t="s">
        <v>4545</v>
      </c>
      <c r="C1955" s="465"/>
      <c r="D1955" s="465" t="s">
        <v>855</v>
      </c>
      <c r="E1955" s="465" t="s">
        <v>4528</v>
      </c>
      <c r="F1955" s="465" t="s">
        <v>4529</v>
      </c>
      <c r="G1955" s="465" t="s">
        <v>4359</v>
      </c>
      <c r="H1955" s="465" t="s">
        <v>4360</v>
      </c>
      <c r="I1955" s="465" t="s">
        <v>830</v>
      </c>
    </row>
    <row r="1956" hidden="1" ht="15.95" customHeight="1">
      <c r="A1956" s="465" t="s">
        <v>4546</v>
      </c>
      <c r="B1956" s="465" t="s">
        <v>4547</v>
      </c>
      <c r="C1956" s="465"/>
      <c r="D1956" s="465" t="s">
        <v>855</v>
      </c>
      <c r="E1956" s="465" t="s">
        <v>4528</v>
      </c>
      <c r="F1956" s="465" t="s">
        <v>4529</v>
      </c>
      <c r="G1956" s="465" t="s">
        <v>4359</v>
      </c>
      <c r="H1956" s="465" t="s">
        <v>4360</v>
      </c>
      <c r="I1956" s="465" t="s">
        <v>830</v>
      </c>
    </row>
    <row r="1957" hidden="1" ht="15.95" customHeight="1">
      <c r="A1957" s="465" t="s">
        <v>4548</v>
      </c>
      <c r="B1957" s="465" t="s">
        <v>1276</v>
      </c>
      <c r="C1957" s="465"/>
      <c r="D1957" s="465" t="s">
        <v>825</v>
      </c>
      <c r="E1957" s="465" t="s">
        <v>4549</v>
      </c>
      <c r="F1957" s="465" t="s">
        <v>4550</v>
      </c>
      <c r="G1957" s="465" t="s">
        <v>4551</v>
      </c>
      <c r="H1957" s="465" t="s">
        <v>4552</v>
      </c>
      <c r="I1957" s="465" t="s">
        <v>830</v>
      </c>
    </row>
    <row r="1958" hidden="1" ht="15.95" customHeight="1">
      <c r="A1958" s="465" t="s">
        <v>4553</v>
      </c>
      <c r="B1958" s="465" t="s">
        <v>1266</v>
      </c>
      <c r="C1958" s="465"/>
      <c r="D1958" s="465" t="s">
        <v>825</v>
      </c>
      <c r="E1958" s="465" t="s">
        <v>4549</v>
      </c>
      <c r="F1958" s="465" t="s">
        <v>4550</v>
      </c>
      <c r="G1958" s="465" t="s">
        <v>4551</v>
      </c>
      <c r="H1958" s="465" t="s">
        <v>4552</v>
      </c>
      <c r="I1958" s="465" t="s">
        <v>830</v>
      </c>
    </row>
    <row r="1959" hidden="1" ht="15.95" customHeight="1">
      <c r="A1959" s="465" t="s">
        <v>4554</v>
      </c>
      <c r="B1959" s="465" t="s">
        <v>1264</v>
      </c>
      <c r="C1959" s="465"/>
      <c r="D1959" s="465" t="s">
        <v>825</v>
      </c>
      <c r="E1959" s="465" t="s">
        <v>4549</v>
      </c>
      <c r="F1959" s="465" t="s">
        <v>4550</v>
      </c>
      <c r="G1959" s="465" t="s">
        <v>4551</v>
      </c>
      <c r="H1959" s="465" t="s">
        <v>4552</v>
      </c>
      <c r="I1959" s="465" t="s">
        <v>830</v>
      </c>
    </row>
    <row r="1960" hidden="1" ht="15.95" customHeight="1">
      <c r="A1960" s="465" t="s">
        <v>4555</v>
      </c>
      <c r="B1960" s="465" t="s">
        <v>1272</v>
      </c>
      <c r="C1960" s="465"/>
      <c r="D1960" s="465" t="s">
        <v>825</v>
      </c>
      <c r="E1960" s="465" t="s">
        <v>4549</v>
      </c>
      <c r="F1960" s="465" t="s">
        <v>4550</v>
      </c>
      <c r="G1960" s="465" t="s">
        <v>4551</v>
      </c>
      <c r="H1960" s="465" t="s">
        <v>4552</v>
      </c>
      <c r="I1960" s="465" t="s">
        <v>830</v>
      </c>
    </row>
    <row r="1961" hidden="1" ht="15.95" customHeight="1">
      <c r="A1961" s="465" t="s">
        <v>4556</v>
      </c>
      <c r="B1961" s="465" t="s">
        <v>1278</v>
      </c>
      <c r="C1961" s="465"/>
      <c r="D1961" s="465" t="s">
        <v>825</v>
      </c>
      <c r="E1961" s="465" t="s">
        <v>4549</v>
      </c>
      <c r="F1961" s="465" t="s">
        <v>4550</v>
      </c>
      <c r="G1961" s="465" t="s">
        <v>4551</v>
      </c>
      <c r="H1961" s="465" t="s">
        <v>4552</v>
      </c>
      <c r="I1961" s="465" t="s">
        <v>830</v>
      </c>
    </row>
    <row r="1962" hidden="1" ht="15.95" customHeight="1">
      <c r="A1962" s="465" t="s">
        <v>4557</v>
      </c>
      <c r="B1962" s="465" t="s">
        <v>1268</v>
      </c>
      <c r="C1962" s="465"/>
      <c r="D1962" s="465" t="s">
        <v>825</v>
      </c>
      <c r="E1962" s="465" t="s">
        <v>4549</v>
      </c>
      <c r="F1962" s="465" t="s">
        <v>4550</v>
      </c>
      <c r="G1962" s="465" t="s">
        <v>4551</v>
      </c>
      <c r="H1962" s="465" t="s">
        <v>4552</v>
      </c>
      <c r="I1962" s="465" t="s">
        <v>830</v>
      </c>
    </row>
    <row r="1963" hidden="1" ht="15.95" customHeight="1">
      <c r="A1963" s="465" t="s">
        <v>4558</v>
      </c>
      <c r="B1963" s="465" t="s">
        <v>4559</v>
      </c>
      <c r="C1963" s="465"/>
      <c r="D1963" s="465" t="s">
        <v>855</v>
      </c>
      <c r="E1963" s="465" t="s">
        <v>4549</v>
      </c>
      <c r="F1963" s="465" t="s">
        <v>4550</v>
      </c>
      <c r="G1963" s="465" t="s">
        <v>4551</v>
      </c>
      <c r="H1963" s="465" t="s">
        <v>4552</v>
      </c>
      <c r="I1963" s="465" t="s">
        <v>830</v>
      </c>
    </row>
    <row r="1964" hidden="1" ht="15.95" customHeight="1">
      <c r="A1964" s="465" t="s">
        <v>4560</v>
      </c>
      <c r="B1964" s="465" t="s">
        <v>3679</v>
      </c>
      <c r="C1964" s="465"/>
      <c r="D1964" s="465" t="s">
        <v>855</v>
      </c>
      <c r="E1964" s="465" t="s">
        <v>4549</v>
      </c>
      <c r="F1964" s="465" t="s">
        <v>4550</v>
      </c>
      <c r="G1964" s="465" t="s">
        <v>4551</v>
      </c>
      <c r="H1964" s="465" t="s">
        <v>4552</v>
      </c>
      <c r="I1964" s="465" t="s">
        <v>830</v>
      </c>
    </row>
    <row r="1965" hidden="1" ht="15.95" customHeight="1">
      <c r="A1965" s="465" t="s">
        <v>4561</v>
      </c>
      <c r="B1965" s="465" t="s">
        <v>4562</v>
      </c>
      <c r="C1965" s="465"/>
      <c r="D1965" s="465" t="s">
        <v>855</v>
      </c>
      <c r="E1965" s="465" t="s">
        <v>4549</v>
      </c>
      <c r="F1965" s="465" t="s">
        <v>4550</v>
      </c>
      <c r="G1965" s="465" t="s">
        <v>4551</v>
      </c>
      <c r="H1965" s="465" t="s">
        <v>4552</v>
      </c>
      <c r="I1965" s="465" t="s">
        <v>830</v>
      </c>
    </row>
    <row r="1966" hidden="1" ht="15.95" customHeight="1">
      <c r="A1966" s="465" t="s">
        <v>4563</v>
      </c>
      <c r="B1966" s="465" t="s">
        <v>4564</v>
      </c>
      <c r="C1966" s="465" t="s">
        <v>4565</v>
      </c>
      <c r="D1966" s="465" t="s">
        <v>825</v>
      </c>
      <c r="E1966" s="465" t="s">
        <v>4549</v>
      </c>
      <c r="F1966" s="465" t="s">
        <v>4550</v>
      </c>
      <c r="G1966" s="465" t="s">
        <v>4551</v>
      </c>
      <c r="H1966" s="465" t="s">
        <v>4552</v>
      </c>
      <c r="I1966" s="465" t="s">
        <v>830</v>
      </c>
    </row>
    <row r="1967" hidden="1" ht="15.95" customHeight="1">
      <c r="A1967" s="465" t="s">
        <v>4566</v>
      </c>
      <c r="B1967" s="465" t="s">
        <v>4567</v>
      </c>
      <c r="C1967" s="465"/>
      <c r="D1967" s="465" t="s">
        <v>855</v>
      </c>
      <c r="E1967" s="465" t="s">
        <v>4549</v>
      </c>
      <c r="F1967" s="465" t="s">
        <v>4550</v>
      </c>
      <c r="G1967" s="465" t="s">
        <v>4551</v>
      </c>
      <c r="H1967" s="465" t="s">
        <v>4552</v>
      </c>
      <c r="I1967" s="465" t="s">
        <v>830</v>
      </c>
    </row>
    <row r="1968" hidden="1" ht="15.95" customHeight="1">
      <c r="A1968" s="465" t="s">
        <v>4568</v>
      </c>
      <c r="B1968" s="465" t="s">
        <v>4569</v>
      </c>
      <c r="C1968" s="465" t="s">
        <v>4570</v>
      </c>
      <c r="D1968" s="465" t="s">
        <v>825</v>
      </c>
      <c r="E1968" s="465" t="s">
        <v>4549</v>
      </c>
      <c r="F1968" s="465" t="s">
        <v>4550</v>
      </c>
      <c r="G1968" s="465" t="s">
        <v>4551</v>
      </c>
      <c r="H1968" s="465" t="s">
        <v>4552</v>
      </c>
      <c r="I1968" s="465" t="s">
        <v>830</v>
      </c>
    </row>
    <row r="1969" hidden="1" ht="15.95" customHeight="1">
      <c r="A1969" s="465" t="s">
        <v>4571</v>
      </c>
      <c r="B1969" s="465" t="s">
        <v>4572</v>
      </c>
      <c r="C1969" s="465"/>
      <c r="D1969" s="465" t="s">
        <v>855</v>
      </c>
      <c r="E1969" s="465" t="s">
        <v>4549</v>
      </c>
      <c r="F1969" s="465" t="s">
        <v>4550</v>
      </c>
      <c r="G1969" s="465" t="s">
        <v>4551</v>
      </c>
      <c r="H1969" s="465" t="s">
        <v>4552</v>
      </c>
      <c r="I1969" s="465" t="s">
        <v>830</v>
      </c>
    </row>
    <row r="1970" hidden="1" ht="15.95" customHeight="1">
      <c r="A1970" s="465" t="s">
        <v>4573</v>
      </c>
      <c r="B1970" s="465" t="s">
        <v>4574</v>
      </c>
      <c r="C1970" s="465"/>
      <c r="D1970" s="465" t="s">
        <v>855</v>
      </c>
      <c r="E1970" s="465" t="s">
        <v>4549</v>
      </c>
      <c r="F1970" s="465" t="s">
        <v>4550</v>
      </c>
      <c r="G1970" s="465" t="s">
        <v>4551</v>
      </c>
      <c r="H1970" s="465" t="s">
        <v>4552</v>
      </c>
      <c r="I1970" s="465" t="s">
        <v>830</v>
      </c>
    </row>
    <row r="1971" hidden="1" ht="15.95" customHeight="1">
      <c r="A1971" s="465" t="s">
        <v>4575</v>
      </c>
      <c r="B1971" s="465" t="s">
        <v>4576</v>
      </c>
      <c r="C1971" s="465"/>
      <c r="D1971" s="465" t="s">
        <v>855</v>
      </c>
      <c r="E1971" s="465" t="s">
        <v>4549</v>
      </c>
      <c r="F1971" s="465" t="s">
        <v>4550</v>
      </c>
      <c r="G1971" s="465" t="s">
        <v>4551</v>
      </c>
      <c r="H1971" s="465" t="s">
        <v>4552</v>
      </c>
      <c r="I1971" s="465" t="s">
        <v>830</v>
      </c>
    </row>
    <row r="1972" hidden="1" ht="15.95" customHeight="1">
      <c r="A1972" s="465" t="s">
        <v>4577</v>
      </c>
      <c r="B1972" s="465" t="s">
        <v>1278</v>
      </c>
      <c r="C1972" s="465"/>
      <c r="D1972" s="465" t="s">
        <v>825</v>
      </c>
      <c r="E1972" s="465" t="s">
        <v>4578</v>
      </c>
      <c r="F1972" s="465" t="s">
        <v>4579</v>
      </c>
      <c r="G1972" s="465" t="s">
        <v>4551</v>
      </c>
      <c r="H1972" s="465" t="s">
        <v>4552</v>
      </c>
      <c r="I1972" s="465" t="s">
        <v>830</v>
      </c>
    </row>
    <row r="1973" hidden="1" ht="15.95" customHeight="1">
      <c r="A1973" s="465" t="s">
        <v>4580</v>
      </c>
      <c r="B1973" s="465" t="s">
        <v>1266</v>
      </c>
      <c r="C1973" s="465"/>
      <c r="D1973" s="465" t="s">
        <v>825</v>
      </c>
      <c r="E1973" s="465" t="s">
        <v>4578</v>
      </c>
      <c r="F1973" s="465" t="s">
        <v>4579</v>
      </c>
      <c r="G1973" s="465" t="s">
        <v>4551</v>
      </c>
      <c r="H1973" s="465" t="s">
        <v>4552</v>
      </c>
      <c r="I1973" s="465" t="s">
        <v>830</v>
      </c>
    </row>
    <row r="1974" hidden="1" ht="15.95" customHeight="1">
      <c r="A1974" s="465" t="s">
        <v>4581</v>
      </c>
      <c r="B1974" s="465" t="s">
        <v>1272</v>
      </c>
      <c r="C1974" s="465"/>
      <c r="D1974" s="465" t="s">
        <v>825</v>
      </c>
      <c r="E1974" s="465" t="s">
        <v>4578</v>
      </c>
      <c r="F1974" s="465" t="s">
        <v>4579</v>
      </c>
      <c r="G1974" s="465" t="s">
        <v>4551</v>
      </c>
      <c r="H1974" s="465" t="s">
        <v>4552</v>
      </c>
      <c r="I1974" s="465" t="s">
        <v>830</v>
      </c>
    </row>
    <row r="1975" hidden="1" ht="15.95" customHeight="1">
      <c r="A1975" s="465" t="s">
        <v>4582</v>
      </c>
      <c r="B1975" s="465" t="s">
        <v>1264</v>
      </c>
      <c r="C1975" s="465"/>
      <c r="D1975" s="465" t="s">
        <v>825</v>
      </c>
      <c r="E1975" s="465" t="s">
        <v>4578</v>
      </c>
      <c r="F1975" s="465" t="s">
        <v>4579</v>
      </c>
      <c r="G1975" s="465" t="s">
        <v>4551</v>
      </c>
      <c r="H1975" s="465" t="s">
        <v>4552</v>
      </c>
      <c r="I1975" s="465" t="s">
        <v>830</v>
      </c>
    </row>
    <row r="1976" hidden="1" ht="15.95" customHeight="1">
      <c r="A1976" s="465" t="s">
        <v>4583</v>
      </c>
      <c r="B1976" s="465" t="s">
        <v>4584</v>
      </c>
      <c r="C1976" s="465"/>
      <c r="D1976" s="465" t="s">
        <v>855</v>
      </c>
      <c r="E1976" s="465" t="s">
        <v>4578</v>
      </c>
      <c r="F1976" s="465" t="s">
        <v>4579</v>
      </c>
      <c r="G1976" s="465" t="s">
        <v>4551</v>
      </c>
      <c r="H1976" s="465" t="s">
        <v>4552</v>
      </c>
      <c r="I1976" s="465" t="s">
        <v>830</v>
      </c>
    </row>
    <row r="1977" hidden="1" ht="15.95" customHeight="1">
      <c r="A1977" s="465" t="s">
        <v>4585</v>
      </c>
      <c r="B1977" s="465" t="s">
        <v>4586</v>
      </c>
      <c r="C1977" s="465" t="s">
        <v>4587</v>
      </c>
      <c r="D1977" s="465" t="s">
        <v>825</v>
      </c>
      <c r="E1977" s="465" t="s">
        <v>4578</v>
      </c>
      <c r="F1977" s="465" t="s">
        <v>4579</v>
      </c>
      <c r="G1977" s="465" t="s">
        <v>4551</v>
      </c>
      <c r="H1977" s="465" t="s">
        <v>4552</v>
      </c>
      <c r="I1977" s="465" t="s">
        <v>830</v>
      </c>
    </row>
    <row r="1978" hidden="1" ht="15.95" customHeight="1">
      <c r="A1978" s="465" t="s">
        <v>4588</v>
      </c>
      <c r="B1978" s="465" t="s">
        <v>4589</v>
      </c>
      <c r="C1978" s="465" t="s">
        <v>4590</v>
      </c>
      <c r="D1978" s="465" t="s">
        <v>825</v>
      </c>
      <c r="E1978" s="465" t="s">
        <v>4578</v>
      </c>
      <c r="F1978" s="465" t="s">
        <v>4579</v>
      </c>
      <c r="G1978" s="465" t="s">
        <v>4551</v>
      </c>
      <c r="H1978" s="465" t="s">
        <v>4552</v>
      </c>
      <c r="I1978" s="465" t="s">
        <v>830</v>
      </c>
    </row>
    <row r="1979" hidden="1" ht="15.95" customHeight="1">
      <c r="A1979" s="465" t="s">
        <v>4591</v>
      </c>
      <c r="B1979" s="465" t="s">
        <v>4592</v>
      </c>
      <c r="C1979" s="465"/>
      <c r="D1979" s="465" t="s">
        <v>855</v>
      </c>
      <c r="E1979" s="465" t="s">
        <v>4578</v>
      </c>
      <c r="F1979" s="465" t="s">
        <v>4579</v>
      </c>
      <c r="G1979" s="465" t="s">
        <v>4551</v>
      </c>
      <c r="H1979" s="465" t="s">
        <v>4552</v>
      </c>
      <c r="I1979" s="465" t="s">
        <v>830</v>
      </c>
    </row>
    <row r="1980" hidden="1" ht="15.95" customHeight="1">
      <c r="A1980" s="465" t="s">
        <v>4593</v>
      </c>
      <c r="B1980" s="465" t="s">
        <v>4594</v>
      </c>
      <c r="C1980" s="465"/>
      <c r="D1980" s="465" t="s">
        <v>855</v>
      </c>
      <c r="E1980" s="465" t="s">
        <v>4578</v>
      </c>
      <c r="F1980" s="465" t="s">
        <v>4579</v>
      </c>
      <c r="G1980" s="465" t="s">
        <v>4551</v>
      </c>
      <c r="H1980" s="465" t="s">
        <v>4552</v>
      </c>
      <c r="I1980" s="465" t="s">
        <v>830</v>
      </c>
    </row>
    <row r="1981" hidden="1" ht="15.95" customHeight="1">
      <c r="A1981" s="465" t="s">
        <v>4595</v>
      </c>
      <c r="B1981" s="465" t="s">
        <v>1606</v>
      </c>
      <c r="C1981" s="465"/>
      <c r="D1981" s="465" t="s">
        <v>825</v>
      </c>
      <c r="E1981" s="465" t="s">
        <v>4596</v>
      </c>
      <c r="F1981" s="465" t="s">
        <v>4597</v>
      </c>
      <c r="G1981" s="465" t="s">
        <v>4551</v>
      </c>
      <c r="H1981" s="465" t="s">
        <v>4552</v>
      </c>
      <c r="I1981" s="465" t="s">
        <v>830</v>
      </c>
    </row>
    <row r="1982" hidden="1" ht="15.95" customHeight="1">
      <c r="A1982" s="465" t="s">
        <v>4598</v>
      </c>
      <c r="B1982" s="465" t="s">
        <v>2142</v>
      </c>
      <c r="C1982" s="465"/>
      <c r="D1982" s="465" t="s">
        <v>825</v>
      </c>
      <c r="E1982" s="465" t="s">
        <v>4596</v>
      </c>
      <c r="F1982" s="465" t="s">
        <v>4597</v>
      </c>
      <c r="G1982" s="465" t="s">
        <v>4551</v>
      </c>
      <c r="H1982" s="465" t="s">
        <v>4552</v>
      </c>
      <c r="I1982" s="465" t="s">
        <v>830</v>
      </c>
    </row>
    <row r="1983" hidden="1" ht="15.95" customHeight="1">
      <c r="A1983" s="465" t="s">
        <v>4599</v>
      </c>
      <c r="B1983" s="465" t="s">
        <v>1060</v>
      </c>
      <c r="C1983" s="465"/>
      <c r="D1983" s="465" t="s">
        <v>855</v>
      </c>
      <c r="E1983" s="465" t="s">
        <v>4596</v>
      </c>
      <c r="F1983" s="465" t="s">
        <v>4597</v>
      </c>
      <c r="G1983" s="465" t="s">
        <v>4551</v>
      </c>
      <c r="H1983" s="465" t="s">
        <v>4552</v>
      </c>
      <c r="I1983" s="465" t="s">
        <v>830</v>
      </c>
    </row>
    <row r="1984" hidden="1" ht="15.95" customHeight="1">
      <c r="A1984" s="465" t="s">
        <v>4600</v>
      </c>
      <c r="B1984" s="465" t="s">
        <v>1412</v>
      </c>
      <c r="C1984" s="465"/>
      <c r="D1984" s="465" t="s">
        <v>855</v>
      </c>
      <c r="E1984" s="465" t="s">
        <v>4596</v>
      </c>
      <c r="F1984" s="465" t="s">
        <v>4597</v>
      </c>
      <c r="G1984" s="465" t="s">
        <v>4551</v>
      </c>
      <c r="H1984" s="465" t="s">
        <v>4552</v>
      </c>
      <c r="I1984" s="465" t="s">
        <v>830</v>
      </c>
    </row>
    <row r="1985" hidden="1" ht="15.95" customHeight="1">
      <c r="A1985" s="465" t="s">
        <v>4601</v>
      </c>
      <c r="B1985" s="465" t="s">
        <v>3056</v>
      </c>
      <c r="C1985" s="465"/>
      <c r="D1985" s="465" t="s">
        <v>825</v>
      </c>
      <c r="E1985" s="465" t="s">
        <v>4596</v>
      </c>
      <c r="F1985" s="465" t="s">
        <v>4597</v>
      </c>
      <c r="G1985" s="465" t="s">
        <v>4551</v>
      </c>
      <c r="H1985" s="465" t="s">
        <v>4552</v>
      </c>
      <c r="I1985" s="465" t="s">
        <v>830</v>
      </c>
    </row>
    <row r="1986" hidden="1" ht="15.95" customHeight="1">
      <c r="A1986" s="465" t="s">
        <v>4602</v>
      </c>
      <c r="B1986" s="465" t="s">
        <v>4603</v>
      </c>
      <c r="C1986" s="465"/>
      <c r="D1986" s="465" t="s">
        <v>855</v>
      </c>
      <c r="E1986" s="465" t="s">
        <v>4596</v>
      </c>
      <c r="F1986" s="465" t="s">
        <v>4597</v>
      </c>
      <c r="G1986" s="465" t="s">
        <v>4551</v>
      </c>
      <c r="H1986" s="465" t="s">
        <v>4552</v>
      </c>
      <c r="I1986" s="465" t="s">
        <v>830</v>
      </c>
    </row>
    <row r="1987" hidden="1" ht="15.95" customHeight="1">
      <c r="A1987" s="465" t="s">
        <v>4604</v>
      </c>
      <c r="B1987" s="465" t="s">
        <v>4605</v>
      </c>
      <c r="C1987" s="465"/>
      <c r="D1987" s="465" t="s">
        <v>855</v>
      </c>
      <c r="E1987" s="465" t="s">
        <v>4596</v>
      </c>
      <c r="F1987" s="465" t="s">
        <v>4597</v>
      </c>
      <c r="G1987" s="465" t="s">
        <v>4551</v>
      </c>
      <c r="H1987" s="465" t="s">
        <v>4552</v>
      </c>
      <c r="I1987" s="465" t="s">
        <v>830</v>
      </c>
    </row>
    <row r="1988" hidden="1" ht="15.95" customHeight="1">
      <c r="A1988" s="465" t="s">
        <v>4606</v>
      </c>
      <c r="B1988" s="465" t="s">
        <v>4607</v>
      </c>
      <c r="C1988" s="465"/>
      <c r="D1988" s="465" t="s">
        <v>884</v>
      </c>
      <c r="E1988" s="465" t="s">
        <v>4608</v>
      </c>
      <c r="F1988" s="465" t="s">
        <v>4609</v>
      </c>
      <c r="G1988" s="465" t="s">
        <v>4551</v>
      </c>
      <c r="H1988" s="465" t="s">
        <v>4552</v>
      </c>
      <c r="I1988" s="465" t="s">
        <v>830</v>
      </c>
    </row>
    <row r="1989" hidden="1" ht="15.95" customHeight="1">
      <c r="A1989" s="465" t="s">
        <v>4610</v>
      </c>
      <c r="B1989" s="465" t="s">
        <v>4611</v>
      </c>
      <c r="C1989" s="465"/>
      <c r="D1989" s="465" t="s">
        <v>855</v>
      </c>
      <c r="E1989" s="465" t="s">
        <v>4608</v>
      </c>
      <c r="F1989" s="465" t="s">
        <v>4609</v>
      </c>
      <c r="G1989" s="465" t="s">
        <v>4551</v>
      </c>
      <c r="H1989" s="465" t="s">
        <v>4552</v>
      </c>
      <c r="I1989" s="465" t="s">
        <v>830</v>
      </c>
    </row>
    <row r="1990" hidden="1" ht="15.95" customHeight="1">
      <c r="A1990" s="465" t="s">
        <v>4612</v>
      </c>
      <c r="B1990" s="465" t="s">
        <v>4613</v>
      </c>
      <c r="C1990" s="465"/>
      <c r="D1990" s="465" t="s">
        <v>855</v>
      </c>
      <c r="E1990" s="465" t="s">
        <v>4608</v>
      </c>
      <c r="F1990" s="465" t="s">
        <v>4609</v>
      </c>
      <c r="G1990" s="465" t="s">
        <v>4551</v>
      </c>
      <c r="H1990" s="465" t="s">
        <v>4552</v>
      </c>
      <c r="I1990" s="465" t="s">
        <v>830</v>
      </c>
    </row>
    <row r="1991" hidden="1" ht="15.95" customHeight="1">
      <c r="A1991" s="465" t="s">
        <v>4614</v>
      </c>
      <c r="B1991" s="465" t="s">
        <v>3725</v>
      </c>
      <c r="C1991" s="465"/>
      <c r="D1991" s="465" t="s">
        <v>855</v>
      </c>
      <c r="E1991" s="465" t="s">
        <v>4608</v>
      </c>
      <c r="F1991" s="465" t="s">
        <v>4609</v>
      </c>
      <c r="G1991" s="465" t="s">
        <v>4551</v>
      </c>
      <c r="H1991" s="465" t="s">
        <v>4552</v>
      </c>
      <c r="I1991" s="465" t="s">
        <v>830</v>
      </c>
    </row>
    <row r="1992" hidden="1" ht="15.95" customHeight="1">
      <c r="A1992" s="465" t="s">
        <v>4615</v>
      </c>
      <c r="B1992" s="465" t="s">
        <v>4616</v>
      </c>
      <c r="C1992" s="465"/>
      <c r="D1992" s="465" t="s">
        <v>855</v>
      </c>
      <c r="E1992" s="465" t="s">
        <v>4608</v>
      </c>
      <c r="F1992" s="465" t="s">
        <v>4609</v>
      </c>
      <c r="G1992" s="465" t="s">
        <v>4551</v>
      </c>
      <c r="H1992" s="465" t="s">
        <v>4552</v>
      </c>
      <c r="I1992" s="465" t="s">
        <v>830</v>
      </c>
    </row>
    <row r="1993" hidden="1" ht="15.95" customHeight="1">
      <c r="A1993" s="465" t="s">
        <v>4617</v>
      </c>
      <c r="B1993" s="465" t="s">
        <v>4618</v>
      </c>
      <c r="C1993" s="465"/>
      <c r="D1993" s="465" t="s">
        <v>855</v>
      </c>
      <c r="E1993" s="465" t="s">
        <v>4608</v>
      </c>
      <c r="F1993" s="465" t="s">
        <v>4609</v>
      </c>
      <c r="G1993" s="465" t="s">
        <v>4551</v>
      </c>
      <c r="H1993" s="465" t="s">
        <v>4552</v>
      </c>
      <c r="I1993" s="465" t="s">
        <v>830</v>
      </c>
    </row>
    <row r="1994" hidden="1" ht="15.95" customHeight="1">
      <c r="A1994" s="465" t="s">
        <v>4619</v>
      </c>
      <c r="B1994" s="465" t="s">
        <v>1035</v>
      </c>
      <c r="C1994" s="465"/>
      <c r="D1994" s="465" t="s">
        <v>855</v>
      </c>
      <c r="E1994" s="465" t="s">
        <v>4608</v>
      </c>
      <c r="F1994" s="465" t="s">
        <v>4609</v>
      </c>
      <c r="G1994" s="465" t="s">
        <v>4551</v>
      </c>
      <c r="H1994" s="465" t="s">
        <v>4552</v>
      </c>
      <c r="I1994" s="465" t="s">
        <v>830</v>
      </c>
    </row>
    <row r="1995" hidden="1" ht="15.95" customHeight="1">
      <c r="A1995" s="465" t="s">
        <v>4620</v>
      </c>
      <c r="B1995" s="465" t="s">
        <v>4621</v>
      </c>
      <c r="C1995" s="465"/>
      <c r="D1995" s="465" t="s">
        <v>855</v>
      </c>
      <c r="E1995" s="465" t="s">
        <v>4608</v>
      </c>
      <c r="F1995" s="465" t="s">
        <v>4609</v>
      </c>
      <c r="G1995" s="465" t="s">
        <v>4551</v>
      </c>
      <c r="H1995" s="465" t="s">
        <v>4552</v>
      </c>
      <c r="I1995" s="465" t="s">
        <v>830</v>
      </c>
    </row>
    <row r="1996" hidden="1" ht="15.95" customHeight="1">
      <c r="A1996" s="465" t="s">
        <v>4622</v>
      </c>
      <c r="B1996" s="465" t="s">
        <v>2447</v>
      </c>
      <c r="C1996" s="465"/>
      <c r="D1996" s="465" t="s">
        <v>855</v>
      </c>
      <c r="E1996" s="465" t="s">
        <v>4608</v>
      </c>
      <c r="F1996" s="465" t="s">
        <v>4609</v>
      </c>
      <c r="G1996" s="465" t="s">
        <v>4551</v>
      </c>
      <c r="H1996" s="465" t="s">
        <v>4552</v>
      </c>
      <c r="I1996" s="465" t="s">
        <v>830</v>
      </c>
    </row>
    <row r="1997" hidden="1" ht="15.95" customHeight="1">
      <c r="A1997" s="465" t="s">
        <v>4623</v>
      </c>
      <c r="B1997" s="465" t="s">
        <v>4624</v>
      </c>
      <c r="C1997" s="465"/>
      <c r="D1997" s="465" t="s">
        <v>855</v>
      </c>
      <c r="E1997" s="465" t="s">
        <v>4625</v>
      </c>
      <c r="F1997" s="465" t="s">
        <v>4626</v>
      </c>
      <c r="G1997" s="465" t="s">
        <v>4551</v>
      </c>
      <c r="H1997" s="465" t="s">
        <v>4552</v>
      </c>
      <c r="I1997" s="465" t="s">
        <v>830</v>
      </c>
    </row>
    <row r="1998" hidden="1" ht="15.95" customHeight="1">
      <c r="A1998" s="465" t="s">
        <v>4627</v>
      </c>
      <c r="B1998" s="465" t="s">
        <v>4628</v>
      </c>
      <c r="C1998" s="465"/>
      <c r="D1998" s="465" t="s">
        <v>855</v>
      </c>
      <c r="E1998" s="465" t="s">
        <v>4625</v>
      </c>
      <c r="F1998" s="465" t="s">
        <v>4626</v>
      </c>
      <c r="G1998" s="465" t="s">
        <v>4551</v>
      </c>
      <c r="H1998" s="465" t="s">
        <v>4552</v>
      </c>
      <c r="I1998" s="465" t="s">
        <v>830</v>
      </c>
    </row>
    <row r="1999" hidden="1" ht="15.95" customHeight="1">
      <c r="A1999" s="465" t="s">
        <v>4629</v>
      </c>
      <c r="B1999" s="465" t="s">
        <v>4630</v>
      </c>
      <c r="C1999" s="465"/>
      <c r="D1999" s="465" t="s">
        <v>855</v>
      </c>
      <c r="E1999" s="465" t="s">
        <v>4625</v>
      </c>
      <c r="F1999" s="465" t="s">
        <v>4626</v>
      </c>
      <c r="G1999" s="465" t="s">
        <v>4551</v>
      </c>
      <c r="H1999" s="465" t="s">
        <v>4552</v>
      </c>
      <c r="I1999" s="465" t="s">
        <v>830</v>
      </c>
    </row>
    <row r="2000" hidden="1" ht="15.95" customHeight="1">
      <c r="A2000" s="465" t="s">
        <v>4631</v>
      </c>
      <c r="B2000" s="465" t="s">
        <v>4632</v>
      </c>
      <c r="C2000" s="465"/>
      <c r="D2000" s="465" t="s">
        <v>855</v>
      </c>
      <c r="E2000" s="465" t="s">
        <v>4625</v>
      </c>
      <c r="F2000" s="465" t="s">
        <v>4626</v>
      </c>
      <c r="G2000" s="465" t="s">
        <v>4551</v>
      </c>
      <c r="H2000" s="465" t="s">
        <v>4552</v>
      </c>
      <c r="I2000" s="465" t="s">
        <v>830</v>
      </c>
    </row>
    <row r="2001" hidden="1" ht="15.95" customHeight="1">
      <c r="A2001" s="465" t="s">
        <v>4633</v>
      </c>
      <c r="B2001" s="465" t="s">
        <v>4634</v>
      </c>
      <c r="C2001" s="465"/>
      <c r="D2001" s="465" t="s">
        <v>855</v>
      </c>
      <c r="E2001" s="465" t="s">
        <v>4625</v>
      </c>
      <c r="F2001" s="465" t="s">
        <v>4626</v>
      </c>
      <c r="G2001" s="465" t="s">
        <v>4551</v>
      </c>
      <c r="H2001" s="465" t="s">
        <v>4552</v>
      </c>
      <c r="I2001" s="465" t="s">
        <v>830</v>
      </c>
    </row>
    <row r="2002" hidden="1" ht="15.95" customHeight="1">
      <c r="A2002" s="465" t="s">
        <v>4635</v>
      </c>
      <c r="B2002" s="465" t="s">
        <v>4636</v>
      </c>
      <c r="C2002" s="465"/>
      <c r="D2002" s="465" t="s">
        <v>855</v>
      </c>
      <c r="E2002" s="465" t="s">
        <v>4625</v>
      </c>
      <c r="F2002" s="465" t="s">
        <v>4626</v>
      </c>
      <c r="G2002" s="465" t="s">
        <v>4551</v>
      </c>
      <c r="H2002" s="465" t="s">
        <v>4552</v>
      </c>
      <c r="I2002" s="465" t="s">
        <v>830</v>
      </c>
    </row>
    <row r="2003" hidden="1" ht="15.95" customHeight="1">
      <c r="A2003" s="465" t="s">
        <v>4637</v>
      </c>
      <c r="B2003" s="465" t="s">
        <v>4638</v>
      </c>
      <c r="C2003" s="465"/>
      <c r="D2003" s="465" t="s">
        <v>855</v>
      </c>
      <c r="E2003" s="465" t="s">
        <v>4625</v>
      </c>
      <c r="F2003" s="465" t="s">
        <v>4626</v>
      </c>
      <c r="G2003" s="465" t="s">
        <v>4551</v>
      </c>
      <c r="H2003" s="465" t="s">
        <v>4552</v>
      </c>
      <c r="I2003" s="465" t="s">
        <v>830</v>
      </c>
    </row>
    <row r="2004" hidden="1" ht="15.95" customHeight="1">
      <c r="A2004" s="465" t="s">
        <v>4639</v>
      </c>
      <c r="B2004" s="465" t="s">
        <v>4640</v>
      </c>
      <c r="C2004" s="465"/>
      <c r="D2004" s="465" t="s">
        <v>855</v>
      </c>
      <c r="E2004" s="465" t="s">
        <v>4625</v>
      </c>
      <c r="F2004" s="465" t="s">
        <v>4626</v>
      </c>
      <c r="G2004" s="465" t="s">
        <v>4551</v>
      </c>
      <c r="H2004" s="465" t="s">
        <v>4552</v>
      </c>
      <c r="I2004" s="465" t="s">
        <v>830</v>
      </c>
    </row>
    <row r="2005" hidden="1" ht="15.95" customHeight="1">
      <c r="A2005" s="465" t="s">
        <v>4641</v>
      </c>
      <c r="B2005" s="465" t="s">
        <v>1964</v>
      </c>
      <c r="C2005" s="465"/>
      <c r="D2005" s="465" t="s">
        <v>855</v>
      </c>
      <c r="E2005" s="465" t="s">
        <v>4625</v>
      </c>
      <c r="F2005" s="465" t="s">
        <v>4626</v>
      </c>
      <c r="G2005" s="465" t="s">
        <v>4551</v>
      </c>
      <c r="H2005" s="465" t="s">
        <v>4552</v>
      </c>
      <c r="I2005" s="465" t="s">
        <v>830</v>
      </c>
    </row>
    <row r="2006" hidden="1" ht="15.95" customHeight="1">
      <c r="A2006" s="465" t="s">
        <v>4642</v>
      </c>
      <c r="B2006" s="465" t="s">
        <v>4643</v>
      </c>
      <c r="C2006" s="465"/>
      <c r="D2006" s="465" t="s">
        <v>855</v>
      </c>
      <c r="E2006" s="465" t="s">
        <v>4625</v>
      </c>
      <c r="F2006" s="465" t="s">
        <v>4626</v>
      </c>
      <c r="G2006" s="465" t="s">
        <v>4551</v>
      </c>
      <c r="H2006" s="465" t="s">
        <v>4552</v>
      </c>
      <c r="I2006" s="465" t="s">
        <v>830</v>
      </c>
    </row>
    <row r="2007" hidden="1" ht="15.95" customHeight="1">
      <c r="A2007" s="465" t="s">
        <v>4644</v>
      </c>
      <c r="B2007" s="465" t="s">
        <v>4645</v>
      </c>
      <c r="C2007" s="465"/>
      <c r="D2007" s="465" t="s">
        <v>855</v>
      </c>
      <c r="E2007" s="465" t="s">
        <v>4625</v>
      </c>
      <c r="F2007" s="465" t="s">
        <v>4626</v>
      </c>
      <c r="G2007" s="465" t="s">
        <v>4551</v>
      </c>
      <c r="H2007" s="465" t="s">
        <v>4552</v>
      </c>
      <c r="I2007" s="465" t="s">
        <v>830</v>
      </c>
    </row>
    <row r="2008" hidden="1" ht="15.95" customHeight="1">
      <c r="A2008" s="465" t="s">
        <v>4646</v>
      </c>
      <c r="B2008" s="465" t="s">
        <v>4647</v>
      </c>
      <c r="C2008" s="465"/>
      <c r="D2008" s="465" t="s">
        <v>884</v>
      </c>
      <c r="E2008" s="465" t="s">
        <v>4648</v>
      </c>
      <c r="F2008" s="465" t="s">
        <v>4649</v>
      </c>
      <c r="G2008" s="465" t="s">
        <v>4551</v>
      </c>
      <c r="H2008" s="465" t="s">
        <v>4552</v>
      </c>
      <c r="I2008" s="465" t="s">
        <v>830</v>
      </c>
    </row>
    <row r="2009" hidden="1" ht="15.95" customHeight="1">
      <c r="A2009" s="465" t="s">
        <v>4650</v>
      </c>
      <c r="B2009" s="465" t="s">
        <v>2623</v>
      </c>
      <c r="C2009" s="465"/>
      <c r="D2009" s="465" t="s">
        <v>855</v>
      </c>
      <c r="E2009" s="465" t="s">
        <v>4648</v>
      </c>
      <c r="F2009" s="465" t="s">
        <v>4649</v>
      </c>
      <c r="G2009" s="465" t="s">
        <v>4551</v>
      </c>
      <c r="H2009" s="465" t="s">
        <v>4552</v>
      </c>
      <c r="I2009" s="465" t="s">
        <v>830</v>
      </c>
    </row>
    <row r="2010" hidden="1" ht="15.95" customHeight="1">
      <c r="A2010" s="465" t="s">
        <v>4651</v>
      </c>
      <c r="B2010" s="465" t="s">
        <v>4652</v>
      </c>
      <c r="C2010" s="465"/>
      <c r="D2010" s="465" t="s">
        <v>855</v>
      </c>
      <c r="E2010" s="465" t="s">
        <v>4648</v>
      </c>
      <c r="F2010" s="465" t="s">
        <v>4649</v>
      </c>
      <c r="G2010" s="465" t="s">
        <v>4551</v>
      </c>
      <c r="H2010" s="465" t="s">
        <v>4552</v>
      </c>
      <c r="I2010" s="465" t="s">
        <v>830</v>
      </c>
    </row>
    <row r="2011" hidden="1" ht="15.95" customHeight="1">
      <c r="A2011" s="465" t="s">
        <v>4653</v>
      </c>
      <c r="B2011" s="465" t="s">
        <v>4654</v>
      </c>
      <c r="C2011" s="465"/>
      <c r="D2011" s="465" t="s">
        <v>855</v>
      </c>
      <c r="E2011" s="465" t="s">
        <v>4648</v>
      </c>
      <c r="F2011" s="465" t="s">
        <v>4649</v>
      </c>
      <c r="G2011" s="465" t="s">
        <v>4551</v>
      </c>
      <c r="H2011" s="465" t="s">
        <v>4552</v>
      </c>
      <c r="I2011" s="465" t="s">
        <v>830</v>
      </c>
    </row>
    <row r="2012" hidden="1" ht="15.95" customHeight="1">
      <c r="A2012" s="465" t="s">
        <v>4655</v>
      </c>
      <c r="B2012" s="465" t="s">
        <v>3918</v>
      </c>
      <c r="C2012" s="465"/>
      <c r="D2012" s="465" t="s">
        <v>855</v>
      </c>
      <c r="E2012" s="465" t="s">
        <v>4648</v>
      </c>
      <c r="F2012" s="465" t="s">
        <v>4649</v>
      </c>
      <c r="G2012" s="465" t="s">
        <v>4551</v>
      </c>
      <c r="H2012" s="465" t="s">
        <v>4552</v>
      </c>
      <c r="I2012" s="465" t="s">
        <v>830</v>
      </c>
    </row>
    <row r="2013" hidden="1" ht="15.95" customHeight="1">
      <c r="A2013" s="465" t="s">
        <v>4656</v>
      </c>
      <c r="B2013" s="465" t="s">
        <v>4657</v>
      </c>
      <c r="C2013" s="465"/>
      <c r="D2013" s="465" t="s">
        <v>855</v>
      </c>
      <c r="E2013" s="465" t="s">
        <v>4648</v>
      </c>
      <c r="F2013" s="465" t="s">
        <v>4649</v>
      </c>
      <c r="G2013" s="465" t="s">
        <v>4551</v>
      </c>
      <c r="H2013" s="465" t="s">
        <v>4552</v>
      </c>
      <c r="I2013" s="465" t="s">
        <v>830</v>
      </c>
    </row>
    <row r="2014" hidden="1" ht="15.95" customHeight="1">
      <c r="A2014" s="465" t="s">
        <v>4658</v>
      </c>
      <c r="B2014" s="465" t="s">
        <v>1986</v>
      </c>
      <c r="C2014" s="465"/>
      <c r="D2014" s="465" t="s">
        <v>855</v>
      </c>
      <c r="E2014" s="465" t="s">
        <v>4648</v>
      </c>
      <c r="F2014" s="465" t="s">
        <v>4649</v>
      </c>
      <c r="G2014" s="465" t="s">
        <v>4551</v>
      </c>
      <c r="H2014" s="465" t="s">
        <v>4552</v>
      </c>
      <c r="I2014" s="465" t="s">
        <v>830</v>
      </c>
    </row>
    <row r="2015" hidden="1" ht="15.95" customHeight="1">
      <c r="A2015" s="465" t="s">
        <v>4659</v>
      </c>
      <c r="B2015" s="465" t="s">
        <v>2089</v>
      </c>
      <c r="C2015" s="465"/>
      <c r="D2015" s="465" t="s">
        <v>855</v>
      </c>
      <c r="E2015" s="465" t="s">
        <v>4648</v>
      </c>
      <c r="F2015" s="465" t="s">
        <v>4649</v>
      </c>
      <c r="G2015" s="465" t="s">
        <v>4551</v>
      </c>
      <c r="H2015" s="465" t="s">
        <v>4552</v>
      </c>
      <c r="I2015" s="465" t="s">
        <v>830</v>
      </c>
    </row>
    <row r="2016" hidden="1" ht="15.95" customHeight="1">
      <c r="A2016" s="465" t="s">
        <v>4660</v>
      </c>
      <c r="B2016" s="465" t="s">
        <v>2352</v>
      </c>
      <c r="C2016" s="465"/>
      <c r="D2016" s="465" t="s">
        <v>855</v>
      </c>
      <c r="E2016" s="465" t="s">
        <v>4648</v>
      </c>
      <c r="F2016" s="465" t="s">
        <v>4649</v>
      </c>
      <c r="G2016" s="465" t="s">
        <v>4551</v>
      </c>
      <c r="H2016" s="465" t="s">
        <v>4552</v>
      </c>
      <c r="I2016" s="465" t="s">
        <v>830</v>
      </c>
    </row>
    <row r="2017" hidden="1" ht="15.95" customHeight="1">
      <c r="A2017" s="465" t="s">
        <v>4661</v>
      </c>
      <c r="B2017" s="465" t="s">
        <v>4662</v>
      </c>
      <c r="C2017" s="465"/>
      <c r="D2017" s="465" t="s">
        <v>855</v>
      </c>
      <c r="E2017" s="465" t="s">
        <v>4648</v>
      </c>
      <c r="F2017" s="465" t="s">
        <v>4649</v>
      </c>
      <c r="G2017" s="465" t="s">
        <v>4551</v>
      </c>
      <c r="H2017" s="465" t="s">
        <v>4552</v>
      </c>
      <c r="I2017" s="465" t="s">
        <v>830</v>
      </c>
    </row>
    <row r="2018" hidden="1" ht="15.95" customHeight="1">
      <c r="A2018" s="465" t="s">
        <v>4663</v>
      </c>
      <c r="B2018" s="465" t="s">
        <v>4664</v>
      </c>
      <c r="C2018" s="465"/>
      <c r="D2018" s="465" t="s">
        <v>855</v>
      </c>
      <c r="E2018" s="465" t="s">
        <v>4648</v>
      </c>
      <c r="F2018" s="465" t="s">
        <v>4649</v>
      </c>
      <c r="G2018" s="465" t="s">
        <v>4551</v>
      </c>
      <c r="H2018" s="465" t="s">
        <v>4552</v>
      </c>
      <c r="I2018" s="465" t="s">
        <v>830</v>
      </c>
    </row>
    <row r="2019" hidden="1" ht="15.95" customHeight="1">
      <c r="A2019" s="465" t="s">
        <v>4665</v>
      </c>
      <c r="B2019" s="465" t="s">
        <v>4666</v>
      </c>
      <c r="C2019" s="465"/>
      <c r="D2019" s="465" t="s">
        <v>855</v>
      </c>
      <c r="E2019" s="465" t="s">
        <v>4648</v>
      </c>
      <c r="F2019" s="465" t="s">
        <v>4649</v>
      </c>
      <c r="G2019" s="465" t="s">
        <v>4551</v>
      </c>
      <c r="H2019" s="465" t="s">
        <v>4552</v>
      </c>
      <c r="I2019" s="465" t="s">
        <v>830</v>
      </c>
    </row>
    <row r="2020" hidden="1" ht="15.95" customHeight="1">
      <c r="A2020" s="465" t="s">
        <v>4667</v>
      </c>
      <c r="B2020" s="465" t="s">
        <v>4668</v>
      </c>
      <c r="C2020" s="465"/>
      <c r="D2020" s="465" t="s">
        <v>884</v>
      </c>
      <c r="E2020" s="465" t="s">
        <v>4669</v>
      </c>
      <c r="F2020" s="465" t="s">
        <v>4670</v>
      </c>
      <c r="G2020" s="465" t="s">
        <v>4551</v>
      </c>
      <c r="H2020" s="465" t="s">
        <v>4552</v>
      </c>
      <c r="I2020" s="465" t="s">
        <v>830</v>
      </c>
    </row>
    <row r="2021" hidden="1" ht="15.95" customHeight="1">
      <c r="A2021" s="465" t="s">
        <v>4671</v>
      </c>
      <c r="B2021" s="465" t="s">
        <v>3413</v>
      </c>
      <c r="C2021" s="465"/>
      <c r="D2021" s="465" t="s">
        <v>855</v>
      </c>
      <c r="E2021" s="465" t="s">
        <v>4669</v>
      </c>
      <c r="F2021" s="465" t="s">
        <v>4670</v>
      </c>
      <c r="G2021" s="465" t="s">
        <v>4551</v>
      </c>
      <c r="H2021" s="465" t="s">
        <v>4552</v>
      </c>
      <c r="I2021" s="465" t="s">
        <v>830</v>
      </c>
    </row>
    <row r="2022" hidden="1" ht="15.95" customHeight="1">
      <c r="A2022" s="465" t="s">
        <v>4672</v>
      </c>
      <c r="B2022" s="465" t="s">
        <v>3253</v>
      </c>
      <c r="C2022" s="465"/>
      <c r="D2022" s="465" t="s">
        <v>855</v>
      </c>
      <c r="E2022" s="465" t="s">
        <v>4669</v>
      </c>
      <c r="F2022" s="465" t="s">
        <v>4670</v>
      </c>
      <c r="G2022" s="465" t="s">
        <v>4551</v>
      </c>
      <c r="H2022" s="465" t="s">
        <v>4552</v>
      </c>
      <c r="I2022" s="465" t="s">
        <v>830</v>
      </c>
    </row>
    <row r="2023" hidden="1" ht="15.95" customHeight="1">
      <c r="A2023" s="465" t="s">
        <v>4673</v>
      </c>
      <c r="B2023" s="465" t="s">
        <v>4674</v>
      </c>
      <c r="C2023" s="465"/>
      <c r="D2023" s="465" t="s">
        <v>855</v>
      </c>
      <c r="E2023" s="465" t="s">
        <v>4669</v>
      </c>
      <c r="F2023" s="465" t="s">
        <v>4670</v>
      </c>
      <c r="G2023" s="465" t="s">
        <v>4551</v>
      </c>
      <c r="H2023" s="465" t="s">
        <v>4552</v>
      </c>
      <c r="I2023" s="465" t="s">
        <v>830</v>
      </c>
    </row>
    <row r="2024" hidden="1" ht="15.95" customHeight="1">
      <c r="A2024" s="465" t="s">
        <v>4675</v>
      </c>
      <c r="B2024" s="465" t="s">
        <v>4676</v>
      </c>
      <c r="C2024" s="465"/>
      <c r="D2024" s="465" t="s">
        <v>855</v>
      </c>
      <c r="E2024" s="465" t="s">
        <v>4669</v>
      </c>
      <c r="F2024" s="465" t="s">
        <v>4670</v>
      </c>
      <c r="G2024" s="465" t="s">
        <v>4551</v>
      </c>
      <c r="H2024" s="465" t="s">
        <v>4552</v>
      </c>
      <c r="I2024" s="465" t="s">
        <v>830</v>
      </c>
    </row>
    <row r="2025" hidden="1" ht="15.95" customHeight="1">
      <c r="A2025" s="465" t="s">
        <v>4677</v>
      </c>
      <c r="B2025" s="465" t="s">
        <v>4072</v>
      </c>
      <c r="C2025" s="465"/>
      <c r="D2025" s="465" t="s">
        <v>855</v>
      </c>
      <c r="E2025" s="465" t="s">
        <v>4669</v>
      </c>
      <c r="F2025" s="465" t="s">
        <v>4670</v>
      </c>
      <c r="G2025" s="465" t="s">
        <v>4551</v>
      </c>
      <c r="H2025" s="465" t="s">
        <v>4552</v>
      </c>
      <c r="I2025" s="465" t="s">
        <v>830</v>
      </c>
    </row>
    <row r="2026" hidden="1" ht="15.95" customHeight="1">
      <c r="A2026" s="465" t="s">
        <v>4678</v>
      </c>
      <c r="B2026" s="465" t="s">
        <v>4679</v>
      </c>
      <c r="C2026" s="465"/>
      <c r="D2026" s="465" t="s">
        <v>855</v>
      </c>
      <c r="E2026" s="465" t="s">
        <v>4669</v>
      </c>
      <c r="F2026" s="465" t="s">
        <v>4670</v>
      </c>
      <c r="G2026" s="465" t="s">
        <v>4551</v>
      </c>
      <c r="H2026" s="465" t="s">
        <v>4552</v>
      </c>
      <c r="I2026" s="465" t="s">
        <v>830</v>
      </c>
    </row>
    <row r="2027" hidden="1" ht="15.95" customHeight="1">
      <c r="A2027" s="465" t="s">
        <v>4680</v>
      </c>
      <c r="B2027" s="465" t="s">
        <v>4681</v>
      </c>
      <c r="C2027" s="465"/>
      <c r="D2027" s="465" t="s">
        <v>855</v>
      </c>
      <c r="E2027" s="465" t="s">
        <v>4669</v>
      </c>
      <c r="F2027" s="465" t="s">
        <v>4670</v>
      </c>
      <c r="G2027" s="465" t="s">
        <v>4551</v>
      </c>
      <c r="H2027" s="465" t="s">
        <v>4552</v>
      </c>
      <c r="I2027" s="465" t="s">
        <v>830</v>
      </c>
    </row>
    <row r="2028" hidden="1" ht="15.95" customHeight="1">
      <c r="A2028" s="465" t="s">
        <v>4682</v>
      </c>
      <c r="B2028" s="465" t="s">
        <v>4683</v>
      </c>
      <c r="C2028" s="465"/>
      <c r="D2028" s="465" t="s">
        <v>855</v>
      </c>
      <c r="E2028" s="465" t="s">
        <v>4669</v>
      </c>
      <c r="F2028" s="465" t="s">
        <v>4670</v>
      </c>
      <c r="G2028" s="465" t="s">
        <v>4551</v>
      </c>
      <c r="H2028" s="465" t="s">
        <v>4552</v>
      </c>
      <c r="I2028" s="465" t="s">
        <v>830</v>
      </c>
    </row>
    <row r="2029" hidden="1" ht="15.95" customHeight="1">
      <c r="A2029" s="465" t="s">
        <v>4684</v>
      </c>
      <c r="B2029" s="465" t="s">
        <v>3451</v>
      </c>
      <c r="C2029" s="465"/>
      <c r="D2029" s="465" t="s">
        <v>855</v>
      </c>
      <c r="E2029" s="465" t="s">
        <v>4669</v>
      </c>
      <c r="F2029" s="465" t="s">
        <v>4670</v>
      </c>
      <c r="G2029" s="465" t="s">
        <v>4551</v>
      </c>
      <c r="H2029" s="465" t="s">
        <v>4552</v>
      </c>
      <c r="I2029" s="465" t="s">
        <v>830</v>
      </c>
    </row>
    <row r="2030" hidden="1" ht="15.95" customHeight="1">
      <c r="A2030" s="465" t="s">
        <v>4685</v>
      </c>
      <c r="B2030" s="465" t="s">
        <v>2306</v>
      </c>
      <c r="C2030" s="465"/>
      <c r="D2030" s="465" t="s">
        <v>855</v>
      </c>
      <c r="E2030" s="465" t="s">
        <v>4669</v>
      </c>
      <c r="F2030" s="465" t="s">
        <v>4670</v>
      </c>
      <c r="G2030" s="465" t="s">
        <v>4551</v>
      </c>
      <c r="H2030" s="465" t="s">
        <v>4552</v>
      </c>
      <c r="I2030" s="465" t="s">
        <v>830</v>
      </c>
    </row>
    <row r="2031" hidden="1" ht="15.95" customHeight="1">
      <c r="A2031" s="465" t="s">
        <v>4686</v>
      </c>
      <c r="B2031" s="465" t="s">
        <v>4687</v>
      </c>
      <c r="C2031" s="465"/>
      <c r="D2031" s="465" t="s">
        <v>855</v>
      </c>
      <c r="E2031" s="465" t="s">
        <v>4669</v>
      </c>
      <c r="F2031" s="465" t="s">
        <v>4670</v>
      </c>
      <c r="G2031" s="465" t="s">
        <v>4551</v>
      </c>
      <c r="H2031" s="465" t="s">
        <v>4552</v>
      </c>
      <c r="I2031" s="465" t="s">
        <v>830</v>
      </c>
    </row>
    <row r="2032" hidden="1" ht="15.95" customHeight="1">
      <c r="A2032" s="465" t="s">
        <v>4688</v>
      </c>
      <c r="B2032" s="465" t="s">
        <v>4256</v>
      </c>
      <c r="C2032" s="465"/>
      <c r="D2032" s="465" t="s">
        <v>855</v>
      </c>
      <c r="E2032" s="465" t="s">
        <v>4669</v>
      </c>
      <c r="F2032" s="465" t="s">
        <v>4670</v>
      </c>
      <c r="G2032" s="465" t="s">
        <v>4551</v>
      </c>
      <c r="H2032" s="465" t="s">
        <v>4552</v>
      </c>
      <c r="I2032" s="465" t="s">
        <v>830</v>
      </c>
    </row>
    <row r="2033" hidden="1" ht="15.95" customHeight="1">
      <c r="A2033" s="465" t="s">
        <v>4689</v>
      </c>
      <c r="B2033" s="465" t="s">
        <v>4690</v>
      </c>
      <c r="C2033" s="465"/>
      <c r="D2033" s="465" t="s">
        <v>884</v>
      </c>
      <c r="E2033" s="465" t="s">
        <v>4691</v>
      </c>
      <c r="F2033" s="465" t="s">
        <v>4692</v>
      </c>
      <c r="G2033" s="465" t="s">
        <v>4551</v>
      </c>
      <c r="H2033" s="465" t="s">
        <v>4552</v>
      </c>
      <c r="I2033" s="465" t="s">
        <v>830</v>
      </c>
    </row>
    <row r="2034" hidden="1" ht="15.95" customHeight="1">
      <c r="A2034" s="465" t="s">
        <v>4693</v>
      </c>
      <c r="B2034" s="465" t="s">
        <v>4694</v>
      </c>
      <c r="C2034" s="465"/>
      <c r="D2034" s="465" t="s">
        <v>855</v>
      </c>
      <c r="E2034" s="465" t="s">
        <v>4691</v>
      </c>
      <c r="F2034" s="465" t="s">
        <v>4692</v>
      </c>
      <c r="G2034" s="465" t="s">
        <v>4551</v>
      </c>
      <c r="H2034" s="465" t="s">
        <v>4552</v>
      </c>
      <c r="I2034" s="465" t="s">
        <v>830</v>
      </c>
    </row>
    <row r="2035" hidden="1" ht="15.95" customHeight="1">
      <c r="A2035" s="465" t="s">
        <v>4695</v>
      </c>
      <c r="B2035" s="465" t="s">
        <v>4696</v>
      </c>
      <c r="C2035" s="465"/>
      <c r="D2035" s="465" t="s">
        <v>855</v>
      </c>
      <c r="E2035" s="465" t="s">
        <v>4691</v>
      </c>
      <c r="F2035" s="465" t="s">
        <v>4692</v>
      </c>
      <c r="G2035" s="465" t="s">
        <v>4551</v>
      </c>
      <c r="H2035" s="465" t="s">
        <v>4552</v>
      </c>
      <c r="I2035" s="465" t="s">
        <v>830</v>
      </c>
    </row>
    <row r="2036" hidden="1" ht="15.95" customHeight="1">
      <c r="A2036" s="465" t="s">
        <v>4697</v>
      </c>
      <c r="B2036" s="465" t="s">
        <v>4698</v>
      </c>
      <c r="C2036" s="465"/>
      <c r="D2036" s="465" t="s">
        <v>855</v>
      </c>
      <c r="E2036" s="465" t="s">
        <v>4691</v>
      </c>
      <c r="F2036" s="465" t="s">
        <v>4692</v>
      </c>
      <c r="G2036" s="465" t="s">
        <v>4551</v>
      </c>
      <c r="H2036" s="465" t="s">
        <v>4552</v>
      </c>
      <c r="I2036" s="465" t="s">
        <v>830</v>
      </c>
    </row>
    <row r="2037" hidden="1" ht="15.95" customHeight="1">
      <c r="A2037" s="465" t="s">
        <v>4699</v>
      </c>
      <c r="B2037" s="465" t="s">
        <v>3999</v>
      </c>
      <c r="C2037" s="465"/>
      <c r="D2037" s="465" t="s">
        <v>855</v>
      </c>
      <c r="E2037" s="465" t="s">
        <v>4691</v>
      </c>
      <c r="F2037" s="465" t="s">
        <v>4692</v>
      </c>
      <c r="G2037" s="465" t="s">
        <v>4551</v>
      </c>
      <c r="H2037" s="465" t="s">
        <v>4552</v>
      </c>
      <c r="I2037" s="465" t="s">
        <v>830</v>
      </c>
    </row>
    <row r="2038" hidden="1" ht="15.95" customHeight="1">
      <c r="A2038" s="465" t="s">
        <v>4700</v>
      </c>
      <c r="B2038" s="465" t="s">
        <v>1441</v>
      </c>
      <c r="C2038" s="465"/>
      <c r="D2038" s="465" t="s">
        <v>855</v>
      </c>
      <c r="E2038" s="465" t="s">
        <v>4691</v>
      </c>
      <c r="F2038" s="465" t="s">
        <v>4692</v>
      </c>
      <c r="G2038" s="465" t="s">
        <v>4551</v>
      </c>
      <c r="H2038" s="465" t="s">
        <v>4552</v>
      </c>
      <c r="I2038" s="465" t="s">
        <v>830</v>
      </c>
    </row>
    <row r="2039" hidden="1" ht="15.95" customHeight="1">
      <c r="A2039" s="465" t="s">
        <v>4701</v>
      </c>
      <c r="B2039" s="465" t="s">
        <v>4702</v>
      </c>
      <c r="C2039" s="465"/>
      <c r="D2039" s="465" t="s">
        <v>855</v>
      </c>
      <c r="E2039" s="465" t="s">
        <v>4691</v>
      </c>
      <c r="F2039" s="465" t="s">
        <v>4692</v>
      </c>
      <c r="G2039" s="465" t="s">
        <v>4551</v>
      </c>
      <c r="H2039" s="465" t="s">
        <v>4552</v>
      </c>
      <c r="I2039" s="465" t="s">
        <v>830</v>
      </c>
    </row>
    <row r="2040" hidden="1" ht="15.95" customHeight="1">
      <c r="A2040" s="465" t="s">
        <v>4703</v>
      </c>
      <c r="B2040" s="465" t="s">
        <v>4704</v>
      </c>
      <c r="C2040" s="465"/>
      <c r="D2040" s="465" t="s">
        <v>855</v>
      </c>
      <c r="E2040" s="465" t="s">
        <v>4691</v>
      </c>
      <c r="F2040" s="465" t="s">
        <v>4692</v>
      </c>
      <c r="G2040" s="465" t="s">
        <v>4551</v>
      </c>
      <c r="H2040" s="465" t="s">
        <v>4552</v>
      </c>
      <c r="I2040" s="465" t="s">
        <v>830</v>
      </c>
    </row>
    <row r="2041" hidden="1" ht="15.95" customHeight="1">
      <c r="A2041" s="465" t="s">
        <v>4705</v>
      </c>
      <c r="B2041" s="465" t="s">
        <v>4706</v>
      </c>
      <c r="C2041" s="465"/>
      <c r="D2041" s="465" t="s">
        <v>855</v>
      </c>
      <c r="E2041" s="465" t="s">
        <v>4691</v>
      </c>
      <c r="F2041" s="465" t="s">
        <v>4692</v>
      </c>
      <c r="G2041" s="465" t="s">
        <v>4551</v>
      </c>
      <c r="H2041" s="465" t="s">
        <v>4552</v>
      </c>
      <c r="I2041" s="465" t="s">
        <v>830</v>
      </c>
    </row>
    <row r="2042" hidden="1" ht="15.95" customHeight="1">
      <c r="A2042" s="465" t="s">
        <v>4707</v>
      </c>
      <c r="B2042" s="465" t="s">
        <v>4708</v>
      </c>
      <c r="C2042" s="465"/>
      <c r="D2042" s="465" t="s">
        <v>855</v>
      </c>
      <c r="E2042" s="465" t="s">
        <v>4691</v>
      </c>
      <c r="F2042" s="465" t="s">
        <v>4692</v>
      </c>
      <c r="G2042" s="465" t="s">
        <v>4551</v>
      </c>
      <c r="H2042" s="465" t="s">
        <v>4552</v>
      </c>
      <c r="I2042" s="465" t="s">
        <v>830</v>
      </c>
    </row>
    <row r="2043" hidden="1" ht="15.95" customHeight="1">
      <c r="A2043" s="465" t="s">
        <v>4709</v>
      </c>
      <c r="B2043" s="465" t="s">
        <v>1902</v>
      </c>
      <c r="C2043" s="465"/>
      <c r="D2043" s="465" t="s">
        <v>855</v>
      </c>
      <c r="E2043" s="465" t="s">
        <v>4691</v>
      </c>
      <c r="F2043" s="465" t="s">
        <v>4692</v>
      </c>
      <c r="G2043" s="465" t="s">
        <v>4551</v>
      </c>
      <c r="H2043" s="465" t="s">
        <v>4552</v>
      </c>
      <c r="I2043" s="465" t="s">
        <v>830</v>
      </c>
    </row>
    <row r="2044" hidden="1" ht="15.95" customHeight="1">
      <c r="A2044" s="465" t="s">
        <v>4710</v>
      </c>
      <c r="B2044" s="465" t="s">
        <v>3685</v>
      </c>
      <c r="C2044" s="465"/>
      <c r="D2044" s="465" t="s">
        <v>855</v>
      </c>
      <c r="E2044" s="465" t="s">
        <v>4691</v>
      </c>
      <c r="F2044" s="465" t="s">
        <v>4692</v>
      </c>
      <c r="G2044" s="465" t="s">
        <v>4551</v>
      </c>
      <c r="H2044" s="465" t="s">
        <v>4552</v>
      </c>
      <c r="I2044" s="465" t="s">
        <v>830</v>
      </c>
    </row>
    <row r="2045" hidden="1" ht="15.95" customHeight="1">
      <c r="A2045" s="465" t="s">
        <v>4711</v>
      </c>
      <c r="B2045" s="465" t="s">
        <v>4712</v>
      </c>
      <c r="C2045" s="465"/>
      <c r="D2045" s="465" t="s">
        <v>855</v>
      </c>
      <c r="E2045" s="465" t="s">
        <v>4691</v>
      </c>
      <c r="F2045" s="465" t="s">
        <v>4692</v>
      </c>
      <c r="G2045" s="465" t="s">
        <v>4551</v>
      </c>
      <c r="H2045" s="465" t="s">
        <v>4552</v>
      </c>
      <c r="I2045" s="465" t="s">
        <v>830</v>
      </c>
    </row>
    <row r="2046" hidden="1" ht="15.95" customHeight="1">
      <c r="A2046" s="465" t="s">
        <v>4713</v>
      </c>
      <c r="B2046" s="465" t="s">
        <v>3730</v>
      </c>
      <c r="C2046" s="465"/>
      <c r="D2046" s="465" t="s">
        <v>855</v>
      </c>
      <c r="E2046" s="465" t="s">
        <v>4691</v>
      </c>
      <c r="F2046" s="465" t="s">
        <v>4692</v>
      </c>
      <c r="G2046" s="465" t="s">
        <v>4551</v>
      </c>
      <c r="H2046" s="465" t="s">
        <v>4552</v>
      </c>
      <c r="I2046" s="465" t="s">
        <v>830</v>
      </c>
    </row>
    <row r="2047" hidden="1" ht="15.95" customHeight="1">
      <c r="A2047" s="465" t="s">
        <v>4714</v>
      </c>
      <c r="B2047" s="465" t="s">
        <v>4715</v>
      </c>
      <c r="C2047" s="465"/>
      <c r="D2047" s="465" t="s">
        <v>855</v>
      </c>
      <c r="E2047" s="465" t="s">
        <v>4691</v>
      </c>
      <c r="F2047" s="465" t="s">
        <v>4692</v>
      </c>
      <c r="G2047" s="465" t="s">
        <v>4551</v>
      </c>
      <c r="H2047" s="465" t="s">
        <v>4552</v>
      </c>
      <c r="I2047" s="465" t="s">
        <v>830</v>
      </c>
    </row>
    <row r="2048" hidden="1" ht="15.95" customHeight="1">
      <c r="A2048" s="465" t="s">
        <v>4716</v>
      </c>
      <c r="B2048" s="465" t="s">
        <v>4717</v>
      </c>
      <c r="C2048" s="465"/>
      <c r="D2048" s="465" t="s">
        <v>855</v>
      </c>
      <c r="E2048" s="465" t="s">
        <v>4691</v>
      </c>
      <c r="F2048" s="465" t="s">
        <v>4692</v>
      </c>
      <c r="G2048" s="465" t="s">
        <v>4551</v>
      </c>
      <c r="H2048" s="465" t="s">
        <v>4552</v>
      </c>
      <c r="I2048" s="465" t="s">
        <v>830</v>
      </c>
    </row>
    <row r="2049" hidden="1" ht="15.95" customHeight="1">
      <c r="A2049" s="465" t="s">
        <v>4718</v>
      </c>
      <c r="B2049" s="465" t="s">
        <v>4719</v>
      </c>
      <c r="C2049" s="465"/>
      <c r="D2049" s="465" t="s">
        <v>855</v>
      </c>
      <c r="E2049" s="465" t="s">
        <v>4691</v>
      </c>
      <c r="F2049" s="465" t="s">
        <v>4692</v>
      </c>
      <c r="G2049" s="465" t="s">
        <v>4551</v>
      </c>
      <c r="H2049" s="465" t="s">
        <v>4552</v>
      </c>
      <c r="I2049" s="465" t="s">
        <v>830</v>
      </c>
    </row>
    <row r="2050" hidden="1" ht="15.95" customHeight="1">
      <c r="A2050" s="465" t="s">
        <v>4720</v>
      </c>
      <c r="B2050" s="465" t="s">
        <v>1060</v>
      </c>
      <c r="C2050" s="465"/>
      <c r="D2050" s="465" t="s">
        <v>855</v>
      </c>
      <c r="E2050" s="465" t="s">
        <v>4691</v>
      </c>
      <c r="F2050" s="465" t="s">
        <v>4692</v>
      </c>
      <c r="G2050" s="465" t="s">
        <v>4551</v>
      </c>
      <c r="H2050" s="465" t="s">
        <v>4552</v>
      </c>
      <c r="I2050" s="465" t="s">
        <v>830</v>
      </c>
    </row>
    <row r="2051" hidden="1" ht="15.95" customHeight="1">
      <c r="A2051" s="465" t="s">
        <v>4721</v>
      </c>
      <c r="B2051" s="465" t="s">
        <v>1665</v>
      </c>
      <c r="C2051" s="465"/>
      <c r="D2051" s="465" t="s">
        <v>884</v>
      </c>
      <c r="E2051" s="465" t="s">
        <v>4722</v>
      </c>
      <c r="F2051" s="465" t="s">
        <v>4723</v>
      </c>
      <c r="G2051" s="465" t="s">
        <v>4551</v>
      </c>
      <c r="H2051" s="465" t="s">
        <v>4552</v>
      </c>
      <c r="I2051" s="465" t="s">
        <v>830</v>
      </c>
    </row>
    <row r="2052" hidden="1" ht="15.95" customHeight="1">
      <c r="A2052" s="465" t="s">
        <v>4724</v>
      </c>
      <c r="B2052" s="465" t="s">
        <v>4547</v>
      </c>
      <c r="C2052" s="465"/>
      <c r="D2052" s="465" t="s">
        <v>855</v>
      </c>
      <c r="E2052" s="465" t="s">
        <v>4722</v>
      </c>
      <c r="F2052" s="465" t="s">
        <v>4723</v>
      </c>
      <c r="G2052" s="465" t="s">
        <v>4551</v>
      </c>
      <c r="H2052" s="465" t="s">
        <v>4552</v>
      </c>
      <c r="I2052" s="465" t="s">
        <v>830</v>
      </c>
    </row>
    <row r="2053" hidden="1" ht="15.95" customHeight="1">
      <c r="A2053" s="465" t="s">
        <v>4725</v>
      </c>
      <c r="B2053" s="465" t="s">
        <v>1722</v>
      </c>
      <c r="C2053" s="465"/>
      <c r="D2053" s="465" t="s">
        <v>855</v>
      </c>
      <c r="E2053" s="465" t="s">
        <v>4722</v>
      </c>
      <c r="F2053" s="465" t="s">
        <v>4723</v>
      </c>
      <c r="G2053" s="465" t="s">
        <v>4551</v>
      </c>
      <c r="H2053" s="465" t="s">
        <v>4552</v>
      </c>
      <c r="I2053" s="465" t="s">
        <v>830</v>
      </c>
    </row>
    <row r="2054" hidden="1" ht="15.95" customHeight="1">
      <c r="A2054" s="465" t="s">
        <v>4726</v>
      </c>
      <c r="B2054" s="465" t="s">
        <v>4727</v>
      </c>
      <c r="C2054" s="465"/>
      <c r="D2054" s="465" t="s">
        <v>855</v>
      </c>
      <c r="E2054" s="465" t="s">
        <v>4722</v>
      </c>
      <c r="F2054" s="465" t="s">
        <v>4723</v>
      </c>
      <c r="G2054" s="465" t="s">
        <v>4551</v>
      </c>
      <c r="H2054" s="465" t="s">
        <v>4552</v>
      </c>
      <c r="I2054" s="465" t="s">
        <v>830</v>
      </c>
    </row>
    <row r="2055" hidden="1" ht="15.95" customHeight="1">
      <c r="A2055" s="465" t="s">
        <v>4728</v>
      </c>
      <c r="B2055" s="465" t="s">
        <v>2340</v>
      </c>
      <c r="C2055" s="465"/>
      <c r="D2055" s="465" t="s">
        <v>855</v>
      </c>
      <c r="E2055" s="465" t="s">
        <v>4722</v>
      </c>
      <c r="F2055" s="465" t="s">
        <v>4723</v>
      </c>
      <c r="G2055" s="465" t="s">
        <v>4551</v>
      </c>
      <c r="H2055" s="465" t="s">
        <v>4552</v>
      </c>
      <c r="I2055" s="465" t="s">
        <v>830</v>
      </c>
    </row>
    <row r="2056" hidden="1" ht="15.95" customHeight="1">
      <c r="A2056" s="465" t="s">
        <v>4729</v>
      </c>
      <c r="B2056" s="465" t="s">
        <v>2180</v>
      </c>
      <c r="C2056" s="465"/>
      <c r="D2056" s="465" t="s">
        <v>855</v>
      </c>
      <c r="E2056" s="465" t="s">
        <v>4722</v>
      </c>
      <c r="F2056" s="465" t="s">
        <v>4723</v>
      </c>
      <c r="G2056" s="465" t="s">
        <v>4551</v>
      </c>
      <c r="H2056" s="465" t="s">
        <v>4552</v>
      </c>
      <c r="I2056" s="465" t="s">
        <v>830</v>
      </c>
    </row>
    <row r="2057" hidden="1" ht="15.95" customHeight="1">
      <c r="A2057" s="465" t="s">
        <v>4730</v>
      </c>
      <c r="B2057" s="465" t="s">
        <v>4731</v>
      </c>
      <c r="C2057" s="465"/>
      <c r="D2057" s="465" t="s">
        <v>855</v>
      </c>
      <c r="E2057" s="465" t="s">
        <v>4722</v>
      </c>
      <c r="F2057" s="465" t="s">
        <v>4723</v>
      </c>
      <c r="G2057" s="465" t="s">
        <v>4551</v>
      </c>
      <c r="H2057" s="465" t="s">
        <v>4552</v>
      </c>
      <c r="I2057" s="465" t="s">
        <v>830</v>
      </c>
    </row>
    <row r="2058" hidden="1" ht="15.95" customHeight="1">
      <c r="A2058" s="465" t="s">
        <v>4732</v>
      </c>
      <c r="B2058" s="465" t="s">
        <v>4733</v>
      </c>
      <c r="C2058" s="465"/>
      <c r="D2058" s="465" t="s">
        <v>855</v>
      </c>
      <c r="E2058" s="465" t="s">
        <v>4722</v>
      </c>
      <c r="F2058" s="465" t="s">
        <v>4723</v>
      </c>
      <c r="G2058" s="465" t="s">
        <v>4551</v>
      </c>
      <c r="H2058" s="465" t="s">
        <v>4552</v>
      </c>
      <c r="I2058" s="465" t="s">
        <v>830</v>
      </c>
    </row>
    <row r="2059" hidden="1" ht="15.95" customHeight="1">
      <c r="A2059" s="465" t="s">
        <v>4734</v>
      </c>
      <c r="B2059" s="465" t="s">
        <v>1033</v>
      </c>
      <c r="C2059" s="465"/>
      <c r="D2059" s="465" t="s">
        <v>855</v>
      </c>
      <c r="E2059" s="465" t="s">
        <v>4722</v>
      </c>
      <c r="F2059" s="465" t="s">
        <v>4723</v>
      </c>
      <c r="G2059" s="465" t="s">
        <v>4551</v>
      </c>
      <c r="H2059" s="465" t="s">
        <v>4552</v>
      </c>
      <c r="I2059" s="465" t="s">
        <v>830</v>
      </c>
    </row>
    <row r="2060" hidden="1" ht="15.95" customHeight="1">
      <c r="A2060" s="465" t="s">
        <v>4735</v>
      </c>
      <c r="B2060" s="465" t="s">
        <v>3874</v>
      </c>
      <c r="C2060" s="465"/>
      <c r="D2060" s="465" t="s">
        <v>855</v>
      </c>
      <c r="E2060" s="465" t="s">
        <v>4722</v>
      </c>
      <c r="F2060" s="465" t="s">
        <v>4723</v>
      </c>
      <c r="G2060" s="465" t="s">
        <v>4551</v>
      </c>
      <c r="H2060" s="465" t="s">
        <v>4552</v>
      </c>
      <c r="I2060" s="465" t="s">
        <v>830</v>
      </c>
    </row>
    <row r="2061" hidden="1" ht="15.95" customHeight="1">
      <c r="A2061" s="465" t="s">
        <v>4736</v>
      </c>
      <c r="B2061" s="465" t="s">
        <v>1856</v>
      </c>
      <c r="C2061" s="465"/>
      <c r="D2061" s="465" t="s">
        <v>855</v>
      </c>
      <c r="E2061" s="465" t="s">
        <v>4722</v>
      </c>
      <c r="F2061" s="465" t="s">
        <v>4723</v>
      </c>
      <c r="G2061" s="465" t="s">
        <v>4551</v>
      </c>
      <c r="H2061" s="465" t="s">
        <v>4552</v>
      </c>
      <c r="I2061" s="465" t="s">
        <v>830</v>
      </c>
    </row>
    <row r="2062" hidden="1" ht="15.95" customHeight="1">
      <c r="A2062" s="465" t="s">
        <v>4737</v>
      </c>
      <c r="B2062" s="465" t="s">
        <v>3360</v>
      </c>
      <c r="C2062" s="465"/>
      <c r="D2062" s="465" t="s">
        <v>855</v>
      </c>
      <c r="E2062" s="465" t="s">
        <v>4722</v>
      </c>
      <c r="F2062" s="465" t="s">
        <v>4723</v>
      </c>
      <c r="G2062" s="465" t="s">
        <v>4551</v>
      </c>
      <c r="H2062" s="465" t="s">
        <v>4552</v>
      </c>
      <c r="I2062" s="465" t="s">
        <v>830</v>
      </c>
    </row>
    <row r="2063" hidden="1" ht="15.95" customHeight="1">
      <c r="A2063" s="465" t="s">
        <v>4738</v>
      </c>
      <c r="B2063" s="465" t="s">
        <v>2095</v>
      </c>
      <c r="C2063" s="465"/>
      <c r="D2063" s="465" t="s">
        <v>855</v>
      </c>
      <c r="E2063" s="465" t="s">
        <v>4722</v>
      </c>
      <c r="F2063" s="465" t="s">
        <v>4723</v>
      </c>
      <c r="G2063" s="465" t="s">
        <v>4551</v>
      </c>
      <c r="H2063" s="465" t="s">
        <v>4552</v>
      </c>
      <c r="I2063" s="465" t="s">
        <v>830</v>
      </c>
    </row>
    <row r="2064" hidden="1" ht="15.95" customHeight="1">
      <c r="A2064" s="465" t="s">
        <v>4739</v>
      </c>
      <c r="B2064" s="465" t="s">
        <v>4740</v>
      </c>
      <c r="C2064" s="465"/>
      <c r="D2064" s="465" t="s">
        <v>884</v>
      </c>
      <c r="E2064" s="465" t="s">
        <v>4741</v>
      </c>
      <c r="F2064" s="465" t="s">
        <v>4742</v>
      </c>
      <c r="G2064" s="465" t="s">
        <v>4551</v>
      </c>
      <c r="H2064" s="465" t="s">
        <v>4552</v>
      </c>
      <c r="I2064" s="465" t="s">
        <v>830</v>
      </c>
    </row>
    <row r="2065" hidden="1" ht="15.95" customHeight="1">
      <c r="A2065" s="465" t="s">
        <v>4743</v>
      </c>
      <c r="B2065" s="465" t="s">
        <v>4744</v>
      </c>
      <c r="C2065" s="465"/>
      <c r="D2065" s="465" t="s">
        <v>855</v>
      </c>
      <c r="E2065" s="465" t="s">
        <v>4741</v>
      </c>
      <c r="F2065" s="465" t="s">
        <v>4742</v>
      </c>
      <c r="G2065" s="465" t="s">
        <v>4551</v>
      </c>
      <c r="H2065" s="465" t="s">
        <v>4552</v>
      </c>
      <c r="I2065" s="465" t="s">
        <v>830</v>
      </c>
    </row>
    <row r="2066" hidden="1" ht="15.95" customHeight="1">
      <c r="A2066" s="465" t="s">
        <v>4745</v>
      </c>
      <c r="B2066" s="465" t="s">
        <v>2180</v>
      </c>
      <c r="C2066" s="465"/>
      <c r="D2066" s="465" t="s">
        <v>855</v>
      </c>
      <c r="E2066" s="465" t="s">
        <v>4741</v>
      </c>
      <c r="F2066" s="465" t="s">
        <v>4742</v>
      </c>
      <c r="G2066" s="465" t="s">
        <v>4551</v>
      </c>
      <c r="H2066" s="465" t="s">
        <v>4552</v>
      </c>
      <c r="I2066" s="465" t="s">
        <v>830</v>
      </c>
    </row>
    <row r="2067" hidden="1" ht="15.95" customHeight="1">
      <c r="A2067" s="465" t="s">
        <v>4746</v>
      </c>
      <c r="B2067" s="465" t="s">
        <v>4747</v>
      </c>
      <c r="C2067" s="465"/>
      <c r="D2067" s="465" t="s">
        <v>855</v>
      </c>
      <c r="E2067" s="465" t="s">
        <v>4741</v>
      </c>
      <c r="F2067" s="465" t="s">
        <v>4742</v>
      </c>
      <c r="G2067" s="465" t="s">
        <v>4551</v>
      </c>
      <c r="H2067" s="465" t="s">
        <v>4552</v>
      </c>
      <c r="I2067" s="465" t="s">
        <v>830</v>
      </c>
    </row>
    <row r="2068" hidden="1" ht="15.95" customHeight="1">
      <c r="A2068" s="465" t="s">
        <v>4748</v>
      </c>
      <c r="B2068" s="465" t="s">
        <v>4749</v>
      </c>
      <c r="C2068" s="465"/>
      <c r="D2068" s="465" t="s">
        <v>855</v>
      </c>
      <c r="E2068" s="465" t="s">
        <v>4741</v>
      </c>
      <c r="F2068" s="465" t="s">
        <v>4742</v>
      </c>
      <c r="G2068" s="465" t="s">
        <v>4551</v>
      </c>
      <c r="H2068" s="465" t="s">
        <v>4552</v>
      </c>
      <c r="I2068" s="465" t="s">
        <v>830</v>
      </c>
    </row>
    <row r="2069" hidden="1" ht="15.95" customHeight="1">
      <c r="A2069" s="465" t="s">
        <v>4750</v>
      </c>
      <c r="B2069" s="465" t="s">
        <v>4751</v>
      </c>
      <c r="C2069" s="465"/>
      <c r="D2069" s="465" t="s">
        <v>855</v>
      </c>
      <c r="E2069" s="465" t="s">
        <v>4741</v>
      </c>
      <c r="F2069" s="465" t="s">
        <v>4742</v>
      </c>
      <c r="G2069" s="465" t="s">
        <v>4551</v>
      </c>
      <c r="H2069" s="465" t="s">
        <v>4552</v>
      </c>
      <c r="I2069" s="465" t="s">
        <v>830</v>
      </c>
    </row>
    <row r="2070" hidden="1" ht="15.95" customHeight="1">
      <c r="A2070" s="465" t="s">
        <v>4752</v>
      </c>
      <c r="B2070" s="465" t="s">
        <v>3255</v>
      </c>
      <c r="C2070" s="465"/>
      <c r="D2070" s="465" t="s">
        <v>855</v>
      </c>
      <c r="E2070" s="465" t="s">
        <v>4741</v>
      </c>
      <c r="F2070" s="465" t="s">
        <v>4742</v>
      </c>
      <c r="G2070" s="465" t="s">
        <v>4551</v>
      </c>
      <c r="H2070" s="465" t="s">
        <v>4552</v>
      </c>
      <c r="I2070" s="465" t="s">
        <v>830</v>
      </c>
    </row>
    <row r="2071" hidden="1" ht="15.95" customHeight="1">
      <c r="A2071" s="465" t="s">
        <v>4753</v>
      </c>
      <c r="B2071" s="465" t="s">
        <v>4754</v>
      </c>
      <c r="C2071" s="465"/>
      <c r="D2071" s="465" t="s">
        <v>855</v>
      </c>
      <c r="E2071" s="465" t="s">
        <v>4741</v>
      </c>
      <c r="F2071" s="465" t="s">
        <v>4742</v>
      </c>
      <c r="G2071" s="465" t="s">
        <v>4551</v>
      </c>
      <c r="H2071" s="465" t="s">
        <v>4552</v>
      </c>
      <c r="I2071" s="465" t="s">
        <v>830</v>
      </c>
    </row>
    <row r="2072" hidden="1" ht="15.95" customHeight="1">
      <c r="A2072" s="465" t="s">
        <v>4755</v>
      </c>
      <c r="B2072" s="465" t="s">
        <v>3360</v>
      </c>
      <c r="C2072" s="465"/>
      <c r="D2072" s="465" t="s">
        <v>855</v>
      </c>
      <c r="E2072" s="465" t="s">
        <v>4741</v>
      </c>
      <c r="F2072" s="465" t="s">
        <v>4742</v>
      </c>
      <c r="G2072" s="465" t="s">
        <v>4551</v>
      </c>
      <c r="H2072" s="465" t="s">
        <v>4552</v>
      </c>
      <c r="I2072" s="465" t="s">
        <v>830</v>
      </c>
    </row>
    <row r="2073" hidden="1" ht="15.95" customHeight="1">
      <c r="A2073" s="465" t="s">
        <v>4756</v>
      </c>
      <c r="B2073" s="465" t="s">
        <v>2046</v>
      </c>
      <c r="C2073" s="465"/>
      <c r="D2073" s="465" t="s">
        <v>855</v>
      </c>
      <c r="E2073" s="465" t="s">
        <v>4741</v>
      </c>
      <c r="F2073" s="465" t="s">
        <v>4742</v>
      </c>
      <c r="G2073" s="465" t="s">
        <v>4551</v>
      </c>
      <c r="H2073" s="465" t="s">
        <v>4552</v>
      </c>
      <c r="I2073" s="465" t="s">
        <v>830</v>
      </c>
    </row>
    <row r="2074" hidden="1" ht="15.95" customHeight="1">
      <c r="A2074" s="465" t="s">
        <v>4757</v>
      </c>
      <c r="B2074" s="465" t="s">
        <v>4758</v>
      </c>
      <c r="C2074" s="465"/>
      <c r="D2074" s="465" t="s">
        <v>855</v>
      </c>
      <c r="E2074" s="465" t="s">
        <v>4741</v>
      </c>
      <c r="F2074" s="465" t="s">
        <v>4742</v>
      </c>
      <c r="G2074" s="465" t="s">
        <v>4551</v>
      </c>
      <c r="H2074" s="465" t="s">
        <v>4552</v>
      </c>
      <c r="I2074" s="465" t="s">
        <v>830</v>
      </c>
    </row>
    <row r="2075" hidden="1" ht="15.95" customHeight="1">
      <c r="A2075" s="465" t="s">
        <v>4759</v>
      </c>
      <c r="B2075" s="465" t="s">
        <v>4760</v>
      </c>
      <c r="C2075" s="465"/>
      <c r="D2075" s="465" t="s">
        <v>855</v>
      </c>
      <c r="E2075" s="465" t="s">
        <v>4741</v>
      </c>
      <c r="F2075" s="465" t="s">
        <v>4742</v>
      </c>
      <c r="G2075" s="465" t="s">
        <v>4551</v>
      </c>
      <c r="H2075" s="465" t="s">
        <v>4552</v>
      </c>
      <c r="I2075" s="465" t="s">
        <v>830</v>
      </c>
    </row>
    <row r="2076" hidden="1" ht="15.95" customHeight="1">
      <c r="A2076" s="465" t="s">
        <v>4761</v>
      </c>
      <c r="B2076" s="465" t="s">
        <v>4762</v>
      </c>
      <c r="C2076" s="465"/>
      <c r="D2076" s="465" t="s">
        <v>855</v>
      </c>
      <c r="E2076" s="465" t="s">
        <v>4741</v>
      </c>
      <c r="F2076" s="465" t="s">
        <v>4742</v>
      </c>
      <c r="G2076" s="465" t="s">
        <v>4551</v>
      </c>
      <c r="H2076" s="465" t="s">
        <v>4552</v>
      </c>
      <c r="I2076" s="465" t="s">
        <v>830</v>
      </c>
    </row>
    <row r="2077" hidden="1" ht="15.95" customHeight="1">
      <c r="A2077" s="465" t="s">
        <v>4763</v>
      </c>
      <c r="B2077" s="465" t="s">
        <v>4764</v>
      </c>
      <c r="C2077" s="465"/>
      <c r="D2077" s="465" t="s">
        <v>884</v>
      </c>
      <c r="E2077" s="465" t="s">
        <v>4765</v>
      </c>
      <c r="F2077" s="465" t="s">
        <v>4766</v>
      </c>
      <c r="G2077" s="465" t="s">
        <v>4551</v>
      </c>
      <c r="H2077" s="465" t="s">
        <v>4552</v>
      </c>
      <c r="I2077" s="465" t="s">
        <v>830</v>
      </c>
    </row>
    <row r="2078" hidden="1" ht="15.95" customHeight="1">
      <c r="A2078" s="465" t="s">
        <v>4767</v>
      </c>
      <c r="B2078" s="465" t="s">
        <v>4768</v>
      </c>
      <c r="C2078" s="465"/>
      <c r="D2078" s="465" t="s">
        <v>855</v>
      </c>
      <c r="E2078" s="465" t="s">
        <v>4765</v>
      </c>
      <c r="F2078" s="465" t="s">
        <v>4766</v>
      </c>
      <c r="G2078" s="465" t="s">
        <v>4551</v>
      </c>
      <c r="H2078" s="465" t="s">
        <v>4552</v>
      </c>
      <c r="I2078" s="465" t="s">
        <v>830</v>
      </c>
    </row>
    <row r="2079" hidden="1" ht="15.95" customHeight="1">
      <c r="A2079" s="465" t="s">
        <v>4769</v>
      </c>
      <c r="B2079" s="465" t="s">
        <v>4770</v>
      </c>
      <c r="C2079" s="465"/>
      <c r="D2079" s="465" t="s">
        <v>855</v>
      </c>
      <c r="E2079" s="465" t="s">
        <v>4765</v>
      </c>
      <c r="F2079" s="465" t="s">
        <v>4766</v>
      </c>
      <c r="G2079" s="465" t="s">
        <v>4551</v>
      </c>
      <c r="H2079" s="465" t="s">
        <v>4552</v>
      </c>
      <c r="I2079" s="465" t="s">
        <v>830</v>
      </c>
    </row>
    <row r="2080" hidden="1" ht="15.95" customHeight="1">
      <c r="A2080" s="465" t="s">
        <v>4771</v>
      </c>
      <c r="B2080" s="465" t="s">
        <v>3522</v>
      </c>
      <c r="C2080" s="465"/>
      <c r="D2080" s="465" t="s">
        <v>855</v>
      </c>
      <c r="E2080" s="465" t="s">
        <v>4765</v>
      </c>
      <c r="F2080" s="465" t="s">
        <v>4766</v>
      </c>
      <c r="G2080" s="465" t="s">
        <v>4551</v>
      </c>
      <c r="H2080" s="465" t="s">
        <v>4552</v>
      </c>
      <c r="I2080" s="465" t="s">
        <v>830</v>
      </c>
    </row>
    <row r="2081" hidden="1" ht="15.95" customHeight="1">
      <c r="A2081" s="465" t="s">
        <v>4772</v>
      </c>
      <c r="B2081" s="465" t="s">
        <v>1035</v>
      </c>
      <c r="C2081" s="465"/>
      <c r="D2081" s="465" t="s">
        <v>855</v>
      </c>
      <c r="E2081" s="465" t="s">
        <v>4765</v>
      </c>
      <c r="F2081" s="465" t="s">
        <v>4766</v>
      </c>
      <c r="G2081" s="465" t="s">
        <v>4551</v>
      </c>
      <c r="H2081" s="465" t="s">
        <v>4552</v>
      </c>
      <c r="I2081" s="465" t="s">
        <v>830</v>
      </c>
    </row>
    <row r="2082" hidden="1" ht="15.95" customHeight="1">
      <c r="A2082" s="465" t="s">
        <v>4773</v>
      </c>
      <c r="B2082" s="465" t="s">
        <v>2573</v>
      </c>
      <c r="C2082" s="465"/>
      <c r="D2082" s="465" t="s">
        <v>855</v>
      </c>
      <c r="E2082" s="465" t="s">
        <v>4765</v>
      </c>
      <c r="F2082" s="465" t="s">
        <v>4766</v>
      </c>
      <c r="G2082" s="465" t="s">
        <v>4551</v>
      </c>
      <c r="H2082" s="465" t="s">
        <v>4552</v>
      </c>
      <c r="I2082" s="465" t="s">
        <v>830</v>
      </c>
    </row>
    <row r="2083" hidden="1" ht="15.95" customHeight="1">
      <c r="A2083" s="465" t="s">
        <v>4774</v>
      </c>
      <c r="B2083" s="465" t="s">
        <v>1164</v>
      </c>
      <c r="C2083" s="465"/>
      <c r="D2083" s="465" t="s">
        <v>855</v>
      </c>
      <c r="E2083" s="465" t="s">
        <v>4765</v>
      </c>
      <c r="F2083" s="465" t="s">
        <v>4766</v>
      </c>
      <c r="G2083" s="465" t="s">
        <v>4551</v>
      </c>
      <c r="H2083" s="465" t="s">
        <v>4552</v>
      </c>
      <c r="I2083" s="465" t="s">
        <v>830</v>
      </c>
    </row>
    <row r="2084" hidden="1" ht="15.95" customHeight="1">
      <c r="A2084" s="465" t="s">
        <v>4775</v>
      </c>
      <c r="B2084" s="465" t="s">
        <v>4776</v>
      </c>
      <c r="C2084" s="465"/>
      <c r="D2084" s="465" t="s">
        <v>855</v>
      </c>
      <c r="E2084" s="465" t="s">
        <v>4765</v>
      </c>
      <c r="F2084" s="465" t="s">
        <v>4766</v>
      </c>
      <c r="G2084" s="465" t="s">
        <v>4551</v>
      </c>
      <c r="H2084" s="465" t="s">
        <v>4552</v>
      </c>
      <c r="I2084" s="465" t="s">
        <v>830</v>
      </c>
    </row>
    <row r="2085" hidden="1" ht="15.95" customHeight="1">
      <c r="A2085" s="465" t="s">
        <v>4777</v>
      </c>
      <c r="B2085" s="465" t="s">
        <v>4778</v>
      </c>
      <c r="C2085" s="465"/>
      <c r="D2085" s="465" t="s">
        <v>855</v>
      </c>
      <c r="E2085" s="465" t="s">
        <v>4765</v>
      </c>
      <c r="F2085" s="465" t="s">
        <v>4766</v>
      </c>
      <c r="G2085" s="465" t="s">
        <v>4551</v>
      </c>
      <c r="H2085" s="465" t="s">
        <v>4552</v>
      </c>
      <c r="I2085" s="465" t="s">
        <v>830</v>
      </c>
    </row>
    <row r="2086" hidden="1" ht="15.95" customHeight="1">
      <c r="A2086" s="465" t="s">
        <v>4779</v>
      </c>
      <c r="B2086" s="465" t="s">
        <v>1722</v>
      </c>
      <c r="C2086" s="465"/>
      <c r="D2086" s="465" t="s">
        <v>855</v>
      </c>
      <c r="E2086" s="465" t="s">
        <v>4765</v>
      </c>
      <c r="F2086" s="465" t="s">
        <v>4766</v>
      </c>
      <c r="G2086" s="465" t="s">
        <v>4551</v>
      </c>
      <c r="H2086" s="465" t="s">
        <v>4552</v>
      </c>
      <c r="I2086" s="465" t="s">
        <v>830</v>
      </c>
    </row>
    <row r="2087" hidden="1" ht="15.95" customHeight="1">
      <c r="A2087" s="465" t="s">
        <v>4780</v>
      </c>
      <c r="B2087" s="465" t="s">
        <v>4781</v>
      </c>
      <c r="C2087" s="465"/>
      <c r="D2087" s="465" t="s">
        <v>855</v>
      </c>
      <c r="E2087" s="465" t="s">
        <v>4765</v>
      </c>
      <c r="F2087" s="465" t="s">
        <v>4766</v>
      </c>
      <c r="G2087" s="465" t="s">
        <v>4551</v>
      </c>
      <c r="H2087" s="465" t="s">
        <v>4552</v>
      </c>
      <c r="I2087" s="465" t="s">
        <v>830</v>
      </c>
    </row>
    <row r="2088" hidden="1" ht="15.95" customHeight="1">
      <c r="A2088" s="465" t="s">
        <v>4782</v>
      </c>
      <c r="B2088" s="465" t="s">
        <v>4783</v>
      </c>
      <c r="C2088" s="465"/>
      <c r="D2088" s="465" t="s">
        <v>855</v>
      </c>
      <c r="E2088" s="465" t="s">
        <v>4765</v>
      </c>
      <c r="F2088" s="465" t="s">
        <v>4766</v>
      </c>
      <c r="G2088" s="465" t="s">
        <v>4551</v>
      </c>
      <c r="H2088" s="465" t="s">
        <v>4552</v>
      </c>
      <c r="I2088" s="465" t="s">
        <v>830</v>
      </c>
    </row>
    <row r="2089" hidden="1" ht="15.95" customHeight="1">
      <c r="A2089" s="465" t="s">
        <v>4784</v>
      </c>
      <c r="B2089" s="465" t="s">
        <v>4785</v>
      </c>
      <c r="C2089" s="465"/>
      <c r="D2089" s="465" t="s">
        <v>884</v>
      </c>
      <c r="E2089" s="465" t="s">
        <v>4786</v>
      </c>
      <c r="F2089" s="465" t="s">
        <v>1883</v>
      </c>
      <c r="G2089" s="465" t="s">
        <v>4551</v>
      </c>
      <c r="H2089" s="465" t="s">
        <v>4552</v>
      </c>
      <c r="I2089" s="465" t="s">
        <v>830</v>
      </c>
    </row>
    <row r="2090" hidden="1" ht="15.95" customHeight="1">
      <c r="A2090" s="465" t="s">
        <v>4787</v>
      </c>
      <c r="B2090" s="465" t="s">
        <v>3936</v>
      </c>
      <c r="C2090" s="465"/>
      <c r="D2090" s="465" t="s">
        <v>855</v>
      </c>
      <c r="E2090" s="465" t="s">
        <v>4786</v>
      </c>
      <c r="F2090" s="465" t="s">
        <v>1883</v>
      </c>
      <c r="G2090" s="465" t="s">
        <v>4551</v>
      </c>
      <c r="H2090" s="465" t="s">
        <v>4552</v>
      </c>
      <c r="I2090" s="465" t="s">
        <v>830</v>
      </c>
    </row>
    <row r="2091" hidden="1" ht="15.95" customHeight="1">
      <c r="A2091" s="465" t="s">
        <v>4788</v>
      </c>
      <c r="B2091" s="465" t="s">
        <v>1525</v>
      </c>
      <c r="C2091" s="465"/>
      <c r="D2091" s="465" t="s">
        <v>855</v>
      </c>
      <c r="E2091" s="465" t="s">
        <v>4786</v>
      </c>
      <c r="F2091" s="465" t="s">
        <v>1883</v>
      </c>
      <c r="G2091" s="465" t="s">
        <v>4551</v>
      </c>
      <c r="H2091" s="465" t="s">
        <v>4552</v>
      </c>
      <c r="I2091" s="465" t="s">
        <v>830</v>
      </c>
    </row>
    <row r="2092" hidden="1" ht="15.95" customHeight="1">
      <c r="A2092" s="465" t="s">
        <v>4789</v>
      </c>
      <c r="B2092" s="465" t="s">
        <v>4790</v>
      </c>
      <c r="C2092" s="465"/>
      <c r="D2092" s="465" t="s">
        <v>855</v>
      </c>
      <c r="E2092" s="465" t="s">
        <v>4786</v>
      </c>
      <c r="F2092" s="465" t="s">
        <v>1883</v>
      </c>
      <c r="G2092" s="465" t="s">
        <v>4551</v>
      </c>
      <c r="H2092" s="465" t="s">
        <v>4552</v>
      </c>
      <c r="I2092" s="465" t="s">
        <v>830</v>
      </c>
    </row>
    <row r="2093" hidden="1" ht="15.95" customHeight="1">
      <c r="A2093" s="465" t="s">
        <v>4791</v>
      </c>
      <c r="B2093" s="465" t="s">
        <v>1033</v>
      </c>
      <c r="C2093" s="465"/>
      <c r="D2093" s="465" t="s">
        <v>855</v>
      </c>
      <c r="E2093" s="465" t="s">
        <v>4786</v>
      </c>
      <c r="F2093" s="465" t="s">
        <v>1883</v>
      </c>
      <c r="G2093" s="465" t="s">
        <v>4551</v>
      </c>
      <c r="H2093" s="465" t="s">
        <v>4552</v>
      </c>
      <c r="I2093" s="465" t="s">
        <v>830</v>
      </c>
    </row>
    <row r="2094" hidden="1" ht="15.95" customHeight="1">
      <c r="A2094" s="465" t="s">
        <v>4792</v>
      </c>
      <c r="B2094" s="465" t="s">
        <v>3115</v>
      </c>
      <c r="C2094" s="465"/>
      <c r="D2094" s="465" t="s">
        <v>855</v>
      </c>
      <c r="E2094" s="465" t="s">
        <v>4786</v>
      </c>
      <c r="F2094" s="465" t="s">
        <v>1883</v>
      </c>
      <c r="G2094" s="465" t="s">
        <v>4551</v>
      </c>
      <c r="H2094" s="465" t="s">
        <v>4552</v>
      </c>
      <c r="I2094" s="465" t="s">
        <v>830</v>
      </c>
    </row>
    <row r="2095" hidden="1" ht="15.95" customHeight="1">
      <c r="A2095" s="465" t="s">
        <v>4793</v>
      </c>
      <c r="B2095" s="465" t="s">
        <v>4057</v>
      </c>
      <c r="C2095" s="465"/>
      <c r="D2095" s="465" t="s">
        <v>855</v>
      </c>
      <c r="E2095" s="465" t="s">
        <v>4786</v>
      </c>
      <c r="F2095" s="465" t="s">
        <v>1883</v>
      </c>
      <c r="G2095" s="465" t="s">
        <v>4551</v>
      </c>
      <c r="H2095" s="465" t="s">
        <v>4552</v>
      </c>
      <c r="I2095" s="465" t="s">
        <v>830</v>
      </c>
    </row>
    <row r="2096" hidden="1" ht="15.95" customHeight="1">
      <c r="A2096" s="465" t="s">
        <v>4794</v>
      </c>
      <c r="B2096" s="465" t="s">
        <v>4795</v>
      </c>
      <c r="C2096" s="465"/>
      <c r="D2096" s="465" t="s">
        <v>855</v>
      </c>
      <c r="E2096" s="465" t="s">
        <v>4786</v>
      </c>
      <c r="F2096" s="465" t="s">
        <v>1883</v>
      </c>
      <c r="G2096" s="465" t="s">
        <v>4551</v>
      </c>
      <c r="H2096" s="465" t="s">
        <v>4552</v>
      </c>
      <c r="I2096" s="465" t="s">
        <v>830</v>
      </c>
    </row>
    <row r="2097" hidden="1" ht="15.95" customHeight="1">
      <c r="A2097" s="465" t="s">
        <v>4796</v>
      </c>
      <c r="B2097" s="465" t="s">
        <v>4797</v>
      </c>
      <c r="C2097" s="465"/>
      <c r="D2097" s="465" t="s">
        <v>855</v>
      </c>
      <c r="E2097" s="465" t="s">
        <v>4786</v>
      </c>
      <c r="F2097" s="465" t="s">
        <v>1883</v>
      </c>
      <c r="G2097" s="465" t="s">
        <v>4551</v>
      </c>
      <c r="H2097" s="465" t="s">
        <v>4552</v>
      </c>
      <c r="I2097" s="465" t="s">
        <v>830</v>
      </c>
    </row>
    <row r="2098" hidden="1" ht="15.95" customHeight="1">
      <c r="A2098" s="465" t="s">
        <v>4798</v>
      </c>
      <c r="B2098" s="465" t="s">
        <v>3911</v>
      </c>
      <c r="C2098" s="465"/>
      <c r="D2098" s="465" t="s">
        <v>855</v>
      </c>
      <c r="E2098" s="465" t="s">
        <v>4786</v>
      </c>
      <c r="F2098" s="465" t="s">
        <v>1883</v>
      </c>
      <c r="G2098" s="465" t="s">
        <v>4551</v>
      </c>
      <c r="H2098" s="465" t="s">
        <v>4552</v>
      </c>
      <c r="I2098" s="465" t="s">
        <v>830</v>
      </c>
    </row>
    <row r="2099" hidden="1" ht="15.95" customHeight="1">
      <c r="A2099" s="465" t="s">
        <v>4799</v>
      </c>
      <c r="B2099" s="465" t="s">
        <v>1856</v>
      </c>
      <c r="C2099" s="465"/>
      <c r="D2099" s="465" t="s">
        <v>855</v>
      </c>
      <c r="E2099" s="465" t="s">
        <v>4786</v>
      </c>
      <c r="F2099" s="465" t="s">
        <v>1883</v>
      </c>
      <c r="G2099" s="465" t="s">
        <v>4551</v>
      </c>
      <c r="H2099" s="465" t="s">
        <v>4552</v>
      </c>
      <c r="I2099" s="465" t="s">
        <v>830</v>
      </c>
    </row>
    <row r="2100" hidden="1" ht="15.95" customHeight="1">
      <c r="A2100" s="465" t="s">
        <v>4800</v>
      </c>
      <c r="B2100" s="465" t="s">
        <v>4217</v>
      </c>
      <c r="C2100" s="465"/>
      <c r="D2100" s="465" t="s">
        <v>855</v>
      </c>
      <c r="E2100" s="465" t="s">
        <v>4786</v>
      </c>
      <c r="F2100" s="465" t="s">
        <v>1883</v>
      </c>
      <c r="G2100" s="465" t="s">
        <v>4551</v>
      </c>
      <c r="H2100" s="465" t="s">
        <v>4552</v>
      </c>
      <c r="I2100" s="465" t="s">
        <v>830</v>
      </c>
    </row>
    <row r="2101" hidden="1" ht="15.95" customHeight="1">
      <c r="A2101" s="465" t="s">
        <v>4801</v>
      </c>
      <c r="B2101" s="465" t="s">
        <v>859</v>
      </c>
      <c r="C2101" s="465"/>
      <c r="D2101" s="465" t="s">
        <v>825</v>
      </c>
      <c r="E2101" s="465" t="s">
        <v>4802</v>
      </c>
      <c r="F2101" s="465" t="s">
        <v>4803</v>
      </c>
      <c r="G2101" s="465" t="s">
        <v>4804</v>
      </c>
      <c r="H2101" s="465" t="s">
        <v>4805</v>
      </c>
      <c r="I2101" s="465" t="s">
        <v>830</v>
      </c>
    </row>
    <row r="2102" hidden="1" ht="15.95" customHeight="1">
      <c r="A2102" s="465" t="s">
        <v>4806</v>
      </c>
      <c r="B2102" s="465" t="s">
        <v>4807</v>
      </c>
      <c r="C2102" s="465"/>
      <c r="D2102" s="465" t="s">
        <v>825</v>
      </c>
      <c r="E2102" s="465" t="s">
        <v>4802</v>
      </c>
      <c r="F2102" s="465" t="s">
        <v>4803</v>
      </c>
      <c r="G2102" s="465" t="s">
        <v>4804</v>
      </c>
      <c r="H2102" s="465" t="s">
        <v>4805</v>
      </c>
      <c r="I2102" s="465" t="s">
        <v>830</v>
      </c>
    </row>
    <row r="2103" hidden="1" ht="15.95" customHeight="1">
      <c r="A2103" s="465" t="s">
        <v>4808</v>
      </c>
      <c r="B2103" s="465" t="s">
        <v>4809</v>
      </c>
      <c r="C2103" s="465" t="s">
        <v>4810</v>
      </c>
      <c r="D2103" s="465" t="s">
        <v>825</v>
      </c>
      <c r="E2103" s="465" t="s">
        <v>4802</v>
      </c>
      <c r="F2103" s="465" t="s">
        <v>4803</v>
      </c>
      <c r="G2103" s="465" t="s">
        <v>4804</v>
      </c>
      <c r="H2103" s="465" t="s">
        <v>4805</v>
      </c>
      <c r="I2103" s="465" t="s">
        <v>830</v>
      </c>
    </row>
    <row r="2104" hidden="1" ht="15.95" customHeight="1">
      <c r="A2104" s="465" t="s">
        <v>4811</v>
      </c>
      <c r="B2104" s="465" t="s">
        <v>4812</v>
      </c>
      <c r="C2104" s="465"/>
      <c r="D2104" s="465" t="s">
        <v>825</v>
      </c>
      <c r="E2104" s="465" t="s">
        <v>4802</v>
      </c>
      <c r="F2104" s="465" t="s">
        <v>4803</v>
      </c>
      <c r="G2104" s="465" t="s">
        <v>4804</v>
      </c>
      <c r="H2104" s="465" t="s">
        <v>4805</v>
      </c>
      <c r="I2104" s="465" t="s">
        <v>830</v>
      </c>
    </row>
    <row r="2105" hidden="1" ht="15.95" customHeight="1">
      <c r="A2105" s="465" t="s">
        <v>4813</v>
      </c>
      <c r="B2105" s="465" t="s">
        <v>4814</v>
      </c>
      <c r="C2105" s="465"/>
      <c r="D2105" s="465" t="s">
        <v>825</v>
      </c>
      <c r="E2105" s="465" t="s">
        <v>4802</v>
      </c>
      <c r="F2105" s="465" t="s">
        <v>4803</v>
      </c>
      <c r="G2105" s="465" t="s">
        <v>4804</v>
      </c>
      <c r="H2105" s="465" t="s">
        <v>4805</v>
      </c>
      <c r="I2105" s="465" t="s">
        <v>830</v>
      </c>
    </row>
    <row r="2106" hidden="1" ht="15.95" customHeight="1">
      <c r="A2106" s="465" t="s">
        <v>4815</v>
      </c>
      <c r="B2106" s="465" t="s">
        <v>2906</v>
      </c>
      <c r="C2106" s="465"/>
      <c r="D2106" s="465" t="s">
        <v>825</v>
      </c>
      <c r="E2106" s="465" t="s">
        <v>4802</v>
      </c>
      <c r="F2106" s="465" t="s">
        <v>4803</v>
      </c>
      <c r="G2106" s="465" t="s">
        <v>4804</v>
      </c>
      <c r="H2106" s="465" t="s">
        <v>4805</v>
      </c>
      <c r="I2106" s="465" t="s">
        <v>830</v>
      </c>
    </row>
    <row r="2107" hidden="1" ht="15.95" customHeight="1">
      <c r="A2107" s="465" t="s">
        <v>4816</v>
      </c>
      <c r="B2107" s="465" t="s">
        <v>2060</v>
      </c>
      <c r="C2107" s="465"/>
      <c r="D2107" s="465" t="s">
        <v>825</v>
      </c>
      <c r="E2107" s="465" t="s">
        <v>4802</v>
      </c>
      <c r="F2107" s="465" t="s">
        <v>4803</v>
      </c>
      <c r="G2107" s="465" t="s">
        <v>4804</v>
      </c>
      <c r="H2107" s="465" t="s">
        <v>4805</v>
      </c>
      <c r="I2107" s="465" t="s">
        <v>830</v>
      </c>
    </row>
    <row r="2108" hidden="1" ht="15.95" customHeight="1">
      <c r="A2108" s="465" t="s">
        <v>4817</v>
      </c>
      <c r="B2108" s="465" t="s">
        <v>4818</v>
      </c>
      <c r="C2108" s="465"/>
      <c r="D2108" s="465" t="s">
        <v>825</v>
      </c>
      <c r="E2108" s="465" t="s">
        <v>4802</v>
      </c>
      <c r="F2108" s="465" t="s">
        <v>4803</v>
      </c>
      <c r="G2108" s="465" t="s">
        <v>4804</v>
      </c>
      <c r="H2108" s="465" t="s">
        <v>4805</v>
      </c>
      <c r="I2108" s="465" t="s">
        <v>830</v>
      </c>
    </row>
    <row r="2109" hidden="1" ht="15.95" customHeight="1">
      <c r="A2109" s="465" t="s">
        <v>4819</v>
      </c>
      <c r="B2109" s="465" t="s">
        <v>4820</v>
      </c>
      <c r="C2109" s="465"/>
      <c r="D2109" s="465" t="s">
        <v>825</v>
      </c>
      <c r="E2109" s="465" t="s">
        <v>4802</v>
      </c>
      <c r="F2109" s="465" t="s">
        <v>4803</v>
      </c>
      <c r="G2109" s="465" t="s">
        <v>4804</v>
      </c>
      <c r="H2109" s="465" t="s">
        <v>4805</v>
      </c>
      <c r="I2109" s="465" t="s">
        <v>830</v>
      </c>
    </row>
    <row r="2110" hidden="1" ht="15.95" customHeight="1">
      <c r="A2110" s="465" t="s">
        <v>4821</v>
      </c>
      <c r="B2110" s="465" t="s">
        <v>4822</v>
      </c>
      <c r="C2110" s="465"/>
      <c r="D2110" s="465" t="s">
        <v>825</v>
      </c>
      <c r="E2110" s="465" t="s">
        <v>4802</v>
      </c>
      <c r="F2110" s="465" t="s">
        <v>4803</v>
      </c>
      <c r="G2110" s="465" t="s">
        <v>4804</v>
      </c>
      <c r="H2110" s="465" t="s">
        <v>4805</v>
      </c>
      <c r="I2110" s="465" t="s">
        <v>830</v>
      </c>
    </row>
    <row r="2111" hidden="1" ht="15.95" customHeight="1">
      <c r="A2111" s="465" t="s">
        <v>4823</v>
      </c>
      <c r="B2111" s="465" t="s">
        <v>4824</v>
      </c>
      <c r="C2111" s="465" t="s">
        <v>4825</v>
      </c>
      <c r="D2111" s="465" t="s">
        <v>825</v>
      </c>
      <c r="E2111" s="465" t="s">
        <v>4802</v>
      </c>
      <c r="F2111" s="465" t="s">
        <v>4803</v>
      </c>
      <c r="G2111" s="465" t="s">
        <v>4804</v>
      </c>
      <c r="H2111" s="465" t="s">
        <v>4805</v>
      </c>
      <c r="I2111" s="465" t="s">
        <v>830</v>
      </c>
    </row>
    <row r="2112" hidden="1" ht="15.95" customHeight="1">
      <c r="A2112" s="465" t="s">
        <v>4826</v>
      </c>
      <c r="B2112" s="465" t="s">
        <v>4827</v>
      </c>
      <c r="C2112" s="465"/>
      <c r="D2112" s="465" t="s">
        <v>855</v>
      </c>
      <c r="E2112" s="465" t="s">
        <v>4802</v>
      </c>
      <c r="F2112" s="465" t="s">
        <v>4803</v>
      </c>
      <c r="G2112" s="465" t="s">
        <v>4804</v>
      </c>
      <c r="H2112" s="465" t="s">
        <v>4805</v>
      </c>
      <c r="I2112" s="465" t="s">
        <v>830</v>
      </c>
    </row>
    <row r="2113" hidden="1" ht="15.95" customHeight="1">
      <c r="A2113" s="465" t="s">
        <v>4828</v>
      </c>
      <c r="B2113" s="465" t="s">
        <v>4829</v>
      </c>
      <c r="C2113" s="465"/>
      <c r="D2113" s="465" t="s">
        <v>855</v>
      </c>
      <c r="E2113" s="465" t="s">
        <v>4802</v>
      </c>
      <c r="F2113" s="465" t="s">
        <v>4803</v>
      </c>
      <c r="G2113" s="465" t="s">
        <v>4804</v>
      </c>
      <c r="H2113" s="465" t="s">
        <v>4805</v>
      </c>
      <c r="I2113" s="465" t="s">
        <v>830</v>
      </c>
    </row>
    <row r="2114" hidden="1" ht="15.95" customHeight="1">
      <c r="A2114" s="465" t="s">
        <v>4830</v>
      </c>
      <c r="B2114" s="465" t="s">
        <v>4831</v>
      </c>
      <c r="C2114" s="465"/>
      <c r="D2114" s="465" t="s">
        <v>825</v>
      </c>
      <c r="E2114" s="465" t="s">
        <v>4832</v>
      </c>
      <c r="F2114" s="465" t="s">
        <v>4833</v>
      </c>
      <c r="G2114" s="465" t="s">
        <v>4804</v>
      </c>
      <c r="H2114" s="465" t="s">
        <v>4805</v>
      </c>
      <c r="I2114" s="465" t="s">
        <v>830</v>
      </c>
    </row>
    <row r="2115" hidden="1" ht="15.95" customHeight="1">
      <c r="A2115" s="465" t="s">
        <v>4834</v>
      </c>
      <c r="B2115" s="465" t="s">
        <v>4835</v>
      </c>
      <c r="C2115" s="465"/>
      <c r="D2115" s="465" t="s">
        <v>825</v>
      </c>
      <c r="E2115" s="465" t="s">
        <v>4832</v>
      </c>
      <c r="F2115" s="465" t="s">
        <v>4833</v>
      </c>
      <c r="G2115" s="465" t="s">
        <v>4804</v>
      </c>
      <c r="H2115" s="465" t="s">
        <v>4805</v>
      </c>
      <c r="I2115" s="465" t="s">
        <v>830</v>
      </c>
    </row>
    <row r="2116" hidden="1" ht="15.95" customHeight="1">
      <c r="A2116" s="465" t="s">
        <v>4836</v>
      </c>
      <c r="B2116" s="465" t="s">
        <v>4837</v>
      </c>
      <c r="C2116" s="465"/>
      <c r="D2116" s="465" t="s">
        <v>825</v>
      </c>
      <c r="E2116" s="465" t="s">
        <v>4832</v>
      </c>
      <c r="F2116" s="465" t="s">
        <v>4833</v>
      </c>
      <c r="G2116" s="465" t="s">
        <v>4804</v>
      </c>
      <c r="H2116" s="465" t="s">
        <v>4805</v>
      </c>
      <c r="I2116" s="465" t="s">
        <v>830</v>
      </c>
    </row>
    <row r="2117" hidden="1" ht="15.95" customHeight="1">
      <c r="A2117" s="465" t="s">
        <v>4838</v>
      </c>
      <c r="B2117" s="465" t="s">
        <v>4839</v>
      </c>
      <c r="C2117" s="465"/>
      <c r="D2117" s="465" t="s">
        <v>825</v>
      </c>
      <c r="E2117" s="465" t="s">
        <v>4832</v>
      </c>
      <c r="F2117" s="465" t="s">
        <v>4833</v>
      </c>
      <c r="G2117" s="465" t="s">
        <v>4804</v>
      </c>
      <c r="H2117" s="465" t="s">
        <v>4805</v>
      </c>
      <c r="I2117" s="465" t="s">
        <v>830</v>
      </c>
    </row>
    <row r="2118" hidden="1" ht="15.95" customHeight="1">
      <c r="A2118" s="465" t="s">
        <v>4840</v>
      </c>
      <c r="B2118" s="465" t="s">
        <v>4841</v>
      </c>
      <c r="C2118" s="465"/>
      <c r="D2118" s="465" t="s">
        <v>825</v>
      </c>
      <c r="E2118" s="465" t="s">
        <v>4832</v>
      </c>
      <c r="F2118" s="465" t="s">
        <v>4833</v>
      </c>
      <c r="G2118" s="465" t="s">
        <v>4804</v>
      </c>
      <c r="H2118" s="465" t="s">
        <v>4805</v>
      </c>
      <c r="I2118" s="465" t="s">
        <v>830</v>
      </c>
    </row>
    <row r="2119" hidden="1" ht="15.95" customHeight="1">
      <c r="A2119" s="465" t="s">
        <v>4842</v>
      </c>
      <c r="B2119" s="465" t="s">
        <v>4843</v>
      </c>
      <c r="C2119" s="465"/>
      <c r="D2119" s="465" t="s">
        <v>855</v>
      </c>
      <c r="E2119" s="465" t="s">
        <v>4832</v>
      </c>
      <c r="F2119" s="465" t="s">
        <v>4833</v>
      </c>
      <c r="G2119" s="465" t="s">
        <v>4804</v>
      </c>
      <c r="H2119" s="465" t="s">
        <v>4805</v>
      </c>
      <c r="I2119" s="465" t="s">
        <v>830</v>
      </c>
    </row>
    <row r="2120" hidden="1" ht="15.95" customHeight="1">
      <c r="A2120" s="465" t="s">
        <v>4844</v>
      </c>
      <c r="B2120" s="465" t="s">
        <v>4845</v>
      </c>
      <c r="C2120" s="465"/>
      <c r="D2120" s="465" t="s">
        <v>855</v>
      </c>
      <c r="E2120" s="465" t="s">
        <v>4832</v>
      </c>
      <c r="F2120" s="465" t="s">
        <v>4833</v>
      </c>
      <c r="G2120" s="465" t="s">
        <v>4804</v>
      </c>
      <c r="H2120" s="465" t="s">
        <v>4805</v>
      </c>
      <c r="I2120" s="465" t="s">
        <v>830</v>
      </c>
    </row>
    <row r="2121" hidden="1" ht="15.95" customHeight="1">
      <c r="A2121" s="465" t="s">
        <v>4846</v>
      </c>
      <c r="B2121" s="465" t="s">
        <v>4847</v>
      </c>
      <c r="C2121" s="465"/>
      <c r="D2121" s="465" t="s">
        <v>884</v>
      </c>
      <c r="E2121" s="465" t="s">
        <v>4848</v>
      </c>
      <c r="F2121" s="465" t="s">
        <v>4849</v>
      </c>
      <c r="G2121" s="465" t="s">
        <v>4804</v>
      </c>
      <c r="H2121" s="465" t="s">
        <v>4805</v>
      </c>
      <c r="I2121" s="465" t="s">
        <v>830</v>
      </c>
    </row>
    <row r="2122" hidden="1" ht="15.95" customHeight="1">
      <c r="A2122" s="465" t="s">
        <v>4850</v>
      </c>
      <c r="B2122" s="465" t="s">
        <v>4851</v>
      </c>
      <c r="C2122" s="465"/>
      <c r="D2122" s="465" t="s">
        <v>855</v>
      </c>
      <c r="E2122" s="465" t="s">
        <v>4848</v>
      </c>
      <c r="F2122" s="465" t="s">
        <v>4849</v>
      </c>
      <c r="G2122" s="465" t="s">
        <v>4804</v>
      </c>
      <c r="H2122" s="465" t="s">
        <v>4805</v>
      </c>
      <c r="I2122" s="465" t="s">
        <v>830</v>
      </c>
    </row>
    <row r="2123" hidden="1" ht="15.95" customHeight="1">
      <c r="A2123" s="465" t="s">
        <v>4852</v>
      </c>
      <c r="B2123" s="465" t="s">
        <v>4853</v>
      </c>
      <c r="C2123" s="465"/>
      <c r="D2123" s="465" t="s">
        <v>884</v>
      </c>
      <c r="E2123" s="465" t="s">
        <v>4848</v>
      </c>
      <c r="F2123" s="465" t="s">
        <v>4849</v>
      </c>
      <c r="G2123" s="465" t="s">
        <v>4804</v>
      </c>
      <c r="H2123" s="465" t="s">
        <v>4805</v>
      </c>
      <c r="I2123" s="465" t="s">
        <v>830</v>
      </c>
    </row>
    <row r="2124" hidden="1" ht="15.95" customHeight="1">
      <c r="A2124" s="465" t="s">
        <v>4854</v>
      </c>
      <c r="B2124" s="465" t="s">
        <v>4855</v>
      </c>
      <c r="C2124" s="465"/>
      <c r="D2124" s="465" t="s">
        <v>855</v>
      </c>
      <c r="E2124" s="465" t="s">
        <v>4848</v>
      </c>
      <c r="F2124" s="465" t="s">
        <v>4849</v>
      </c>
      <c r="G2124" s="465" t="s">
        <v>4804</v>
      </c>
      <c r="H2124" s="465" t="s">
        <v>4805</v>
      </c>
      <c r="I2124" s="465" t="s">
        <v>830</v>
      </c>
    </row>
    <row r="2125" hidden="1" ht="15.95" customHeight="1">
      <c r="A2125" s="465" t="s">
        <v>4856</v>
      </c>
      <c r="B2125" s="465" t="s">
        <v>4857</v>
      </c>
      <c r="C2125" s="465"/>
      <c r="D2125" s="465" t="s">
        <v>855</v>
      </c>
      <c r="E2125" s="465" t="s">
        <v>4848</v>
      </c>
      <c r="F2125" s="465" t="s">
        <v>4849</v>
      </c>
      <c r="G2125" s="465" t="s">
        <v>4804</v>
      </c>
      <c r="H2125" s="465" t="s">
        <v>4805</v>
      </c>
      <c r="I2125" s="465" t="s">
        <v>830</v>
      </c>
    </row>
    <row r="2126" hidden="1" ht="15.95" customHeight="1">
      <c r="A2126" s="465" t="s">
        <v>4858</v>
      </c>
      <c r="B2126" s="465" t="s">
        <v>4859</v>
      </c>
      <c r="C2126" s="465"/>
      <c r="D2126" s="465" t="s">
        <v>855</v>
      </c>
      <c r="E2126" s="465" t="s">
        <v>4848</v>
      </c>
      <c r="F2126" s="465" t="s">
        <v>4849</v>
      </c>
      <c r="G2126" s="465" t="s">
        <v>4804</v>
      </c>
      <c r="H2126" s="465" t="s">
        <v>4805</v>
      </c>
      <c r="I2126" s="465" t="s">
        <v>830</v>
      </c>
    </row>
    <row r="2127" hidden="1" ht="15.95" customHeight="1">
      <c r="A2127" s="465" t="s">
        <v>4860</v>
      </c>
      <c r="B2127" s="465" t="s">
        <v>2507</v>
      </c>
      <c r="C2127" s="465"/>
      <c r="D2127" s="465" t="s">
        <v>855</v>
      </c>
      <c r="E2127" s="465" t="s">
        <v>4848</v>
      </c>
      <c r="F2127" s="465" t="s">
        <v>4849</v>
      </c>
      <c r="G2127" s="465" t="s">
        <v>4804</v>
      </c>
      <c r="H2127" s="465" t="s">
        <v>4805</v>
      </c>
      <c r="I2127" s="465" t="s">
        <v>830</v>
      </c>
    </row>
    <row r="2128" hidden="1" ht="15.95" customHeight="1">
      <c r="A2128" s="465" t="s">
        <v>4861</v>
      </c>
      <c r="B2128" s="465" t="s">
        <v>1415</v>
      </c>
      <c r="C2128" s="465"/>
      <c r="D2128" s="465" t="s">
        <v>855</v>
      </c>
      <c r="E2128" s="465" t="s">
        <v>4848</v>
      </c>
      <c r="F2128" s="465" t="s">
        <v>4849</v>
      </c>
      <c r="G2128" s="465" t="s">
        <v>4804</v>
      </c>
      <c r="H2128" s="465" t="s">
        <v>4805</v>
      </c>
      <c r="I2128" s="465" t="s">
        <v>830</v>
      </c>
    </row>
    <row r="2129" hidden="1" ht="15.95" customHeight="1">
      <c r="A2129" s="465" t="s">
        <v>4862</v>
      </c>
      <c r="B2129" s="465" t="s">
        <v>2646</v>
      </c>
      <c r="C2129" s="465"/>
      <c r="D2129" s="465" t="s">
        <v>855</v>
      </c>
      <c r="E2129" s="465" t="s">
        <v>4848</v>
      </c>
      <c r="F2129" s="465" t="s">
        <v>4849</v>
      </c>
      <c r="G2129" s="465" t="s">
        <v>4804</v>
      </c>
      <c r="H2129" s="465" t="s">
        <v>4805</v>
      </c>
      <c r="I2129" s="465" t="s">
        <v>830</v>
      </c>
    </row>
    <row r="2130" hidden="1" ht="15.95" customHeight="1">
      <c r="A2130" s="465" t="s">
        <v>4863</v>
      </c>
      <c r="B2130" s="465" t="s">
        <v>4864</v>
      </c>
      <c r="C2130" s="465"/>
      <c r="D2130" s="465" t="s">
        <v>855</v>
      </c>
      <c r="E2130" s="465" t="s">
        <v>4848</v>
      </c>
      <c r="F2130" s="465" t="s">
        <v>4849</v>
      </c>
      <c r="G2130" s="465" t="s">
        <v>4804</v>
      </c>
      <c r="H2130" s="465" t="s">
        <v>4805</v>
      </c>
      <c r="I2130" s="465" t="s">
        <v>830</v>
      </c>
    </row>
    <row r="2131" hidden="1" ht="15.95" customHeight="1">
      <c r="A2131" s="465" t="s">
        <v>4865</v>
      </c>
      <c r="B2131" s="465" t="s">
        <v>4866</v>
      </c>
      <c r="C2131" s="465"/>
      <c r="D2131" s="465" t="s">
        <v>855</v>
      </c>
      <c r="E2131" s="465" t="s">
        <v>4848</v>
      </c>
      <c r="F2131" s="465" t="s">
        <v>4849</v>
      </c>
      <c r="G2131" s="465" t="s">
        <v>4804</v>
      </c>
      <c r="H2131" s="465" t="s">
        <v>4805</v>
      </c>
      <c r="I2131" s="465" t="s">
        <v>830</v>
      </c>
    </row>
    <row r="2132" hidden="1" ht="15.95" customHeight="1">
      <c r="A2132" s="465" t="s">
        <v>4867</v>
      </c>
      <c r="B2132" s="465" t="s">
        <v>4868</v>
      </c>
      <c r="C2132" s="465"/>
      <c r="D2132" s="465" t="s">
        <v>855</v>
      </c>
      <c r="E2132" s="465" t="s">
        <v>4848</v>
      </c>
      <c r="F2132" s="465" t="s">
        <v>4849</v>
      </c>
      <c r="G2132" s="465" t="s">
        <v>4804</v>
      </c>
      <c r="H2132" s="465" t="s">
        <v>4805</v>
      </c>
      <c r="I2132" s="465" t="s">
        <v>830</v>
      </c>
    </row>
    <row r="2133" hidden="1" ht="15.95" customHeight="1">
      <c r="A2133" s="465" t="s">
        <v>4869</v>
      </c>
      <c r="B2133" s="465" t="s">
        <v>4870</v>
      </c>
      <c r="C2133" s="465"/>
      <c r="D2133" s="465" t="s">
        <v>855</v>
      </c>
      <c r="E2133" s="465" t="s">
        <v>4848</v>
      </c>
      <c r="F2133" s="465" t="s">
        <v>4849</v>
      </c>
      <c r="G2133" s="465" t="s">
        <v>4804</v>
      </c>
      <c r="H2133" s="465" t="s">
        <v>4805</v>
      </c>
      <c r="I2133" s="465" t="s">
        <v>830</v>
      </c>
    </row>
    <row r="2134" hidden="1" ht="15.95" customHeight="1">
      <c r="A2134" s="465" t="s">
        <v>4871</v>
      </c>
      <c r="B2134" s="465" t="s">
        <v>3167</v>
      </c>
      <c r="C2134" s="465"/>
      <c r="D2134" s="465" t="s">
        <v>855</v>
      </c>
      <c r="E2134" s="465" t="s">
        <v>4848</v>
      </c>
      <c r="F2134" s="465" t="s">
        <v>4849</v>
      </c>
      <c r="G2134" s="465" t="s">
        <v>4804</v>
      </c>
      <c r="H2134" s="465" t="s">
        <v>4805</v>
      </c>
      <c r="I2134" s="465" t="s">
        <v>830</v>
      </c>
    </row>
    <row r="2135" hidden="1" ht="15.95" customHeight="1">
      <c r="A2135" s="465" t="s">
        <v>4872</v>
      </c>
      <c r="B2135" s="465" t="s">
        <v>4873</v>
      </c>
      <c r="C2135" s="465"/>
      <c r="D2135" s="465" t="s">
        <v>825</v>
      </c>
      <c r="E2135" s="465" t="s">
        <v>4874</v>
      </c>
      <c r="F2135" s="465" t="s">
        <v>4875</v>
      </c>
      <c r="G2135" s="465" t="s">
        <v>4804</v>
      </c>
      <c r="H2135" s="465" t="s">
        <v>4805</v>
      </c>
      <c r="I2135" s="465" t="s">
        <v>830</v>
      </c>
    </row>
    <row r="2136" hidden="1" ht="15.95" customHeight="1">
      <c r="A2136" s="465" t="s">
        <v>4876</v>
      </c>
      <c r="B2136" s="465" t="s">
        <v>4877</v>
      </c>
      <c r="C2136" s="465"/>
      <c r="D2136" s="465" t="s">
        <v>825</v>
      </c>
      <c r="E2136" s="465" t="s">
        <v>4874</v>
      </c>
      <c r="F2136" s="465" t="s">
        <v>4875</v>
      </c>
      <c r="G2136" s="465" t="s">
        <v>4804</v>
      </c>
      <c r="H2136" s="465" t="s">
        <v>4805</v>
      </c>
      <c r="I2136" s="465" t="s">
        <v>830</v>
      </c>
    </row>
    <row r="2137" hidden="1" ht="15.95" customHeight="1">
      <c r="A2137" s="465" t="s">
        <v>4878</v>
      </c>
      <c r="B2137" s="465" t="s">
        <v>4879</v>
      </c>
      <c r="C2137" s="465"/>
      <c r="D2137" s="465" t="s">
        <v>825</v>
      </c>
      <c r="E2137" s="465" t="s">
        <v>4874</v>
      </c>
      <c r="F2137" s="465" t="s">
        <v>4875</v>
      </c>
      <c r="G2137" s="465" t="s">
        <v>4804</v>
      </c>
      <c r="H2137" s="465" t="s">
        <v>4805</v>
      </c>
      <c r="I2137" s="465" t="s">
        <v>830</v>
      </c>
    </row>
    <row r="2138" hidden="1" ht="15.95" customHeight="1">
      <c r="A2138" s="465" t="s">
        <v>4880</v>
      </c>
      <c r="B2138" s="465" t="s">
        <v>2296</v>
      </c>
      <c r="C2138" s="465"/>
      <c r="D2138" s="465" t="s">
        <v>855</v>
      </c>
      <c r="E2138" s="465" t="s">
        <v>4874</v>
      </c>
      <c r="F2138" s="465" t="s">
        <v>4875</v>
      </c>
      <c r="G2138" s="465" t="s">
        <v>4804</v>
      </c>
      <c r="H2138" s="465" t="s">
        <v>4805</v>
      </c>
      <c r="I2138" s="465" t="s">
        <v>830</v>
      </c>
    </row>
    <row r="2139" hidden="1" ht="15.95" customHeight="1">
      <c r="A2139" s="465" t="s">
        <v>4881</v>
      </c>
      <c r="B2139" s="465" t="s">
        <v>4882</v>
      </c>
      <c r="C2139" s="465"/>
      <c r="D2139" s="465" t="s">
        <v>855</v>
      </c>
      <c r="E2139" s="465" t="s">
        <v>4874</v>
      </c>
      <c r="F2139" s="465" t="s">
        <v>4875</v>
      </c>
      <c r="G2139" s="465" t="s">
        <v>4804</v>
      </c>
      <c r="H2139" s="465" t="s">
        <v>4805</v>
      </c>
      <c r="I2139" s="465" t="s">
        <v>830</v>
      </c>
    </row>
    <row r="2140" hidden="1" ht="15.95" customHeight="1">
      <c r="A2140" s="465" t="s">
        <v>4883</v>
      </c>
      <c r="B2140" s="465" t="s">
        <v>2097</v>
      </c>
      <c r="C2140" s="465"/>
      <c r="D2140" s="465" t="s">
        <v>855</v>
      </c>
      <c r="E2140" s="465" t="s">
        <v>4874</v>
      </c>
      <c r="F2140" s="465" t="s">
        <v>4875</v>
      </c>
      <c r="G2140" s="465" t="s">
        <v>4804</v>
      </c>
      <c r="H2140" s="465" t="s">
        <v>4805</v>
      </c>
      <c r="I2140" s="465" t="s">
        <v>830</v>
      </c>
    </row>
    <row r="2141" hidden="1" ht="15.95" customHeight="1">
      <c r="A2141" s="465" t="s">
        <v>4884</v>
      </c>
      <c r="B2141" s="465" t="s">
        <v>3874</v>
      </c>
      <c r="C2141" s="465" t="s">
        <v>4885</v>
      </c>
      <c r="D2141" s="465" t="s">
        <v>855</v>
      </c>
      <c r="E2141" s="465" t="s">
        <v>4874</v>
      </c>
      <c r="F2141" s="465" t="s">
        <v>4875</v>
      </c>
      <c r="G2141" s="465" t="s">
        <v>4804</v>
      </c>
      <c r="H2141" s="465" t="s">
        <v>4805</v>
      </c>
      <c r="I2141" s="465" t="s">
        <v>830</v>
      </c>
    </row>
    <row r="2142" hidden="1" ht="15.95" customHeight="1">
      <c r="A2142" s="465" t="s">
        <v>4886</v>
      </c>
      <c r="B2142" s="465" t="s">
        <v>2316</v>
      </c>
      <c r="C2142" s="465"/>
      <c r="D2142" s="465" t="s">
        <v>855</v>
      </c>
      <c r="E2142" s="465" t="s">
        <v>4874</v>
      </c>
      <c r="F2142" s="465" t="s">
        <v>4875</v>
      </c>
      <c r="G2142" s="465" t="s">
        <v>4804</v>
      </c>
      <c r="H2142" s="465" t="s">
        <v>4805</v>
      </c>
      <c r="I2142" s="465" t="s">
        <v>830</v>
      </c>
    </row>
    <row r="2143" hidden="1" ht="15.95" customHeight="1">
      <c r="A2143" s="465" t="s">
        <v>4887</v>
      </c>
      <c r="B2143" s="465" t="s">
        <v>2458</v>
      </c>
      <c r="C2143" s="465"/>
      <c r="D2143" s="465" t="s">
        <v>855</v>
      </c>
      <c r="E2143" s="465" t="s">
        <v>4874</v>
      </c>
      <c r="F2143" s="465" t="s">
        <v>4875</v>
      </c>
      <c r="G2143" s="465" t="s">
        <v>4804</v>
      </c>
      <c r="H2143" s="465" t="s">
        <v>4805</v>
      </c>
      <c r="I2143" s="465" t="s">
        <v>830</v>
      </c>
    </row>
    <row r="2144" hidden="1" ht="15.95" customHeight="1">
      <c r="A2144" s="465" t="s">
        <v>4888</v>
      </c>
      <c r="B2144" s="465" t="s">
        <v>4889</v>
      </c>
      <c r="C2144" s="465"/>
      <c r="D2144" s="465" t="s">
        <v>825</v>
      </c>
      <c r="E2144" s="465" t="s">
        <v>4874</v>
      </c>
      <c r="F2144" s="465" t="s">
        <v>4875</v>
      </c>
      <c r="G2144" s="465" t="s">
        <v>4804</v>
      </c>
      <c r="H2144" s="465" t="s">
        <v>4805</v>
      </c>
      <c r="I2144" s="465" t="s">
        <v>830</v>
      </c>
    </row>
    <row r="2145" hidden="1" ht="15.95" customHeight="1">
      <c r="A2145" s="465" t="s">
        <v>4890</v>
      </c>
      <c r="B2145" s="465" t="s">
        <v>4891</v>
      </c>
      <c r="C2145" s="465"/>
      <c r="D2145" s="465" t="s">
        <v>855</v>
      </c>
      <c r="E2145" s="465" t="s">
        <v>4874</v>
      </c>
      <c r="F2145" s="465" t="s">
        <v>4875</v>
      </c>
      <c r="G2145" s="465" t="s">
        <v>4804</v>
      </c>
      <c r="H2145" s="465" t="s">
        <v>4805</v>
      </c>
      <c r="I2145" s="465" t="s">
        <v>830</v>
      </c>
    </row>
    <row r="2146" hidden="1" ht="15.95" customHeight="1">
      <c r="A2146" s="465" t="s">
        <v>4892</v>
      </c>
      <c r="B2146" s="465" t="s">
        <v>4893</v>
      </c>
      <c r="C2146" s="465"/>
      <c r="D2146" s="465" t="s">
        <v>855</v>
      </c>
      <c r="E2146" s="465" t="s">
        <v>4874</v>
      </c>
      <c r="F2146" s="465" t="s">
        <v>4875</v>
      </c>
      <c r="G2146" s="465" t="s">
        <v>4804</v>
      </c>
      <c r="H2146" s="465" t="s">
        <v>4805</v>
      </c>
      <c r="I2146" s="465" t="s">
        <v>830</v>
      </c>
    </row>
    <row r="2147" hidden="1" ht="15.95" customHeight="1">
      <c r="A2147" s="465" t="s">
        <v>4894</v>
      </c>
      <c r="B2147" s="465" t="s">
        <v>4895</v>
      </c>
      <c r="C2147" s="465"/>
      <c r="D2147" s="465" t="s">
        <v>855</v>
      </c>
      <c r="E2147" s="465" t="s">
        <v>4874</v>
      </c>
      <c r="F2147" s="465" t="s">
        <v>4875</v>
      </c>
      <c r="G2147" s="465" t="s">
        <v>4804</v>
      </c>
      <c r="H2147" s="465" t="s">
        <v>4805</v>
      </c>
      <c r="I2147" s="465" t="s">
        <v>830</v>
      </c>
    </row>
    <row r="2148" hidden="1" ht="15.95" customHeight="1">
      <c r="A2148" s="465" t="s">
        <v>4896</v>
      </c>
      <c r="B2148" s="465" t="s">
        <v>4897</v>
      </c>
      <c r="C2148" s="465"/>
      <c r="D2148" s="465" t="s">
        <v>825</v>
      </c>
      <c r="E2148" s="465" t="s">
        <v>4874</v>
      </c>
      <c r="F2148" s="465" t="s">
        <v>4875</v>
      </c>
      <c r="G2148" s="465" t="s">
        <v>4804</v>
      </c>
      <c r="H2148" s="465" t="s">
        <v>4805</v>
      </c>
      <c r="I2148" s="465" t="s">
        <v>830</v>
      </c>
    </row>
    <row r="2149" hidden="1" ht="15.95" customHeight="1">
      <c r="A2149" s="465" t="s">
        <v>4898</v>
      </c>
      <c r="B2149" s="465" t="s">
        <v>2664</v>
      </c>
      <c r="C2149" s="465"/>
      <c r="D2149" s="465" t="s">
        <v>884</v>
      </c>
      <c r="E2149" s="465" t="s">
        <v>4899</v>
      </c>
      <c r="F2149" s="465" t="s">
        <v>4900</v>
      </c>
      <c r="G2149" s="465" t="s">
        <v>4804</v>
      </c>
      <c r="H2149" s="465" t="s">
        <v>4805</v>
      </c>
      <c r="I2149" s="465" t="s">
        <v>830</v>
      </c>
    </row>
    <row r="2150" hidden="1" ht="15.95" customHeight="1">
      <c r="A2150" s="465" t="s">
        <v>4901</v>
      </c>
      <c r="B2150" s="465" t="s">
        <v>4902</v>
      </c>
      <c r="C2150" s="465"/>
      <c r="D2150" s="465" t="s">
        <v>884</v>
      </c>
      <c r="E2150" s="465" t="s">
        <v>4899</v>
      </c>
      <c r="F2150" s="465" t="s">
        <v>4900</v>
      </c>
      <c r="G2150" s="465" t="s">
        <v>4804</v>
      </c>
      <c r="H2150" s="465" t="s">
        <v>4805</v>
      </c>
      <c r="I2150" s="465" t="s">
        <v>830</v>
      </c>
    </row>
    <row r="2151" hidden="1" ht="15.95" customHeight="1">
      <c r="A2151" s="465" t="s">
        <v>4903</v>
      </c>
      <c r="B2151" s="465" t="s">
        <v>2048</v>
      </c>
      <c r="C2151" s="465"/>
      <c r="D2151" s="465" t="s">
        <v>855</v>
      </c>
      <c r="E2151" s="465" t="s">
        <v>4899</v>
      </c>
      <c r="F2151" s="465" t="s">
        <v>4900</v>
      </c>
      <c r="G2151" s="465" t="s">
        <v>4804</v>
      </c>
      <c r="H2151" s="465" t="s">
        <v>4805</v>
      </c>
      <c r="I2151" s="465" t="s">
        <v>830</v>
      </c>
    </row>
    <row r="2152" hidden="1" ht="15.95" customHeight="1">
      <c r="A2152" s="465" t="s">
        <v>4904</v>
      </c>
      <c r="B2152" s="465" t="s">
        <v>4057</v>
      </c>
      <c r="C2152" s="465"/>
      <c r="D2152" s="465" t="s">
        <v>855</v>
      </c>
      <c r="E2152" s="465" t="s">
        <v>4899</v>
      </c>
      <c r="F2152" s="465" t="s">
        <v>4900</v>
      </c>
      <c r="G2152" s="465" t="s">
        <v>4804</v>
      </c>
      <c r="H2152" s="465" t="s">
        <v>4805</v>
      </c>
      <c r="I2152" s="465" t="s">
        <v>830</v>
      </c>
    </row>
    <row r="2153" hidden="1" ht="15.95" customHeight="1">
      <c r="A2153" s="465" t="s">
        <v>4905</v>
      </c>
      <c r="B2153" s="465" t="s">
        <v>2298</v>
      </c>
      <c r="C2153" s="465"/>
      <c r="D2153" s="465" t="s">
        <v>855</v>
      </c>
      <c r="E2153" s="465" t="s">
        <v>4899</v>
      </c>
      <c r="F2153" s="465" t="s">
        <v>4900</v>
      </c>
      <c r="G2153" s="465" t="s">
        <v>4804</v>
      </c>
      <c r="H2153" s="465" t="s">
        <v>4805</v>
      </c>
      <c r="I2153" s="465" t="s">
        <v>830</v>
      </c>
    </row>
    <row r="2154" hidden="1" ht="15.95" customHeight="1">
      <c r="A2154" s="465" t="s">
        <v>4906</v>
      </c>
      <c r="B2154" s="465" t="s">
        <v>4654</v>
      </c>
      <c r="C2154" s="465"/>
      <c r="D2154" s="465" t="s">
        <v>855</v>
      </c>
      <c r="E2154" s="465" t="s">
        <v>4899</v>
      </c>
      <c r="F2154" s="465" t="s">
        <v>4900</v>
      </c>
      <c r="G2154" s="465" t="s">
        <v>4804</v>
      </c>
      <c r="H2154" s="465" t="s">
        <v>4805</v>
      </c>
      <c r="I2154" s="465" t="s">
        <v>830</v>
      </c>
    </row>
    <row r="2155" hidden="1" ht="15.95" customHeight="1">
      <c r="A2155" s="465" t="s">
        <v>4907</v>
      </c>
      <c r="B2155" s="465" t="s">
        <v>2510</v>
      </c>
      <c r="C2155" s="465"/>
      <c r="D2155" s="465" t="s">
        <v>855</v>
      </c>
      <c r="E2155" s="465" t="s">
        <v>4899</v>
      </c>
      <c r="F2155" s="465" t="s">
        <v>4900</v>
      </c>
      <c r="G2155" s="465" t="s">
        <v>4804</v>
      </c>
      <c r="H2155" s="465" t="s">
        <v>4805</v>
      </c>
      <c r="I2155" s="465" t="s">
        <v>830</v>
      </c>
    </row>
    <row r="2156" hidden="1" ht="15.95" customHeight="1">
      <c r="A2156" s="465" t="s">
        <v>4908</v>
      </c>
      <c r="B2156" s="465" t="s">
        <v>4909</v>
      </c>
      <c r="C2156" s="465"/>
      <c r="D2156" s="465" t="s">
        <v>855</v>
      </c>
      <c r="E2156" s="465" t="s">
        <v>4899</v>
      </c>
      <c r="F2156" s="465" t="s">
        <v>4900</v>
      </c>
      <c r="G2156" s="465" t="s">
        <v>4804</v>
      </c>
      <c r="H2156" s="465" t="s">
        <v>4805</v>
      </c>
      <c r="I2156" s="465" t="s">
        <v>830</v>
      </c>
    </row>
    <row r="2157" hidden="1" ht="15.95" customHeight="1">
      <c r="A2157" s="465" t="s">
        <v>4910</v>
      </c>
      <c r="B2157" s="465" t="s">
        <v>4520</v>
      </c>
      <c r="C2157" s="465"/>
      <c r="D2157" s="465" t="s">
        <v>855</v>
      </c>
      <c r="E2157" s="465" t="s">
        <v>4899</v>
      </c>
      <c r="F2157" s="465" t="s">
        <v>4900</v>
      </c>
      <c r="G2157" s="465" t="s">
        <v>4804</v>
      </c>
      <c r="H2157" s="465" t="s">
        <v>4805</v>
      </c>
      <c r="I2157" s="465" t="s">
        <v>830</v>
      </c>
    </row>
    <row r="2158" hidden="1" ht="15.95" customHeight="1">
      <c r="A2158" s="465" t="s">
        <v>4911</v>
      </c>
      <c r="B2158" s="465" t="s">
        <v>2076</v>
      </c>
      <c r="C2158" s="465"/>
      <c r="D2158" s="465" t="s">
        <v>855</v>
      </c>
      <c r="E2158" s="465" t="s">
        <v>4899</v>
      </c>
      <c r="F2158" s="465" t="s">
        <v>4900</v>
      </c>
      <c r="G2158" s="465" t="s">
        <v>4804</v>
      </c>
      <c r="H2158" s="465" t="s">
        <v>4805</v>
      </c>
      <c r="I2158" s="465" t="s">
        <v>830</v>
      </c>
    </row>
    <row r="2159" hidden="1" ht="15.95" customHeight="1">
      <c r="A2159" s="465" t="s">
        <v>4912</v>
      </c>
      <c r="B2159" s="465" t="s">
        <v>2294</v>
      </c>
      <c r="C2159" s="465"/>
      <c r="D2159" s="465" t="s">
        <v>855</v>
      </c>
      <c r="E2159" s="465" t="s">
        <v>4899</v>
      </c>
      <c r="F2159" s="465" t="s">
        <v>4900</v>
      </c>
      <c r="G2159" s="465" t="s">
        <v>4804</v>
      </c>
      <c r="H2159" s="465" t="s">
        <v>4805</v>
      </c>
      <c r="I2159" s="465" t="s">
        <v>830</v>
      </c>
    </row>
    <row r="2160" hidden="1" ht="15.95" customHeight="1">
      <c r="A2160" s="465" t="s">
        <v>4913</v>
      </c>
      <c r="B2160" s="465" t="s">
        <v>4914</v>
      </c>
      <c r="C2160" s="465"/>
      <c r="D2160" s="465" t="s">
        <v>855</v>
      </c>
      <c r="E2160" s="465" t="s">
        <v>4899</v>
      </c>
      <c r="F2160" s="465" t="s">
        <v>4900</v>
      </c>
      <c r="G2160" s="465" t="s">
        <v>4804</v>
      </c>
      <c r="H2160" s="465" t="s">
        <v>4805</v>
      </c>
      <c r="I2160" s="465" t="s">
        <v>830</v>
      </c>
    </row>
    <row r="2161" hidden="1" ht="15.95" customHeight="1">
      <c r="A2161" s="465" t="s">
        <v>4915</v>
      </c>
      <c r="B2161" s="465" t="s">
        <v>2300</v>
      </c>
      <c r="C2161" s="465"/>
      <c r="D2161" s="465" t="s">
        <v>855</v>
      </c>
      <c r="E2161" s="465" t="s">
        <v>4899</v>
      </c>
      <c r="F2161" s="465" t="s">
        <v>4900</v>
      </c>
      <c r="G2161" s="465" t="s">
        <v>4804</v>
      </c>
      <c r="H2161" s="465" t="s">
        <v>4805</v>
      </c>
      <c r="I2161" s="465" t="s">
        <v>830</v>
      </c>
    </row>
    <row r="2162" hidden="1" ht="15.95" customHeight="1">
      <c r="A2162" s="465" t="s">
        <v>4916</v>
      </c>
      <c r="B2162" s="465" t="s">
        <v>4664</v>
      </c>
      <c r="C2162" s="465"/>
      <c r="D2162" s="465" t="s">
        <v>855</v>
      </c>
      <c r="E2162" s="465" t="s">
        <v>4899</v>
      </c>
      <c r="F2162" s="465" t="s">
        <v>4900</v>
      </c>
      <c r="G2162" s="465" t="s">
        <v>4804</v>
      </c>
      <c r="H2162" s="465" t="s">
        <v>4805</v>
      </c>
      <c r="I2162" s="465" t="s">
        <v>830</v>
      </c>
    </row>
    <row r="2163" hidden="1" ht="15.95" customHeight="1">
      <c r="A2163" s="465" t="s">
        <v>4917</v>
      </c>
      <c r="B2163" s="465" t="s">
        <v>3895</v>
      </c>
      <c r="C2163" s="465"/>
      <c r="D2163" s="465" t="s">
        <v>855</v>
      </c>
      <c r="E2163" s="465" t="s">
        <v>4899</v>
      </c>
      <c r="F2163" s="465" t="s">
        <v>4900</v>
      </c>
      <c r="G2163" s="465" t="s">
        <v>4804</v>
      </c>
      <c r="H2163" s="465" t="s">
        <v>4805</v>
      </c>
      <c r="I2163" s="465" t="s">
        <v>830</v>
      </c>
    </row>
    <row r="2164" hidden="1" ht="15.95" customHeight="1">
      <c r="A2164" s="465" t="s">
        <v>4918</v>
      </c>
      <c r="B2164" s="465" t="s">
        <v>4919</v>
      </c>
      <c r="C2164" s="465"/>
      <c r="D2164" s="465" t="s">
        <v>855</v>
      </c>
      <c r="E2164" s="465" t="s">
        <v>4899</v>
      </c>
      <c r="F2164" s="465" t="s">
        <v>4900</v>
      </c>
      <c r="G2164" s="465" t="s">
        <v>4804</v>
      </c>
      <c r="H2164" s="465" t="s">
        <v>4805</v>
      </c>
      <c r="I2164" s="465" t="s">
        <v>830</v>
      </c>
    </row>
    <row r="2165" hidden="1" ht="15.95" customHeight="1">
      <c r="A2165" s="465" t="s">
        <v>4920</v>
      </c>
      <c r="B2165" s="465" t="s">
        <v>1722</v>
      </c>
      <c r="C2165" s="465"/>
      <c r="D2165" s="465" t="s">
        <v>855</v>
      </c>
      <c r="E2165" s="465" t="s">
        <v>4899</v>
      </c>
      <c r="F2165" s="465" t="s">
        <v>4900</v>
      </c>
      <c r="G2165" s="465" t="s">
        <v>4804</v>
      </c>
      <c r="H2165" s="465" t="s">
        <v>4805</v>
      </c>
      <c r="I2165" s="465" t="s">
        <v>830</v>
      </c>
    </row>
    <row r="2166" hidden="1" ht="15.95" customHeight="1">
      <c r="A2166" s="465" t="s">
        <v>4921</v>
      </c>
      <c r="B2166" s="465" t="s">
        <v>3614</v>
      </c>
      <c r="C2166" s="465"/>
      <c r="D2166" s="465" t="s">
        <v>855</v>
      </c>
      <c r="E2166" s="465" t="s">
        <v>4899</v>
      </c>
      <c r="F2166" s="465" t="s">
        <v>4900</v>
      </c>
      <c r="G2166" s="465" t="s">
        <v>4804</v>
      </c>
      <c r="H2166" s="465" t="s">
        <v>4805</v>
      </c>
      <c r="I2166" s="465" t="s">
        <v>830</v>
      </c>
    </row>
    <row r="2167" hidden="1" ht="15.95" customHeight="1">
      <c r="A2167" s="465" t="s">
        <v>4922</v>
      </c>
      <c r="B2167" s="465" t="s">
        <v>4923</v>
      </c>
      <c r="C2167" s="465"/>
      <c r="D2167" s="465" t="s">
        <v>884</v>
      </c>
      <c r="E2167" s="465" t="s">
        <v>4924</v>
      </c>
      <c r="F2167" s="465" t="s">
        <v>4925</v>
      </c>
      <c r="G2167" s="465" t="s">
        <v>4804</v>
      </c>
      <c r="H2167" s="465" t="s">
        <v>4805</v>
      </c>
      <c r="I2167" s="465" t="s">
        <v>830</v>
      </c>
    </row>
    <row r="2168" hidden="1" ht="15.95" customHeight="1">
      <c r="A2168" s="465" t="s">
        <v>4926</v>
      </c>
      <c r="B2168" s="465" t="s">
        <v>4927</v>
      </c>
      <c r="C2168" s="465"/>
      <c r="D2168" s="465" t="s">
        <v>855</v>
      </c>
      <c r="E2168" s="465" t="s">
        <v>4924</v>
      </c>
      <c r="F2168" s="465" t="s">
        <v>4925</v>
      </c>
      <c r="G2168" s="465" t="s">
        <v>4804</v>
      </c>
      <c r="H2168" s="465" t="s">
        <v>4805</v>
      </c>
      <c r="I2168" s="465" t="s">
        <v>830</v>
      </c>
    </row>
    <row r="2169" hidden="1" ht="15.95" customHeight="1">
      <c r="A2169" s="465" t="s">
        <v>4928</v>
      </c>
      <c r="B2169" s="465" t="s">
        <v>1529</v>
      </c>
      <c r="C2169" s="465"/>
      <c r="D2169" s="465" t="s">
        <v>855</v>
      </c>
      <c r="E2169" s="465" t="s">
        <v>4924</v>
      </c>
      <c r="F2169" s="465" t="s">
        <v>4925</v>
      </c>
      <c r="G2169" s="465" t="s">
        <v>4804</v>
      </c>
      <c r="H2169" s="465" t="s">
        <v>4805</v>
      </c>
      <c r="I2169" s="465" t="s">
        <v>830</v>
      </c>
    </row>
    <row r="2170" hidden="1" ht="15.95" customHeight="1">
      <c r="A2170" s="465" t="s">
        <v>4929</v>
      </c>
      <c r="B2170" s="465" t="s">
        <v>3454</v>
      </c>
      <c r="C2170" s="465"/>
      <c r="D2170" s="465" t="s">
        <v>855</v>
      </c>
      <c r="E2170" s="465" t="s">
        <v>4924</v>
      </c>
      <c r="F2170" s="465" t="s">
        <v>4925</v>
      </c>
      <c r="G2170" s="465" t="s">
        <v>4804</v>
      </c>
      <c r="H2170" s="465" t="s">
        <v>4805</v>
      </c>
      <c r="I2170" s="465" t="s">
        <v>830</v>
      </c>
    </row>
    <row r="2171" hidden="1" ht="15.95" customHeight="1">
      <c r="A2171" s="465" t="s">
        <v>4930</v>
      </c>
      <c r="B2171" s="465" t="s">
        <v>4931</v>
      </c>
      <c r="C2171" s="465"/>
      <c r="D2171" s="465" t="s">
        <v>855</v>
      </c>
      <c r="E2171" s="465" t="s">
        <v>4924</v>
      </c>
      <c r="F2171" s="465" t="s">
        <v>4925</v>
      </c>
      <c r="G2171" s="465" t="s">
        <v>4804</v>
      </c>
      <c r="H2171" s="465" t="s">
        <v>4805</v>
      </c>
      <c r="I2171" s="465" t="s">
        <v>830</v>
      </c>
    </row>
    <row r="2172" hidden="1" ht="15.95" customHeight="1">
      <c r="A2172" s="465" t="s">
        <v>4932</v>
      </c>
      <c r="B2172" s="465" t="s">
        <v>4933</v>
      </c>
      <c r="C2172" s="465"/>
      <c r="D2172" s="465" t="s">
        <v>855</v>
      </c>
      <c r="E2172" s="465" t="s">
        <v>4924</v>
      </c>
      <c r="F2172" s="465" t="s">
        <v>4925</v>
      </c>
      <c r="G2172" s="465" t="s">
        <v>4804</v>
      </c>
      <c r="H2172" s="465" t="s">
        <v>4805</v>
      </c>
      <c r="I2172" s="465" t="s">
        <v>830</v>
      </c>
    </row>
    <row r="2173" hidden="1" ht="15.95" customHeight="1">
      <c r="A2173" s="465" t="s">
        <v>4934</v>
      </c>
      <c r="B2173" s="465" t="s">
        <v>4935</v>
      </c>
      <c r="C2173" s="465"/>
      <c r="D2173" s="465" t="s">
        <v>855</v>
      </c>
      <c r="E2173" s="465" t="s">
        <v>4924</v>
      </c>
      <c r="F2173" s="465" t="s">
        <v>4925</v>
      </c>
      <c r="G2173" s="465" t="s">
        <v>4804</v>
      </c>
      <c r="H2173" s="465" t="s">
        <v>4805</v>
      </c>
      <c r="I2173" s="465" t="s">
        <v>830</v>
      </c>
    </row>
    <row r="2174" hidden="1" ht="15.95" customHeight="1">
      <c r="A2174" s="465" t="s">
        <v>4936</v>
      </c>
      <c r="B2174" s="465" t="s">
        <v>4937</v>
      </c>
      <c r="C2174" s="465"/>
      <c r="D2174" s="465" t="s">
        <v>855</v>
      </c>
      <c r="E2174" s="465" t="s">
        <v>4924</v>
      </c>
      <c r="F2174" s="465" t="s">
        <v>4925</v>
      </c>
      <c r="G2174" s="465" t="s">
        <v>4804</v>
      </c>
      <c r="H2174" s="465" t="s">
        <v>4805</v>
      </c>
      <c r="I2174" s="465" t="s">
        <v>830</v>
      </c>
    </row>
    <row r="2175" hidden="1" ht="15.95" customHeight="1">
      <c r="A2175" s="465" t="s">
        <v>4938</v>
      </c>
      <c r="B2175" s="465" t="s">
        <v>2167</v>
      </c>
      <c r="C2175" s="465"/>
      <c r="D2175" s="465" t="s">
        <v>855</v>
      </c>
      <c r="E2175" s="465" t="s">
        <v>4924</v>
      </c>
      <c r="F2175" s="465" t="s">
        <v>4925</v>
      </c>
      <c r="G2175" s="465" t="s">
        <v>4804</v>
      </c>
      <c r="H2175" s="465" t="s">
        <v>4805</v>
      </c>
      <c r="I2175" s="465" t="s">
        <v>830</v>
      </c>
    </row>
    <row r="2176" hidden="1" ht="15.95" customHeight="1">
      <c r="A2176" s="465" t="s">
        <v>4939</v>
      </c>
      <c r="B2176" s="465" t="s">
        <v>4940</v>
      </c>
      <c r="C2176" s="465"/>
      <c r="D2176" s="465" t="s">
        <v>855</v>
      </c>
      <c r="E2176" s="465" t="s">
        <v>4924</v>
      </c>
      <c r="F2176" s="465" t="s">
        <v>4925</v>
      </c>
      <c r="G2176" s="465" t="s">
        <v>4804</v>
      </c>
      <c r="H2176" s="465" t="s">
        <v>4805</v>
      </c>
      <c r="I2176" s="465" t="s">
        <v>830</v>
      </c>
    </row>
    <row r="2177" hidden="1" ht="15.95" customHeight="1">
      <c r="A2177" s="465" t="s">
        <v>4941</v>
      </c>
      <c r="B2177" s="465" t="s">
        <v>4942</v>
      </c>
      <c r="C2177" s="465"/>
      <c r="D2177" s="465" t="s">
        <v>855</v>
      </c>
      <c r="E2177" s="465" t="s">
        <v>4924</v>
      </c>
      <c r="F2177" s="465" t="s">
        <v>4925</v>
      </c>
      <c r="G2177" s="465" t="s">
        <v>4804</v>
      </c>
      <c r="H2177" s="465" t="s">
        <v>4805</v>
      </c>
      <c r="I2177" s="465" t="s">
        <v>830</v>
      </c>
    </row>
    <row r="2178" hidden="1" ht="15.95" customHeight="1">
      <c r="A2178" s="465" t="s">
        <v>4943</v>
      </c>
      <c r="B2178" s="465" t="s">
        <v>3725</v>
      </c>
      <c r="C2178" s="465"/>
      <c r="D2178" s="465" t="s">
        <v>855</v>
      </c>
      <c r="E2178" s="465" t="s">
        <v>4924</v>
      </c>
      <c r="F2178" s="465" t="s">
        <v>4925</v>
      </c>
      <c r="G2178" s="465" t="s">
        <v>4804</v>
      </c>
      <c r="H2178" s="465" t="s">
        <v>4805</v>
      </c>
      <c r="I2178" s="465" t="s">
        <v>830</v>
      </c>
    </row>
    <row r="2179" hidden="1" ht="15.95" customHeight="1">
      <c r="A2179" s="465" t="s">
        <v>4944</v>
      </c>
      <c r="B2179" s="465" t="s">
        <v>3171</v>
      </c>
      <c r="C2179" s="465"/>
      <c r="D2179" s="465" t="s">
        <v>855</v>
      </c>
      <c r="E2179" s="465" t="s">
        <v>4924</v>
      </c>
      <c r="F2179" s="465" t="s">
        <v>4925</v>
      </c>
      <c r="G2179" s="465" t="s">
        <v>4804</v>
      </c>
      <c r="H2179" s="465" t="s">
        <v>4805</v>
      </c>
      <c r="I2179" s="465" t="s">
        <v>830</v>
      </c>
    </row>
    <row r="2180" hidden="1" ht="15.95" customHeight="1">
      <c r="A2180" s="465" t="s">
        <v>4945</v>
      </c>
      <c r="B2180" s="465" t="s">
        <v>4946</v>
      </c>
      <c r="C2180" s="465"/>
      <c r="D2180" s="465" t="s">
        <v>884</v>
      </c>
      <c r="E2180" s="465" t="s">
        <v>4947</v>
      </c>
      <c r="F2180" s="465" t="s">
        <v>4948</v>
      </c>
      <c r="G2180" s="465" t="s">
        <v>4804</v>
      </c>
      <c r="H2180" s="465" t="s">
        <v>4805</v>
      </c>
      <c r="I2180" s="465" t="s">
        <v>830</v>
      </c>
    </row>
    <row r="2181" hidden="1" ht="15.95" customHeight="1">
      <c r="A2181" s="465" t="s">
        <v>4949</v>
      </c>
      <c r="B2181" s="465" t="s">
        <v>4950</v>
      </c>
      <c r="C2181" s="465"/>
      <c r="D2181" s="465" t="s">
        <v>884</v>
      </c>
      <c r="E2181" s="465" t="s">
        <v>4947</v>
      </c>
      <c r="F2181" s="465" t="s">
        <v>4948</v>
      </c>
      <c r="G2181" s="465" t="s">
        <v>4804</v>
      </c>
      <c r="H2181" s="465" t="s">
        <v>4805</v>
      </c>
      <c r="I2181" s="465" t="s">
        <v>830</v>
      </c>
    </row>
    <row r="2182" hidden="1" ht="15.95" customHeight="1">
      <c r="A2182" s="465" t="s">
        <v>4951</v>
      </c>
      <c r="B2182" s="465" t="s">
        <v>4952</v>
      </c>
      <c r="C2182" s="465"/>
      <c r="D2182" s="465" t="s">
        <v>855</v>
      </c>
      <c r="E2182" s="465" t="s">
        <v>4947</v>
      </c>
      <c r="F2182" s="465" t="s">
        <v>4948</v>
      </c>
      <c r="G2182" s="465" t="s">
        <v>4804</v>
      </c>
      <c r="H2182" s="465" t="s">
        <v>4805</v>
      </c>
      <c r="I2182" s="465" t="s">
        <v>830</v>
      </c>
    </row>
    <row r="2183" hidden="1" ht="15.95" customHeight="1">
      <c r="A2183" s="465" t="s">
        <v>4953</v>
      </c>
      <c r="B2183" s="465" t="s">
        <v>4954</v>
      </c>
      <c r="C2183" s="465"/>
      <c r="D2183" s="465" t="s">
        <v>855</v>
      </c>
      <c r="E2183" s="465" t="s">
        <v>4947</v>
      </c>
      <c r="F2183" s="465" t="s">
        <v>4948</v>
      </c>
      <c r="G2183" s="465" t="s">
        <v>4804</v>
      </c>
      <c r="H2183" s="465" t="s">
        <v>4805</v>
      </c>
      <c r="I2183" s="465" t="s">
        <v>830</v>
      </c>
    </row>
    <row r="2184" hidden="1" ht="15.95" customHeight="1">
      <c r="A2184" s="465" t="s">
        <v>4955</v>
      </c>
      <c r="B2184" s="465" t="s">
        <v>1687</v>
      </c>
      <c r="C2184" s="465"/>
      <c r="D2184" s="465" t="s">
        <v>855</v>
      </c>
      <c r="E2184" s="465" t="s">
        <v>4947</v>
      </c>
      <c r="F2184" s="465" t="s">
        <v>4948</v>
      </c>
      <c r="G2184" s="465" t="s">
        <v>4804</v>
      </c>
      <c r="H2184" s="465" t="s">
        <v>4805</v>
      </c>
      <c r="I2184" s="465" t="s">
        <v>830</v>
      </c>
    </row>
    <row r="2185" hidden="1" ht="15.95" customHeight="1">
      <c r="A2185" s="465" t="s">
        <v>4956</v>
      </c>
      <c r="B2185" s="465" t="s">
        <v>3596</v>
      </c>
      <c r="C2185" s="465"/>
      <c r="D2185" s="465" t="s">
        <v>855</v>
      </c>
      <c r="E2185" s="465" t="s">
        <v>4947</v>
      </c>
      <c r="F2185" s="465" t="s">
        <v>4948</v>
      </c>
      <c r="G2185" s="465" t="s">
        <v>4804</v>
      </c>
      <c r="H2185" s="465" t="s">
        <v>4805</v>
      </c>
      <c r="I2185" s="465" t="s">
        <v>830</v>
      </c>
    </row>
    <row r="2186" hidden="1" ht="15.95" customHeight="1">
      <c r="A2186" s="465" t="s">
        <v>4957</v>
      </c>
      <c r="B2186" s="465" t="s">
        <v>4958</v>
      </c>
      <c r="C2186" s="465"/>
      <c r="D2186" s="465" t="s">
        <v>884</v>
      </c>
      <c r="E2186" s="465" t="s">
        <v>4947</v>
      </c>
      <c r="F2186" s="465" t="s">
        <v>4948</v>
      </c>
      <c r="G2186" s="465" t="s">
        <v>4804</v>
      </c>
      <c r="H2186" s="465" t="s">
        <v>4805</v>
      </c>
      <c r="I2186" s="465" t="s">
        <v>830</v>
      </c>
    </row>
    <row r="2187" hidden="1" ht="15.95" customHeight="1">
      <c r="A2187" s="465" t="s">
        <v>4959</v>
      </c>
      <c r="B2187" s="465" t="s">
        <v>4960</v>
      </c>
      <c r="C2187" s="465"/>
      <c r="D2187" s="465" t="s">
        <v>855</v>
      </c>
      <c r="E2187" s="465" t="s">
        <v>4947</v>
      </c>
      <c r="F2187" s="465" t="s">
        <v>4948</v>
      </c>
      <c r="G2187" s="465" t="s">
        <v>4804</v>
      </c>
      <c r="H2187" s="465" t="s">
        <v>4805</v>
      </c>
      <c r="I2187" s="465" t="s">
        <v>830</v>
      </c>
    </row>
    <row r="2188" hidden="1" ht="15.95" customHeight="1">
      <c r="A2188" s="465" t="s">
        <v>4961</v>
      </c>
      <c r="B2188" s="465" t="s">
        <v>3687</v>
      </c>
      <c r="C2188" s="465"/>
      <c r="D2188" s="465" t="s">
        <v>855</v>
      </c>
      <c r="E2188" s="465" t="s">
        <v>4947</v>
      </c>
      <c r="F2188" s="465" t="s">
        <v>4948</v>
      </c>
      <c r="G2188" s="465" t="s">
        <v>4804</v>
      </c>
      <c r="H2188" s="465" t="s">
        <v>4805</v>
      </c>
      <c r="I2188" s="465" t="s">
        <v>830</v>
      </c>
    </row>
    <row r="2189" hidden="1" ht="15.95" customHeight="1">
      <c r="A2189" s="465" t="s">
        <v>4962</v>
      </c>
      <c r="B2189" s="465" t="s">
        <v>4963</v>
      </c>
      <c r="C2189" s="465"/>
      <c r="D2189" s="465" t="s">
        <v>855</v>
      </c>
      <c r="E2189" s="465" t="s">
        <v>4947</v>
      </c>
      <c r="F2189" s="465" t="s">
        <v>4948</v>
      </c>
      <c r="G2189" s="465" t="s">
        <v>4804</v>
      </c>
      <c r="H2189" s="465" t="s">
        <v>4805</v>
      </c>
      <c r="I2189" s="465" t="s">
        <v>830</v>
      </c>
    </row>
    <row r="2190" hidden="1" ht="15.95" customHeight="1">
      <c r="A2190" s="465" t="s">
        <v>4964</v>
      </c>
      <c r="B2190" s="465" t="s">
        <v>4965</v>
      </c>
      <c r="C2190" s="465"/>
      <c r="D2190" s="465" t="s">
        <v>855</v>
      </c>
      <c r="E2190" s="465" t="s">
        <v>4947</v>
      </c>
      <c r="F2190" s="465" t="s">
        <v>4948</v>
      </c>
      <c r="G2190" s="465" t="s">
        <v>4804</v>
      </c>
      <c r="H2190" s="465" t="s">
        <v>4805</v>
      </c>
      <c r="I2190" s="465" t="s">
        <v>830</v>
      </c>
    </row>
    <row r="2191" hidden="1" ht="15.95" customHeight="1">
      <c r="A2191" s="465" t="s">
        <v>4966</v>
      </c>
      <c r="B2191" s="465" t="s">
        <v>1689</v>
      </c>
      <c r="C2191" s="465"/>
      <c r="D2191" s="465" t="s">
        <v>855</v>
      </c>
      <c r="E2191" s="465" t="s">
        <v>4947</v>
      </c>
      <c r="F2191" s="465" t="s">
        <v>4948</v>
      </c>
      <c r="G2191" s="465" t="s">
        <v>4804</v>
      </c>
      <c r="H2191" s="465" t="s">
        <v>4805</v>
      </c>
      <c r="I2191" s="465" t="s">
        <v>830</v>
      </c>
    </row>
    <row r="2192" hidden="1" ht="15.95" customHeight="1">
      <c r="A2192" s="465" t="s">
        <v>4967</v>
      </c>
      <c r="B2192" s="465" t="s">
        <v>4968</v>
      </c>
      <c r="C2192" s="465"/>
      <c r="D2192" s="465" t="s">
        <v>855</v>
      </c>
      <c r="E2192" s="465" t="s">
        <v>4947</v>
      </c>
      <c r="F2192" s="465" t="s">
        <v>4948</v>
      </c>
      <c r="G2192" s="465" t="s">
        <v>4804</v>
      </c>
      <c r="H2192" s="465" t="s">
        <v>4805</v>
      </c>
      <c r="I2192" s="465" t="s">
        <v>830</v>
      </c>
    </row>
    <row r="2193" hidden="1" ht="15.95" customHeight="1">
      <c r="A2193" s="465" t="s">
        <v>4969</v>
      </c>
      <c r="B2193" s="465" t="s">
        <v>1156</v>
      </c>
      <c r="C2193" s="465"/>
      <c r="D2193" s="465" t="s">
        <v>855</v>
      </c>
      <c r="E2193" s="465" t="s">
        <v>4947</v>
      </c>
      <c r="F2193" s="465" t="s">
        <v>4948</v>
      </c>
      <c r="G2193" s="465" t="s">
        <v>4804</v>
      </c>
      <c r="H2193" s="465" t="s">
        <v>4805</v>
      </c>
      <c r="I2193" s="465" t="s">
        <v>830</v>
      </c>
    </row>
    <row r="2194" hidden="1" ht="15.95" customHeight="1">
      <c r="A2194" s="465" t="s">
        <v>4970</v>
      </c>
      <c r="B2194" s="465" t="s">
        <v>4971</v>
      </c>
      <c r="C2194" s="465"/>
      <c r="D2194" s="465" t="s">
        <v>884</v>
      </c>
      <c r="E2194" s="465" t="s">
        <v>4972</v>
      </c>
      <c r="F2194" s="465" t="s">
        <v>4973</v>
      </c>
      <c r="G2194" s="465" t="s">
        <v>4804</v>
      </c>
      <c r="H2194" s="465" t="s">
        <v>4805</v>
      </c>
      <c r="I2194" s="465" t="s">
        <v>830</v>
      </c>
    </row>
    <row r="2195" hidden="1" ht="15.95" customHeight="1">
      <c r="A2195" s="465" t="s">
        <v>4974</v>
      </c>
      <c r="B2195" s="465" t="s">
        <v>4975</v>
      </c>
      <c r="C2195" s="465"/>
      <c r="D2195" s="465" t="s">
        <v>884</v>
      </c>
      <c r="E2195" s="465" t="s">
        <v>4972</v>
      </c>
      <c r="F2195" s="465" t="s">
        <v>4973</v>
      </c>
      <c r="G2195" s="465" t="s">
        <v>4804</v>
      </c>
      <c r="H2195" s="465" t="s">
        <v>4805</v>
      </c>
      <c r="I2195" s="465" t="s">
        <v>830</v>
      </c>
    </row>
    <row r="2196" hidden="1" ht="15.95" customHeight="1">
      <c r="A2196" s="465" t="s">
        <v>4976</v>
      </c>
      <c r="B2196" s="465" t="s">
        <v>4977</v>
      </c>
      <c r="C2196" s="465"/>
      <c r="D2196" s="465" t="s">
        <v>855</v>
      </c>
      <c r="E2196" s="465" t="s">
        <v>4972</v>
      </c>
      <c r="F2196" s="465" t="s">
        <v>4973</v>
      </c>
      <c r="G2196" s="465" t="s">
        <v>4804</v>
      </c>
      <c r="H2196" s="465" t="s">
        <v>4805</v>
      </c>
      <c r="I2196" s="465" t="s">
        <v>830</v>
      </c>
    </row>
    <row r="2197" hidden="1" ht="15.95" customHeight="1">
      <c r="A2197" s="465" t="s">
        <v>4978</v>
      </c>
      <c r="B2197" s="465" t="s">
        <v>4979</v>
      </c>
      <c r="C2197" s="465"/>
      <c r="D2197" s="465" t="s">
        <v>855</v>
      </c>
      <c r="E2197" s="465" t="s">
        <v>4972</v>
      </c>
      <c r="F2197" s="465" t="s">
        <v>4973</v>
      </c>
      <c r="G2197" s="465" t="s">
        <v>4804</v>
      </c>
      <c r="H2197" s="465" t="s">
        <v>4805</v>
      </c>
      <c r="I2197" s="465" t="s">
        <v>830</v>
      </c>
    </row>
    <row r="2198" hidden="1" ht="15.95" customHeight="1">
      <c r="A2198" s="465" t="s">
        <v>4980</v>
      </c>
      <c r="B2198" s="465" t="s">
        <v>4981</v>
      </c>
      <c r="C2198" s="465"/>
      <c r="D2198" s="465" t="s">
        <v>855</v>
      </c>
      <c r="E2198" s="465" t="s">
        <v>4972</v>
      </c>
      <c r="F2198" s="465" t="s">
        <v>4973</v>
      </c>
      <c r="G2198" s="465" t="s">
        <v>4804</v>
      </c>
      <c r="H2198" s="465" t="s">
        <v>4805</v>
      </c>
      <c r="I2198" s="465" t="s">
        <v>830</v>
      </c>
    </row>
    <row r="2199" hidden="1" ht="15.95" customHeight="1">
      <c r="A2199" s="465" t="s">
        <v>4982</v>
      </c>
      <c r="B2199" s="465" t="s">
        <v>4983</v>
      </c>
      <c r="C2199" s="465"/>
      <c r="D2199" s="465" t="s">
        <v>855</v>
      </c>
      <c r="E2199" s="465" t="s">
        <v>4972</v>
      </c>
      <c r="F2199" s="465" t="s">
        <v>4973</v>
      </c>
      <c r="G2199" s="465" t="s">
        <v>4804</v>
      </c>
      <c r="H2199" s="465" t="s">
        <v>4805</v>
      </c>
      <c r="I2199" s="465" t="s">
        <v>830</v>
      </c>
    </row>
    <row r="2200" hidden="1" ht="15.95" customHeight="1">
      <c r="A2200" s="465" t="s">
        <v>4984</v>
      </c>
      <c r="B2200" s="465" t="s">
        <v>4985</v>
      </c>
      <c r="C2200" s="465"/>
      <c r="D2200" s="465" t="s">
        <v>855</v>
      </c>
      <c r="E2200" s="465" t="s">
        <v>4972</v>
      </c>
      <c r="F2200" s="465" t="s">
        <v>4973</v>
      </c>
      <c r="G2200" s="465" t="s">
        <v>4804</v>
      </c>
      <c r="H2200" s="465" t="s">
        <v>4805</v>
      </c>
      <c r="I2200" s="465" t="s">
        <v>830</v>
      </c>
    </row>
    <row r="2201" hidden="1" ht="15.95" customHeight="1">
      <c r="A2201" s="465" t="s">
        <v>4986</v>
      </c>
      <c r="B2201" s="465" t="s">
        <v>4987</v>
      </c>
      <c r="C2201" s="465"/>
      <c r="D2201" s="465" t="s">
        <v>855</v>
      </c>
      <c r="E2201" s="465" t="s">
        <v>4972</v>
      </c>
      <c r="F2201" s="465" t="s">
        <v>4973</v>
      </c>
      <c r="G2201" s="465" t="s">
        <v>4804</v>
      </c>
      <c r="H2201" s="465" t="s">
        <v>4805</v>
      </c>
      <c r="I2201" s="465" t="s">
        <v>830</v>
      </c>
    </row>
    <row r="2202" hidden="1" ht="15.95" customHeight="1">
      <c r="A2202" s="465" t="s">
        <v>4988</v>
      </c>
      <c r="B2202" s="465" t="s">
        <v>4989</v>
      </c>
      <c r="C2202" s="465"/>
      <c r="D2202" s="465" t="s">
        <v>855</v>
      </c>
      <c r="E2202" s="465" t="s">
        <v>4972</v>
      </c>
      <c r="F2202" s="465" t="s">
        <v>4973</v>
      </c>
      <c r="G2202" s="465" t="s">
        <v>4804</v>
      </c>
      <c r="H2202" s="465" t="s">
        <v>4805</v>
      </c>
      <c r="I2202" s="465" t="s">
        <v>830</v>
      </c>
    </row>
    <row r="2203" hidden="1" ht="15.95" customHeight="1">
      <c r="A2203" s="465" t="s">
        <v>4990</v>
      </c>
      <c r="B2203" s="465" t="s">
        <v>4991</v>
      </c>
      <c r="C2203" s="465"/>
      <c r="D2203" s="465" t="s">
        <v>855</v>
      </c>
      <c r="E2203" s="465" t="s">
        <v>4972</v>
      </c>
      <c r="F2203" s="465" t="s">
        <v>4973</v>
      </c>
      <c r="G2203" s="465" t="s">
        <v>4804</v>
      </c>
      <c r="H2203" s="465" t="s">
        <v>4805</v>
      </c>
      <c r="I2203" s="465" t="s">
        <v>830</v>
      </c>
    </row>
    <row r="2204" hidden="1" ht="15.95" customHeight="1">
      <c r="A2204" s="465" t="s">
        <v>4992</v>
      </c>
      <c r="B2204" s="465" t="s">
        <v>4993</v>
      </c>
      <c r="C2204" s="465"/>
      <c r="D2204" s="465" t="s">
        <v>855</v>
      </c>
      <c r="E2204" s="465" t="s">
        <v>4972</v>
      </c>
      <c r="F2204" s="465" t="s">
        <v>4973</v>
      </c>
      <c r="G2204" s="465" t="s">
        <v>4804</v>
      </c>
      <c r="H2204" s="465" t="s">
        <v>4805</v>
      </c>
      <c r="I2204" s="465" t="s">
        <v>830</v>
      </c>
    </row>
    <row r="2205" hidden="1" ht="15.95" customHeight="1">
      <c r="A2205" s="465" t="s">
        <v>4994</v>
      </c>
      <c r="B2205" s="465" t="s">
        <v>4995</v>
      </c>
      <c r="C2205" s="465"/>
      <c r="D2205" s="465" t="s">
        <v>855</v>
      </c>
      <c r="E2205" s="465" t="s">
        <v>4972</v>
      </c>
      <c r="F2205" s="465" t="s">
        <v>4973</v>
      </c>
      <c r="G2205" s="465" t="s">
        <v>4804</v>
      </c>
      <c r="H2205" s="465" t="s">
        <v>4805</v>
      </c>
      <c r="I2205" s="465" t="s">
        <v>830</v>
      </c>
    </row>
    <row r="2206" hidden="1" ht="15.95" customHeight="1">
      <c r="A2206" s="465" t="s">
        <v>4996</v>
      </c>
      <c r="B2206" s="465" t="s">
        <v>4997</v>
      </c>
      <c r="C2206" s="465"/>
      <c r="D2206" s="465" t="s">
        <v>855</v>
      </c>
      <c r="E2206" s="465" t="s">
        <v>4972</v>
      </c>
      <c r="F2206" s="465" t="s">
        <v>4973</v>
      </c>
      <c r="G2206" s="465" t="s">
        <v>4804</v>
      </c>
      <c r="H2206" s="465" t="s">
        <v>4805</v>
      </c>
      <c r="I2206" s="465" t="s">
        <v>830</v>
      </c>
    </row>
    <row r="2207" hidden="1" ht="15.95" customHeight="1">
      <c r="A2207" s="465" t="s">
        <v>4998</v>
      </c>
      <c r="B2207" s="465" t="s">
        <v>4999</v>
      </c>
      <c r="C2207" s="465"/>
      <c r="D2207" s="465" t="s">
        <v>855</v>
      </c>
      <c r="E2207" s="465" t="s">
        <v>4972</v>
      </c>
      <c r="F2207" s="465" t="s">
        <v>4973</v>
      </c>
      <c r="G2207" s="465" t="s">
        <v>4804</v>
      </c>
      <c r="H2207" s="465" t="s">
        <v>4805</v>
      </c>
      <c r="I2207" s="465" t="s">
        <v>830</v>
      </c>
    </row>
    <row r="2208" hidden="1" ht="15.95" customHeight="1">
      <c r="A2208" s="465" t="s">
        <v>5000</v>
      </c>
      <c r="B2208" s="465" t="s">
        <v>5001</v>
      </c>
      <c r="C2208" s="465"/>
      <c r="D2208" s="465" t="s">
        <v>855</v>
      </c>
      <c r="E2208" s="465" t="s">
        <v>4972</v>
      </c>
      <c r="F2208" s="465" t="s">
        <v>4973</v>
      </c>
      <c r="G2208" s="465" t="s">
        <v>4804</v>
      </c>
      <c r="H2208" s="465" t="s">
        <v>4805</v>
      </c>
      <c r="I2208" s="465" t="s">
        <v>830</v>
      </c>
    </row>
    <row r="2209" hidden="1" ht="15.95" customHeight="1">
      <c r="A2209" s="465" t="s">
        <v>5002</v>
      </c>
      <c r="B2209" s="465" t="s">
        <v>5003</v>
      </c>
      <c r="C2209" s="465"/>
      <c r="D2209" s="465" t="s">
        <v>884</v>
      </c>
      <c r="E2209" s="465" t="s">
        <v>5004</v>
      </c>
      <c r="F2209" s="465" t="s">
        <v>1883</v>
      </c>
      <c r="G2209" s="465" t="s">
        <v>4804</v>
      </c>
      <c r="H2209" s="465" t="s">
        <v>4805</v>
      </c>
      <c r="I2209" s="465" t="s">
        <v>830</v>
      </c>
    </row>
    <row r="2210" hidden="1" ht="15.95" customHeight="1">
      <c r="A2210" s="465" t="s">
        <v>5005</v>
      </c>
      <c r="B2210" s="465" t="s">
        <v>1986</v>
      </c>
      <c r="C2210" s="465"/>
      <c r="D2210" s="465" t="s">
        <v>855</v>
      </c>
      <c r="E2210" s="465" t="s">
        <v>5004</v>
      </c>
      <c r="F2210" s="465" t="s">
        <v>1883</v>
      </c>
      <c r="G2210" s="465" t="s">
        <v>4804</v>
      </c>
      <c r="H2210" s="465" t="s">
        <v>4805</v>
      </c>
      <c r="I2210" s="465" t="s">
        <v>830</v>
      </c>
    </row>
    <row r="2211" hidden="1" ht="15.95" customHeight="1">
      <c r="A2211" s="465" t="s">
        <v>5006</v>
      </c>
      <c r="B2211" s="465" t="s">
        <v>5007</v>
      </c>
      <c r="C2211" s="465"/>
      <c r="D2211" s="465" t="s">
        <v>855</v>
      </c>
      <c r="E2211" s="465" t="s">
        <v>5004</v>
      </c>
      <c r="F2211" s="465" t="s">
        <v>1883</v>
      </c>
      <c r="G2211" s="465" t="s">
        <v>4804</v>
      </c>
      <c r="H2211" s="465" t="s">
        <v>4805</v>
      </c>
      <c r="I2211" s="465" t="s">
        <v>830</v>
      </c>
    </row>
    <row r="2212" hidden="1" ht="15.95" customHeight="1">
      <c r="A2212" s="465" t="s">
        <v>5008</v>
      </c>
      <c r="B2212" s="465" t="s">
        <v>5009</v>
      </c>
      <c r="C2212" s="465"/>
      <c r="D2212" s="465" t="s">
        <v>855</v>
      </c>
      <c r="E2212" s="465" t="s">
        <v>5004</v>
      </c>
      <c r="F2212" s="465" t="s">
        <v>1883</v>
      </c>
      <c r="G2212" s="465" t="s">
        <v>4804</v>
      </c>
      <c r="H2212" s="465" t="s">
        <v>4805</v>
      </c>
      <c r="I2212" s="465" t="s">
        <v>830</v>
      </c>
    </row>
    <row r="2213" hidden="1" ht="15.95" customHeight="1">
      <c r="A2213" s="465" t="s">
        <v>5010</v>
      </c>
      <c r="B2213" s="465" t="s">
        <v>1060</v>
      </c>
      <c r="C2213" s="465"/>
      <c r="D2213" s="465" t="s">
        <v>855</v>
      </c>
      <c r="E2213" s="465" t="s">
        <v>5004</v>
      </c>
      <c r="F2213" s="465" t="s">
        <v>1883</v>
      </c>
      <c r="G2213" s="465" t="s">
        <v>4804</v>
      </c>
      <c r="H2213" s="465" t="s">
        <v>4805</v>
      </c>
      <c r="I2213" s="465" t="s">
        <v>830</v>
      </c>
    </row>
    <row r="2214" hidden="1" ht="15.95" customHeight="1">
      <c r="A2214" s="465" t="s">
        <v>5011</v>
      </c>
      <c r="B2214" s="465" t="s">
        <v>3281</v>
      </c>
      <c r="C2214" s="465"/>
      <c r="D2214" s="465" t="s">
        <v>855</v>
      </c>
      <c r="E2214" s="465" t="s">
        <v>5004</v>
      </c>
      <c r="F2214" s="465" t="s">
        <v>1883</v>
      </c>
      <c r="G2214" s="465" t="s">
        <v>4804</v>
      </c>
      <c r="H2214" s="465" t="s">
        <v>4805</v>
      </c>
      <c r="I2214" s="465" t="s">
        <v>830</v>
      </c>
    </row>
    <row r="2215" hidden="1" ht="15.95" customHeight="1">
      <c r="A2215" s="465" t="s">
        <v>5012</v>
      </c>
      <c r="B2215" s="465" t="s">
        <v>2326</v>
      </c>
      <c r="C2215" s="465"/>
      <c r="D2215" s="465" t="s">
        <v>855</v>
      </c>
      <c r="E2215" s="465" t="s">
        <v>5004</v>
      </c>
      <c r="F2215" s="465" t="s">
        <v>1883</v>
      </c>
      <c r="G2215" s="465" t="s">
        <v>4804</v>
      </c>
      <c r="H2215" s="465" t="s">
        <v>4805</v>
      </c>
      <c r="I2215" s="465" t="s">
        <v>830</v>
      </c>
    </row>
    <row r="2216" hidden="1" ht="15.95" customHeight="1">
      <c r="A2216" s="465" t="s">
        <v>5013</v>
      </c>
      <c r="B2216" s="465" t="s">
        <v>4101</v>
      </c>
      <c r="C2216" s="465"/>
      <c r="D2216" s="465" t="s">
        <v>855</v>
      </c>
      <c r="E2216" s="465" t="s">
        <v>5004</v>
      </c>
      <c r="F2216" s="465" t="s">
        <v>1883</v>
      </c>
      <c r="G2216" s="465" t="s">
        <v>4804</v>
      </c>
      <c r="H2216" s="465" t="s">
        <v>4805</v>
      </c>
      <c r="I2216" s="465" t="s">
        <v>830</v>
      </c>
    </row>
    <row r="2217" hidden="1" ht="15.95" customHeight="1">
      <c r="A2217" s="465" t="s">
        <v>5014</v>
      </c>
      <c r="B2217" s="465" t="s">
        <v>5015</v>
      </c>
      <c r="C2217" s="465"/>
      <c r="D2217" s="465" t="s">
        <v>855</v>
      </c>
      <c r="E2217" s="465" t="s">
        <v>5004</v>
      </c>
      <c r="F2217" s="465" t="s">
        <v>1883</v>
      </c>
      <c r="G2217" s="465" t="s">
        <v>4804</v>
      </c>
      <c r="H2217" s="465" t="s">
        <v>4805</v>
      </c>
      <c r="I2217" s="465" t="s">
        <v>830</v>
      </c>
    </row>
    <row r="2218" hidden="1" ht="15.95" customHeight="1">
      <c r="A2218" s="465" t="s">
        <v>5016</v>
      </c>
      <c r="B2218" s="465" t="s">
        <v>3259</v>
      </c>
      <c r="C2218" s="465"/>
      <c r="D2218" s="465" t="s">
        <v>855</v>
      </c>
      <c r="E2218" s="465" t="s">
        <v>5004</v>
      </c>
      <c r="F2218" s="465" t="s">
        <v>1883</v>
      </c>
      <c r="G2218" s="465" t="s">
        <v>4804</v>
      </c>
      <c r="H2218" s="465" t="s">
        <v>4805</v>
      </c>
      <c r="I2218" s="465" t="s">
        <v>830</v>
      </c>
    </row>
    <row r="2219" hidden="1" ht="15.95" customHeight="1">
      <c r="A2219" s="465" t="s">
        <v>5017</v>
      </c>
      <c r="B2219" s="465" t="s">
        <v>5018</v>
      </c>
      <c r="C2219" s="465"/>
      <c r="D2219" s="465" t="s">
        <v>855</v>
      </c>
      <c r="E2219" s="465" t="s">
        <v>5004</v>
      </c>
      <c r="F2219" s="465" t="s">
        <v>1883</v>
      </c>
      <c r="G2219" s="465" t="s">
        <v>4804</v>
      </c>
      <c r="H2219" s="465" t="s">
        <v>4805</v>
      </c>
      <c r="I2219" s="465" t="s">
        <v>830</v>
      </c>
    </row>
    <row r="2220" hidden="1" ht="15.95" customHeight="1">
      <c r="A2220" s="465" t="s">
        <v>5019</v>
      </c>
      <c r="B2220" s="465" t="s">
        <v>1856</v>
      </c>
      <c r="C2220" s="465"/>
      <c r="D2220" s="465" t="s">
        <v>855</v>
      </c>
      <c r="E2220" s="465" t="s">
        <v>5004</v>
      </c>
      <c r="F2220" s="465" t="s">
        <v>1883</v>
      </c>
      <c r="G2220" s="465" t="s">
        <v>4804</v>
      </c>
      <c r="H2220" s="465" t="s">
        <v>4805</v>
      </c>
      <c r="I2220" s="465" t="s">
        <v>830</v>
      </c>
    </row>
    <row r="2221" hidden="1" ht="15.95" customHeight="1">
      <c r="A2221" s="465" t="s">
        <v>5020</v>
      </c>
      <c r="B2221" s="465" t="s">
        <v>3959</v>
      </c>
      <c r="C2221" s="465"/>
      <c r="D2221" s="465" t="s">
        <v>855</v>
      </c>
      <c r="E2221" s="465" t="s">
        <v>5004</v>
      </c>
      <c r="F2221" s="465" t="s">
        <v>1883</v>
      </c>
      <c r="G2221" s="465" t="s">
        <v>4804</v>
      </c>
      <c r="H2221" s="465" t="s">
        <v>4805</v>
      </c>
      <c r="I2221" s="465" t="s">
        <v>830</v>
      </c>
    </row>
    <row r="2222" hidden="1" ht="15.95" customHeight="1">
      <c r="A2222" s="465" t="s">
        <v>5021</v>
      </c>
      <c r="B2222" s="465" t="s">
        <v>5022</v>
      </c>
      <c r="C2222" s="465"/>
      <c r="D2222" s="465" t="s">
        <v>884</v>
      </c>
      <c r="E2222" s="465" t="s">
        <v>5023</v>
      </c>
      <c r="F2222" s="465" t="s">
        <v>5024</v>
      </c>
      <c r="G2222" s="465" t="s">
        <v>4804</v>
      </c>
      <c r="H2222" s="465" t="s">
        <v>4805</v>
      </c>
      <c r="I2222" s="465" t="s">
        <v>830</v>
      </c>
    </row>
    <row r="2223" hidden="1" ht="15.95" customHeight="1">
      <c r="A2223" s="465" t="s">
        <v>5025</v>
      </c>
      <c r="B2223" s="465" t="s">
        <v>5026</v>
      </c>
      <c r="C2223" s="465"/>
      <c r="D2223" s="465" t="s">
        <v>884</v>
      </c>
      <c r="E2223" s="465" t="s">
        <v>5023</v>
      </c>
      <c r="F2223" s="465" t="s">
        <v>5024</v>
      </c>
      <c r="G2223" s="465" t="s">
        <v>4804</v>
      </c>
      <c r="H2223" s="465" t="s">
        <v>4805</v>
      </c>
      <c r="I2223" s="465" t="s">
        <v>830</v>
      </c>
    </row>
    <row r="2224" hidden="1" ht="15.95" customHeight="1">
      <c r="A2224" s="465" t="s">
        <v>5027</v>
      </c>
      <c r="B2224" s="465" t="s">
        <v>5028</v>
      </c>
      <c r="C2224" s="465"/>
      <c r="D2224" s="465" t="s">
        <v>855</v>
      </c>
      <c r="E2224" s="465" t="s">
        <v>5023</v>
      </c>
      <c r="F2224" s="465" t="s">
        <v>5024</v>
      </c>
      <c r="G2224" s="465" t="s">
        <v>4804</v>
      </c>
      <c r="H2224" s="465" t="s">
        <v>4805</v>
      </c>
      <c r="I2224" s="465" t="s">
        <v>830</v>
      </c>
    </row>
    <row r="2225" hidden="1" ht="15.95" customHeight="1">
      <c r="A2225" s="465" t="s">
        <v>5029</v>
      </c>
      <c r="B2225" s="465" t="s">
        <v>5030</v>
      </c>
      <c r="C2225" s="465"/>
      <c r="D2225" s="465" t="s">
        <v>855</v>
      </c>
      <c r="E2225" s="465" t="s">
        <v>5023</v>
      </c>
      <c r="F2225" s="465" t="s">
        <v>5024</v>
      </c>
      <c r="G2225" s="465" t="s">
        <v>4804</v>
      </c>
      <c r="H2225" s="465" t="s">
        <v>4805</v>
      </c>
      <c r="I2225" s="465" t="s">
        <v>830</v>
      </c>
    </row>
    <row r="2226" hidden="1" ht="15.95" customHeight="1">
      <c r="A2226" s="465" t="s">
        <v>5031</v>
      </c>
      <c r="B2226" s="465" t="s">
        <v>5032</v>
      </c>
      <c r="C2226" s="465"/>
      <c r="D2226" s="465" t="s">
        <v>855</v>
      </c>
      <c r="E2226" s="465" t="s">
        <v>5023</v>
      </c>
      <c r="F2226" s="465" t="s">
        <v>5024</v>
      </c>
      <c r="G2226" s="465" t="s">
        <v>4804</v>
      </c>
      <c r="H2226" s="465" t="s">
        <v>4805</v>
      </c>
      <c r="I2226" s="465" t="s">
        <v>830</v>
      </c>
    </row>
    <row r="2227" hidden="1" ht="15.95" customHeight="1">
      <c r="A2227" s="465" t="s">
        <v>5033</v>
      </c>
      <c r="B2227" s="465" t="s">
        <v>5034</v>
      </c>
      <c r="C2227" s="465"/>
      <c r="D2227" s="465" t="s">
        <v>855</v>
      </c>
      <c r="E2227" s="465" t="s">
        <v>5023</v>
      </c>
      <c r="F2227" s="465" t="s">
        <v>5024</v>
      </c>
      <c r="G2227" s="465" t="s">
        <v>4804</v>
      </c>
      <c r="H2227" s="465" t="s">
        <v>4805</v>
      </c>
      <c r="I2227" s="465" t="s">
        <v>830</v>
      </c>
    </row>
    <row r="2228" hidden="1" ht="15.95" customHeight="1">
      <c r="A2228" s="465" t="s">
        <v>5035</v>
      </c>
      <c r="B2228" s="465" t="s">
        <v>5036</v>
      </c>
      <c r="C2228" s="465"/>
      <c r="D2228" s="465" t="s">
        <v>855</v>
      </c>
      <c r="E2228" s="465" t="s">
        <v>5023</v>
      </c>
      <c r="F2228" s="465" t="s">
        <v>5024</v>
      </c>
      <c r="G2228" s="465" t="s">
        <v>4804</v>
      </c>
      <c r="H2228" s="465" t="s">
        <v>4805</v>
      </c>
      <c r="I2228" s="465" t="s">
        <v>830</v>
      </c>
    </row>
    <row r="2229" hidden="1" ht="15.95" customHeight="1">
      <c r="A2229" s="465" t="s">
        <v>5037</v>
      </c>
      <c r="B2229" s="465" t="s">
        <v>5038</v>
      </c>
      <c r="C2229" s="465"/>
      <c r="D2229" s="465" t="s">
        <v>855</v>
      </c>
      <c r="E2229" s="465" t="s">
        <v>5023</v>
      </c>
      <c r="F2229" s="465" t="s">
        <v>5024</v>
      </c>
      <c r="G2229" s="465" t="s">
        <v>4804</v>
      </c>
      <c r="H2229" s="465" t="s">
        <v>4805</v>
      </c>
      <c r="I2229" s="465" t="s">
        <v>830</v>
      </c>
    </row>
    <row r="2230" hidden="1" ht="15.95" customHeight="1">
      <c r="A2230" s="465" t="s">
        <v>5039</v>
      </c>
      <c r="B2230" s="465" t="s">
        <v>4712</v>
      </c>
      <c r="C2230" s="465"/>
      <c r="D2230" s="465" t="s">
        <v>855</v>
      </c>
      <c r="E2230" s="465" t="s">
        <v>5023</v>
      </c>
      <c r="F2230" s="465" t="s">
        <v>5024</v>
      </c>
      <c r="G2230" s="465" t="s">
        <v>4804</v>
      </c>
      <c r="H2230" s="465" t="s">
        <v>4805</v>
      </c>
      <c r="I2230" s="465" t="s">
        <v>830</v>
      </c>
    </row>
    <row r="2231" hidden="1" ht="15.95" customHeight="1">
      <c r="A2231" s="465" t="s">
        <v>5040</v>
      </c>
      <c r="B2231" s="465" t="s">
        <v>3451</v>
      </c>
      <c r="C2231" s="465"/>
      <c r="D2231" s="465" t="s">
        <v>855</v>
      </c>
      <c r="E2231" s="465" t="s">
        <v>5023</v>
      </c>
      <c r="F2231" s="465" t="s">
        <v>5024</v>
      </c>
      <c r="G2231" s="465" t="s">
        <v>4804</v>
      </c>
      <c r="H2231" s="465" t="s">
        <v>4805</v>
      </c>
      <c r="I2231" s="465" t="s">
        <v>830</v>
      </c>
    </row>
    <row r="2232" hidden="1" ht="15.95" customHeight="1">
      <c r="A2232" s="465" t="s">
        <v>5041</v>
      </c>
      <c r="B2232" s="465" t="s">
        <v>5042</v>
      </c>
      <c r="C2232" s="465"/>
      <c r="D2232" s="465" t="s">
        <v>855</v>
      </c>
      <c r="E2232" s="465" t="s">
        <v>5023</v>
      </c>
      <c r="F2232" s="465" t="s">
        <v>5024</v>
      </c>
      <c r="G2232" s="465" t="s">
        <v>4804</v>
      </c>
      <c r="H2232" s="465" t="s">
        <v>4805</v>
      </c>
      <c r="I2232" s="465" t="s">
        <v>830</v>
      </c>
    </row>
    <row r="2233" hidden="1" ht="15.95" customHeight="1">
      <c r="A2233" s="465" t="s">
        <v>5043</v>
      </c>
      <c r="B2233" s="465" t="s">
        <v>1583</v>
      </c>
      <c r="C2233" s="465"/>
      <c r="D2233" s="465" t="s">
        <v>855</v>
      </c>
      <c r="E2233" s="465" t="s">
        <v>5023</v>
      </c>
      <c r="F2233" s="465" t="s">
        <v>5024</v>
      </c>
      <c r="G2233" s="465" t="s">
        <v>4804</v>
      </c>
      <c r="H2233" s="465" t="s">
        <v>4805</v>
      </c>
      <c r="I2233" s="465" t="s">
        <v>830</v>
      </c>
    </row>
    <row r="2234" hidden="1" ht="15.95" customHeight="1">
      <c r="A2234" s="465" t="s">
        <v>5044</v>
      </c>
      <c r="B2234" s="465" t="s">
        <v>5045</v>
      </c>
      <c r="C2234" s="465"/>
      <c r="D2234" s="465" t="s">
        <v>855</v>
      </c>
      <c r="E2234" s="465" t="s">
        <v>5023</v>
      </c>
      <c r="F2234" s="465" t="s">
        <v>5024</v>
      </c>
      <c r="G2234" s="465" t="s">
        <v>4804</v>
      </c>
      <c r="H2234" s="465" t="s">
        <v>4805</v>
      </c>
      <c r="I2234" s="465" t="s">
        <v>830</v>
      </c>
    </row>
    <row r="2235" hidden="1" ht="15.95" customHeight="1">
      <c r="A2235" s="465" t="s">
        <v>5046</v>
      </c>
      <c r="B2235" s="465" t="s">
        <v>5047</v>
      </c>
      <c r="C2235" s="465"/>
      <c r="D2235" s="465" t="s">
        <v>855</v>
      </c>
      <c r="E2235" s="465" t="s">
        <v>5023</v>
      </c>
      <c r="F2235" s="465" t="s">
        <v>5024</v>
      </c>
      <c r="G2235" s="465" t="s">
        <v>4804</v>
      </c>
      <c r="H2235" s="465" t="s">
        <v>4805</v>
      </c>
      <c r="I2235" s="465" t="s">
        <v>830</v>
      </c>
    </row>
    <row r="2236" hidden="1" ht="15.95" customHeight="1">
      <c r="A2236" s="465" t="s">
        <v>5048</v>
      </c>
      <c r="B2236" s="465" t="s">
        <v>5049</v>
      </c>
      <c r="C2236" s="465"/>
      <c r="D2236" s="465" t="s">
        <v>855</v>
      </c>
      <c r="E2236" s="465" t="s">
        <v>5023</v>
      </c>
      <c r="F2236" s="465" t="s">
        <v>5024</v>
      </c>
      <c r="G2236" s="465" t="s">
        <v>4804</v>
      </c>
      <c r="H2236" s="465" t="s">
        <v>4805</v>
      </c>
      <c r="I2236" s="465" t="s">
        <v>830</v>
      </c>
    </row>
    <row r="2237" hidden="1" ht="15.95" customHeight="1">
      <c r="A2237" s="465" t="s">
        <v>5050</v>
      </c>
      <c r="B2237" s="465" t="s">
        <v>5051</v>
      </c>
      <c r="C2237" s="465"/>
      <c r="D2237" s="465" t="s">
        <v>855</v>
      </c>
      <c r="E2237" s="465" t="s">
        <v>5023</v>
      </c>
      <c r="F2237" s="465" t="s">
        <v>5024</v>
      </c>
      <c r="G2237" s="465" t="s">
        <v>4804</v>
      </c>
      <c r="H2237" s="465" t="s">
        <v>4805</v>
      </c>
      <c r="I2237" s="465" t="s">
        <v>830</v>
      </c>
    </row>
    <row r="2238" hidden="1" ht="15.95" customHeight="1">
      <c r="A2238" s="465" t="s">
        <v>5052</v>
      </c>
      <c r="B2238" s="465" t="s">
        <v>2623</v>
      </c>
      <c r="C2238" s="465"/>
      <c r="D2238" s="465" t="s">
        <v>855</v>
      </c>
      <c r="E2238" s="465" t="s">
        <v>5023</v>
      </c>
      <c r="F2238" s="465" t="s">
        <v>5024</v>
      </c>
      <c r="G2238" s="465" t="s">
        <v>4804</v>
      </c>
      <c r="H2238" s="465" t="s">
        <v>4805</v>
      </c>
      <c r="I2238" s="465" t="s">
        <v>830</v>
      </c>
    </row>
    <row r="2239" hidden="1" ht="15.95" customHeight="1">
      <c r="A2239" s="465" t="s">
        <v>5053</v>
      </c>
      <c r="B2239" s="465" t="s">
        <v>4572</v>
      </c>
      <c r="C2239" s="465"/>
      <c r="D2239" s="465" t="s">
        <v>855</v>
      </c>
      <c r="E2239" s="465" t="s">
        <v>5023</v>
      </c>
      <c r="F2239" s="465" t="s">
        <v>5024</v>
      </c>
      <c r="G2239" s="465" t="s">
        <v>4804</v>
      </c>
      <c r="H2239" s="465" t="s">
        <v>4805</v>
      </c>
      <c r="I2239" s="465" t="s">
        <v>830</v>
      </c>
    </row>
    <row r="2240" hidden="1" ht="15.95" customHeight="1">
      <c r="A2240" s="465" t="s">
        <v>5054</v>
      </c>
      <c r="B2240" s="465" t="s">
        <v>5055</v>
      </c>
      <c r="C2240" s="465"/>
      <c r="D2240" s="465" t="s">
        <v>884</v>
      </c>
      <c r="E2240" s="465" t="s">
        <v>5056</v>
      </c>
      <c r="F2240" s="465" t="s">
        <v>5057</v>
      </c>
      <c r="G2240" s="465" t="s">
        <v>4804</v>
      </c>
      <c r="H2240" s="465" t="s">
        <v>4805</v>
      </c>
      <c r="I2240" s="465" t="s">
        <v>830</v>
      </c>
    </row>
    <row r="2241" hidden="1" ht="15.95" customHeight="1">
      <c r="A2241" s="465" t="s">
        <v>5058</v>
      </c>
      <c r="B2241" s="465" t="s">
        <v>5059</v>
      </c>
      <c r="C2241" s="465"/>
      <c r="D2241" s="465" t="s">
        <v>884</v>
      </c>
      <c r="E2241" s="465" t="s">
        <v>5056</v>
      </c>
      <c r="F2241" s="465" t="s">
        <v>5057</v>
      </c>
      <c r="G2241" s="465" t="s">
        <v>4804</v>
      </c>
      <c r="H2241" s="465" t="s">
        <v>4805</v>
      </c>
      <c r="I2241" s="465" t="s">
        <v>830</v>
      </c>
    </row>
    <row r="2242" hidden="1" ht="15.95" customHeight="1">
      <c r="A2242" s="465" t="s">
        <v>5060</v>
      </c>
      <c r="B2242" s="465" t="s">
        <v>5061</v>
      </c>
      <c r="C2242" s="465"/>
      <c r="D2242" s="465" t="s">
        <v>884</v>
      </c>
      <c r="E2242" s="465" t="s">
        <v>5056</v>
      </c>
      <c r="F2242" s="465" t="s">
        <v>5057</v>
      </c>
      <c r="G2242" s="465" t="s">
        <v>4804</v>
      </c>
      <c r="H2242" s="465" t="s">
        <v>4805</v>
      </c>
      <c r="I2242" s="465" t="s">
        <v>830</v>
      </c>
    </row>
    <row r="2243" hidden="1" ht="15.95" customHeight="1">
      <c r="A2243" s="465" t="s">
        <v>5062</v>
      </c>
      <c r="B2243" s="465" t="s">
        <v>5063</v>
      </c>
      <c r="C2243" s="465"/>
      <c r="D2243" s="465" t="s">
        <v>855</v>
      </c>
      <c r="E2243" s="465" t="s">
        <v>5056</v>
      </c>
      <c r="F2243" s="465" t="s">
        <v>5057</v>
      </c>
      <c r="G2243" s="465" t="s">
        <v>4804</v>
      </c>
      <c r="H2243" s="465" t="s">
        <v>4805</v>
      </c>
      <c r="I2243" s="465" t="s">
        <v>830</v>
      </c>
    </row>
    <row r="2244" hidden="1" ht="15.95" customHeight="1">
      <c r="A2244" s="465" t="s">
        <v>5064</v>
      </c>
      <c r="B2244" s="465" t="s">
        <v>1902</v>
      </c>
      <c r="C2244" s="465" t="s">
        <v>5065</v>
      </c>
      <c r="D2244" s="465" t="s">
        <v>855</v>
      </c>
      <c r="E2244" s="465" t="s">
        <v>5056</v>
      </c>
      <c r="F2244" s="465" t="s">
        <v>5057</v>
      </c>
      <c r="G2244" s="465" t="s">
        <v>4804</v>
      </c>
      <c r="H2244" s="465" t="s">
        <v>4805</v>
      </c>
      <c r="I2244" s="465" t="s">
        <v>830</v>
      </c>
    </row>
    <row r="2245" hidden="1" ht="15.95" customHeight="1">
      <c r="A2245" s="465" t="s">
        <v>5066</v>
      </c>
      <c r="B2245" s="465" t="s">
        <v>5067</v>
      </c>
      <c r="C2245" s="465"/>
      <c r="D2245" s="465" t="s">
        <v>855</v>
      </c>
      <c r="E2245" s="465" t="s">
        <v>5056</v>
      </c>
      <c r="F2245" s="465" t="s">
        <v>5057</v>
      </c>
      <c r="G2245" s="465" t="s">
        <v>4804</v>
      </c>
      <c r="H2245" s="465" t="s">
        <v>4805</v>
      </c>
      <c r="I2245" s="465" t="s">
        <v>830</v>
      </c>
    </row>
    <row r="2246" hidden="1" ht="15.95" customHeight="1">
      <c r="A2246" s="465" t="s">
        <v>5068</v>
      </c>
      <c r="B2246" s="465" t="s">
        <v>5069</v>
      </c>
      <c r="C2246" s="465"/>
      <c r="D2246" s="465" t="s">
        <v>855</v>
      </c>
      <c r="E2246" s="465" t="s">
        <v>5056</v>
      </c>
      <c r="F2246" s="465" t="s">
        <v>5057</v>
      </c>
      <c r="G2246" s="465" t="s">
        <v>4804</v>
      </c>
      <c r="H2246" s="465" t="s">
        <v>4805</v>
      </c>
      <c r="I2246" s="465" t="s">
        <v>830</v>
      </c>
    </row>
    <row r="2247" hidden="1" ht="15.95" customHeight="1">
      <c r="A2247" s="465" t="s">
        <v>5070</v>
      </c>
      <c r="B2247" s="465" t="s">
        <v>4040</v>
      </c>
      <c r="C2247" s="465"/>
      <c r="D2247" s="465" t="s">
        <v>855</v>
      </c>
      <c r="E2247" s="465" t="s">
        <v>5056</v>
      </c>
      <c r="F2247" s="465" t="s">
        <v>5057</v>
      </c>
      <c r="G2247" s="465" t="s">
        <v>4804</v>
      </c>
      <c r="H2247" s="465" t="s">
        <v>4805</v>
      </c>
      <c r="I2247" s="465" t="s">
        <v>830</v>
      </c>
    </row>
    <row r="2248" hidden="1" ht="15.95" customHeight="1">
      <c r="A2248" s="465" t="s">
        <v>5071</v>
      </c>
      <c r="B2248" s="465" t="s">
        <v>5072</v>
      </c>
      <c r="C2248" s="465"/>
      <c r="D2248" s="465" t="s">
        <v>855</v>
      </c>
      <c r="E2248" s="465" t="s">
        <v>5056</v>
      </c>
      <c r="F2248" s="465" t="s">
        <v>5057</v>
      </c>
      <c r="G2248" s="465" t="s">
        <v>4804</v>
      </c>
      <c r="H2248" s="465" t="s">
        <v>4805</v>
      </c>
      <c r="I2248" s="465" t="s">
        <v>830</v>
      </c>
    </row>
    <row r="2249" hidden="1" ht="15.95" customHeight="1">
      <c r="A2249" s="465" t="s">
        <v>5073</v>
      </c>
      <c r="B2249" s="465" t="s">
        <v>5074</v>
      </c>
      <c r="C2249" s="465"/>
      <c r="D2249" s="465" t="s">
        <v>855</v>
      </c>
      <c r="E2249" s="465" t="s">
        <v>5056</v>
      </c>
      <c r="F2249" s="465" t="s">
        <v>5057</v>
      </c>
      <c r="G2249" s="465" t="s">
        <v>4804</v>
      </c>
      <c r="H2249" s="465" t="s">
        <v>4805</v>
      </c>
      <c r="I2249" s="465" t="s">
        <v>830</v>
      </c>
    </row>
    <row r="2250" hidden="1" ht="15.95" customHeight="1">
      <c r="A2250" s="465" t="s">
        <v>5075</v>
      </c>
      <c r="B2250" s="465" t="s">
        <v>2050</v>
      </c>
      <c r="C2250" s="465"/>
      <c r="D2250" s="465" t="s">
        <v>855</v>
      </c>
      <c r="E2250" s="465" t="s">
        <v>5056</v>
      </c>
      <c r="F2250" s="465" t="s">
        <v>5057</v>
      </c>
      <c r="G2250" s="465" t="s">
        <v>4804</v>
      </c>
      <c r="H2250" s="465" t="s">
        <v>4805</v>
      </c>
      <c r="I2250" s="465" t="s">
        <v>830</v>
      </c>
    </row>
    <row r="2251" hidden="1" ht="15.95" customHeight="1">
      <c r="A2251" s="465" t="s">
        <v>5076</v>
      </c>
      <c r="B2251" s="465" t="s">
        <v>5077</v>
      </c>
      <c r="C2251" s="465"/>
      <c r="D2251" s="465" t="s">
        <v>855</v>
      </c>
      <c r="E2251" s="465" t="s">
        <v>5056</v>
      </c>
      <c r="F2251" s="465" t="s">
        <v>5057</v>
      </c>
      <c r="G2251" s="465" t="s">
        <v>4804</v>
      </c>
      <c r="H2251" s="465" t="s">
        <v>4805</v>
      </c>
      <c r="I2251" s="465" t="s">
        <v>830</v>
      </c>
    </row>
    <row r="2252" hidden="1" ht="15.95" customHeight="1">
      <c r="A2252" s="465" t="s">
        <v>5078</v>
      </c>
      <c r="B2252" s="465" t="s">
        <v>5079</v>
      </c>
      <c r="C2252" s="465"/>
      <c r="D2252" s="465" t="s">
        <v>855</v>
      </c>
      <c r="E2252" s="465" t="s">
        <v>5056</v>
      </c>
      <c r="F2252" s="465" t="s">
        <v>5057</v>
      </c>
      <c r="G2252" s="465" t="s">
        <v>4804</v>
      </c>
      <c r="H2252" s="465" t="s">
        <v>4805</v>
      </c>
      <c r="I2252" s="465" t="s">
        <v>830</v>
      </c>
    </row>
    <row r="2253" hidden="1" ht="15.95" customHeight="1">
      <c r="A2253" s="465" t="s">
        <v>5080</v>
      </c>
      <c r="B2253" s="465" t="s">
        <v>5081</v>
      </c>
      <c r="C2253" s="465"/>
      <c r="D2253" s="465" t="s">
        <v>855</v>
      </c>
      <c r="E2253" s="465" t="s">
        <v>5056</v>
      </c>
      <c r="F2253" s="465" t="s">
        <v>5057</v>
      </c>
      <c r="G2253" s="465" t="s">
        <v>4804</v>
      </c>
      <c r="H2253" s="465" t="s">
        <v>4805</v>
      </c>
      <c r="I2253" s="465" t="s">
        <v>830</v>
      </c>
    </row>
    <row r="2254" hidden="1" ht="15.95" customHeight="1">
      <c r="A2254" s="465" t="s">
        <v>5082</v>
      </c>
      <c r="B2254" s="465" t="s">
        <v>5083</v>
      </c>
      <c r="C2254" s="465"/>
      <c r="D2254" s="465" t="s">
        <v>855</v>
      </c>
      <c r="E2254" s="465" t="s">
        <v>5056</v>
      </c>
      <c r="F2254" s="465" t="s">
        <v>5057</v>
      </c>
      <c r="G2254" s="465" t="s">
        <v>4804</v>
      </c>
      <c r="H2254" s="465" t="s">
        <v>4805</v>
      </c>
      <c r="I2254" s="465" t="s">
        <v>830</v>
      </c>
    </row>
    <row r="2255" hidden="1" ht="15.95" customHeight="1">
      <c r="A2255" s="465" t="s">
        <v>5084</v>
      </c>
      <c r="B2255" s="465" t="s">
        <v>3360</v>
      </c>
      <c r="C2255" s="465"/>
      <c r="D2255" s="465" t="s">
        <v>855</v>
      </c>
      <c r="E2255" s="465" t="s">
        <v>5056</v>
      </c>
      <c r="F2255" s="465" t="s">
        <v>5057</v>
      </c>
      <c r="G2255" s="465" t="s">
        <v>4804</v>
      </c>
      <c r="H2255" s="465" t="s">
        <v>4805</v>
      </c>
      <c r="I2255" s="465" t="s">
        <v>830</v>
      </c>
    </row>
    <row r="2256" hidden="1" ht="15.95" customHeight="1">
      <c r="A2256" s="465" t="s">
        <v>5085</v>
      </c>
      <c r="B2256" s="465" t="s">
        <v>5086</v>
      </c>
      <c r="C2256" s="465"/>
      <c r="D2256" s="465" t="s">
        <v>855</v>
      </c>
      <c r="E2256" s="465" t="s">
        <v>5056</v>
      </c>
      <c r="F2256" s="465" t="s">
        <v>5057</v>
      </c>
      <c r="G2256" s="465" t="s">
        <v>4804</v>
      </c>
      <c r="H2256" s="465" t="s">
        <v>4805</v>
      </c>
      <c r="I2256" s="465" t="s">
        <v>830</v>
      </c>
    </row>
    <row r="2257" hidden="1" ht="15.95" customHeight="1">
      <c r="A2257" s="465" t="s">
        <v>5087</v>
      </c>
      <c r="B2257" s="465" t="s">
        <v>5088</v>
      </c>
      <c r="C2257" s="465"/>
      <c r="D2257" s="465" t="s">
        <v>825</v>
      </c>
      <c r="E2257" s="465" t="s">
        <v>5089</v>
      </c>
      <c r="F2257" s="465" t="s">
        <v>5090</v>
      </c>
      <c r="G2257" s="465" t="s">
        <v>5091</v>
      </c>
      <c r="H2257" s="465" t="s">
        <v>5092</v>
      </c>
      <c r="I2257" s="465" t="s">
        <v>830</v>
      </c>
    </row>
    <row r="2258" hidden="1" ht="15.95" customHeight="1">
      <c r="A2258" s="465" t="s">
        <v>5093</v>
      </c>
      <c r="B2258" s="465" t="s">
        <v>5094</v>
      </c>
      <c r="C2258" s="465"/>
      <c r="D2258" s="465" t="s">
        <v>825</v>
      </c>
      <c r="E2258" s="465" t="s">
        <v>5089</v>
      </c>
      <c r="F2258" s="465" t="s">
        <v>5090</v>
      </c>
      <c r="G2258" s="465" t="s">
        <v>5091</v>
      </c>
      <c r="H2258" s="465" t="s">
        <v>5092</v>
      </c>
      <c r="I2258" s="465" t="s">
        <v>830</v>
      </c>
    </row>
    <row r="2259" hidden="1" ht="15.95" customHeight="1">
      <c r="A2259" s="465" t="s">
        <v>5095</v>
      </c>
      <c r="B2259" s="465" t="s">
        <v>5096</v>
      </c>
      <c r="C2259" s="465"/>
      <c r="D2259" s="465" t="s">
        <v>825</v>
      </c>
      <c r="E2259" s="465" t="s">
        <v>5089</v>
      </c>
      <c r="F2259" s="465" t="s">
        <v>5090</v>
      </c>
      <c r="G2259" s="465" t="s">
        <v>5091</v>
      </c>
      <c r="H2259" s="465" t="s">
        <v>5092</v>
      </c>
      <c r="I2259" s="465" t="s">
        <v>830</v>
      </c>
    </row>
    <row r="2260" hidden="1" ht="15.95" customHeight="1">
      <c r="A2260" s="465" t="s">
        <v>5097</v>
      </c>
      <c r="B2260" s="465" t="s">
        <v>5098</v>
      </c>
      <c r="C2260" s="465"/>
      <c r="D2260" s="465" t="s">
        <v>825</v>
      </c>
      <c r="E2260" s="465" t="s">
        <v>5089</v>
      </c>
      <c r="F2260" s="465" t="s">
        <v>5090</v>
      </c>
      <c r="G2260" s="465" t="s">
        <v>5091</v>
      </c>
      <c r="H2260" s="465" t="s">
        <v>5092</v>
      </c>
      <c r="I2260" s="465" t="s">
        <v>830</v>
      </c>
    </row>
    <row r="2261" hidden="1" ht="15.95" customHeight="1">
      <c r="A2261" s="465" t="s">
        <v>5099</v>
      </c>
      <c r="B2261" s="465" t="s">
        <v>5100</v>
      </c>
      <c r="C2261" s="465"/>
      <c r="D2261" s="465" t="s">
        <v>825</v>
      </c>
      <c r="E2261" s="465" t="s">
        <v>5089</v>
      </c>
      <c r="F2261" s="465" t="s">
        <v>5090</v>
      </c>
      <c r="G2261" s="465" t="s">
        <v>5091</v>
      </c>
      <c r="H2261" s="465" t="s">
        <v>5092</v>
      </c>
      <c r="I2261" s="465" t="s">
        <v>830</v>
      </c>
    </row>
    <row r="2262" hidden="1" ht="15.95" customHeight="1">
      <c r="A2262" s="465" t="s">
        <v>5101</v>
      </c>
      <c r="B2262" s="465" t="s">
        <v>5102</v>
      </c>
      <c r="C2262" s="465"/>
      <c r="D2262" s="465" t="s">
        <v>825</v>
      </c>
      <c r="E2262" s="465" t="s">
        <v>5089</v>
      </c>
      <c r="F2262" s="465" t="s">
        <v>5090</v>
      </c>
      <c r="G2262" s="465" t="s">
        <v>5091</v>
      </c>
      <c r="H2262" s="465" t="s">
        <v>5092</v>
      </c>
      <c r="I2262" s="465" t="s">
        <v>830</v>
      </c>
    </row>
    <row r="2263" hidden="1" ht="15.95" customHeight="1">
      <c r="A2263" s="465" t="s">
        <v>5103</v>
      </c>
      <c r="B2263" s="465" t="s">
        <v>4589</v>
      </c>
      <c r="C2263" s="465"/>
      <c r="D2263" s="465" t="s">
        <v>825</v>
      </c>
      <c r="E2263" s="465" t="s">
        <v>5089</v>
      </c>
      <c r="F2263" s="465" t="s">
        <v>5090</v>
      </c>
      <c r="G2263" s="465" t="s">
        <v>5091</v>
      </c>
      <c r="H2263" s="465" t="s">
        <v>5092</v>
      </c>
      <c r="I2263" s="465" t="s">
        <v>830</v>
      </c>
    </row>
    <row r="2264" hidden="1" ht="15.95" customHeight="1">
      <c r="A2264" s="465" t="s">
        <v>5104</v>
      </c>
      <c r="B2264" s="465" t="s">
        <v>2140</v>
      </c>
      <c r="C2264" s="465"/>
      <c r="D2264" s="465" t="s">
        <v>825</v>
      </c>
      <c r="E2264" s="465" t="s">
        <v>5089</v>
      </c>
      <c r="F2264" s="465" t="s">
        <v>5090</v>
      </c>
      <c r="G2264" s="465" t="s">
        <v>5091</v>
      </c>
      <c r="H2264" s="465" t="s">
        <v>5092</v>
      </c>
      <c r="I2264" s="465" t="s">
        <v>830</v>
      </c>
    </row>
    <row r="2265" hidden="1" ht="15.95" customHeight="1">
      <c r="A2265" s="465" t="s">
        <v>5105</v>
      </c>
      <c r="B2265" s="465" t="s">
        <v>5106</v>
      </c>
      <c r="C2265" s="465"/>
      <c r="D2265" s="465" t="s">
        <v>825</v>
      </c>
      <c r="E2265" s="465" t="s">
        <v>5089</v>
      </c>
      <c r="F2265" s="465" t="s">
        <v>5090</v>
      </c>
      <c r="G2265" s="465" t="s">
        <v>5091</v>
      </c>
      <c r="H2265" s="465" t="s">
        <v>5092</v>
      </c>
      <c r="I2265" s="465" t="s">
        <v>830</v>
      </c>
    </row>
    <row r="2266" hidden="1" ht="15.95" customHeight="1">
      <c r="A2266" s="465" t="s">
        <v>5107</v>
      </c>
      <c r="B2266" s="465" t="s">
        <v>5108</v>
      </c>
      <c r="C2266" s="465"/>
      <c r="D2266" s="465" t="s">
        <v>825</v>
      </c>
      <c r="E2266" s="465" t="s">
        <v>5089</v>
      </c>
      <c r="F2266" s="465" t="s">
        <v>5090</v>
      </c>
      <c r="G2266" s="465" t="s">
        <v>5091</v>
      </c>
      <c r="H2266" s="465" t="s">
        <v>5092</v>
      </c>
      <c r="I2266" s="465" t="s">
        <v>830</v>
      </c>
    </row>
    <row r="2267" hidden="1" ht="15.95" customHeight="1">
      <c r="A2267" s="465" t="s">
        <v>5109</v>
      </c>
      <c r="B2267" s="465" t="s">
        <v>5110</v>
      </c>
      <c r="C2267" s="465"/>
      <c r="D2267" s="465" t="s">
        <v>825</v>
      </c>
      <c r="E2267" s="465" t="s">
        <v>5089</v>
      </c>
      <c r="F2267" s="465" t="s">
        <v>5090</v>
      </c>
      <c r="G2267" s="465" t="s">
        <v>5091</v>
      </c>
      <c r="H2267" s="465" t="s">
        <v>5092</v>
      </c>
      <c r="I2267" s="465" t="s">
        <v>830</v>
      </c>
    </row>
    <row r="2268" hidden="1" ht="15.95" customHeight="1">
      <c r="A2268" s="465" t="s">
        <v>5111</v>
      </c>
      <c r="B2268" s="465" t="s">
        <v>5112</v>
      </c>
      <c r="C2268" s="465"/>
      <c r="D2268" s="465" t="s">
        <v>855</v>
      </c>
      <c r="E2268" s="465" t="s">
        <v>5089</v>
      </c>
      <c r="F2268" s="465" t="s">
        <v>5090</v>
      </c>
      <c r="G2268" s="465" t="s">
        <v>5091</v>
      </c>
      <c r="H2268" s="465" t="s">
        <v>5092</v>
      </c>
      <c r="I2268" s="465" t="s">
        <v>830</v>
      </c>
    </row>
    <row r="2269" hidden="1" ht="15.95" customHeight="1">
      <c r="A2269" s="465" t="s">
        <v>5113</v>
      </c>
      <c r="B2269" s="465" t="s">
        <v>5114</v>
      </c>
      <c r="C2269" s="465"/>
      <c r="D2269" s="465" t="s">
        <v>825</v>
      </c>
      <c r="E2269" s="465" t="s">
        <v>5115</v>
      </c>
      <c r="F2269" s="465" t="s">
        <v>5116</v>
      </c>
      <c r="G2269" s="465" t="s">
        <v>5091</v>
      </c>
      <c r="H2269" s="465" t="s">
        <v>5092</v>
      </c>
      <c r="I2269" s="465" t="s">
        <v>830</v>
      </c>
    </row>
    <row r="2270" hidden="1" ht="15.95" customHeight="1">
      <c r="A2270" s="465" t="s">
        <v>5117</v>
      </c>
      <c r="B2270" s="465" t="s">
        <v>5118</v>
      </c>
      <c r="C2270" s="465"/>
      <c r="D2270" s="465" t="s">
        <v>825</v>
      </c>
      <c r="E2270" s="465" t="s">
        <v>5115</v>
      </c>
      <c r="F2270" s="465" t="s">
        <v>5116</v>
      </c>
      <c r="G2270" s="465" t="s">
        <v>5091</v>
      </c>
      <c r="H2270" s="465" t="s">
        <v>5092</v>
      </c>
      <c r="I2270" s="465" t="s">
        <v>830</v>
      </c>
    </row>
    <row r="2271" hidden="1" ht="15.95" customHeight="1">
      <c r="A2271" s="465" t="s">
        <v>5119</v>
      </c>
      <c r="B2271" s="465" t="s">
        <v>5120</v>
      </c>
      <c r="C2271" s="465"/>
      <c r="D2271" s="465" t="s">
        <v>825</v>
      </c>
      <c r="E2271" s="465" t="s">
        <v>5115</v>
      </c>
      <c r="F2271" s="465" t="s">
        <v>5116</v>
      </c>
      <c r="G2271" s="465" t="s">
        <v>5091</v>
      </c>
      <c r="H2271" s="465" t="s">
        <v>5092</v>
      </c>
      <c r="I2271" s="465" t="s">
        <v>830</v>
      </c>
    </row>
    <row r="2272" hidden="1" ht="15.95" customHeight="1">
      <c r="A2272" s="465" t="s">
        <v>5121</v>
      </c>
      <c r="B2272" s="465" t="s">
        <v>5122</v>
      </c>
      <c r="C2272" s="465"/>
      <c r="D2272" s="465" t="s">
        <v>825</v>
      </c>
      <c r="E2272" s="465" t="s">
        <v>5115</v>
      </c>
      <c r="F2272" s="465" t="s">
        <v>5116</v>
      </c>
      <c r="G2272" s="465" t="s">
        <v>5091</v>
      </c>
      <c r="H2272" s="465" t="s">
        <v>5092</v>
      </c>
      <c r="I2272" s="465" t="s">
        <v>830</v>
      </c>
    </row>
    <row r="2273" hidden="1" ht="15.95" customHeight="1">
      <c r="A2273" s="465" t="s">
        <v>5123</v>
      </c>
      <c r="B2273" s="465" t="s">
        <v>1529</v>
      </c>
      <c r="C2273" s="465"/>
      <c r="D2273" s="465" t="s">
        <v>855</v>
      </c>
      <c r="E2273" s="465" t="s">
        <v>5115</v>
      </c>
      <c r="F2273" s="465" t="s">
        <v>5116</v>
      </c>
      <c r="G2273" s="465" t="s">
        <v>5091</v>
      </c>
      <c r="H2273" s="465" t="s">
        <v>5092</v>
      </c>
      <c r="I2273" s="465" t="s">
        <v>830</v>
      </c>
    </row>
    <row r="2274" hidden="1" ht="15.95" customHeight="1">
      <c r="A2274" s="465" t="s">
        <v>5124</v>
      </c>
      <c r="B2274" s="465" t="s">
        <v>5125</v>
      </c>
      <c r="C2274" s="465"/>
      <c r="D2274" s="465" t="s">
        <v>855</v>
      </c>
      <c r="E2274" s="465" t="s">
        <v>5115</v>
      </c>
      <c r="F2274" s="465" t="s">
        <v>5116</v>
      </c>
      <c r="G2274" s="465" t="s">
        <v>5091</v>
      </c>
      <c r="H2274" s="465" t="s">
        <v>5092</v>
      </c>
      <c r="I2274" s="465" t="s">
        <v>830</v>
      </c>
    </row>
    <row r="2275" hidden="1" ht="15.95" customHeight="1">
      <c r="A2275" s="465" t="s">
        <v>5126</v>
      </c>
      <c r="B2275" s="465" t="s">
        <v>5127</v>
      </c>
      <c r="C2275" s="465"/>
      <c r="D2275" s="465" t="s">
        <v>855</v>
      </c>
      <c r="E2275" s="465" t="s">
        <v>5115</v>
      </c>
      <c r="F2275" s="465" t="s">
        <v>5116</v>
      </c>
      <c r="G2275" s="465" t="s">
        <v>5091</v>
      </c>
      <c r="H2275" s="465" t="s">
        <v>5092</v>
      </c>
      <c r="I2275" s="465" t="s">
        <v>830</v>
      </c>
    </row>
    <row r="2276" hidden="1" ht="15.95" customHeight="1">
      <c r="A2276" s="465" t="s">
        <v>5128</v>
      </c>
      <c r="B2276" s="465" t="s">
        <v>5129</v>
      </c>
      <c r="C2276" s="465"/>
      <c r="D2276" s="465" t="s">
        <v>884</v>
      </c>
      <c r="E2276" s="465" t="s">
        <v>5130</v>
      </c>
      <c r="F2276" s="465" t="s">
        <v>5131</v>
      </c>
      <c r="G2276" s="465" t="s">
        <v>5091</v>
      </c>
      <c r="H2276" s="465" t="s">
        <v>5092</v>
      </c>
      <c r="I2276" s="465" t="s">
        <v>830</v>
      </c>
    </row>
    <row r="2277" hidden="1" ht="15.95" customHeight="1">
      <c r="A2277" s="465" t="s">
        <v>5132</v>
      </c>
      <c r="B2277" s="465" t="s">
        <v>5133</v>
      </c>
      <c r="C2277" s="465"/>
      <c r="D2277" s="465" t="s">
        <v>855</v>
      </c>
      <c r="E2277" s="465" t="s">
        <v>5130</v>
      </c>
      <c r="F2277" s="465" t="s">
        <v>5131</v>
      </c>
      <c r="G2277" s="465" t="s">
        <v>5091</v>
      </c>
      <c r="H2277" s="465" t="s">
        <v>5092</v>
      </c>
      <c r="I2277" s="465" t="s">
        <v>830</v>
      </c>
    </row>
    <row r="2278" hidden="1" ht="15.95" customHeight="1">
      <c r="A2278" s="465" t="s">
        <v>5134</v>
      </c>
      <c r="B2278" s="465" t="s">
        <v>5135</v>
      </c>
      <c r="C2278" s="465"/>
      <c r="D2278" s="465" t="s">
        <v>855</v>
      </c>
      <c r="E2278" s="465" t="s">
        <v>5130</v>
      </c>
      <c r="F2278" s="465" t="s">
        <v>5131</v>
      </c>
      <c r="G2278" s="465" t="s">
        <v>5091</v>
      </c>
      <c r="H2278" s="465" t="s">
        <v>5092</v>
      </c>
      <c r="I2278" s="465" t="s">
        <v>830</v>
      </c>
    </row>
    <row r="2279" hidden="1" ht="15.95" customHeight="1">
      <c r="A2279" s="465" t="s">
        <v>5136</v>
      </c>
      <c r="B2279" s="465" t="s">
        <v>5137</v>
      </c>
      <c r="C2279" s="465"/>
      <c r="D2279" s="465" t="s">
        <v>855</v>
      </c>
      <c r="E2279" s="465" t="s">
        <v>5130</v>
      </c>
      <c r="F2279" s="465" t="s">
        <v>5131</v>
      </c>
      <c r="G2279" s="465" t="s">
        <v>5091</v>
      </c>
      <c r="H2279" s="465" t="s">
        <v>5092</v>
      </c>
      <c r="I2279" s="465" t="s">
        <v>830</v>
      </c>
    </row>
    <row r="2280" hidden="1" ht="15.95" customHeight="1">
      <c r="A2280" s="465" t="s">
        <v>5138</v>
      </c>
      <c r="B2280" s="465" t="s">
        <v>1072</v>
      </c>
      <c r="C2280" s="465"/>
      <c r="D2280" s="465" t="s">
        <v>855</v>
      </c>
      <c r="E2280" s="465" t="s">
        <v>5130</v>
      </c>
      <c r="F2280" s="465" t="s">
        <v>5131</v>
      </c>
      <c r="G2280" s="465" t="s">
        <v>5091</v>
      </c>
      <c r="H2280" s="465" t="s">
        <v>5092</v>
      </c>
      <c r="I2280" s="465" t="s">
        <v>830</v>
      </c>
    </row>
    <row r="2281" hidden="1" ht="15.95" customHeight="1">
      <c r="A2281" s="465" t="s">
        <v>5139</v>
      </c>
      <c r="B2281" s="465" t="s">
        <v>5140</v>
      </c>
      <c r="C2281" s="465"/>
      <c r="D2281" s="465" t="s">
        <v>855</v>
      </c>
      <c r="E2281" s="465" t="s">
        <v>5130</v>
      </c>
      <c r="F2281" s="465" t="s">
        <v>5131</v>
      </c>
      <c r="G2281" s="465" t="s">
        <v>5091</v>
      </c>
      <c r="H2281" s="465" t="s">
        <v>5092</v>
      </c>
      <c r="I2281" s="465" t="s">
        <v>830</v>
      </c>
    </row>
    <row r="2282" hidden="1" ht="15.95" customHeight="1">
      <c r="A2282" s="465" t="s">
        <v>5141</v>
      </c>
      <c r="B2282" s="465" t="s">
        <v>5142</v>
      </c>
      <c r="C2282" s="465"/>
      <c r="D2282" s="465" t="s">
        <v>855</v>
      </c>
      <c r="E2282" s="465" t="s">
        <v>5130</v>
      </c>
      <c r="F2282" s="465" t="s">
        <v>5131</v>
      </c>
      <c r="G2282" s="465" t="s">
        <v>5091</v>
      </c>
      <c r="H2282" s="465" t="s">
        <v>5092</v>
      </c>
      <c r="I2282" s="465" t="s">
        <v>830</v>
      </c>
    </row>
    <row r="2283" hidden="1" ht="15.95" customHeight="1">
      <c r="A2283" s="465" t="s">
        <v>5143</v>
      </c>
      <c r="B2283" s="465" t="s">
        <v>5144</v>
      </c>
      <c r="C2283" s="465"/>
      <c r="D2283" s="465" t="s">
        <v>855</v>
      </c>
      <c r="E2283" s="465" t="s">
        <v>5130</v>
      </c>
      <c r="F2283" s="465" t="s">
        <v>5131</v>
      </c>
      <c r="G2283" s="465" t="s">
        <v>5091</v>
      </c>
      <c r="H2283" s="465" t="s">
        <v>5092</v>
      </c>
      <c r="I2283" s="465" t="s">
        <v>830</v>
      </c>
    </row>
    <row r="2284" hidden="1" ht="15.95" customHeight="1">
      <c r="A2284" s="465" t="s">
        <v>5145</v>
      </c>
      <c r="B2284" s="465" t="s">
        <v>5146</v>
      </c>
      <c r="C2284" s="465"/>
      <c r="D2284" s="465" t="s">
        <v>884</v>
      </c>
      <c r="E2284" s="465" t="s">
        <v>5147</v>
      </c>
      <c r="F2284" s="465" t="s">
        <v>5148</v>
      </c>
      <c r="G2284" s="465" t="s">
        <v>5091</v>
      </c>
      <c r="H2284" s="465" t="s">
        <v>5092</v>
      </c>
      <c r="I2284" s="465" t="s">
        <v>830</v>
      </c>
    </row>
    <row r="2285" hidden="1" ht="15.95" customHeight="1">
      <c r="A2285" s="465" t="s">
        <v>5149</v>
      </c>
      <c r="B2285" s="465" t="s">
        <v>5150</v>
      </c>
      <c r="C2285" s="465"/>
      <c r="D2285" s="465" t="s">
        <v>884</v>
      </c>
      <c r="E2285" s="465" t="s">
        <v>5147</v>
      </c>
      <c r="F2285" s="465" t="s">
        <v>5148</v>
      </c>
      <c r="G2285" s="465" t="s">
        <v>5091</v>
      </c>
      <c r="H2285" s="465" t="s">
        <v>5092</v>
      </c>
      <c r="I2285" s="465" t="s">
        <v>830</v>
      </c>
    </row>
    <row r="2286" hidden="1" ht="15.95" customHeight="1">
      <c r="A2286" s="465" t="s">
        <v>5151</v>
      </c>
      <c r="B2286" s="465" t="s">
        <v>1786</v>
      </c>
      <c r="C2286" s="465"/>
      <c r="D2286" s="465" t="s">
        <v>855</v>
      </c>
      <c r="E2286" s="465" t="s">
        <v>5147</v>
      </c>
      <c r="F2286" s="465" t="s">
        <v>5148</v>
      </c>
      <c r="G2286" s="465" t="s">
        <v>5091</v>
      </c>
      <c r="H2286" s="465" t="s">
        <v>5092</v>
      </c>
      <c r="I2286" s="465" t="s">
        <v>830</v>
      </c>
    </row>
    <row r="2287" hidden="1" ht="15.95" customHeight="1">
      <c r="A2287" s="465" t="s">
        <v>5152</v>
      </c>
      <c r="B2287" s="465" t="s">
        <v>5153</v>
      </c>
      <c r="C2287" s="465"/>
      <c r="D2287" s="465" t="s">
        <v>855</v>
      </c>
      <c r="E2287" s="465" t="s">
        <v>5147</v>
      </c>
      <c r="F2287" s="465" t="s">
        <v>5148</v>
      </c>
      <c r="G2287" s="465" t="s">
        <v>5091</v>
      </c>
      <c r="H2287" s="465" t="s">
        <v>5092</v>
      </c>
      <c r="I2287" s="465" t="s">
        <v>830</v>
      </c>
    </row>
    <row r="2288" hidden="1" ht="15.95" customHeight="1">
      <c r="A2288" s="465" t="s">
        <v>5154</v>
      </c>
      <c r="B2288" s="465" t="s">
        <v>5155</v>
      </c>
      <c r="C2288" s="465" t="s">
        <v>5156</v>
      </c>
      <c r="D2288" s="465" t="s">
        <v>855</v>
      </c>
      <c r="E2288" s="465" t="s">
        <v>5147</v>
      </c>
      <c r="F2288" s="465" t="s">
        <v>5148</v>
      </c>
      <c r="G2288" s="465" t="s">
        <v>5091</v>
      </c>
      <c r="H2288" s="465" t="s">
        <v>5092</v>
      </c>
      <c r="I2288" s="465" t="s">
        <v>830</v>
      </c>
    </row>
    <row r="2289" hidden="1" ht="15.95" customHeight="1">
      <c r="A2289" s="465" t="s">
        <v>5157</v>
      </c>
      <c r="B2289" s="465" t="s">
        <v>5158</v>
      </c>
      <c r="C2289" s="465"/>
      <c r="D2289" s="465" t="s">
        <v>855</v>
      </c>
      <c r="E2289" s="465" t="s">
        <v>5147</v>
      </c>
      <c r="F2289" s="465" t="s">
        <v>5148</v>
      </c>
      <c r="G2289" s="465" t="s">
        <v>5091</v>
      </c>
      <c r="H2289" s="465" t="s">
        <v>5092</v>
      </c>
      <c r="I2289" s="465" t="s">
        <v>830</v>
      </c>
    </row>
    <row r="2290" hidden="1" ht="15.95" customHeight="1">
      <c r="A2290" s="465" t="s">
        <v>5159</v>
      </c>
      <c r="B2290" s="465" t="s">
        <v>5160</v>
      </c>
      <c r="C2290" s="465"/>
      <c r="D2290" s="465" t="s">
        <v>855</v>
      </c>
      <c r="E2290" s="465" t="s">
        <v>5147</v>
      </c>
      <c r="F2290" s="465" t="s">
        <v>5148</v>
      </c>
      <c r="G2290" s="465" t="s">
        <v>5091</v>
      </c>
      <c r="H2290" s="465" t="s">
        <v>5092</v>
      </c>
      <c r="I2290" s="465" t="s">
        <v>830</v>
      </c>
    </row>
    <row r="2291" hidden="1" ht="15.95" customHeight="1">
      <c r="A2291" s="465" t="s">
        <v>5161</v>
      </c>
      <c r="B2291" s="465" t="s">
        <v>5162</v>
      </c>
      <c r="C2291" s="465"/>
      <c r="D2291" s="465" t="s">
        <v>855</v>
      </c>
      <c r="E2291" s="465" t="s">
        <v>5147</v>
      </c>
      <c r="F2291" s="465" t="s">
        <v>5148</v>
      </c>
      <c r="G2291" s="465" t="s">
        <v>5091</v>
      </c>
      <c r="H2291" s="465" t="s">
        <v>5092</v>
      </c>
      <c r="I2291" s="465" t="s">
        <v>830</v>
      </c>
    </row>
    <row r="2292" hidden="1" ht="15.95" customHeight="1">
      <c r="A2292" s="465" t="s">
        <v>5163</v>
      </c>
      <c r="B2292" s="465" t="s">
        <v>2588</v>
      </c>
      <c r="C2292" s="465"/>
      <c r="D2292" s="465" t="s">
        <v>855</v>
      </c>
      <c r="E2292" s="465" t="s">
        <v>5147</v>
      </c>
      <c r="F2292" s="465" t="s">
        <v>5148</v>
      </c>
      <c r="G2292" s="465" t="s">
        <v>5091</v>
      </c>
      <c r="H2292" s="465" t="s">
        <v>5092</v>
      </c>
      <c r="I2292" s="465" t="s">
        <v>830</v>
      </c>
    </row>
    <row r="2293" hidden="1" ht="15.95" customHeight="1">
      <c r="A2293" s="465" t="s">
        <v>5164</v>
      </c>
      <c r="B2293" s="465" t="s">
        <v>4542</v>
      </c>
      <c r="C2293" s="465"/>
      <c r="D2293" s="465" t="s">
        <v>855</v>
      </c>
      <c r="E2293" s="465" t="s">
        <v>5147</v>
      </c>
      <c r="F2293" s="465" t="s">
        <v>5148</v>
      </c>
      <c r="G2293" s="465" t="s">
        <v>5091</v>
      </c>
      <c r="H2293" s="465" t="s">
        <v>5092</v>
      </c>
      <c r="I2293" s="465" t="s">
        <v>830</v>
      </c>
    </row>
    <row r="2294" hidden="1" ht="15.95" customHeight="1">
      <c r="A2294" s="465" t="s">
        <v>5165</v>
      </c>
      <c r="B2294" s="465" t="s">
        <v>5166</v>
      </c>
      <c r="C2294" s="465" t="s">
        <v>5167</v>
      </c>
      <c r="D2294" s="465" t="s">
        <v>855</v>
      </c>
      <c r="E2294" s="465" t="s">
        <v>5147</v>
      </c>
      <c r="F2294" s="465" t="s">
        <v>5148</v>
      </c>
      <c r="G2294" s="465" t="s">
        <v>5091</v>
      </c>
      <c r="H2294" s="465" t="s">
        <v>5092</v>
      </c>
      <c r="I2294" s="465" t="s">
        <v>830</v>
      </c>
    </row>
    <row r="2295" hidden="1" ht="15.95" customHeight="1">
      <c r="A2295" s="465" t="s">
        <v>5168</v>
      </c>
      <c r="B2295" s="465" t="s">
        <v>5169</v>
      </c>
      <c r="C2295" s="465"/>
      <c r="D2295" s="465" t="s">
        <v>855</v>
      </c>
      <c r="E2295" s="465" t="s">
        <v>5147</v>
      </c>
      <c r="F2295" s="465" t="s">
        <v>5148</v>
      </c>
      <c r="G2295" s="465" t="s">
        <v>5091</v>
      </c>
      <c r="H2295" s="465" t="s">
        <v>5092</v>
      </c>
      <c r="I2295" s="465" t="s">
        <v>830</v>
      </c>
    </row>
    <row r="2296" hidden="1" ht="15.95" customHeight="1">
      <c r="A2296" s="465" t="s">
        <v>5170</v>
      </c>
      <c r="B2296" s="465" t="s">
        <v>1557</v>
      </c>
      <c r="C2296" s="465"/>
      <c r="D2296" s="465" t="s">
        <v>855</v>
      </c>
      <c r="E2296" s="465" t="s">
        <v>5147</v>
      </c>
      <c r="F2296" s="465" t="s">
        <v>5148</v>
      </c>
      <c r="G2296" s="465" t="s">
        <v>5091</v>
      </c>
      <c r="H2296" s="465" t="s">
        <v>5092</v>
      </c>
      <c r="I2296" s="465" t="s">
        <v>830</v>
      </c>
    </row>
    <row r="2297" hidden="1" ht="15.95" customHeight="1">
      <c r="A2297" s="465" t="s">
        <v>5171</v>
      </c>
      <c r="B2297" s="465" t="s">
        <v>3659</v>
      </c>
      <c r="C2297" s="465"/>
      <c r="D2297" s="465" t="s">
        <v>855</v>
      </c>
      <c r="E2297" s="465" t="s">
        <v>5147</v>
      </c>
      <c r="F2297" s="465" t="s">
        <v>5148</v>
      </c>
      <c r="G2297" s="465" t="s">
        <v>5091</v>
      </c>
      <c r="H2297" s="465" t="s">
        <v>5092</v>
      </c>
      <c r="I2297" s="465" t="s">
        <v>830</v>
      </c>
    </row>
    <row r="2298" hidden="1" ht="15.95" customHeight="1">
      <c r="A2298" s="465" t="s">
        <v>5172</v>
      </c>
      <c r="B2298" s="465" t="s">
        <v>3745</v>
      </c>
      <c r="C2298" s="465"/>
      <c r="D2298" s="465" t="s">
        <v>884</v>
      </c>
      <c r="E2298" s="465" t="s">
        <v>5173</v>
      </c>
      <c r="F2298" s="465" t="s">
        <v>5174</v>
      </c>
      <c r="G2298" s="465" t="s">
        <v>5091</v>
      </c>
      <c r="H2298" s="465" t="s">
        <v>5092</v>
      </c>
      <c r="I2298" s="465" t="s">
        <v>830</v>
      </c>
    </row>
    <row r="2299" hidden="1" ht="15.95" customHeight="1">
      <c r="A2299" s="465" t="s">
        <v>5175</v>
      </c>
      <c r="B2299" s="465" t="s">
        <v>1412</v>
      </c>
      <c r="C2299" s="465"/>
      <c r="D2299" s="465" t="s">
        <v>855</v>
      </c>
      <c r="E2299" s="465" t="s">
        <v>5173</v>
      </c>
      <c r="F2299" s="465" t="s">
        <v>5174</v>
      </c>
      <c r="G2299" s="465" t="s">
        <v>5091</v>
      </c>
      <c r="H2299" s="465" t="s">
        <v>5092</v>
      </c>
      <c r="I2299" s="465" t="s">
        <v>830</v>
      </c>
    </row>
    <row r="2300" hidden="1" ht="15.95" customHeight="1">
      <c r="A2300" s="465" t="s">
        <v>5176</v>
      </c>
      <c r="B2300" s="465" t="s">
        <v>1164</v>
      </c>
      <c r="C2300" s="465"/>
      <c r="D2300" s="465" t="s">
        <v>855</v>
      </c>
      <c r="E2300" s="465" t="s">
        <v>5173</v>
      </c>
      <c r="F2300" s="465" t="s">
        <v>5174</v>
      </c>
      <c r="G2300" s="465" t="s">
        <v>5091</v>
      </c>
      <c r="H2300" s="465" t="s">
        <v>5092</v>
      </c>
      <c r="I2300" s="465" t="s">
        <v>830</v>
      </c>
    </row>
    <row r="2301" hidden="1" ht="15.95" customHeight="1">
      <c r="A2301" s="465" t="s">
        <v>5177</v>
      </c>
      <c r="B2301" s="465" t="s">
        <v>5178</v>
      </c>
      <c r="C2301" s="465"/>
      <c r="D2301" s="465" t="s">
        <v>855</v>
      </c>
      <c r="E2301" s="465" t="s">
        <v>5173</v>
      </c>
      <c r="F2301" s="465" t="s">
        <v>5174</v>
      </c>
      <c r="G2301" s="465" t="s">
        <v>5091</v>
      </c>
      <c r="H2301" s="465" t="s">
        <v>5092</v>
      </c>
      <c r="I2301" s="465" t="s">
        <v>830</v>
      </c>
    </row>
    <row r="2302" hidden="1" ht="15.95" customHeight="1">
      <c r="A2302" s="465" t="s">
        <v>5179</v>
      </c>
      <c r="B2302" s="465" t="s">
        <v>1722</v>
      </c>
      <c r="C2302" s="465"/>
      <c r="D2302" s="465" t="s">
        <v>855</v>
      </c>
      <c r="E2302" s="465" t="s">
        <v>5173</v>
      </c>
      <c r="F2302" s="465" t="s">
        <v>5174</v>
      </c>
      <c r="G2302" s="465" t="s">
        <v>5091</v>
      </c>
      <c r="H2302" s="465" t="s">
        <v>5092</v>
      </c>
      <c r="I2302" s="465" t="s">
        <v>830</v>
      </c>
    </row>
    <row r="2303" hidden="1" ht="15.95" customHeight="1">
      <c r="A2303" s="465" t="s">
        <v>5180</v>
      </c>
      <c r="B2303" s="465" t="s">
        <v>5181</v>
      </c>
      <c r="C2303" s="465"/>
      <c r="D2303" s="465" t="s">
        <v>855</v>
      </c>
      <c r="E2303" s="465" t="s">
        <v>5173</v>
      </c>
      <c r="F2303" s="465" t="s">
        <v>5174</v>
      </c>
      <c r="G2303" s="465" t="s">
        <v>5091</v>
      </c>
      <c r="H2303" s="465" t="s">
        <v>5092</v>
      </c>
      <c r="I2303" s="465" t="s">
        <v>830</v>
      </c>
    </row>
    <row r="2304" hidden="1" ht="15.95" customHeight="1">
      <c r="A2304" s="465" t="s">
        <v>5182</v>
      </c>
      <c r="B2304" s="465" t="s">
        <v>1853</v>
      </c>
      <c r="C2304" s="465"/>
      <c r="D2304" s="465" t="s">
        <v>855</v>
      </c>
      <c r="E2304" s="465" t="s">
        <v>5173</v>
      </c>
      <c r="F2304" s="465" t="s">
        <v>5174</v>
      </c>
      <c r="G2304" s="465" t="s">
        <v>5091</v>
      </c>
      <c r="H2304" s="465" t="s">
        <v>5092</v>
      </c>
      <c r="I2304" s="465" t="s">
        <v>830</v>
      </c>
    </row>
    <row r="2305" hidden="1" ht="15.95" customHeight="1">
      <c r="A2305" s="465" t="s">
        <v>5183</v>
      </c>
      <c r="B2305" s="465" t="s">
        <v>5184</v>
      </c>
      <c r="C2305" s="465"/>
      <c r="D2305" s="465" t="s">
        <v>855</v>
      </c>
      <c r="E2305" s="465" t="s">
        <v>5173</v>
      </c>
      <c r="F2305" s="465" t="s">
        <v>5174</v>
      </c>
      <c r="G2305" s="465" t="s">
        <v>5091</v>
      </c>
      <c r="H2305" s="465" t="s">
        <v>5092</v>
      </c>
      <c r="I2305" s="465" t="s">
        <v>830</v>
      </c>
    </row>
    <row r="2306" hidden="1" ht="15.95" customHeight="1">
      <c r="A2306" s="465" t="s">
        <v>5185</v>
      </c>
      <c r="B2306" s="465" t="s">
        <v>2316</v>
      </c>
      <c r="C2306" s="465"/>
      <c r="D2306" s="465" t="s">
        <v>855</v>
      </c>
      <c r="E2306" s="465" t="s">
        <v>5173</v>
      </c>
      <c r="F2306" s="465" t="s">
        <v>5174</v>
      </c>
      <c r="G2306" s="465" t="s">
        <v>5091</v>
      </c>
      <c r="H2306" s="465" t="s">
        <v>5092</v>
      </c>
      <c r="I2306" s="465" t="s">
        <v>830</v>
      </c>
    </row>
    <row r="2307" hidden="1" ht="15.95" customHeight="1">
      <c r="A2307" s="465" t="s">
        <v>5186</v>
      </c>
      <c r="B2307" s="465" t="s">
        <v>5187</v>
      </c>
      <c r="C2307" s="465"/>
      <c r="D2307" s="465" t="s">
        <v>855</v>
      </c>
      <c r="E2307" s="465" t="s">
        <v>5173</v>
      </c>
      <c r="F2307" s="465" t="s">
        <v>5174</v>
      </c>
      <c r="G2307" s="465" t="s">
        <v>5091</v>
      </c>
      <c r="H2307" s="465" t="s">
        <v>5092</v>
      </c>
      <c r="I2307" s="465" t="s">
        <v>830</v>
      </c>
    </row>
    <row r="2308" hidden="1" ht="15.95" customHeight="1">
      <c r="A2308" s="465" t="s">
        <v>5188</v>
      </c>
      <c r="B2308" s="465" t="s">
        <v>3232</v>
      </c>
      <c r="C2308" s="465"/>
      <c r="D2308" s="465" t="s">
        <v>855</v>
      </c>
      <c r="E2308" s="465" t="s">
        <v>5173</v>
      </c>
      <c r="F2308" s="465" t="s">
        <v>5174</v>
      </c>
      <c r="G2308" s="465" t="s">
        <v>5091</v>
      </c>
      <c r="H2308" s="465" t="s">
        <v>5092</v>
      </c>
      <c r="I2308" s="465" t="s">
        <v>830</v>
      </c>
    </row>
    <row r="2309" hidden="1" ht="15.95" customHeight="1">
      <c r="A2309" s="465" t="s">
        <v>5189</v>
      </c>
      <c r="B2309" s="465" t="s">
        <v>5190</v>
      </c>
      <c r="C2309" s="465"/>
      <c r="D2309" s="465" t="s">
        <v>884</v>
      </c>
      <c r="E2309" s="465" t="s">
        <v>5191</v>
      </c>
      <c r="F2309" s="465" t="s">
        <v>1883</v>
      </c>
      <c r="G2309" s="465" t="s">
        <v>5091</v>
      </c>
      <c r="H2309" s="465" t="s">
        <v>5092</v>
      </c>
      <c r="I2309" s="465" t="s">
        <v>830</v>
      </c>
    </row>
    <row r="2310" hidden="1" ht="15.95" customHeight="1">
      <c r="A2310" s="465" t="s">
        <v>5192</v>
      </c>
      <c r="B2310" s="465" t="s">
        <v>5193</v>
      </c>
      <c r="C2310" s="465"/>
      <c r="D2310" s="465" t="s">
        <v>855</v>
      </c>
      <c r="E2310" s="465" t="s">
        <v>5191</v>
      </c>
      <c r="F2310" s="465" t="s">
        <v>1883</v>
      </c>
      <c r="G2310" s="465" t="s">
        <v>5091</v>
      </c>
      <c r="H2310" s="465" t="s">
        <v>5092</v>
      </c>
      <c r="I2310" s="465" t="s">
        <v>830</v>
      </c>
    </row>
    <row r="2311" hidden="1" ht="15.95" customHeight="1">
      <c r="A2311" s="465" t="s">
        <v>5194</v>
      </c>
      <c r="B2311" s="465" t="s">
        <v>5195</v>
      </c>
      <c r="C2311" s="465"/>
      <c r="D2311" s="465" t="s">
        <v>855</v>
      </c>
      <c r="E2311" s="465" t="s">
        <v>5191</v>
      </c>
      <c r="F2311" s="465" t="s">
        <v>1883</v>
      </c>
      <c r="G2311" s="465" t="s">
        <v>5091</v>
      </c>
      <c r="H2311" s="465" t="s">
        <v>5092</v>
      </c>
      <c r="I2311" s="465" t="s">
        <v>830</v>
      </c>
    </row>
    <row r="2312" hidden="1" ht="15.95" customHeight="1">
      <c r="A2312" s="465" t="s">
        <v>5196</v>
      </c>
      <c r="B2312" s="465" t="s">
        <v>5197</v>
      </c>
      <c r="C2312" s="465" t="s">
        <v>5198</v>
      </c>
      <c r="D2312" s="465" t="s">
        <v>855</v>
      </c>
      <c r="E2312" s="465" t="s">
        <v>5191</v>
      </c>
      <c r="F2312" s="465" t="s">
        <v>1883</v>
      </c>
      <c r="G2312" s="465" t="s">
        <v>5091</v>
      </c>
      <c r="H2312" s="465" t="s">
        <v>5092</v>
      </c>
      <c r="I2312" s="465" t="s">
        <v>830</v>
      </c>
    </row>
    <row r="2313" hidden="1" ht="15.95" customHeight="1">
      <c r="A2313" s="465" t="s">
        <v>5199</v>
      </c>
      <c r="B2313" s="465" t="s">
        <v>5200</v>
      </c>
      <c r="C2313" s="465"/>
      <c r="D2313" s="465" t="s">
        <v>855</v>
      </c>
      <c r="E2313" s="465" t="s">
        <v>5191</v>
      </c>
      <c r="F2313" s="465" t="s">
        <v>1883</v>
      </c>
      <c r="G2313" s="465" t="s">
        <v>5091</v>
      </c>
      <c r="H2313" s="465" t="s">
        <v>5092</v>
      </c>
      <c r="I2313" s="465" t="s">
        <v>830</v>
      </c>
    </row>
    <row r="2314" hidden="1" ht="15.95" customHeight="1">
      <c r="A2314" s="465" t="s">
        <v>5201</v>
      </c>
      <c r="B2314" s="465" t="s">
        <v>5202</v>
      </c>
      <c r="C2314" s="465"/>
      <c r="D2314" s="465" t="s">
        <v>855</v>
      </c>
      <c r="E2314" s="465" t="s">
        <v>5191</v>
      </c>
      <c r="F2314" s="465" t="s">
        <v>1883</v>
      </c>
      <c r="G2314" s="465" t="s">
        <v>5091</v>
      </c>
      <c r="H2314" s="465" t="s">
        <v>5092</v>
      </c>
      <c r="I2314" s="465" t="s">
        <v>830</v>
      </c>
    </row>
    <row r="2315" hidden="1" ht="15.95" customHeight="1">
      <c r="A2315" s="465" t="s">
        <v>5203</v>
      </c>
      <c r="B2315" s="465" t="s">
        <v>5204</v>
      </c>
      <c r="C2315" s="465" t="s">
        <v>5205</v>
      </c>
      <c r="D2315" s="465" t="s">
        <v>855</v>
      </c>
      <c r="E2315" s="465" t="s">
        <v>5191</v>
      </c>
      <c r="F2315" s="465" t="s">
        <v>1883</v>
      </c>
      <c r="G2315" s="465" t="s">
        <v>5091</v>
      </c>
      <c r="H2315" s="465" t="s">
        <v>5092</v>
      </c>
      <c r="I2315" s="465" t="s">
        <v>830</v>
      </c>
    </row>
    <row r="2316" hidden="1" ht="15.95" customHeight="1">
      <c r="A2316" s="465" t="s">
        <v>5206</v>
      </c>
      <c r="B2316" s="465" t="s">
        <v>2040</v>
      </c>
      <c r="C2316" s="465"/>
      <c r="D2316" s="465" t="s">
        <v>855</v>
      </c>
      <c r="E2316" s="465" t="s">
        <v>5191</v>
      </c>
      <c r="F2316" s="465" t="s">
        <v>1883</v>
      </c>
      <c r="G2316" s="465" t="s">
        <v>5091</v>
      </c>
      <c r="H2316" s="465" t="s">
        <v>5092</v>
      </c>
      <c r="I2316" s="465" t="s">
        <v>830</v>
      </c>
    </row>
    <row r="2317" hidden="1" ht="15.95" customHeight="1">
      <c r="A2317" s="465" t="s">
        <v>5207</v>
      </c>
      <c r="B2317" s="465" t="s">
        <v>1072</v>
      </c>
      <c r="C2317" s="465"/>
      <c r="D2317" s="465" t="s">
        <v>855</v>
      </c>
      <c r="E2317" s="465" t="s">
        <v>5191</v>
      </c>
      <c r="F2317" s="465" t="s">
        <v>1883</v>
      </c>
      <c r="G2317" s="465" t="s">
        <v>5091</v>
      </c>
      <c r="H2317" s="465" t="s">
        <v>5092</v>
      </c>
      <c r="I2317" s="465" t="s">
        <v>830</v>
      </c>
    </row>
    <row r="2318" hidden="1" ht="15.95" customHeight="1">
      <c r="A2318" s="465" t="s">
        <v>5208</v>
      </c>
      <c r="B2318" s="465" t="s">
        <v>3714</v>
      </c>
      <c r="C2318" s="465"/>
      <c r="D2318" s="465" t="s">
        <v>855</v>
      </c>
      <c r="E2318" s="465" t="s">
        <v>5191</v>
      </c>
      <c r="F2318" s="465" t="s">
        <v>1883</v>
      </c>
      <c r="G2318" s="465" t="s">
        <v>5091</v>
      </c>
      <c r="H2318" s="465" t="s">
        <v>5092</v>
      </c>
      <c r="I2318" s="465" t="s">
        <v>830</v>
      </c>
    </row>
    <row r="2319" hidden="1" ht="15.95" customHeight="1">
      <c r="A2319" s="465" t="s">
        <v>5209</v>
      </c>
      <c r="B2319" s="465" t="s">
        <v>5210</v>
      </c>
      <c r="C2319" s="465"/>
      <c r="D2319" s="465" t="s">
        <v>884</v>
      </c>
      <c r="E2319" s="465" t="s">
        <v>5211</v>
      </c>
      <c r="F2319" s="465" t="s">
        <v>5212</v>
      </c>
      <c r="G2319" s="465" t="s">
        <v>5091</v>
      </c>
      <c r="H2319" s="465" t="s">
        <v>5092</v>
      </c>
      <c r="I2319" s="465" t="s">
        <v>830</v>
      </c>
    </row>
    <row r="2320" hidden="1" ht="15.95" customHeight="1">
      <c r="A2320" s="465" t="s">
        <v>5213</v>
      </c>
      <c r="B2320" s="465" t="s">
        <v>3240</v>
      </c>
      <c r="C2320" s="465"/>
      <c r="D2320" s="465" t="s">
        <v>855</v>
      </c>
      <c r="E2320" s="465" t="s">
        <v>5211</v>
      </c>
      <c r="F2320" s="465" t="s">
        <v>5212</v>
      </c>
      <c r="G2320" s="465" t="s">
        <v>5091</v>
      </c>
      <c r="H2320" s="465" t="s">
        <v>5092</v>
      </c>
      <c r="I2320" s="465" t="s">
        <v>830</v>
      </c>
    </row>
    <row r="2321" hidden="1" ht="15.95" customHeight="1">
      <c r="A2321" s="465" t="s">
        <v>5214</v>
      </c>
      <c r="B2321" s="465" t="s">
        <v>3333</v>
      </c>
      <c r="C2321" s="465"/>
      <c r="D2321" s="465" t="s">
        <v>855</v>
      </c>
      <c r="E2321" s="465" t="s">
        <v>5211</v>
      </c>
      <c r="F2321" s="465" t="s">
        <v>5212</v>
      </c>
      <c r="G2321" s="465" t="s">
        <v>5091</v>
      </c>
      <c r="H2321" s="465" t="s">
        <v>5092</v>
      </c>
      <c r="I2321" s="465" t="s">
        <v>830</v>
      </c>
    </row>
    <row r="2322" hidden="1" ht="15.95" customHeight="1">
      <c r="A2322" s="465" t="s">
        <v>5215</v>
      </c>
      <c r="B2322" s="465" t="s">
        <v>3714</v>
      </c>
      <c r="C2322" s="465"/>
      <c r="D2322" s="465" t="s">
        <v>855</v>
      </c>
      <c r="E2322" s="465" t="s">
        <v>5211</v>
      </c>
      <c r="F2322" s="465" t="s">
        <v>5212</v>
      </c>
      <c r="G2322" s="465" t="s">
        <v>5091</v>
      </c>
      <c r="H2322" s="465" t="s">
        <v>5092</v>
      </c>
      <c r="I2322" s="465" t="s">
        <v>830</v>
      </c>
    </row>
    <row r="2323" hidden="1" ht="15.95" customHeight="1">
      <c r="A2323" s="465" t="s">
        <v>5216</v>
      </c>
      <c r="B2323" s="465" t="s">
        <v>3417</v>
      </c>
      <c r="C2323" s="465"/>
      <c r="D2323" s="465" t="s">
        <v>855</v>
      </c>
      <c r="E2323" s="465" t="s">
        <v>5211</v>
      </c>
      <c r="F2323" s="465" t="s">
        <v>5212</v>
      </c>
      <c r="G2323" s="465" t="s">
        <v>5091</v>
      </c>
      <c r="H2323" s="465" t="s">
        <v>5092</v>
      </c>
      <c r="I2323" s="465" t="s">
        <v>830</v>
      </c>
    </row>
    <row r="2324" hidden="1" ht="15.95" customHeight="1">
      <c r="A2324" s="465" t="s">
        <v>5217</v>
      </c>
      <c r="B2324" s="465" t="s">
        <v>1827</v>
      </c>
      <c r="C2324" s="465"/>
      <c r="D2324" s="465" t="s">
        <v>855</v>
      </c>
      <c r="E2324" s="465" t="s">
        <v>5211</v>
      </c>
      <c r="F2324" s="465" t="s">
        <v>5212</v>
      </c>
      <c r="G2324" s="465" t="s">
        <v>5091</v>
      </c>
      <c r="H2324" s="465" t="s">
        <v>5092</v>
      </c>
      <c r="I2324" s="465" t="s">
        <v>830</v>
      </c>
    </row>
    <row r="2325" hidden="1" ht="15.95" customHeight="1">
      <c r="A2325" s="465" t="s">
        <v>5218</v>
      </c>
      <c r="B2325" s="465" t="s">
        <v>5219</v>
      </c>
      <c r="C2325" s="465"/>
      <c r="D2325" s="465" t="s">
        <v>855</v>
      </c>
      <c r="E2325" s="465" t="s">
        <v>5211</v>
      </c>
      <c r="F2325" s="465" t="s">
        <v>5212</v>
      </c>
      <c r="G2325" s="465" t="s">
        <v>5091</v>
      </c>
      <c r="H2325" s="465" t="s">
        <v>5092</v>
      </c>
      <c r="I2325" s="465" t="s">
        <v>830</v>
      </c>
    </row>
    <row r="2326" hidden="1" ht="15.95" customHeight="1">
      <c r="A2326" s="465" t="s">
        <v>5220</v>
      </c>
      <c r="B2326" s="465" t="s">
        <v>5221</v>
      </c>
      <c r="C2326" s="465"/>
      <c r="D2326" s="465" t="s">
        <v>855</v>
      </c>
      <c r="E2326" s="465" t="s">
        <v>5211</v>
      </c>
      <c r="F2326" s="465" t="s">
        <v>5212</v>
      </c>
      <c r="G2326" s="465" t="s">
        <v>5091</v>
      </c>
      <c r="H2326" s="465" t="s">
        <v>5092</v>
      </c>
      <c r="I2326" s="465" t="s">
        <v>830</v>
      </c>
    </row>
    <row r="2327" hidden="1" ht="15.95" customHeight="1">
      <c r="A2327" s="465" t="s">
        <v>5222</v>
      </c>
      <c r="B2327" s="465" t="s">
        <v>5223</v>
      </c>
      <c r="C2327" s="465"/>
      <c r="D2327" s="465" t="s">
        <v>855</v>
      </c>
      <c r="E2327" s="465" t="s">
        <v>5211</v>
      </c>
      <c r="F2327" s="465" t="s">
        <v>5212</v>
      </c>
      <c r="G2327" s="465" t="s">
        <v>5091</v>
      </c>
      <c r="H2327" s="465" t="s">
        <v>5092</v>
      </c>
      <c r="I2327" s="465" t="s">
        <v>830</v>
      </c>
    </row>
    <row r="2328" hidden="1" ht="15.95" customHeight="1">
      <c r="A2328" s="465" t="s">
        <v>5224</v>
      </c>
      <c r="B2328" s="465" t="s">
        <v>5225</v>
      </c>
      <c r="C2328" s="465"/>
      <c r="D2328" s="465" t="s">
        <v>855</v>
      </c>
      <c r="E2328" s="465" t="s">
        <v>5211</v>
      </c>
      <c r="F2328" s="465" t="s">
        <v>5212</v>
      </c>
      <c r="G2328" s="465" t="s">
        <v>5091</v>
      </c>
      <c r="H2328" s="465" t="s">
        <v>5092</v>
      </c>
      <c r="I2328" s="465" t="s">
        <v>830</v>
      </c>
    </row>
    <row r="2329" hidden="1" ht="15.95" customHeight="1">
      <c r="A2329" s="465" t="s">
        <v>5226</v>
      </c>
      <c r="B2329" s="465" t="s">
        <v>5227</v>
      </c>
      <c r="C2329" s="465"/>
      <c r="D2329" s="465" t="s">
        <v>855</v>
      </c>
      <c r="E2329" s="465" t="s">
        <v>5211</v>
      </c>
      <c r="F2329" s="465" t="s">
        <v>5212</v>
      </c>
      <c r="G2329" s="465" t="s">
        <v>5091</v>
      </c>
      <c r="H2329" s="465" t="s">
        <v>5092</v>
      </c>
      <c r="I2329" s="465" t="s">
        <v>830</v>
      </c>
    </row>
    <row r="2330" hidden="1" ht="15.95" customHeight="1">
      <c r="A2330" s="465" t="s">
        <v>5228</v>
      </c>
      <c r="B2330" s="465" t="s">
        <v>2625</v>
      </c>
      <c r="C2330" s="465"/>
      <c r="D2330" s="465" t="s">
        <v>855</v>
      </c>
      <c r="E2330" s="465" t="s">
        <v>5211</v>
      </c>
      <c r="F2330" s="465" t="s">
        <v>5212</v>
      </c>
      <c r="G2330" s="465" t="s">
        <v>5091</v>
      </c>
      <c r="H2330" s="465" t="s">
        <v>5092</v>
      </c>
      <c r="I2330" s="465" t="s">
        <v>830</v>
      </c>
    </row>
    <row r="2331" hidden="1" ht="15.95" customHeight="1">
      <c r="A2331" s="465" t="s">
        <v>5229</v>
      </c>
      <c r="B2331" s="465" t="s">
        <v>4125</v>
      </c>
      <c r="C2331" s="465"/>
      <c r="D2331" s="465" t="s">
        <v>855</v>
      </c>
      <c r="E2331" s="465" t="s">
        <v>5211</v>
      </c>
      <c r="F2331" s="465" t="s">
        <v>5212</v>
      </c>
      <c r="G2331" s="465" t="s">
        <v>5091</v>
      </c>
      <c r="H2331" s="465" t="s">
        <v>5092</v>
      </c>
      <c r="I2331" s="465" t="s">
        <v>830</v>
      </c>
    </row>
    <row r="2332" hidden="1" ht="15.95" customHeight="1">
      <c r="A2332" s="465" t="s">
        <v>5230</v>
      </c>
      <c r="B2332" s="465" t="s">
        <v>4572</v>
      </c>
      <c r="C2332" s="465"/>
      <c r="D2332" s="465" t="s">
        <v>855</v>
      </c>
      <c r="E2332" s="465" t="s">
        <v>5211</v>
      </c>
      <c r="F2332" s="465" t="s">
        <v>5212</v>
      </c>
      <c r="G2332" s="465" t="s">
        <v>5091</v>
      </c>
      <c r="H2332" s="465" t="s">
        <v>5092</v>
      </c>
      <c r="I2332" s="465" t="s">
        <v>830</v>
      </c>
    </row>
    <row r="2333" hidden="1" ht="15.95" customHeight="1">
      <c r="A2333" s="465" t="s">
        <v>5231</v>
      </c>
      <c r="B2333" s="465" t="s">
        <v>3441</v>
      </c>
      <c r="C2333" s="465"/>
      <c r="D2333" s="465" t="s">
        <v>855</v>
      </c>
      <c r="E2333" s="465" t="s">
        <v>5211</v>
      </c>
      <c r="F2333" s="465" t="s">
        <v>5212</v>
      </c>
      <c r="G2333" s="465" t="s">
        <v>5091</v>
      </c>
      <c r="H2333" s="465" t="s">
        <v>5092</v>
      </c>
      <c r="I2333" s="465" t="s">
        <v>830</v>
      </c>
    </row>
    <row r="2334" hidden="1" ht="15.95" customHeight="1">
      <c r="A2334" s="465" t="s">
        <v>5232</v>
      </c>
      <c r="B2334" s="465" t="s">
        <v>3255</v>
      </c>
      <c r="C2334" s="465"/>
      <c r="D2334" s="465" t="s">
        <v>855</v>
      </c>
      <c r="E2334" s="465" t="s">
        <v>5211</v>
      </c>
      <c r="F2334" s="465" t="s">
        <v>5212</v>
      </c>
      <c r="G2334" s="465" t="s">
        <v>5091</v>
      </c>
      <c r="H2334" s="465" t="s">
        <v>5092</v>
      </c>
      <c r="I2334" s="465" t="s">
        <v>830</v>
      </c>
    </row>
    <row r="2335" hidden="1" ht="15.95" customHeight="1">
      <c r="A2335" s="465" t="s">
        <v>5233</v>
      </c>
      <c r="B2335" s="465" t="s">
        <v>5067</v>
      </c>
      <c r="C2335" s="465" t="s">
        <v>5234</v>
      </c>
      <c r="D2335" s="465" t="s">
        <v>855</v>
      </c>
      <c r="E2335" s="465" t="s">
        <v>5211</v>
      </c>
      <c r="F2335" s="465" t="s">
        <v>5212</v>
      </c>
      <c r="G2335" s="465" t="s">
        <v>5091</v>
      </c>
      <c r="H2335" s="465" t="s">
        <v>5092</v>
      </c>
      <c r="I2335" s="465" t="s">
        <v>830</v>
      </c>
    </row>
    <row r="2336" hidden="1" ht="15.95" customHeight="1">
      <c r="A2336" s="465" t="s">
        <v>5235</v>
      </c>
      <c r="B2336" s="465" t="s">
        <v>4265</v>
      </c>
      <c r="C2336" s="465"/>
      <c r="D2336" s="465" t="s">
        <v>855</v>
      </c>
      <c r="E2336" s="465" t="s">
        <v>5211</v>
      </c>
      <c r="F2336" s="465" t="s">
        <v>5212</v>
      </c>
      <c r="G2336" s="465" t="s">
        <v>5091</v>
      </c>
      <c r="H2336" s="465" t="s">
        <v>5092</v>
      </c>
      <c r="I2336" s="465" t="s">
        <v>830</v>
      </c>
    </row>
    <row r="2337" hidden="1" ht="15.95" customHeight="1">
      <c r="A2337" s="465" t="s">
        <v>5236</v>
      </c>
      <c r="B2337" s="465" t="s">
        <v>5237</v>
      </c>
      <c r="C2337" s="465" t="s">
        <v>5238</v>
      </c>
      <c r="D2337" s="465" t="s">
        <v>855</v>
      </c>
      <c r="E2337" s="465" t="s">
        <v>5211</v>
      </c>
      <c r="F2337" s="465" t="s">
        <v>5212</v>
      </c>
      <c r="G2337" s="465" t="s">
        <v>5091</v>
      </c>
      <c r="H2337" s="465" t="s">
        <v>5092</v>
      </c>
      <c r="I2337" s="465" t="s">
        <v>830</v>
      </c>
    </row>
    <row r="2338" hidden="1" ht="15.95" customHeight="1">
      <c r="A2338" s="465" t="s">
        <v>5239</v>
      </c>
      <c r="B2338" s="465" t="s">
        <v>5240</v>
      </c>
      <c r="C2338" s="465"/>
      <c r="D2338" s="465" t="s">
        <v>884</v>
      </c>
      <c r="E2338" s="465" t="s">
        <v>5241</v>
      </c>
      <c r="F2338" s="465" t="s">
        <v>5242</v>
      </c>
      <c r="G2338" s="465" t="s">
        <v>5091</v>
      </c>
      <c r="H2338" s="465" t="s">
        <v>5092</v>
      </c>
      <c r="I2338" s="465" t="s">
        <v>830</v>
      </c>
    </row>
    <row r="2339" hidden="1" ht="15.95" customHeight="1">
      <c r="A2339" s="465" t="s">
        <v>5243</v>
      </c>
      <c r="B2339" s="465" t="s">
        <v>5244</v>
      </c>
      <c r="C2339" s="465"/>
      <c r="D2339" s="465" t="s">
        <v>855</v>
      </c>
      <c r="E2339" s="465" t="s">
        <v>5241</v>
      </c>
      <c r="F2339" s="465" t="s">
        <v>5242</v>
      </c>
      <c r="G2339" s="465" t="s">
        <v>5091</v>
      </c>
      <c r="H2339" s="465" t="s">
        <v>5092</v>
      </c>
      <c r="I2339" s="465" t="s">
        <v>830</v>
      </c>
    </row>
    <row r="2340" hidden="1" ht="15.95" customHeight="1">
      <c r="A2340" s="465" t="s">
        <v>5245</v>
      </c>
      <c r="B2340" s="465" t="s">
        <v>4781</v>
      </c>
      <c r="C2340" s="465"/>
      <c r="D2340" s="465" t="s">
        <v>855</v>
      </c>
      <c r="E2340" s="465" t="s">
        <v>5241</v>
      </c>
      <c r="F2340" s="465" t="s">
        <v>5242</v>
      </c>
      <c r="G2340" s="465" t="s">
        <v>5091</v>
      </c>
      <c r="H2340" s="465" t="s">
        <v>5092</v>
      </c>
      <c r="I2340" s="465" t="s">
        <v>830</v>
      </c>
    </row>
    <row r="2341" hidden="1" ht="15.95" customHeight="1">
      <c r="A2341" s="465" t="s">
        <v>5246</v>
      </c>
      <c r="B2341" s="465" t="s">
        <v>5247</v>
      </c>
      <c r="C2341" s="465"/>
      <c r="D2341" s="465" t="s">
        <v>855</v>
      </c>
      <c r="E2341" s="465" t="s">
        <v>5241</v>
      </c>
      <c r="F2341" s="465" t="s">
        <v>5242</v>
      </c>
      <c r="G2341" s="465" t="s">
        <v>5091</v>
      </c>
      <c r="H2341" s="465" t="s">
        <v>5092</v>
      </c>
      <c r="I2341" s="465" t="s">
        <v>830</v>
      </c>
    </row>
    <row r="2342" hidden="1" ht="15.95" customHeight="1">
      <c r="A2342" s="465" t="s">
        <v>5248</v>
      </c>
      <c r="B2342" s="465" t="s">
        <v>2046</v>
      </c>
      <c r="C2342" s="465"/>
      <c r="D2342" s="465" t="s">
        <v>855</v>
      </c>
      <c r="E2342" s="465" t="s">
        <v>5241</v>
      </c>
      <c r="F2342" s="465" t="s">
        <v>5242</v>
      </c>
      <c r="G2342" s="465" t="s">
        <v>5091</v>
      </c>
      <c r="H2342" s="465" t="s">
        <v>5092</v>
      </c>
      <c r="I2342" s="465" t="s">
        <v>830</v>
      </c>
    </row>
    <row r="2343" hidden="1" ht="15.95" customHeight="1">
      <c r="A2343" s="465" t="s">
        <v>5249</v>
      </c>
      <c r="B2343" s="465" t="s">
        <v>5250</v>
      </c>
      <c r="C2343" s="465"/>
      <c r="D2343" s="465" t="s">
        <v>855</v>
      </c>
      <c r="E2343" s="465" t="s">
        <v>5241</v>
      </c>
      <c r="F2343" s="465" t="s">
        <v>5242</v>
      </c>
      <c r="G2343" s="465" t="s">
        <v>5091</v>
      </c>
      <c r="H2343" s="465" t="s">
        <v>5092</v>
      </c>
      <c r="I2343" s="465" t="s">
        <v>830</v>
      </c>
    </row>
    <row r="2344" hidden="1" ht="15.95" customHeight="1">
      <c r="A2344" s="465" t="s">
        <v>5251</v>
      </c>
      <c r="B2344" s="465" t="s">
        <v>5252</v>
      </c>
      <c r="C2344" s="465"/>
      <c r="D2344" s="465" t="s">
        <v>855</v>
      </c>
      <c r="E2344" s="465" t="s">
        <v>5241</v>
      </c>
      <c r="F2344" s="465" t="s">
        <v>5242</v>
      </c>
      <c r="G2344" s="465" t="s">
        <v>5091</v>
      </c>
      <c r="H2344" s="465" t="s">
        <v>5092</v>
      </c>
      <c r="I2344" s="465" t="s">
        <v>830</v>
      </c>
    </row>
    <row r="2345" hidden="1" ht="15.95" customHeight="1">
      <c r="A2345" s="465" t="s">
        <v>5253</v>
      </c>
      <c r="B2345" s="465" t="s">
        <v>5254</v>
      </c>
      <c r="C2345" s="465"/>
      <c r="D2345" s="465" t="s">
        <v>855</v>
      </c>
      <c r="E2345" s="465" t="s">
        <v>5241</v>
      </c>
      <c r="F2345" s="465" t="s">
        <v>5242</v>
      </c>
      <c r="G2345" s="465" t="s">
        <v>5091</v>
      </c>
      <c r="H2345" s="465" t="s">
        <v>5092</v>
      </c>
      <c r="I2345" s="465" t="s">
        <v>830</v>
      </c>
    </row>
    <row r="2346" hidden="1" ht="15.95" customHeight="1">
      <c r="A2346" s="465" t="s">
        <v>5255</v>
      </c>
      <c r="B2346" s="465" t="s">
        <v>5256</v>
      </c>
      <c r="C2346" s="465"/>
      <c r="D2346" s="465" t="s">
        <v>855</v>
      </c>
      <c r="E2346" s="465" t="s">
        <v>5241</v>
      </c>
      <c r="F2346" s="465" t="s">
        <v>5242</v>
      </c>
      <c r="G2346" s="465" t="s">
        <v>5091</v>
      </c>
      <c r="H2346" s="465" t="s">
        <v>5092</v>
      </c>
      <c r="I2346" s="465" t="s">
        <v>830</v>
      </c>
    </row>
    <row r="2347" hidden="1" ht="15.95" customHeight="1">
      <c r="A2347" s="465" t="s">
        <v>5257</v>
      </c>
      <c r="B2347" s="465" t="s">
        <v>5258</v>
      </c>
      <c r="C2347" s="465"/>
      <c r="D2347" s="465" t="s">
        <v>855</v>
      </c>
      <c r="E2347" s="465" t="s">
        <v>5241</v>
      </c>
      <c r="F2347" s="465" t="s">
        <v>5242</v>
      </c>
      <c r="G2347" s="465" t="s">
        <v>5091</v>
      </c>
      <c r="H2347" s="465" t="s">
        <v>5092</v>
      </c>
      <c r="I2347" s="465" t="s">
        <v>830</v>
      </c>
    </row>
    <row r="2348" hidden="1" ht="15.95" customHeight="1">
      <c r="A2348" s="465" t="s">
        <v>5259</v>
      </c>
      <c r="B2348" s="465" t="s">
        <v>5260</v>
      </c>
      <c r="C2348" s="465"/>
      <c r="D2348" s="465" t="s">
        <v>855</v>
      </c>
      <c r="E2348" s="465" t="s">
        <v>5241</v>
      </c>
      <c r="F2348" s="465" t="s">
        <v>5242</v>
      </c>
      <c r="G2348" s="465" t="s">
        <v>5091</v>
      </c>
      <c r="H2348" s="465" t="s">
        <v>5092</v>
      </c>
      <c r="I2348" s="465" t="s">
        <v>830</v>
      </c>
    </row>
    <row r="2349" hidden="1" ht="15.95" customHeight="1">
      <c r="A2349" s="465" t="s">
        <v>5261</v>
      </c>
      <c r="B2349" s="465" t="s">
        <v>5262</v>
      </c>
      <c r="C2349" s="465"/>
      <c r="D2349" s="465" t="s">
        <v>884</v>
      </c>
      <c r="E2349" s="465" t="s">
        <v>5263</v>
      </c>
      <c r="F2349" s="465" t="s">
        <v>5264</v>
      </c>
      <c r="G2349" s="465" t="s">
        <v>5091</v>
      </c>
      <c r="H2349" s="465" t="s">
        <v>5092</v>
      </c>
      <c r="I2349" s="465" t="s">
        <v>830</v>
      </c>
    </row>
    <row r="2350" hidden="1" ht="15.95" customHeight="1">
      <c r="A2350" s="465" t="s">
        <v>5265</v>
      </c>
      <c r="B2350" s="465" t="s">
        <v>5266</v>
      </c>
      <c r="C2350" s="465"/>
      <c r="D2350" s="465" t="s">
        <v>855</v>
      </c>
      <c r="E2350" s="465" t="s">
        <v>5263</v>
      </c>
      <c r="F2350" s="465" t="s">
        <v>5264</v>
      </c>
      <c r="G2350" s="465" t="s">
        <v>5091</v>
      </c>
      <c r="H2350" s="465" t="s">
        <v>5092</v>
      </c>
      <c r="I2350" s="465" t="s">
        <v>830</v>
      </c>
    </row>
    <row r="2351" hidden="1" ht="15.95" customHeight="1">
      <c r="A2351" s="465" t="s">
        <v>5267</v>
      </c>
      <c r="B2351" s="465" t="s">
        <v>5268</v>
      </c>
      <c r="C2351" s="465"/>
      <c r="D2351" s="465" t="s">
        <v>855</v>
      </c>
      <c r="E2351" s="465" t="s">
        <v>5263</v>
      </c>
      <c r="F2351" s="465" t="s">
        <v>5264</v>
      </c>
      <c r="G2351" s="465" t="s">
        <v>5091</v>
      </c>
      <c r="H2351" s="465" t="s">
        <v>5092</v>
      </c>
      <c r="I2351" s="465" t="s">
        <v>830</v>
      </c>
    </row>
    <row r="2352" hidden="1" ht="15.95" customHeight="1">
      <c r="A2352" s="465" t="s">
        <v>5269</v>
      </c>
      <c r="B2352" s="465" t="s">
        <v>5270</v>
      </c>
      <c r="C2352" s="465"/>
      <c r="D2352" s="465" t="s">
        <v>855</v>
      </c>
      <c r="E2352" s="465" t="s">
        <v>5263</v>
      </c>
      <c r="F2352" s="465" t="s">
        <v>5264</v>
      </c>
      <c r="G2352" s="465" t="s">
        <v>5091</v>
      </c>
      <c r="H2352" s="465" t="s">
        <v>5092</v>
      </c>
      <c r="I2352" s="465" t="s">
        <v>830</v>
      </c>
    </row>
    <row r="2353" hidden="1" ht="15.95" customHeight="1">
      <c r="A2353" s="465" t="s">
        <v>5271</v>
      </c>
      <c r="B2353" s="465" t="s">
        <v>5272</v>
      </c>
      <c r="C2353" s="465"/>
      <c r="D2353" s="465" t="s">
        <v>855</v>
      </c>
      <c r="E2353" s="465" t="s">
        <v>5263</v>
      </c>
      <c r="F2353" s="465" t="s">
        <v>5264</v>
      </c>
      <c r="G2353" s="465" t="s">
        <v>5091</v>
      </c>
      <c r="H2353" s="465" t="s">
        <v>5092</v>
      </c>
      <c r="I2353" s="465" t="s">
        <v>830</v>
      </c>
    </row>
    <row r="2354" hidden="1" ht="15.95" customHeight="1">
      <c r="A2354" s="465" t="s">
        <v>5273</v>
      </c>
      <c r="B2354" s="465" t="s">
        <v>5274</v>
      </c>
      <c r="C2354" s="465"/>
      <c r="D2354" s="465" t="s">
        <v>855</v>
      </c>
      <c r="E2354" s="465" t="s">
        <v>5263</v>
      </c>
      <c r="F2354" s="465" t="s">
        <v>5264</v>
      </c>
      <c r="G2354" s="465" t="s">
        <v>5091</v>
      </c>
      <c r="H2354" s="465" t="s">
        <v>5092</v>
      </c>
      <c r="I2354" s="465" t="s">
        <v>830</v>
      </c>
    </row>
    <row r="2355" hidden="1" ht="15.95" customHeight="1">
      <c r="A2355" s="465" t="s">
        <v>5275</v>
      </c>
      <c r="B2355" s="465" t="s">
        <v>5276</v>
      </c>
      <c r="C2355" s="465"/>
      <c r="D2355" s="465" t="s">
        <v>855</v>
      </c>
      <c r="E2355" s="465" t="s">
        <v>5263</v>
      </c>
      <c r="F2355" s="465" t="s">
        <v>5264</v>
      </c>
      <c r="G2355" s="465" t="s">
        <v>5091</v>
      </c>
      <c r="H2355" s="465" t="s">
        <v>5092</v>
      </c>
      <c r="I2355" s="465" t="s">
        <v>830</v>
      </c>
    </row>
    <row r="2356" hidden="1" ht="15.95" customHeight="1">
      <c r="A2356" s="465" t="s">
        <v>5277</v>
      </c>
      <c r="B2356" s="465" t="s">
        <v>5278</v>
      </c>
      <c r="C2356" s="465"/>
      <c r="D2356" s="465" t="s">
        <v>855</v>
      </c>
      <c r="E2356" s="465" t="s">
        <v>5263</v>
      </c>
      <c r="F2356" s="465" t="s">
        <v>5264</v>
      </c>
      <c r="G2356" s="465" t="s">
        <v>5091</v>
      </c>
      <c r="H2356" s="465" t="s">
        <v>5092</v>
      </c>
      <c r="I2356" s="465" t="s">
        <v>830</v>
      </c>
    </row>
    <row r="2357" hidden="1" ht="15.95" customHeight="1">
      <c r="A2357" s="465" t="s">
        <v>5279</v>
      </c>
      <c r="B2357" s="465" t="s">
        <v>5280</v>
      </c>
      <c r="C2357" s="465"/>
      <c r="D2357" s="465" t="s">
        <v>855</v>
      </c>
      <c r="E2357" s="465" t="s">
        <v>5263</v>
      </c>
      <c r="F2357" s="465" t="s">
        <v>5264</v>
      </c>
      <c r="G2357" s="465" t="s">
        <v>5091</v>
      </c>
      <c r="H2357" s="465" t="s">
        <v>5092</v>
      </c>
      <c r="I2357" s="465" t="s">
        <v>830</v>
      </c>
    </row>
    <row r="2358" hidden="1" ht="15.95" customHeight="1">
      <c r="A2358" s="465" t="s">
        <v>5281</v>
      </c>
      <c r="B2358" s="465" t="s">
        <v>5282</v>
      </c>
      <c r="C2358" s="465"/>
      <c r="D2358" s="465" t="s">
        <v>884</v>
      </c>
      <c r="E2358" s="465" t="s">
        <v>5283</v>
      </c>
      <c r="F2358" s="465" t="s">
        <v>5284</v>
      </c>
      <c r="G2358" s="465" t="s">
        <v>5091</v>
      </c>
      <c r="H2358" s="465" t="s">
        <v>5092</v>
      </c>
      <c r="I2358" s="465" t="s">
        <v>830</v>
      </c>
    </row>
    <row r="2359" hidden="1" ht="15.95" customHeight="1">
      <c r="A2359" s="465" t="s">
        <v>5285</v>
      </c>
      <c r="B2359" s="465" t="s">
        <v>1112</v>
      </c>
      <c r="C2359" s="465"/>
      <c r="D2359" s="465" t="s">
        <v>855</v>
      </c>
      <c r="E2359" s="465" t="s">
        <v>5283</v>
      </c>
      <c r="F2359" s="465" t="s">
        <v>5284</v>
      </c>
      <c r="G2359" s="465" t="s">
        <v>5091</v>
      </c>
      <c r="H2359" s="465" t="s">
        <v>5092</v>
      </c>
      <c r="I2359" s="465" t="s">
        <v>830</v>
      </c>
    </row>
    <row r="2360" hidden="1" ht="15.95" customHeight="1">
      <c r="A2360" s="465" t="s">
        <v>5286</v>
      </c>
      <c r="B2360" s="465" t="s">
        <v>2373</v>
      </c>
      <c r="C2360" s="465"/>
      <c r="D2360" s="465" t="s">
        <v>855</v>
      </c>
      <c r="E2360" s="465" t="s">
        <v>5283</v>
      </c>
      <c r="F2360" s="465" t="s">
        <v>5284</v>
      </c>
      <c r="G2360" s="465" t="s">
        <v>5091</v>
      </c>
      <c r="H2360" s="465" t="s">
        <v>5092</v>
      </c>
      <c r="I2360" s="465" t="s">
        <v>830</v>
      </c>
    </row>
    <row r="2361" hidden="1" ht="15.95" customHeight="1">
      <c r="A2361" s="465" t="s">
        <v>5287</v>
      </c>
      <c r="B2361" s="465" t="s">
        <v>3126</v>
      </c>
      <c r="C2361" s="465"/>
      <c r="D2361" s="465" t="s">
        <v>855</v>
      </c>
      <c r="E2361" s="465" t="s">
        <v>5283</v>
      </c>
      <c r="F2361" s="465" t="s">
        <v>5284</v>
      </c>
      <c r="G2361" s="465" t="s">
        <v>5091</v>
      </c>
      <c r="H2361" s="465" t="s">
        <v>5092</v>
      </c>
      <c r="I2361" s="465" t="s">
        <v>830</v>
      </c>
    </row>
    <row r="2362" hidden="1" ht="15.95" customHeight="1">
      <c r="A2362" s="465" t="s">
        <v>5288</v>
      </c>
      <c r="B2362" s="465" t="s">
        <v>3874</v>
      </c>
      <c r="C2362" s="465" t="s">
        <v>5289</v>
      </c>
      <c r="D2362" s="465" t="s">
        <v>855</v>
      </c>
      <c r="E2362" s="465" t="s">
        <v>5283</v>
      </c>
      <c r="F2362" s="465" t="s">
        <v>5284</v>
      </c>
      <c r="G2362" s="465" t="s">
        <v>5091</v>
      </c>
      <c r="H2362" s="465" t="s">
        <v>5092</v>
      </c>
      <c r="I2362" s="465" t="s">
        <v>830</v>
      </c>
    </row>
    <row r="2363" hidden="1" ht="15.95" customHeight="1">
      <c r="A2363" s="465" t="s">
        <v>5290</v>
      </c>
      <c r="B2363" s="465" t="s">
        <v>5291</v>
      </c>
      <c r="C2363" s="465"/>
      <c r="D2363" s="465" t="s">
        <v>855</v>
      </c>
      <c r="E2363" s="465" t="s">
        <v>5283</v>
      </c>
      <c r="F2363" s="465" t="s">
        <v>5284</v>
      </c>
      <c r="G2363" s="465" t="s">
        <v>5091</v>
      </c>
      <c r="H2363" s="465" t="s">
        <v>5092</v>
      </c>
      <c r="I2363" s="465" t="s">
        <v>830</v>
      </c>
    </row>
    <row r="2364" hidden="1" ht="15.95" customHeight="1">
      <c r="A2364" s="465" t="s">
        <v>5292</v>
      </c>
      <c r="B2364" s="465" t="s">
        <v>5293</v>
      </c>
      <c r="C2364" s="465"/>
      <c r="D2364" s="465" t="s">
        <v>855</v>
      </c>
      <c r="E2364" s="465" t="s">
        <v>5283</v>
      </c>
      <c r="F2364" s="465" t="s">
        <v>5284</v>
      </c>
      <c r="G2364" s="465" t="s">
        <v>5091</v>
      </c>
      <c r="H2364" s="465" t="s">
        <v>5092</v>
      </c>
      <c r="I2364" s="465" t="s">
        <v>830</v>
      </c>
    </row>
    <row r="2365" hidden="1" ht="15.95" customHeight="1">
      <c r="A2365" s="465" t="s">
        <v>5294</v>
      </c>
      <c r="B2365" s="465" t="s">
        <v>5295</v>
      </c>
      <c r="C2365" s="465"/>
      <c r="D2365" s="465" t="s">
        <v>855</v>
      </c>
      <c r="E2365" s="465" t="s">
        <v>5283</v>
      </c>
      <c r="F2365" s="465" t="s">
        <v>5284</v>
      </c>
      <c r="G2365" s="465" t="s">
        <v>5091</v>
      </c>
      <c r="H2365" s="465" t="s">
        <v>5092</v>
      </c>
      <c r="I2365" s="465" t="s">
        <v>830</v>
      </c>
    </row>
    <row r="2366" hidden="1" ht="15.95" customHeight="1">
      <c r="A2366" s="465" t="s">
        <v>5296</v>
      </c>
      <c r="B2366" s="465" t="s">
        <v>5297</v>
      </c>
      <c r="C2366" s="465"/>
      <c r="D2366" s="465" t="s">
        <v>855</v>
      </c>
      <c r="E2366" s="465" t="s">
        <v>5283</v>
      </c>
      <c r="F2366" s="465" t="s">
        <v>5284</v>
      </c>
      <c r="G2366" s="465" t="s">
        <v>5091</v>
      </c>
      <c r="H2366" s="465" t="s">
        <v>5092</v>
      </c>
      <c r="I2366" s="465" t="s">
        <v>830</v>
      </c>
    </row>
    <row r="2367" hidden="1" ht="15.95" customHeight="1">
      <c r="A2367" s="465" t="s">
        <v>5298</v>
      </c>
      <c r="B2367" s="465" t="s">
        <v>5299</v>
      </c>
      <c r="C2367" s="465"/>
      <c r="D2367" s="465" t="s">
        <v>855</v>
      </c>
      <c r="E2367" s="465" t="s">
        <v>5283</v>
      </c>
      <c r="F2367" s="465" t="s">
        <v>5284</v>
      </c>
      <c r="G2367" s="465" t="s">
        <v>5091</v>
      </c>
      <c r="H2367" s="465" t="s">
        <v>5092</v>
      </c>
      <c r="I2367" s="465" t="s">
        <v>830</v>
      </c>
    </row>
    <row r="2368" hidden="1" ht="15.95" customHeight="1">
      <c r="A2368" s="465" t="s">
        <v>5300</v>
      </c>
      <c r="B2368" s="465" t="s">
        <v>5301</v>
      </c>
      <c r="C2368" s="465"/>
      <c r="D2368" s="465" t="s">
        <v>855</v>
      </c>
      <c r="E2368" s="465" t="s">
        <v>5283</v>
      </c>
      <c r="F2368" s="465" t="s">
        <v>5284</v>
      </c>
      <c r="G2368" s="465" t="s">
        <v>5091</v>
      </c>
      <c r="H2368" s="465" t="s">
        <v>5092</v>
      </c>
      <c r="I2368" s="465" t="s">
        <v>830</v>
      </c>
    </row>
    <row r="2369" hidden="1" ht="15.95" customHeight="1">
      <c r="A2369" s="465" t="s">
        <v>5302</v>
      </c>
      <c r="B2369" s="465" t="s">
        <v>5303</v>
      </c>
      <c r="C2369" s="465"/>
      <c r="D2369" s="465" t="s">
        <v>884</v>
      </c>
      <c r="E2369" s="465" t="s">
        <v>5304</v>
      </c>
      <c r="F2369" s="465" t="s">
        <v>5305</v>
      </c>
      <c r="G2369" s="465" t="s">
        <v>5091</v>
      </c>
      <c r="H2369" s="465" t="s">
        <v>5092</v>
      </c>
      <c r="I2369" s="465" t="s">
        <v>830</v>
      </c>
    </row>
    <row r="2370" hidden="1" ht="15.95" customHeight="1">
      <c r="A2370" s="465" t="s">
        <v>5306</v>
      </c>
      <c r="B2370" s="465" t="s">
        <v>5307</v>
      </c>
      <c r="C2370" s="465"/>
      <c r="D2370" s="465" t="s">
        <v>855</v>
      </c>
      <c r="E2370" s="465" t="s">
        <v>5304</v>
      </c>
      <c r="F2370" s="465" t="s">
        <v>5305</v>
      </c>
      <c r="G2370" s="465" t="s">
        <v>5091</v>
      </c>
      <c r="H2370" s="465" t="s">
        <v>5092</v>
      </c>
      <c r="I2370" s="465" t="s">
        <v>830</v>
      </c>
    </row>
    <row r="2371" hidden="1" ht="15.95" customHeight="1">
      <c r="A2371" s="465" t="s">
        <v>5308</v>
      </c>
      <c r="B2371" s="465" t="s">
        <v>5309</v>
      </c>
      <c r="C2371" s="465"/>
      <c r="D2371" s="465" t="s">
        <v>855</v>
      </c>
      <c r="E2371" s="465" t="s">
        <v>5304</v>
      </c>
      <c r="F2371" s="465" t="s">
        <v>5305</v>
      </c>
      <c r="G2371" s="465" t="s">
        <v>5091</v>
      </c>
      <c r="H2371" s="465" t="s">
        <v>5092</v>
      </c>
      <c r="I2371" s="465" t="s">
        <v>830</v>
      </c>
    </row>
    <row r="2372" hidden="1" ht="15.95" customHeight="1">
      <c r="A2372" s="465" t="s">
        <v>5310</v>
      </c>
      <c r="B2372" s="465" t="s">
        <v>1741</v>
      </c>
      <c r="C2372" s="465"/>
      <c r="D2372" s="465" t="s">
        <v>855</v>
      </c>
      <c r="E2372" s="465" t="s">
        <v>5304</v>
      </c>
      <c r="F2372" s="465" t="s">
        <v>5305</v>
      </c>
      <c r="G2372" s="465" t="s">
        <v>5091</v>
      </c>
      <c r="H2372" s="465" t="s">
        <v>5092</v>
      </c>
      <c r="I2372" s="465" t="s">
        <v>830</v>
      </c>
    </row>
    <row r="2373" hidden="1" ht="15.95" customHeight="1">
      <c r="A2373" s="465" t="s">
        <v>5311</v>
      </c>
      <c r="B2373" s="465" t="s">
        <v>3283</v>
      </c>
      <c r="C2373" s="465"/>
      <c r="D2373" s="465" t="s">
        <v>855</v>
      </c>
      <c r="E2373" s="465" t="s">
        <v>5304</v>
      </c>
      <c r="F2373" s="465" t="s">
        <v>5305</v>
      </c>
      <c r="G2373" s="465" t="s">
        <v>5091</v>
      </c>
      <c r="H2373" s="465" t="s">
        <v>5092</v>
      </c>
      <c r="I2373" s="465" t="s">
        <v>830</v>
      </c>
    </row>
    <row r="2374" hidden="1" ht="15.95" customHeight="1">
      <c r="A2374" s="465" t="s">
        <v>5312</v>
      </c>
      <c r="B2374" s="465" t="s">
        <v>1162</v>
      </c>
      <c r="C2374" s="465"/>
      <c r="D2374" s="465" t="s">
        <v>855</v>
      </c>
      <c r="E2374" s="465" t="s">
        <v>5304</v>
      </c>
      <c r="F2374" s="465" t="s">
        <v>5305</v>
      </c>
      <c r="G2374" s="465" t="s">
        <v>5091</v>
      </c>
      <c r="H2374" s="465" t="s">
        <v>5092</v>
      </c>
      <c r="I2374" s="465" t="s">
        <v>830</v>
      </c>
    </row>
    <row r="2375" hidden="1" ht="15.95" customHeight="1">
      <c r="A2375" s="465" t="s">
        <v>5313</v>
      </c>
      <c r="B2375" s="465" t="s">
        <v>5314</v>
      </c>
      <c r="C2375" s="465"/>
      <c r="D2375" s="465" t="s">
        <v>855</v>
      </c>
      <c r="E2375" s="465" t="s">
        <v>5304</v>
      </c>
      <c r="F2375" s="465" t="s">
        <v>5305</v>
      </c>
      <c r="G2375" s="465" t="s">
        <v>5091</v>
      </c>
      <c r="H2375" s="465" t="s">
        <v>5092</v>
      </c>
      <c r="I2375" s="465" t="s">
        <v>830</v>
      </c>
    </row>
    <row r="2376" hidden="1" ht="15.95" customHeight="1">
      <c r="A2376" s="465" t="s">
        <v>5315</v>
      </c>
      <c r="B2376" s="465" t="s">
        <v>5316</v>
      </c>
      <c r="C2376" s="465"/>
      <c r="D2376" s="465" t="s">
        <v>855</v>
      </c>
      <c r="E2376" s="465" t="s">
        <v>5304</v>
      </c>
      <c r="F2376" s="465" t="s">
        <v>5305</v>
      </c>
      <c r="G2376" s="465" t="s">
        <v>5091</v>
      </c>
      <c r="H2376" s="465" t="s">
        <v>5092</v>
      </c>
      <c r="I2376" s="465" t="s">
        <v>830</v>
      </c>
    </row>
    <row r="2377" hidden="1" ht="15.95" customHeight="1">
      <c r="A2377" s="465" t="s">
        <v>5317</v>
      </c>
      <c r="B2377" s="465" t="s">
        <v>5318</v>
      </c>
      <c r="C2377" s="465"/>
      <c r="D2377" s="465" t="s">
        <v>884</v>
      </c>
      <c r="E2377" s="465" t="s">
        <v>5319</v>
      </c>
      <c r="F2377" s="465" t="s">
        <v>5320</v>
      </c>
      <c r="G2377" s="465" t="s">
        <v>5091</v>
      </c>
      <c r="H2377" s="465" t="s">
        <v>5092</v>
      </c>
      <c r="I2377" s="465" t="s">
        <v>830</v>
      </c>
    </row>
    <row r="2378" hidden="1" ht="15.95" customHeight="1">
      <c r="A2378" s="465" t="s">
        <v>5321</v>
      </c>
      <c r="B2378" s="465" t="s">
        <v>5322</v>
      </c>
      <c r="C2378" s="465"/>
      <c r="D2378" s="465" t="s">
        <v>884</v>
      </c>
      <c r="E2378" s="465" t="s">
        <v>5319</v>
      </c>
      <c r="F2378" s="465" t="s">
        <v>5320</v>
      </c>
      <c r="G2378" s="465" t="s">
        <v>5091</v>
      </c>
      <c r="H2378" s="465" t="s">
        <v>5092</v>
      </c>
      <c r="I2378" s="465" t="s">
        <v>830</v>
      </c>
    </row>
    <row r="2379" hidden="1" ht="15.95" customHeight="1">
      <c r="A2379" s="465" t="s">
        <v>5323</v>
      </c>
      <c r="B2379" s="465" t="s">
        <v>5324</v>
      </c>
      <c r="C2379" s="465"/>
      <c r="D2379" s="465" t="s">
        <v>855</v>
      </c>
      <c r="E2379" s="465" t="s">
        <v>5319</v>
      </c>
      <c r="F2379" s="465" t="s">
        <v>5320</v>
      </c>
      <c r="G2379" s="465" t="s">
        <v>5091</v>
      </c>
      <c r="H2379" s="465" t="s">
        <v>5092</v>
      </c>
      <c r="I2379" s="465" t="s">
        <v>830</v>
      </c>
    </row>
    <row r="2380" hidden="1" ht="15.95" customHeight="1">
      <c r="A2380" s="465" t="s">
        <v>5325</v>
      </c>
      <c r="B2380" s="465" t="s">
        <v>5326</v>
      </c>
      <c r="C2380" s="465"/>
      <c r="D2380" s="465" t="s">
        <v>855</v>
      </c>
      <c r="E2380" s="465" t="s">
        <v>5319</v>
      </c>
      <c r="F2380" s="465" t="s">
        <v>5320</v>
      </c>
      <c r="G2380" s="465" t="s">
        <v>5091</v>
      </c>
      <c r="H2380" s="465" t="s">
        <v>5092</v>
      </c>
      <c r="I2380" s="465" t="s">
        <v>830</v>
      </c>
    </row>
    <row r="2381" hidden="1" ht="15.95" customHeight="1">
      <c r="A2381" s="465" t="s">
        <v>5327</v>
      </c>
      <c r="B2381" s="465" t="s">
        <v>5328</v>
      </c>
      <c r="C2381" s="465"/>
      <c r="D2381" s="465" t="s">
        <v>855</v>
      </c>
      <c r="E2381" s="465" t="s">
        <v>5319</v>
      </c>
      <c r="F2381" s="465" t="s">
        <v>5320</v>
      </c>
      <c r="G2381" s="465" t="s">
        <v>5091</v>
      </c>
      <c r="H2381" s="465" t="s">
        <v>5092</v>
      </c>
      <c r="I2381" s="465" t="s">
        <v>830</v>
      </c>
    </row>
    <row r="2382" hidden="1" ht="15.95" customHeight="1">
      <c r="A2382" s="465" t="s">
        <v>5329</v>
      </c>
      <c r="B2382" s="465" t="s">
        <v>5330</v>
      </c>
      <c r="C2382" s="465"/>
      <c r="D2382" s="465" t="s">
        <v>855</v>
      </c>
      <c r="E2382" s="465" t="s">
        <v>5319</v>
      </c>
      <c r="F2382" s="465" t="s">
        <v>5320</v>
      </c>
      <c r="G2382" s="465" t="s">
        <v>5091</v>
      </c>
      <c r="H2382" s="465" t="s">
        <v>5092</v>
      </c>
      <c r="I2382" s="465" t="s">
        <v>830</v>
      </c>
    </row>
    <row r="2383" hidden="1" ht="15.95" customHeight="1">
      <c r="A2383" s="465" t="s">
        <v>5331</v>
      </c>
      <c r="B2383" s="465" t="s">
        <v>5332</v>
      </c>
      <c r="C2383" s="465"/>
      <c r="D2383" s="465" t="s">
        <v>855</v>
      </c>
      <c r="E2383" s="465" t="s">
        <v>5319</v>
      </c>
      <c r="F2383" s="465" t="s">
        <v>5320</v>
      </c>
      <c r="G2383" s="465" t="s">
        <v>5091</v>
      </c>
      <c r="H2383" s="465" t="s">
        <v>5092</v>
      </c>
      <c r="I2383" s="465" t="s">
        <v>830</v>
      </c>
    </row>
    <row r="2384" hidden="1" ht="15.95" customHeight="1">
      <c r="A2384" s="465" t="s">
        <v>5333</v>
      </c>
      <c r="B2384" s="465" t="s">
        <v>5334</v>
      </c>
      <c r="C2384" s="465"/>
      <c r="D2384" s="465" t="s">
        <v>855</v>
      </c>
      <c r="E2384" s="465" t="s">
        <v>5319</v>
      </c>
      <c r="F2384" s="465" t="s">
        <v>5320</v>
      </c>
      <c r="G2384" s="465" t="s">
        <v>5091</v>
      </c>
      <c r="H2384" s="465" t="s">
        <v>5092</v>
      </c>
      <c r="I2384" s="465" t="s">
        <v>830</v>
      </c>
    </row>
    <row r="2385" hidden="1" ht="15.95" customHeight="1">
      <c r="A2385" s="465" t="s">
        <v>5335</v>
      </c>
      <c r="B2385" s="465" t="s">
        <v>5336</v>
      </c>
      <c r="C2385" s="465"/>
      <c r="D2385" s="465" t="s">
        <v>855</v>
      </c>
      <c r="E2385" s="465" t="s">
        <v>5319</v>
      </c>
      <c r="F2385" s="465" t="s">
        <v>5320</v>
      </c>
      <c r="G2385" s="465" t="s">
        <v>5091</v>
      </c>
      <c r="H2385" s="465" t="s">
        <v>5092</v>
      </c>
      <c r="I2385" s="465" t="s">
        <v>830</v>
      </c>
    </row>
    <row r="2386" hidden="1" ht="15.95" customHeight="1">
      <c r="A2386" s="465" t="s">
        <v>5337</v>
      </c>
      <c r="B2386" s="465" t="s">
        <v>5338</v>
      </c>
      <c r="C2386" s="465"/>
      <c r="D2386" s="465" t="s">
        <v>855</v>
      </c>
      <c r="E2386" s="465" t="s">
        <v>5319</v>
      </c>
      <c r="F2386" s="465" t="s">
        <v>5320</v>
      </c>
      <c r="G2386" s="465" t="s">
        <v>5091</v>
      </c>
      <c r="H2386" s="465" t="s">
        <v>5092</v>
      </c>
      <c r="I2386" s="465" t="s">
        <v>830</v>
      </c>
    </row>
    <row r="2387" hidden="1" ht="15.95" customHeight="1">
      <c r="A2387" s="465" t="s">
        <v>5339</v>
      </c>
      <c r="B2387" s="465" t="s">
        <v>5340</v>
      </c>
      <c r="C2387" s="465"/>
      <c r="D2387" s="465" t="s">
        <v>855</v>
      </c>
      <c r="E2387" s="465" t="s">
        <v>5341</v>
      </c>
      <c r="F2387" s="465" t="s">
        <v>5342</v>
      </c>
      <c r="G2387" s="465" t="s">
        <v>5091</v>
      </c>
      <c r="H2387" s="465" t="s">
        <v>5092</v>
      </c>
      <c r="I2387" s="465" t="s">
        <v>830</v>
      </c>
    </row>
    <row r="2388" hidden="1" ht="15.95" customHeight="1">
      <c r="A2388" s="465" t="s">
        <v>5343</v>
      </c>
      <c r="B2388" s="465" t="s">
        <v>5344</v>
      </c>
      <c r="C2388" s="465"/>
      <c r="D2388" s="465" t="s">
        <v>855</v>
      </c>
      <c r="E2388" s="465" t="s">
        <v>5341</v>
      </c>
      <c r="F2388" s="465" t="s">
        <v>5342</v>
      </c>
      <c r="G2388" s="465" t="s">
        <v>5091</v>
      </c>
      <c r="H2388" s="465" t="s">
        <v>5092</v>
      </c>
      <c r="I2388" s="465" t="s">
        <v>830</v>
      </c>
    </row>
    <row r="2389" hidden="1" ht="15.95" customHeight="1">
      <c r="A2389" s="465" t="s">
        <v>5345</v>
      </c>
      <c r="B2389" s="465" t="s">
        <v>2155</v>
      </c>
      <c r="C2389" s="465"/>
      <c r="D2389" s="465" t="s">
        <v>855</v>
      </c>
      <c r="E2389" s="465" t="s">
        <v>5341</v>
      </c>
      <c r="F2389" s="465" t="s">
        <v>5342</v>
      </c>
      <c r="G2389" s="465" t="s">
        <v>5091</v>
      </c>
      <c r="H2389" s="465" t="s">
        <v>5092</v>
      </c>
      <c r="I2389" s="465" t="s">
        <v>830</v>
      </c>
    </row>
    <row r="2390" hidden="1" ht="15.95" customHeight="1">
      <c r="A2390" s="465" t="s">
        <v>5346</v>
      </c>
      <c r="B2390" s="465" t="s">
        <v>5347</v>
      </c>
      <c r="C2390" s="465" t="s">
        <v>5348</v>
      </c>
      <c r="D2390" s="465" t="s">
        <v>855</v>
      </c>
      <c r="E2390" s="465" t="s">
        <v>5341</v>
      </c>
      <c r="F2390" s="465" t="s">
        <v>5342</v>
      </c>
      <c r="G2390" s="465" t="s">
        <v>5091</v>
      </c>
      <c r="H2390" s="465" t="s">
        <v>5092</v>
      </c>
      <c r="I2390" s="465" t="s">
        <v>830</v>
      </c>
    </row>
    <row r="2391" hidden="1" ht="15.95" customHeight="1">
      <c r="A2391" s="465" t="s">
        <v>5349</v>
      </c>
      <c r="B2391" s="465" t="s">
        <v>5350</v>
      </c>
      <c r="C2391" s="465"/>
      <c r="D2391" s="465" t="s">
        <v>855</v>
      </c>
      <c r="E2391" s="465" t="s">
        <v>5351</v>
      </c>
      <c r="F2391" s="465" t="s">
        <v>5352</v>
      </c>
      <c r="G2391" s="465" t="s">
        <v>5091</v>
      </c>
      <c r="H2391" s="465" t="s">
        <v>5092</v>
      </c>
      <c r="I2391" s="465" t="s">
        <v>830</v>
      </c>
    </row>
    <row r="2392" hidden="1" ht="15.95" customHeight="1">
      <c r="A2392" s="465" t="s">
        <v>5353</v>
      </c>
      <c r="B2392" s="465" t="s">
        <v>5354</v>
      </c>
      <c r="C2392" s="465"/>
      <c r="D2392" s="465" t="s">
        <v>855</v>
      </c>
      <c r="E2392" s="465" t="s">
        <v>5351</v>
      </c>
      <c r="F2392" s="465" t="s">
        <v>5352</v>
      </c>
      <c r="G2392" s="465" t="s">
        <v>5091</v>
      </c>
      <c r="H2392" s="465" t="s">
        <v>5092</v>
      </c>
      <c r="I2392" s="465" t="s">
        <v>830</v>
      </c>
    </row>
    <row r="2393" hidden="1" ht="15.95" customHeight="1">
      <c r="A2393" s="465" t="s">
        <v>5355</v>
      </c>
      <c r="B2393" s="465" t="s">
        <v>5356</v>
      </c>
      <c r="C2393" s="465"/>
      <c r="D2393" s="465" t="s">
        <v>855</v>
      </c>
      <c r="E2393" s="465" t="s">
        <v>5351</v>
      </c>
      <c r="F2393" s="465" t="s">
        <v>5352</v>
      </c>
      <c r="G2393" s="465" t="s">
        <v>5091</v>
      </c>
      <c r="H2393" s="465" t="s">
        <v>5092</v>
      </c>
      <c r="I2393" s="465" t="s">
        <v>830</v>
      </c>
    </row>
    <row r="2394" hidden="1" ht="15.95" customHeight="1">
      <c r="A2394" s="465" t="s">
        <v>5357</v>
      </c>
      <c r="B2394" s="465" t="s">
        <v>2097</v>
      </c>
      <c r="C2394" s="465"/>
      <c r="D2394" s="465" t="s">
        <v>855</v>
      </c>
      <c r="E2394" s="465" t="s">
        <v>5351</v>
      </c>
      <c r="F2394" s="465" t="s">
        <v>5352</v>
      </c>
      <c r="G2394" s="465" t="s">
        <v>5091</v>
      </c>
      <c r="H2394" s="465" t="s">
        <v>5092</v>
      </c>
      <c r="I2394" s="465" t="s">
        <v>830</v>
      </c>
    </row>
    <row r="2395" hidden="1" ht="15.95" customHeight="1">
      <c r="A2395" s="465" t="s">
        <v>5358</v>
      </c>
      <c r="B2395" s="465" t="s">
        <v>5359</v>
      </c>
      <c r="C2395" s="465"/>
      <c r="D2395" s="465" t="s">
        <v>855</v>
      </c>
      <c r="E2395" s="465" t="s">
        <v>5351</v>
      </c>
      <c r="F2395" s="465" t="s">
        <v>5352</v>
      </c>
      <c r="G2395" s="465" t="s">
        <v>5091</v>
      </c>
      <c r="H2395" s="465" t="s">
        <v>5092</v>
      </c>
      <c r="I2395" s="465" t="s">
        <v>830</v>
      </c>
    </row>
    <row r="2396" hidden="1" ht="15.95" customHeight="1">
      <c r="A2396" s="465" t="s">
        <v>5360</v>
      </c>
      <c r="B2396" s="465" t="s">
        <v>5361</v>
      </c>
      <c r="C2396" s="465"/>
      <c r="D2396" s="465" t="s">
        <v>855</v>
      </c>
      <c r="E2396" s="465" t="s">
        <v>5351</v>
      </c>
      <c r="F2396" s="465" t="s">
        <v>5352</v>
      </c>
      <c r="G2396" s="465" t="s">
        <v>5091</v>
      </c>
      <c r="H2396" s="465" t="s">
        <v>5092</v>
      </c>
      <c r="I2396" s="465" t="s">
        <v>830</v>
      </c>
    </row>
    <row r="2397" hidden="1" ht="15.95" customHeight="1">
      <c r="A2397" s="465" t="s">
        <v>5362</v>
      </c>
      <c r="B2397" s="465" t="s">
        <v>5067</v>
      </c>
      <c r="C2397" s="465" t="s">
        <v>5363</v>
      </c>
      <c r="D2397" s="465" t="s">
        <v>855</v>
      </c>
      <c r="E2397" s="465" t="s">
        <v>5364</v>
      </c>
      <c r="F2397" s="465" t="s">
        <v>5365</v>
      </c>
      <c r="G2397" s="465" t="s">
        <v>5091</v>
      </c>
      <c r="H2397" s="465" t="s">
        <v>5092</v>
      </c>
      <c r="I2397" s="465" t="s">
        <v>830</v>
      </c>
    </row>
    <row r="2398" hidden="1" ht="15.95" customHeight="1">
      <c r="A2398" s="465" t="s">
        <v>5366</v>
      </c>
      <c r="B2398" s="465" t="s">
        <v>5367</v>
      </c>
      <c r="C2398" s="465"/>
      <c r="D2398" s="465" t="s">
        <v>855</v>
      </c>
      <c r="E2398" s="465" t="s">
        <v>5364</v>
      </c>
      <c r="F2398" s="465" t="s">
        <v>5365</v>
      </c>
      <c r="G2398" s="465" t="s">
        <v>5091</v>
      </c>
      <c r="H2398" s="465" t="s">
        <v>5092</v>
      </c>
      <c r="I2398" s="465" t="s">
        <v>830</v>
      </c>
    </row>
    <row r="2399" hidden="1" ht="15.95" customHeight="1">
      <c r="A2399" s="465" t="s">
        <v>5368</v>
      </c>
      <c r="B2399" s="465" t="s">
        <v>5369</v>
      </c>
      <c r="C2399" s="465"/>
      <c r="D2399" s="465" t="s">
        <v>855</v>
      </c>
      <c r="E2399" s="465" t="s">
        <v>5364</v>
      </c>
      <c r="F2399" s="465" t="s">
        <v>5365</v>
      </c>
      <c r="G2399" s="465" t="s">
        <v>5091</v>
      </c>
      <c r="H2399" s="465" t="s">
        <v>5092</v>
      </c>
      <c r="I2399" s="465" t="s">
        <v>830</v>
      </c>
    </row>
    <row r="2400" hidden="1" ht="15.95" customHeight="1">
      <c r="A2400" s="465" t="s">
        <v>5370</v>
      </c>
      <c r="B2400" s="465" t="s">
        <v>2340</v>
      </c>
      <c r="C2400" s="465" t="s">
        <v>5371</v>
      </c>
      <c r="D2400" s="465" t="s">
        <v>855</v>
      </c>
      <c r="E2400" s="465" t="s">
        <v>5364</v>
      </c>
      <c r="F2400" s="465" t="s">
        <v>5365</v>
      </c>
      <c r="G2400" s="465" t="s">
        <v>5091</v>
      </c>
      <c r="H2400" s="465" t="s">
        <v>5092</v>
      </c>
      <c r="I2400" s="465" t="s">
        <v>830</v>
      </c>
    </row>
    <row r="2401" hidden="1" ht="15.95" customHeight="1">
      <c r="A2401" s="465" t="s">
        <v>5372</v>
      </c>
      <c r="B2401" s="465" t="s">
        <v>3650</v>
      </c>
      <c r="C2401" s="465"/>
      <c r="D2401" s="465" t="s">
        <v>855</v>
      </c>
      <c r="E2401" s="465" t="s">
        <v>5364</v>
      </c>
      <c r="F2401" s="465" t="s">
        <v>5365</v>
      </c>
      <c r="G2401" s="465" t="s">
        <v>5091</v>
      </c>
      <c r="H2401" s="465" t="s">
        <v>5092</v>
      </c>
      <c r="I2401" s="465" t="s">
        <v>830</v>
      </c>
    </row>
    <row r="2402" hidden="1" ht="15.95" customHeight="1">
      <c r="A2402" s="465" t="s">
        <v>5373</v>
      </c>
      <c r="B2402" s="465" t="s">
        <v>5374</v>
      </c>
      <c r="C2402" s="465"/>
      <c r="D2402" s="465" t="s">
        <v>825</v>
      </c>
      <c r="E2402" s="465" t="s">
        <v>5375</v>
      </c>
      <c r="F2402" s="465" t="s">
        <v>5376</v>
      </c>
      <c r="G2402" s="465" t="s">
        <v>5377</v>
      </c>
      <c r="H2402" s="465" t="s">
        <v>5378</v>
      </c>
      <c r="I2402" s="465" t="s">
        <v>830</v>
      </c>
    </row>
    <row r="2403" hidden="1" ht="15.95" customHeight="1">
      <c r="A2403" s="465" t="s">
        <v>5379</v>
      </c>
      <c r="B2403" s="465" t="s">
        <v>4589</v>
      </c>
      <c r="C2403" s="465"/>
      <c r="D2403" s="465" t="s">
        <v>825</v>
      </c>
      <c r="E2403" s="465" t="s">
        <v>5375</v>
      </c>
      <c r="F2403" s="465" t="s">
        <v>5376</v>
      </c>
      <c r="G2403" s="465" t="s">
        <v>5377</v>
      </c>
      <c r="H2403" s="465" t="s">
        <v>5378</v>
      </c>
      <c r="I2403" s="465" t="s">
        <v>830</v>
      </c>
    </row>
    <row r="2404" hidden="1" ht="15.95" customHeight="1">
      <c r="A2404" s="465" t="s">
        <v>5380</v>
      </c>
      <c r="B2404" s="465" t="s">
        <v>5381</v>
      </c>
      <c r="C2404" s="465"/>
      <c r="D2404" s="465" t="s">
        <v>825</v>
      </c>
      <c r="E2404" s="465" t="s">
        <v>5375</v>
      </c>
      <c r="F2404" s="465" t="s">
        <v>5376</v>
      </c>
      <c r="G2404" s="465" t="s">
        <v>5377</v>
      </c>
      <c r="H2404" s="465" t="s">
        <v>5378</v>
      </c>
      <c r="I2404" s="465" t="s">
        <v>830</v>
      </c>
    </row>
    <row r="2405" hidden="1" ht="15.95" customHeight="1">
      <c r="A2405" s="465" t="s">
        <v>5382</v>
      </c>
      <c r="B2405" s="465" t="s">
        <v>5383</v>
      </c>
      <c r="C2405" s="465"/>
      <c r="D2405" s="465" t="s">
        <v>825</v>
      </c>
      <c r="E2405" s="465" t="s">
        <v>5375</v>
      </c>
      <c r="F2405" s="465" t="s">
        <v>5376</v>
      </c>
      <c r="G2405" s="465" t="s">
        <v>5377</v>
      </c>
      <c r="H2405" s="465" t="s">
        <v>5378</v>
      </c>
      <c r="I2405" s="465" t="s">
        <v>830</v>
      </c>
    </row>
    <row r="2406" hidden="1" ht="15.95" customHeight="1">
      <c r="A2406" s="465" t="s">
        <v>5384</v>
      </c>
      <c r="B2406" s="465" t="s">
        <v>5385</v>
      </c>
      <c r="C2406" s="465"/>
      <c r="D2406" s="465" t="s">
        <v>825</v>
      </c>
      <c r="E2406" s="465" t="s">
        <v>5375</v>
      </c>
      <c r="F2406" s="465" t="s">
        <v>5376</v>
      </c>
      <c r="G2406" s="465" t="s">
        <v>5377</v>
      </c>
      <c r="H2406" s="465" t="s">
        <v>5378</v>
      </c>
      <c r="I2406" s="465" t="s">
        <v>830</v>
      </c>
    </row>
    <row r="2407" hidden="1" ht="15.95" customHeight="1">
      <c r="A2407" s="465" t="s">
        <v>5386</v>
      </c>
      <c r="B2407" s="465" t="s">
        <v>5387</v>
      </c>
      <c r="C2407" s="465"/>
      <c r="D2407" s="465" t="s">
        <v>825</v>
      </c>
      <c r="E2407" s="465" t="s">
        <v>5375</v>
      </c>
      <c r="F2407" s="465" t="s">
        <v>5376</v>
      </c>
      <c r="G2407" s="465" t="s">
        <v>5377</v>
      </c>
      <c r="H2407" s="465" t="s">
        <v>5378</v>
      </c>
      <c r="I2407" s="465" t="s">
        <v>830</v>
      </c>
    </row>
    <row r="2408" hidden="1" ht="15.95" customHeight="1">
      <c r="A2408" s="465" t="s">
        <v>5388</v>
      </c>
      <c r="B2408" s="465" t="s">
        <v>1025</v>
      </c>
      <c r="C2408" s="465"/>
      <c r="D2408" s="465" t="s">
        <v>825</v>
      </c>
      <c r="E2408" s="465" t="s">
        <v>5375</v>
      </c>
      <c r="F2408" s="465" t="s">
        <v>5376</v>
      </c>
      <c r="G2408" s="465" t="s">
        <v>5377</v>
      </c>
      <c r="H2408" s="465" t="s">
        <v>5378</v>
      </c>
      <c r="I2408" s="465" t="s">
        <v>830</v>
      </c>
    </row>
    <row r="2409" hidden="1" ht="15.95" customHeight="1">
      <c r="A2409" s="465" t="s">
        <v>5389</v>
      </c>
      <c r="B2409" s="465" t="s">
        <v>3056</v>
      </c>
      <c r="C2409" s="465"/>
      <c r="D2409" s="465" t="s">
        <v>825</v>
      </c>
      <c r="E2409" s="465" t="s">
        <v>5375</v>
      </c>
      <c r="F2409" s="465" t="s">
        <v>5376</v>
      </c>
      <c r="G2409" s="465" t="s">
        <v>5377</v>
      </c>
      <c r="H2409" s="465" t="s">
        <v>5378</v>
      </c>
      <c r="I2409" s="465" t="s">
        <v>830</v>
      </c>
    </row>
    <row r="2410" hidden="1" ht="15.95" customHeight="1">
      <c r="A2410" s="465" t="s">
        <v>5390</v>
      </c>
      <c r="B2410" s="465" t="s">
        <v>185</v>
      </c>
      <c r="C2410" s="465"/>
      <c r="D2410" s="465" t="s">
        <v>825</v>
      </c>
      <c r="E2410" s="465" t="s">
        <v>5375</v>
      </c>
      <c r="F2410" s="465" t="s">
        <v>5376</v>
      </c>
      <c r="G2410" s="465" t="s">
        <v>5377</v>
      </c>
      <c r="H2410" s="465" t="s">
        <v>5378</v>
      </c>
      <c r="I2410" s="465" t="s">
        <v>830</v>
      </c>
    </row>
    <row r="2411" hidden="1" ht="15.95" customHeight="1">
      <c r="A2411" s="465" t="s">
        <v>5391</v>
      </c>
      <c r="B2411" s="465" t="s">
        <v>5392</v>
      </c>
      <c r="C2411" s="465"/>
      <c r="D2411" s="465" t="s">
        <v>825</v>
      </c>
      <c r="E2411" s="465" t="s">
        <v>5375</v>
      </c>
      <c r="F2411" s="465" t="s">
        <v>5376</v>
      </c>
      <c r="G2411" s="465" t="s">
        <v>5377</v>
      </c>
      <c r="H2411" s="465" t="s">
        <v>5378</v>
      </c>
      <c r="I2411" s="465" t="s">
        <v>830</v>
      </c>
    </row>
    <row r="2412" hidden="1" ht="15.95" customHeight="1">
      <c r="A2412" s="465" t="s">
        <v>5393</v>
      </c>
      <c r="B2412" s="465" t="s">
        <v>5394</v>
      </c>
      <c r="C2412" s="465"/>
      <c r="D2412" s="465" t="s">
        <v>825</v>
      </c>
      <c r="E2412" s="465" t="s">
        <v>5375</v>
      </c>
      <c r="F2412" s="465" t="s">
        <v>5376</v>
      </c>
      <c r="G2412" s="465" t="s">
        <v>5377</v>
      </c>
      <c r="H2412" s="465" t="s">
        <v>5378</v>
      </c>
      <c r="I2412" s="465" t="s">
        <v>830</v>
      </c>
    </row>
    <row r="2413" hidden="1" ht="15.95" customHeight="1">
      <c r="A2413" s="465" t="s">
        <v>5395</v>
      </c>
      <c r="B2413" s="465" t="s">
        <v>2908</v>
      </c>
      <c r="C2413" s="465"/>
      <c r="D2413" s="465" t="s">
        <v>825</v>
      </c>
      <c r="E2413" s="465" t="s">
        <v>5375</v>
      </c>
      <c r="F2413" s="465" t="s">
        <v>5376</v>
      </c>
      <c r="G2413" s="465" t="s">
        <v>5377</v>
      </c>
      <c r="H2413" s="465" t="s">
        <v>5378</v>
      </c>
      <c r="I2413" s="465" t="s">
        <v>830</v>
      </c>
    </row>
    <row r="2414" hidden="1" ht="15.95" customHeight="1">
      <c r="A2414" s="465" t="s">
        <v>5396</v>
      </c>
      <c r="B2414" s="465" t="s">
        <v>2140</v>
      </c>
      <c r="C2414" s="465"/>
      <c r="D2414" s="465" t="s">
        <v>825</v>
      </c>
      <c r="E2414" s="465" t="s">
        <v>5375</v>
      </c>
      <c r="F2414" s="465" t="s">
        <v>5376</v>
      </c>
      <c r="G2414" s="465" t="s">
        <v>5377</v>
      </c>
      <c r="H2414" s="465" t="s">
        <v>5378</v>
      </c>
      <c r="I2414" s="465" t="s">
        <v>830</v>
      </c>
    </row>
    <row r="2415" hidden="1" ht="15.95" customHeight="1">
      <c r="A2415" s="465" t="s">
        <v>5397</v>
      </c>
      <c r="B2415" s="465" t="s">
        <v>5398</v>
      </c>
      <c r="C2415" s="465"/>
      <c r="D2415" s="465" t="s">
        <v>825</v>
      </c>
      <c r="E2415" s="465" t="s">
        <v>5399</v>
      </c>
      <c r="F2415" s="465" t="s">
        <v>5400</v>
      </c>
      <c r="G2415" s="465" t="s">
        <v>5377</v>
      </c>
      <c r="H2415" s="465" t="s">
        <v>5378</v>
      </c>
      <c r="I2415" s="465" t="s">
        <v>830</v>
      </c>
    </row>
    <row r="2416" hidden="1" ht="15.95" customHeight="1">
      <c r="A2416" s="465" t="s">
        <v>5401</v>
      </c>
      <c r="B2416" s="465" t="s">
        <v>2070</v>
      </c>
      <c r="C2416" s="465"/>
      <c r="D2416" s="465" t="s">
        <v>825</v>
      </c>
      <c r="E2416" s="465" t="s">
        <v>5399</v>
      </c>
      <c r="F2416" s="465" t="s">
        <v>5400</v>
      </c>
      <c r="G2416" s="465" t="s">
        <v>5377</v>
      </c>
      <c r="H2416" s="465" t="s">
        <v>5378</v>
      </c>
      <c r="I2416" s="465" t="s">
        <v>830</v>
      </c>
    </row>
    <row r="2417" hidden="1" ht="15.95" customHeight="1">
      <c r="A2417" s="465" t="s">
        <v>5402</v>
      </c>
      <c r="B2417" s="465" t="s">
        <v>5403</v>
      </c>
      <c r="C2417" s="465"/>
      <c r="D2417" s="465" t="s">
        <v>825</v>
      </c>
      <c r="E2417" s="465" t="s">
        <v>5399</v>
      </c>
      <c r="F2417" s="465" t="s">
        <v>5400</v>
      </c>
      <c r="G2417" s="465" t="s">
        <v>5377</v>
      </c>
      <c r="H2417" s="465" t="s">
        <v>5378</v>
      </c>
      <c r="I2417" s="465" t="s">
        <v>830</v>
      </c>
    </row>
    <row r="2418" hidden="1" ht="15.95" customHeight="1">
      <c r="A2418" s="465" t="s">
        <v>5404</v>
      </c>
      <c r="B2418" s="465" t="s">
        <v>4877</v>
      </c>
      <c r="C2418" s="465"/>
      <c r="D2418" s="465" t="s">
        <v>825</v>
      </c>
      <c r="E2418" s="465" t="s">
        <v>5399</v>
      </c>
      <c r="F2418" s="465" t="s">
        <v>5400</v>
      </c>
      <c r="G2418" s="465" t="s">
        <v>5377</v>
      </c>
      <c r="H2418" s="465" t="s">
        <v>5378</v>
      </c>
      <c r="I2418" s="465" t="s">
        <v>830</v>
      </c>
    </row>
    <row r="2419" hidden="1" ht="15.95" customHeight="1">
      <c r="A2419" s="465" t="s">
        <v>5405</v>
      </c>
      <c r="B2419" s="465" t="s">
        <v>2711</v>
      </c>
      <c r="C2419" s="465"/>
      <c r="D2419" s="465" t="s">
        <v>825</v>
      </c>
      <c r="E2419" s="465" t="s">
        <v>5399</v>
      </c>
      <c r="F2419" s="465" t="s">
        <v>5400</v>
      </c>
      <c r="G2419" s="465" t="s">
        <v>5377</v>
      </c>
      <c r="H2419" s="465" t="s">
        <v>5378</v>
      </c>
      <c r="I2419" s="465" t="s">
        <v>830</v>
      </c>
    </row>
    <row r="2420" hidden="1" ht="15.95" customHeight="1">
      <c r="A2420" s="465" t="s">
        <v>5406</v>
      </c>
      <c r="B2420" s="465" t="s">
        <v>5407</v>
      </c>
      <c r="C2420" s="465"/>
      <c r="D2420" s="465" t="s">
        <v>825</v>
      </c>
      <c r="E2420" s="465" t="s">
        <v>5399</v>
      </c>
      <c r="F2420" s="465" t="s">
        <v>5400</v>
      </c>
      <c r="G2420" s="465" t="s">
        <v>5377</v>
      </c>
      <c r="H2420" s="465" t="s">
        <v>5378</v>
      </c>
      <c r="I2420" s="465" t="s">
        <v>830</v>
      </c>
    </row>
    <row r="2421" hidden="1" ht="15.95" customHeight="1">
      <c r="A2421" s="465" t="s">
        <v>5408</v>
      </c>
      <c r="B2421" s="465" t="s">
        <v>5409</v>
      </c>
      <c r="C2421" s="465"/>
      <c r="D2421" s="465" t="s">
        <v>825</v>
      </c>
      <c r="E2421" s="465" t="s">
        <v>5399</v>
      </c>
      <c r="F2421" s="465" t="s">
        <v>5400</v>
      </c>
      <c r="G2421" s="465" t="s">
        <v>5377</v>
      </c>
      <c r="H2421" s="465" t="s">
        <v>5378</v>
      </c>
      <c r="I2421" s="465" t="s">
        <v>830</v>
      </c>
    </row>
    <row r="2422" hidden="1" ht="15.95" customHeight="1">
      <c r="A2422" s="465" t="s">
        <v>5410</v>
      </c>
      <c r="B2422" s="465" t="s">
        <v>5411</v>
      </c>
      <c r="C2422" s="465"/>
      <c r="D2422" s="465" t="s">
        <v>825</v>
      </c>
      <c r="E2422" s="465" t="s">
        <v>5412</v>
      </c>
      <c r="F2422" s="465" t="s">
        <v>5413</v>
      </c>
      <c r="G2422" s="465" t="s">
        <v>5377</v>
      </c>
      <c r="H2422" s="465" t="s">
        <v>5378</v>
      </c>
      <c r="I2422" s="465" t="s">
        <v>830</v>
      </c>
    </row>
    <row r="2423" hidden="1" ht="15.95" customHeight="1">
      <c r="A2423" s="465" t="s">
        <v>5414</v>
      </c>
      <c r="B2423" s="465" t="s">
        <v>5415</v>
      </c>
      <c r="C2423" s="465"/>
      <c r="D2423" s="465" t="s">
        <v>825</v>
      </c>
      <c r="E2423" s="465" t="s">
        <v>5412</v>
      </c>
      <c r="F2423" s="465" t="s">
        <v>5413</v>
      </c>
      <c r="G2423" s="465" t="s">
        <v>5377</v>
      </c>
      <c r="H2423" s="465" t="s">
        <v>5378</v>
      </c>
      <c r="I2423" s="465" t="s">
        <v>830</v>
      </c>
    </row>
    <row r="2424" hidden="1" ht="15.95" customHeight="1">
      <c r="A2424" s="465" t="s">
        <v>5416</v>
      </c>
      <c r="B2424" s="465" t="s">
        <v>5417</v>
      </c>
      <c r="C2424" s="465"/>
      <c r="D2424" s="465" t="s">
        <v>825</v>
      </c>
      <c r="E2424" s="465" t="s">
        <v>5412</v>
      </c>
      <c r="F2424" s="465" t="s">
        <v>5413</v>
      </c>
      <c r="G2424" s="465" t="s">
        <v>5377</v>
      </c>
      <c r="H2424" s="465" t="s">
        <v>5378</v>
      </c>
      <c r="I2424" s="465" t="s">
        <v>830</v>
      </c>
    </row>
    <row r="2425" hidden="1" ht="15.95" customHeight="1">
      <c r="A2425" s="465" t="s">
        <v>5418</v>
      </c>
      <c r="B2425" s="465" t="s">
        <v>5419</v>
      </c>
      <c r="C2425" s="465"/>
      <c r="D2425" s="465" t="s">
        <v>825</v>
      </c>
      <c r="E2425" s="465" t="s">
        <v>5412</v>
      </c>
      <c r="F2425" s="465" t="s">
        <v>5413</v>
      </c>
      <c r="G2425" s="465" t="s">
        <v>5377</v>
      </c>
      <c r="H2425" s="465" t="s">
        <v>5378</v>
      </c>
      <c r="I2425" s="465" t="s">
        <v>830</v>
      </c>
    </row>
    <row r="2426" hidden="1" ht="15.95" customHeight="1">
      <c r="A2426" s="465" t="s">
        <v>5420</v>
      </c>
      <c r="B2426" s="465" t="s">
        <v>5421</v>
      </c>
      <c r="C2426" s="465"/>
      <c r="D2426" s="465" t="s">
        <v>825</v>
      </c>
      <c r="E2426" s="465" t="s">
        <v>5412</v>
      </c>
      <c r="F2426" s="465" t="s">
        <v>5413</v>
      </c>
      <c r="G2426" s="465" t="s">
        <v>5377</v>
      </c>
      <c r="H2426" s="465" t="s">
        <v>5378</v>
      </c>
      <c r="I2426" s="465" t="s">
        <v>830</v>
      </c>
    </row>
    <row r="2427" hidden="1" ht="15.95" customHeight="1">
      <c r="A2427" s="465" t="s">
        <v>5422</v>
      </c>
      <c r="B2427" s="465" t="s">
        <v>5423</v>
      </c>
      <c r="C2427" s="465"/>
      <c r="D2427" s="465" t="s">
        <v>825</v>
      </c>
      <c r="E2427" s="465" t="s">
        <v>5412</v>
      </c>
      <c r="F2427" s="465" t="s">
        <v>5413</v>
      </c>
      <c r="G2427" s="465" t="s">
        <v>5377</v>
      </c>
      <c r="H2427" s="465" t="s">
        <v>5378</v>
      </c>
      <c r="I2427" s="465" t="s">
        <v>830</v>
      </c>
    </row>
    <row r="2428" hidden="1" ht="15.95" customHeight="1">
      <c r="A2428" s="465" t="s">
        <v>5424</v>
      </c>
      <c r="B2428" s="465" t="s">
        <v>5425</v>
      </c>
      <c r="C2428" s="465"/>
      <c r="D2428" s="465" t="s">
        <v>825</v>
      </c>
      <c r="E2428" s="465" t="s">
        <v>5412</v>
      </c>
      <c r="F2428" s="465" t="s">
        <v>5413</v>
      </c>
      <c r="G2428" s="465" t="s">
        <v>5377</v>
      </c>
      <c r="H2428" s="465" t="s">
        <v>5378</v>
      </c>
      <c r="I2428" s="465" t="s">
        <v>830</v>
      </c>
    </row>
    <row r="2429" hidden="1" ht="15.95" customHeight="1">
      <c r="A2429" s="465" t="s">
        <v>5426</v>
      </c>
      <c r="B2429" s="465" t="s">
        <v>5427</v>
      </c>
      <c r="C2429" s="465"/>
      <c r="D2429" s="465" t="s">
        <v>825</v>
      </c>
      <c r="E2429" s="465" t="s">
        <v>5412</v>
      </c>
      <c r="F2429" s="465" t="s">
        <v>5413</v>
      </c>
      <c r="G2429" s="465" t="s">
        <v>5377</v>
      </c>
      <c r="H2429" s="465" t="s">
        <v>5378</v>
      </c>
      <c r="I2429" s="465" t="s">
        <v>830</v>
      </c>
    </row>
    <row r="2430" hidden="1" ht="15.95" customHeight="1">
      <c r="A2430" s="465" t="s">
        <v>5428</v>
      </c>
      <c r="B2430" s="465" t="s">
        <v>5429</v>
      </c>
      <c r="C2430" s="465"/>
      <c r="D2430" s="465" t="s">
        <v>825</v>
      </c>
      <c r="E2430" s="465" t="s">
        <v>5430</v>
      </c>
      <c r="F2430" s="465" t="s">
        <v>5431</v>
      </c>
      <c r="G2430" s="465" t="s">
        <v>5377</v>
      </c>
      <c r="H2430" s="465" t="s">
        <v>5378</v>
      </c>
      <c r="I2430" s="465" t="s">
        <v>830</v>
      </c>
    </row>
    <row r="2431" hidden="1" ht="15.95" customHeight="1">
      <c r="A2431" s="465" t="s">
        <v>5432</v>
      </c>
      <c r="B2431" s="465" t="s">
        <v>5433</v>
      </c>
      <c r="C2431" s="465"/>
      <c r="D2431" s="465" t="s">
        <v>825</v>
      </c>
      <c r="E2431" s="465" t="s">
        <v>5430</v>
      </c>
      <c r="F2431" s="465" t="s">
        <v>5431</v>
      </c>
      <c r="G2431" s="465" t="s">
        <v>5377</v>
      </c>
      <c r="H2431" s="465" t="s">
        <v>5378</v>
      </c>
      <c r="I2431" s="465" t="s">
        <v>830</v>
      </c>
    </row>
    <row r="2432" hidden="1" ht="15.95" customHeight="1">
      <c r="A2432" s="465" t="s">
        <v>5434</v>
      </c>
      <c r="B2432" s="465" t="s">
        <v>5435</v>
      </c>
      <c r="C2432" s="465"/>
      <c r="D2432" s="465" t="s">
        <v>825</v>
      </c>
      <c r="E2432" s="465" t="s">
        <v>5430</v>
      </c>
      <c r="F2432" s="465" t="s">
        <v>5431</v>
      </c>
      <c r="G2432" s="465" t="s">
        <v>5377</v>
      </c>
      <c r="H2432" s="465" t="s">
        <v>5378</v>
      </c>
      <c r="I2432" s="465" t="s">
        <v>830</v>
      </c>
    </row>
    <row r="2433" hidden="1" ht="15.95" customHeight="1">
      <c r="A2433" s="465" t="s">
        <v>5436</v>
      </c>
      <c r="B2433" s="465" t="s">
        <v>5437</v>
      </c>
      <c r="C2433" s="465"/>
      <c r="D2433" s="465" t="s">
        <v>825</v>
      </c>
      <c r="E2433" s="465" t="s">
        <v>5430</v>
      </c>
      <c r="F2433" s="465" t="s">
        <v>5431</v>
      </c>
      <c r="G2433" s="465" t="s">
        <v>5377</v>
      </c>
      <c r="H2433" s="465" t="s">
        <v>5378</v>
      </c>
      <c r="I2433" s="465" t="s">
        <v>830</v>
      </c>
    </row>
    <row r="2434" hidden="1" ht="15.95" customHeight="1">
      <c r="A2434" s="465" t="s">
        <v>5438</v>
      </c>
      <c r="B2434" s="465" t="s">
        <v>5439</v>
      </c>
      <c r="C2434" s="465"/>
      <c r="D2434" s="465" t="s">
        <v>825</v>
      </c>
      <c r="E2434" s="465" t="s">
        <v>5430</v>
      </c>
      <c r="F2434" s="465" t="s">
        <v>5431</v>
      </c>
      <c r="G2434" s="465" t="s">
        <v>5377</v>
      </c>
      <c r="H2434" s="465" t="s">
        <v>5378</v>
      </c>
      <c r="I2434" s="465" t="s">
        <v>830</v>
      </c>
    </row>
    <row r="2435" hidden="1" ht="15.95" customHeight="1">
      <c r="A2435" s="465" t="s">
        <v>5440</v>
      </c>
      <c r="B2435" s="465" t="s">
        <v>5441</v>
      </c>
      <c r="C2435" s="465"/>
      <c r="D2435" s="465" t="s">
        <v>825</v>
      </c>
      <c r="E2435" s="465" t="s">
        <v>5430</v>
      </c>
      <c r="F2435" s="465" t="s">
        <v>5431</v>
      </c>
      <c r="G2435" s="465" t="s">
        <v>5377</v>
      </c>
      <c r="H2435" s="465" t="s">
        <v>5378</v>
      </c>
      <c r="I2435" s="465" t="s">
        <v>830</v>
      </c>
    </row>
    <row r="2436" hidden="1" ht="15.95" customHeight="1">
      <c r="A2436" s="465" t="s">
        <v>5442</v>
      </c>
      <c r="B2436" s="465" t="s">
        <v>1587</v>
      </c>
      <c r="C2436" s="465"/>
      <c r="D2436" s="465" t="s">
        <v>825</v>
      </c>
      <c r="E2436" s="465" t="s">
        <v>5430</v>
      </c>
      <c r="F2436" s="465" t="s">
        <v>5431</v>
      </c>
      <c r="G2436" s="465" t="s">
        <v>5377</v>
      </c>
      <c r="H2436" s="465" t="s">
        <v>5378</v>
      </c>
      <c r="I2436" s="465" t="s">
        <v>830</v>
      </c>
    </row>
    <row r="2437" hidden="1" ht="15.95" customHeight="1">
      <c r="A2437" s="465" t="s">
        <v>5443</v>
      </c>
      <c r="B2437" s="465" t="s">
        <v>5444</v>
      </c>
      <c r="C2437" s="465"/>
      <c r="D2437" s="465" t="s">
        <v>825</v>
      </c>
      <c r="E2437" s="465" t="s">
        <v>5445</v>
      </c>
      <c r="F2437" s="465" t="s">
        <v>5446</v>
      </c>
      <c r="G2437" s="465" t="s">
        <v>5377</v>
      </c>
      <c r="H2437" s="465" t="s">
        <v>5378</v>
      </c>
      <c r="I2437" s="465" t="s">
        <v>830</v>
      </c>
    </row>
    <row r="2438" hidden="1" ht="15.95" customHeight="1">
      <c r="A2438" s="465" t="s">
        <v>5447</v>
      </c>
      <c r="B2438" s="465" t="s">
        <v>5448</v>
      </c>
      <c r="C2438" s="465"/>
      <c r="D2438" s="465" t="s">
        <v>825</v>
      </c>
      <c r="E2438" s="465" t="s">
        <v>5445</v>
      </c>
      <c r="F2438" s="465" t="s">
        <v>5446</v>
      </c>
      <c r="G2438" s="465" t="s">
        <v>5377</v>
      </c>
      <c r="H2438" s="465" t="s">
        <v>5378</v>
      </c>
      <c r="I2438" s="465" t="s">
        <v>830</v>
      </c>
    </row>
    <row r="2439" hidden="1" ht="15.95" customHeight="1">
      <c r="A2439" s="465" t="s">
        <v>5449</v>
      </c>
      <c r="B2439" s="465" t="s">
        <v>5450</v>
      </c>
      <c r="C2439" s="465"/>
      <c r="D2439" s="465" t="s">
        <v>825</v>
      </c>
      <c r="E2439" s="465" t="s">
        <v>5445</v>
      </c>
      <c r="F2439" s="465" t="s">
        <v>5446</v>
      </c>
      <c r="G2439" s="465" t="s">
        <v>5377</v>
      </c>
      <c r="H2439" s="465" t="s">
        <v>5378</v>
      </c>
      <c r="I2439" s="465" t="s">
        <v>830</v>
      </c>
    </row>
    <row r="2440" hidden="1" ht="15.95" customHeight="1">
      <c r="A2440" s="465" t="s">
        <v>5451</v>
      </c>
      <c r="B2440" s="465" t="s">
        <v>5452</v>
      </c>
      <c r="C2440" s="465"/>
      <c r="D2440" s="465" t="s">
        <v>825</v>
      </c>
      <c r="E2440" s="465" t="s">
        <v>5445</v>
      </c>
      <c r="F2440" s="465" t="s">
        <v>5446</v>
      </c>
      <c r="G2440" s="465" t="s">
        <v>5377</v>
      </c>
      <c r="H2440" s="465" t="s">
        <v>5378</v>
      </c>
      <c r="I2440" s="465" t="s">
        <v>830</v>
      </c>
    </row>
    <row r="2441" hidden="1" ht="15.95" customHeight="1">
      <c r="A2441" s="465" t="s">
        <v>5453</v>
      </c>
      <c r="B2441" s="465" t="s">
        <v>5454</v>
      </c>
      <c r="C2441" s="465"/>
      <c r="D2441" s="465" t="s">
        <v>825</v>
      </c>
      <c r="E2441" s="465" t="s">
        <v>5445</v>
      </c>
      <c r="F2441" s="465" t="s">
        <v>5446</v>
      </c>
      <c r="G2441" s="465" t="s">
        <v>5377</v>
      </c>
      <c r="H2441" s="465" t="s">
        <v>5378</v>
      </c>
      <c r="I2441" s="465" t="s">
        <v>830</v>
      </c>
    </row>
    <row r="2442" hidden="1" ht="15.95" customHeight="1">
      <c r="A2442" s="465" t="s">
        <v>5455</v>
      </c>
      <c r="B2442" s="465" t="s">
        <v>5456</v>
      </c>
      <c r="C2442" s="465"/>
      <c r="D2442" s="465" t="s">
        <v>825</v>
      </c>
      <c r="E2442" s="465" t="s">
        <v>5445</v>
      </c>
      <c r="F2442" s="465" t="s">
        <v>5446</v>
      </c>
      <c r="G2442" s="465" t="s">
        <v>5377</v>
      </c>
      <c r="H2442" s="465" t="s">
        <v>5378</v>
      </c>
      <c r="I2442" s="465" t="s">
        <v>830</v>
      </c>
    </row>
    <row r="2443" hidden="1" ht="15.95" customHeight="1">
      <c r="A2443" s="465" t="s">
        <v>5457</v>
      </c>
      <c r="B2443" s="465" t="s">
        <v>5458</v>
      </c>
      <c r="C2443" s="465"/>
      <c r="D2443" s="465" t="s">
        <v>825</v>
      </c>
      <c r="E2443" s="465" t="s">
        <v>5445</v>
      </c>
      <c r="F2443" s="465" t="s">
        <v>5446</v>
      </c>
      <c r="G2443" s="465" t="s">
        <v>5377</v>
      </c>
      <c r="H2443" s="465" t="s">
        <v>5378</v>
      </c>
      <c r="I2443" s="465" t="s">
        <v>830</v>
      </c>
    </row>
    <row r="2444" hidden="1" ht="15.95" customHeight="1">
      <c r="A2444" s="465" t="s">
        <v>5459</v>
      </c>
      <c r="B2444" s="465" t="s">
        <v>3068</v>
      </c>
      <c r="C2444" s="465"/>
      <c r="D2444" s="465" t="s">
        <v>825</v>
      </c>
      <c r="E2444" s="465" t="s">
        <v>5445</v>
      </c>
      <c r="F2444" s="465" t="s">
        <v>5446</v>
      </c>
      <c r="G2444" s="465" t="s">
        <v>5377</v>
      </c>
      <c r="H2444" s="465" t="s">
        <v>5378</v>
      </c>
      <c r="I2444" s="465" t="s">
        <v>830</v>
      </c>
    </row>
    <row r="2445" hidden="1" ht="15.95" customHeight="1">
      <c r="A2445" s="465" t="s">
        <v>5460</v>
      </c>
      <c r="B2445" s="465" t="s">
        <v>5461</v>
      </c>
      <c r="C2445" s="465"/>
      <c r="D2445" s="465" t="s">
        <v>825</v>
      </c>
      <c r="E2445" s="465" t="s">
        <v>5445</v>
      </c>
      <c r="F2445" s="465" t="s">
        <v>5446</v>
      </c>
      <c r="G2445" s="465" t="s">
        <v>5377</v>
      </c>
      <c r="H2445" s="465" t="s">
        <v>5378</v>
      </c>
      <c r="I2445" s="465" t="s">
        <v>830</v>
      </c>
    </row>
    <row r="2446" hidden="1" ht="15.95" customHeight="1">
      <c r="A2446" s="465" t="s">
        <v>5462</v>
      </c>
      <c r="B2446" s="465" t="s">
        <v>3281</v>
      </c>
      <c r="C2446" s="465"/>
      <c r="D2446" s="465" t="s">
        <v>855</v>
      </c>
      <c r="E2446" s="465" t="s">
        <v>5463</v>
      </c>
      <c r="F2446" s="465" t="s">
        <v>5464</v>
      </c>
      <c r="G2446" s="465" t="s">
        <v>5377</v>
      </c>
      <c r="H2446" s="465" t="s">
        <v>5378</v>
      </c>
      <c r="I2446" s="465" t="s">
        <v>830</v>
      </c>
    </row>
    <row r="2447" hidden="1" ht="15.95" customHeight="1">
      <c r="A2447" s="465" t="s">
        <v>5465</v>
      </c>
      <c r="B2447" s="465" t="s">
        <v>5466</v>
      </c>
      <c r="C2447" s="465"/>
      <c r="D2447" s="465" t="s">
        <v>884</v>
      </c>
      <c r="E2447" s="465" t="s">
        <v>5463</v>
      </c>
      <c r="F2447" s="465" t="s">
        <v>5464</v>
      </c>
      <c r="G2447" s="465" t="s">
        <v>5377</v>
      </c>
      <c r="H2447" s="465" t="s">
        <v>5378</v>
      </c>
      <c r="I2447" s="465" t="s">
        <v>830</v>
      </c>
    </row>
    <row r="2448" hidden="1" ht="15.95" customHeight="1">
      <c r="A2448" s="465" t="s">
        <v>5467</v>
      </c>
      <c r="B2448" s="465" t="s">
        <v>5468</v>
      </c>
      <c r="C2448" s="465"/>
      <c r="D2448" s="465" t="s">
        <v>884</v>
      </c>
      <c r="E2448" s="465" t="s">
        <v>5463</v>
      </c>
      <c r="F2448" s="465" t="s">
        <v>5464</v>
      </c>
      <c r="G2448" s="465" t="s">
        <v>5377</v>
      </c>
      <c r="H2448" s="465" t="s">
        <v>5378</v>
      </c>
      <c r="I2448" s="465" t="s">
        <v>830</v>
      </c>
    </row>
    <row r="2449" hidden="1" ht="15.95" customHeight="1">
      <c r="A2449" s="465" t="s">
        <v>5469</v>
      </c>
      <c r="B2449" s="465" t="s">
        <v>3647</v>
      </c>
      <c r="C2449" s="465"/>
      <c r="D2449" s="465" t="s">
        <v>855</v>
      </c>
      <c r="E2449" s="465" t="s">
        <v>5463</v>
      </c>
      <c r="F2449" s="465" t="s">
        <v>5464</v>
      </c>
      <c r="G2449" s="465" t="s">
        <v>5377</v>
      </c>
      <c r="H2449" s="465" t="s">
        <v>5378</v>
      </c>
      <c r="I2449" s="465" t="s">
        <v>830</v>
      </c>
    </row>
    <row r="2450" hidden="1" ht="15.95" customHeight="1">
      <c r="A2450" s="465" t="s">
        <v>5470</v>
      </c>
      <c r="B2450" s="465" t="s">
        <v>5471</v>
      </c>
      <c r="C2450" s="465"/>
      <c r="D2450" s="465" t="s">
        <v>855</v>
      </c>
      <c r="E2450" s="465" t="s">
        <v>5463</v>
      </c>
      <c r="F2450" s="465" t="s">
        <v>5464</v>
      </c>
      <c r="G2450" s="465" t="s">
        <v>5377</v>
      </c>
      <c r="H2450" s="465" t="s">
        <v>5378</v>
      </c>
      <c r="I2450" s="465" t="s">
        <v>830</v>
      </c>
    </row>
    <row r="2451" hidden="1" ht="15.95" customHeight="1">
      <c r="A2451" s="465" t="s">
        <v>5472</v>
      </c>
      <c r="B2451" s="465" t="s">
        <v>3198</v>
      </c>
      <c r="C2451" s="465"/>
      <c r="D2451" s="465" t="s">
        <v>855</v>
      </c>
      <c r="E2451" s="465" t="s">
        <v>5463</v>
      </c>
      <c r="F2451" s="465" t="s">
        <v>5464</v>
      </c>
      <c r="G2451" s="465" t="s">
        <v>5377</v>
      </c>
      <c r="H2451" s="465" t="s">
        <v>5378</v>
      </c>
      <c r="I2451" s="465" t="s">
        <v>830</v>
      </c>
    </row>
    <row r="2452" hidden="1" ht="15.95" customHeight="1">
      <c r="A2452" s="465" t="s">
        <v>5473</v>
      </c>
      <c r="B2452" s="465" t="s">
        <v>5474</v>
      </c>
      <c r="C2452" s="465"/>
      <c r="D2452" s="465" t="s">
        <v>855</v>
      </c>
      <c r="E2452" s="465" t="s">
        <v>5463</v>
      </c>
      <c r="F2452" s="465" t="s">
        <v>5464</v>
      </c>
      <c r="G2452" s="465" t="s">
        <v>5377</v>
      </c>
      <c r="H2452" s="465" t="s">
        <v>5378</v>
      </c>
      <c r="I2452" s="465" t="s">
        <v>830</v>
      </c>
    </row>
    <row r="2453" hidden="1" ht="15.95" customHeight="1">
      <c r="A2453" s="465" t="s">
        <v>5475</v>
      </c>
      <c r="B2453" s="465" t="s">
        <v>5476</v>
      </c>
      <c r="C2453" s="465"/>
      <c r="D2453" s="465" t="s">
        <v>855</v>
      </c>
      <c r="E2453" s="465" t="s">
        <v>5463</v>
      </c>
      <c r="F2453" s="465" t="s">
        <v>5464</v>
      </c>
      <c r="G2453" s="465" t="s">
        <v>5377</v>
      </c>
      <c r="H2453" s="465" t="s">
        <v>5378</v>
      </c>
      <c r="I2453" s="465" t="s">
        <v>830</v>
      </c>
    </row>
    <row r="2454" hidden="1" ht="15.95" customHeight="1">
      <c r="A2454" s="465" t="s">
        <v>5477</v>
      </c>
      <c r="B2454" s="465" t="s">
        <v>3413</v>
      </c>
      <c r="C2454" s="465"/>
      <c r="D2454" s="465" t="s">
        <v>855</v>
      </c>
      <c r="E2454" s="465" t="s">
        <v>5463</v>
      </c>
      <c r="F2454" s="465" t="s">
        <v>5464</v>
      </c>
      <c r="G2454" s="465" t="s">
        <v>5377</v>
      </c>
      <c r="H2454" s="465" t="s">
        <v>5378</v>
      </c>
      <c r="I2454" s="465" t="s">
        <v>830</v>
      </c>
    </row>
    <row r="2455" hidden="1" ht="15.95" customHeight="1">
      <c r="A2455" s="465" t="s">
        <v>5478</v>
      </c>
      <c r="B2455" s="465" t="s">
        <v>5479</v>
      </c>
      <c r="C2455" s="465"/>
      <c r="D2455" s="465" t="s">
        <v>855</v>
      </c>
      <c r="E2455" s="465" t="s">
        <v>5463</v>
      </c>
      <c r="F2455" s="465" t="s">
        <v>5464</v>
      </c>
      <c r="G2455" s="465" t="s">
        <v>5377</v>
      </c>
      <c r="H2455" s="465" t="s">
        <v>5378</v>
      </c>
      <c r="I2455" s="465" t="s">
        <v>830</v>
      </c>
    </row>
    <row r="2456" hidden="1" ht="15.95" customHeight="1">
      <c r="A2456" s="465" t="s">
        <v>5480</v>
      </c>
      <c r="B2456" s="465" t="s">
        <v>3714</v>
      </c>
      <c r="C2456" s="465"/>
      <c r="D2456" s="465" t="s">
        <v>855</v>
      </c>
      <c r="E2456" s="465" t="s">
        <v>5463</v>
      </c>
      <c r="F2456" s="465" t="s">
        <v>5464</v>
      </c>
      <c r="G2456" s="465" t="s">
        <v>5377</v>
      </c>
      <c r="H2456" s="465" t="s">
        <v>5378</v>
      </c>
      <c r="I2456" s="465" t="s">
        <v>830</v>
      </c>
    </row>
    <row r="2457" hidden="1" ht="15.95" customHeight="1">
      <c r="A2457" s="465" t="s">
        <v>5481</v>
      </c>
      <c r="B2457" s="465" t="s">
        <v>3098</v>
      </c>
      <c r="C2457" s="465"/>
      <c r="D2457" s="465" t="s">
        <v>855</v>
      </c>
      <c r="E2457" s="465" t="s">
        <v>5482</v>
      </c>
      <c r="F2457" s="465" t="s">
        <v>5483</v>
      </c>
      <c r="G2457" s="465" t="s">
        <v>5377</v>
      </c>
      <c r="H2457" s="465" t="s">
        <v>5378</v>
      </c>
      <c r="I2457" s="465" t="s">
        <v>830</v>
      </c>
    </row>
    <row r="2458" hidden="1" ht="15.95" customHeight="1">
      <c r="A2458" s="465" t="s">
        <v>5484</v>
      </c>
      <c r="B2458" s="465" t="s">
        <v>5485</v>
      </c>
      <c r="C2458" s="465"/>
      <c r="D2458" s="465" t="s">
        <v>855</v>
      </c>
      <c r="E2458" s="465" t="s">
        <v>5482</v>
      </c>
      <c r="F2458" s="465" t="s">
        <v>5483</v>
      </c>
      <c r="G2458" s="465" t="s">
        <v>5377</v>
      </c>
      <c r="H2458" s="465" t="s">
        <v>5378</v>
      </c>
      <c r="I2458" s="465" t="s">
        <v>830</v>
      </c>
    </row>
    <row r="2459" hidden="1" ht="15.95" customHeight="1">
      <c r="A2459" s="465" t="s">
        <v>5486</v>
      </c>
      <c r="B2459" s="465" t="s">
        <v>2321</v>
      </c>
      <c r="C2459" s="465"/>
      <c r="D2459" s="465" t="s">
        <v>855</v>
      </c>
      <c r="E2459" s="465" t="s">
        <v>5482</v>
      </c>
      <c r="F2459" s="465" t="s">
        <v>5483</v>
      </c>
      <c r="G2459" s="465" t="s">
        <v>5377</v>
      </c>
      <c r="H2459" s="465" t="s">
        <v>5378</v>
      </c>
      <c r="I2459" s="465" t="s">
        <v>830</v>
      </c>
    </row>
    <row r="2460" hidden="1" ht="15.95" customHeight="1">
      <c r="A2460" s="465" t="s">
        <v>5487</v>
      </c>
      <c r="B2460" s="465" t="s">
        <v>5488</v>
      </c>
      <c r="C2460" s="465"/>
      <c r="D2460" s="465" t="s">
        <v>855</v>
      </c>
      <c r="E2460" s="465" t="s">
        <v>5482</v>
      </c>
      <c r="F2460" s="465" t="s">
        <v>5483</v>
      </c>
      <c r="G2460" s="465" t="s">
        <v>5377</v>
      </c>
      <c r="H2460" s="465" t="s">
        <v>5378</v>
      </c>
      <c r="I2460" s="465" t="s">
        <v>830</v>
      </c>
    </row>
    <row r="2461" hidden="1" ht="15.95" customHeight="1">
      <c r="A2461" s="465" t="s">
        <v>5489</v>
      </c>
      <c r="B2461" s="465" t="s">
        <v>5490</v>
      </c>
      <c r="C2461" s="465"/>
      <c r="D2461" s="465" t="s">
        <v>884</v>
      </c>
      <c r="E2461" s="465" t="s">
        <v>5482</v>
      </c>
      <c r="F2461" s="465" t="s">
        <v>5483</v>
      </c>
      <c r="G2461" s="465" t="s">
        <v>5377</v>
      </c>
      <c r="H2461" s="465" t="s">
        <v>5378</v>
      </c>
      <c r="I2461" s="465" t="s">
        <v>830</v>
      </c>
    </row>
    <row r="2462" hidden="1" ht="15.95" customHeight="1">
      <c r="A2462" s="465" t="s">
        <v>5491</v>
      </c>
      <c r="B2462" s="465" t="s">
        <v>5492</v>
      </c>
      <c r="C2462" s="465"/>
      <c r="D2462" s="465" t="s">
        <v>855</v>
      </c>
      <c r="E2462" s="465" t="s">
        <v>5482</v>
      </c>
      <c r="F2462" s="465" t="s">
        <v>5483</v>
      </c>
      <c r="G2462" s="465" t="s">
        <v>5377</v>
      </c>
      <c r="H2462" s="465" t="s">
        <v>5378</v>
      </c>
      <c r="I2462" s="465" t="s">
        <v>830</v>
      </c>
    </row>
    <row r="2463" hidden="1" ht="15.95" customHeight="1">
      <c r="A2463" s="465" t="s">
        <v>5493</v>
      </c>
      <c r="B2463" s="465" t="s">
        <v>5494</v>
      </c>
      <c r="C2463" s="465"/>
      <c r="D2463" s="465" t="s">
        <v>855</v>
      </c>
      <c r="E2463" s="465" t="s">
        <v>5482</v>
      </c>
      <c r="F2463" s="465" t="s">
        <v>5483</v>
      </c>
      <c r="G2463" s="465" t="s">
        <v>5377</v>
      </c>
      <c r="H2463" s="465" t="s">
        <v>5378</v>
      </c>
      <c r="I2463" s="465" t="s">
        <v>830</v>
      </c>
    </row>
    <row r="2464" hidden="1" ht="15.95" customHeight="1">
      <c r="A2464" s="465" t="s">
        <v>5495</v>
      </c>
      <c r="B2464" s="465" t="s">
        <v>5496</v>
      </c>
      <c r="C2464" s="465"/>
      <c r="D2464" s="465" t="s">
        <v>855</v>
      </c>
      <c r="E2464" s="465" t="s">
        <v>5482</v>
      </c>
      <c r="F2464" s="465" t="s">
        <v>5483</v>
      </c>
      <c r="G2464" s="465" t="s">
        <v>5377</v>
      </c>
      <c r="H2464" s="465" t="s">
        <v>5378</v>
      </c>
      <c r="I2464" s="465" t="s">
        <v>830</v>
      </c>
    </row>
    <row r="2465" hidden="1" ht="15.95" customHeight="1">
      <c r="A2465" s="465" t="s">
        <v>5497</v>
      </c>
      <c r="B2465" s="465" t="s">
        <v>5498</v>
      </c>
      <c r="C2465" s="465"/>
      <c r="D2465" s="465" t="s">
        <v>855</v>
      </c>
      <c r="E2465" s="465" t="s">
        <v>5482</v>
      </c>
      <c r="F2465" s="465" t="s">
        <v>5483</v>
      </c>
      <c r="G2465" s="465" t="s">
        <v>5377</v>
      </c>
      <c r="H2465" s="465" t="s">
        <v>5378</v>
      </c>
      <c r="I2465" s="465" t="s">
        <v>830</v>
      </c>
    </row>
    <row r="2466" hidden="1" ht="15.95" customHeight="1">
      <c r="A2466" s="465" t="s">
        <v>5499</v>
      </c>
      <c r="B2466" s="465" t="s">
        <v>5500</v>
      </c>
      <c r="C2466" s="465"/>
      <c r="D2466" s="465" t="s">
        <v>855</v>
      </c>
      <c r="E2466" s="465" t="s">
        <v>5482</v>
      </c>
      <c r="F2466" s="465" t="s">
        <v>5483</v>
      </c>
      <c r="G2466" s="465" t="s">
        <v>5377</v>
      </c>
      <c r="H2466" s="465" t="s">
        <v>5378</v>
      </c>
      <c r="I2466" s="465" t="s">
        <v>830</v>
      </c>
    </row>
    <row r="2467" hidden="1" ht="15.95" customHeight="1">
      <c r="A2467" s="465" t="s">
        <v>5501</v>
      </c>
      <c r="B2467" s="465" t="s">
        <v>5502</v>
      </c>
      <c r="C2467" s="465"/>
      <c r="D2467" s="465" t="s">
        <v>884</v>
      </c>
      <c r="E2467" s="465" t="s">
        <v>5503</v>
      </c>
      <c r="F2467" s="465" t="s">
        <v>5504</v>
      </c>
      <c r="G2467" s="465" t="s">
        <v>5377</v>
      </c>
      <c r="H2467" s="465" t="s">
        <v>5378</v>
      </c>
      <c r="I2467" s="465" t="s">
        <v>830</v>
      </c>
    </row>
    <row r="2468" hidden="1" ht="15.95" customHeight="1">
      <c r="A2468" s="465" t="s">
        <v>5505</v>
      </c>
      <c r="B2468" s="465" t="s">
        <v>5506</v>
      </c>
      <c r="C2468" s="465"/>
      <c r="D2468" s="465" t="s">
        <v>855</v>
      </c>
      <c r="E2468" s="465" t="s">
        <v>5503</v>
      </c>
      <c r="F2468" s="465" t="s">
        <v>5504</v>
      </c>
      <c r="G2468" s="465" t="s">
        <v>5377</v>
      </c>
      <c r="H2468" s="465" t="s">
        <v>5378</v>
      </c>
      <c r="I2468" s="465" t="s">
        <v>830</v>
      </c>
    </row>
    <row r="2469" hidden="1" ht="15.95" customHeight="1">
      <c r="A2469" s="465" t="s">
        <v>5507</v>
      </c>
      <c r="B2469" s="465" t="s">
        <v>5508</v>
      </c>
      <c r="C2469" s="465"/>
      <c r="D2469" s="465" t="s">
        <v>855</v>
      </c>
      <c r="E2469" s="465" t="s">
        <v>5503</v>
      </c>
      <c r="F2469" s="465" t="s">
        <v>5504</v>
      </c>
      <c r="G2469" s="465" t="s">
        <v>5377</v>
      </c>
      <c r="H2469" s="465" t="s">
        <v>5378</v>
      </c>
      <c r="I2469" s="465" t="s">
        <v>830</v>
      </c>
    </row>
    <row r="2470" hidden="1" ht="15.95" customHeight="1">
      <c r="A2470" s="465" t="s">
        <v>5509</v>
      </c>
      <c r="B2470" s="465" t="s">
        <v>3868</v>
      </c>
      <c r="C2470" s="465"/>
      <c r="D2470" s="465" t="s">
        <v>855</v>
      </c>
      <c r="E2470" s="465" t="s">
        <v>5503</v>
      </c>
      <c r="F2470" s="465" t="s">
        <v>5504</v>
      </c>
      <c r="G2470" s="465" t="s">
        <v>5377</v>
      </c>
      <c r="H2470" s="465" t="s">
        <v>5378</v>
      </c>
      <c r="I2470" s="465" t="s">
        <v>830</v>
      </c>
    </row>
    <row r="2471" hidden="1" ht="15.95" customHeight="1">
      <c r="A2471" s="465" t="s">
        <v>5510</v>
      </c>
      <c r="B2471" s="465" t="s">
        <v>5511</v>
      </c>
      <c r="C2471" s="465"/>
      <c r="D2471" s="465" t="s">
        <v>855</v>
      </c>
      <c r="E2471" s="465" t="s">
        <v>5503</v>
      </c>
      <c r="F2471" s="465" t="s">
        <v>5504</v>
      </c>
      <c r="G2471" s="465" t="s">
        <v>5377</v>
      </c>
      <c r="H2471" s="465" t="s">
        <v>5378</v>
      </c>
      <c r="I2471" s="465" t="s">
        <v>830</v>
      </c>
    </row>
    <row r="2472" hidden="1" ht="15.95" customHeight="1">
      <c r="A2472" s="465" t="s">
        <v>5512</v>
      </c>
      <c r="B2472" s="465" t="s">
        <v>4827</v>
      </c>
      <c r="C2472" s="465"/>
      <c r="D2472" s="465" t="s">
        <v>855</v>
      </c>
      <c r="E2472" s="465" t="s">
        <v>5503</v>
      </c>
      <c r="F2472" s="465" t="s">
        <v>5504</v>
      </c>
      <c r="G2472" s="465" t="s">
        <v>5377</v>
      </c>
      <c r="H2472" s="465" t="s">
        <v>5378</v>
      </c>
      <c r="I2472" s="465" t="s">
        <v>830</v>
      </c>
    </row>
    <row r="2473" hidden="1" ht="15.95" customHeight="1">
      <c r="A2473" s="465" t="s">
        <v>5513</v>
      </c>
      <c r="B2473" s="465" t="s">
        <v>5514</v>
      </c>
      <c r="C2473" s="465"/>
      <c r="D2473" s="465" t="s">
        <v>855</v>
      </c>
      <c r="E2473" s="465" t="s">
        <v>5503</v>
      </c>
      <c r="F2473" s="465" t="s">
        <v>5504</v>
      </c>
      <c r="G2473" s="465" t="s">
        <v>5377</v>
      </c>
      <c r="H2473" s="465" t="s">
        <v>5378</v>
      </c>
      <c r="I2473" s="465" t="s">
        <v>830</v>
      </c>
    </row>
    <row r="2474" hidden="1" ht="15.95" customHeight="1">
      <c r="A2474" s="465" t="s">
        <v>5515</v>
      </c>
      <c r="B2474" s="465" t="s">
        <v>5516</v>
      </c>
      <c r="C2474" s="465"/>
      <c r="D2474" s="465" t="s">
        <v>884</v>
      </c>
      <c r="E2474" s="465" t="s">
        <v>5517</v>
      </c>
      <c r="F2474" s="465" t="s">
        <v>5518</v>
      </c>
      <c r="G2474" s="465" t="s">
        <v>5377</v>
      </c>
      <c r="H2474" s="465" t="s">
        <v>5378</v>
      </c>
      <c r="I2474" s="465" t="s">
        <v>830</v>
      </c>
    </row>
    <row r="2475" hidden="1" ht="15.95" customHeight="1">
      <c r="A2475" s="465" t="s">
        <v>5519</v>
      </c>
      <c r="B2475" s="465" t="s">
        <v>4123</v>
      </c>
      <c r="C2475" s="465"/>
      <c r="D2475" s="465" t="s">
        <v>855</v>
      </c>
      <c r="E2475" s="465" t="s">
        <v>5517</v>
      </c>
      <c r="F2475" s="465" t="s">
        <v>5518</v>
      </c>
      <c r="G2475" s="465" t="s">
        <v>5377</v>
      </c>
      <c r="H2475" s="465" t="s">
        <v>5378</v>
      </c>
      <c r="I2475" s="465" t="s">
        <v>830</v>
      </c>
    </row>
    <row r="2476" hidden="1" ht="15.95" customHeight="1">
      <c r="A2476" s="465" t="s">
        <v>5520</v>
      </c>
      <c r="B2476" s="465" t="s">
        <v>3874</v>
      </c>
      <c r="C2476" s="465"/>
      <c r="D2476" s="465" t="s">
        <v>855</v>
      </c>
      <c r="E2476" s="465" t="s">
        <v>5517</v>
      </c>
      <c r="F2476" s="465" t="s">
        <v>5518</v>
      </c>
      <c r="G2476" s="465" t="s">
        <v>5377</v>
      </c>
      <c r="H2476" s="465" t="s">
        <v>5378</v>
      </c>
      <c r="I2476" s="465" t="s">
        <v>830</v>
      </c>
    </row>
    <row r="2477" hidden="1" ht="15.95" customHeight="1">
      <c r="A2477" s="465" t="s">
        <v>5521</v>
      </c>
      <c r="B2477" s="465" t="s">
        <v>5522</v>
      </c>
      <c r="C2477" s="465"/>
      <c r="D2477" s="465" t="s">
        <v>855</v>
      </c>
      <c r="E2477" s="465" t="s">
        <v>5517</v>
      </c>
      <c r="F2477" s="465" t="s">
        <v>5518</v>
      </c>
      <c r="G2477" s="465" t="s">
        <v>5377</v>
      </c>
      <c r="H2477" s="465" t="s">
        <v>5378</v>
      </c>
      <c r="I2477" s="465" t="s">
        <v>830</v>
      </c>
    </row>
    <row r="2478" hidden="1" ht="15.95" customHeight="1">
      <c r="A2478" s="465" t="s">
        <v>5523</v>
      </c>
      <c r="B2478" s="465" t="s">
        <v>4494</v>
      </c>
      <c r="C2478" s="465"/>
      <c r="D2478" s="465" t="s">
        <v>855</v>
      </c>
      <c r="E2478" s="465" t="s">
        <v>5517</v>
      </c>
      <c r="F2478" s="465" t="s">
        <v>5518</v>
      </c>
      <c r="G2478" s="465" t="s">
        <v>5377</v>
      </c>
      <c r="H2478" s="465" t="s">
        <v>5378</v>
      </c>
      <c r="I2478" s="465" t="s">
        <v>830</v>
      </c>
    </row>
    <row r="2479" hidden="1" ht="15.95" customHeight="1">
      <c r="A2479" s="465" t="s">
        <v>5524</v>
      </c>
      <c r="B2479" s="465" t="s">
        <v>5525</v>
      </c>
      <c r="C2479" s="465"/>
      <c r="D2479" s="465" t="s">
        <v>855</v>
      </c>
      <c r="E2479" s="465" t="s">
        <v>5517</v>
      </c>
      <c r="F2479" s="465" t="s">
        <v>5518</v>
      </c>
      <c r="G2479" s="465" t="s">
        <v>5377</v>
      </c>
      <c r="H2479" s="465" t="s">
        <v>5378</v>
      </c>
      <c r="I2479" s="465" t="s">
        <v>830</v>
      </c>
    </row>
    <row r="2480" hidden="1" ht="15.95" customHeight="1">
      <c r="A2480" s="465" t="s">
        <v>5526</v>
      </c>
      <c r="B2480" s="465" t="s">
        <v>5527</v>
      </c>
      <c r="C2480" s="465"/>
      <c r="D2480" s="465" t="s">
        <v>855</v>
      </c>
      <c r="E2480" s="465" t="s">
        <v>5517</v>
      </c>
      <c r="F2480" s="465" t="s">
        <v>5518</v>
      </c>
      <c r="G2480" s="465" t="s">
        <v>5377</v>
      </c>
      <c r="H2480" s="465" t="s">
        <v>5378</v>
      </c>
      <c r="I2480" s="465" t="s">
        <v>830</v>
      </c>
    </row>
    <row r="2481" hidden="1" ht="15.95" customHeight="1">
      <c r="A2481" s="465" t="s">
        <v>5528</v>
      </c>
      <c r="B2481" s="465" t="s">
        <v>5529</v>
      </c>
      <c r="C2481" s="465"/>
      <c r="D2481" s="465" t="s">
        <v>855</v>
      </c>
      <c r="E2481" s="465" t="s">
        <v>5517</v>
      </c>
      <c r="F2481" s="465" t="s">
        <v>5518</v>
      </c>
      <c r="G2481" s="465" t="s">
        <v>5377</v>
      </c>
      <c r="H2481" s="465" t="s">
        <v>5378</v>
      </c>
      <c r="I2481" s="465" t="s">
        <v>830</v>
      </c>
    </row>
    <row r="2482" hidden="1" ht="15.95" customHeight="1">
      <c r="A2482" s="465" t="s">
        <v>5530</v>
      </c>
      <c r="B2482" s="465" t="s">
        <v>5531</v>
      </c>
      <c r="C2482" s="465"/>
      <c r="D2482" s="465" t="s">
        <v>855</v>
      </c>
      <c r="E2482" s="465" t="s">
        <v>5517</v>
      </c>
      <c r="F2482" s="465" t="s">
        <v>5518</v>
      </c>
      <c r="G2482" s="465" t="s">
        <v>5377</v>
      </c>
      <c r="H2482" s="465" t="s">
        <v>5378</v>
      </c>
      <c r="I2482" s="465" t="s">
        <v>830</v>
      </c>
    </row>
    <row r="2483" hidden="1" ht="15.95" customHeight="1">
      <c r="A2483" s="465" t="s">
        <v>5532</v>
      </c>
      <c r="B2483" s="465" t="s">
        <v>5533</v>
      </c>
      <c r="C2483" s="465"/>
      <c r="D2483" s="465" t="s">
        <v>855</v>
      </c>
      <c r="E2483" s="465" t="s">
        <v>5517</v>
      </c>
      <c r="F2483" s="465" t="s">
        <v>5518</v>
      </c>
      <c r="G2483" s="465" t="s">
        <v>5377</v>
      </c>
      <c r="H2483" s="465" t="s">
        <v>5378</v>
      </c>
      <c r="I2483" s="465" t="s">
        <v>830</v>
      </c>
    </row>
    <row r="2484" hidden="1" ht="15.95" customHeight="1">
      <c r="A2484" s="465" t="s">
        <v>5534</v>
      </c>
      <c r="B2484" s="465" t="s">
        <v>4674</v>
      </c>
      <c r="C2484" s="465"/>
      <c r="D2484" s="465" t="s">
        <v>855</v>
      </c>
      <c r="E2484" s="465" t="s">
        <v>5517</v>
      </c>
      <c r="F2484" s="465" t="s">
        <v>5518</v>
      </c>
      <c r="G2484" s="465" t="s">
        <v>5377</v>
      </c>
      <c r="H2484" s="465" t="s">
        <v>5378</v>
      </c>
      <c r="I2484" s="465" t="s">
        <v>830</v>
      </c>
    </row>
    <row r="2485" hidden="1" ht="15.95" customHeight="1">
      <c r="A2485" s="465" t="s">
        <v>5535</v>
      </c>
      <c r="B2485" s="465" t="s">
        <v>5536</v>
      </c>
      <c r="C2485" s="465"/>
      <c r="D2485" s="465" t="s">
        <v>855</v>
      </c>
      <c r="E2485" s="465" t="s">
        <v>5517</v>
      </c>
      <c r="F2485" s="465" t="s">
        <v>5518</v>
      </c>
      <c r="G2485" s="465" t="s">
        <v>5377</v>
      </c>
      <c r="H2485" s="465" t="s">
        <v>5378</v>
      </c>
      <c r="I2485" s="465" t="s">
        <v>830</v>
      </c>
    </row>
    <row r="2486" hidden="1" ht="15.95" customHeight="1">
      <c r="A2486" s="465" t="s">
        <v>5537</v>
      </c>
      <c r="B2486" s="465" t="s">
        <v>5538</v>
      </c>
      <c r="C2486" s="465"/>
      <c r="D2486" s="465" t="s">
        <v>855</v>
      </c>
      <c r="E2486" s="465" t="s">
        <v>5517</v>
      </c>
      <c r="F2486" s="465" t="s">
        <v>5518</v>
      </c>
      <c r="G2486" s="465" t="s">
        <v>5377</v>
      </c>
      <c r="H2486" s="465" t="s">
        <v>5378</v>
      </c>
      <c r="I2486" s="465" t="s">
        <v>830</v>
      </c>
    </row>
    <row r="2487" hidden="1" ht="15.95" customHeight="1">
      <c r="A2487" s="465" t="s">
        <v>5539</v>
      </c>
      <c r="B2487" s="465" t="s">
        <v>5540</v>
      </c>
      <c r="C2487" s="465"/>
      <c r="D2487" s="465" t="s">
        <v>825</v>
      </c>
      <c r="E2487" s="465" t="s">
        <v>5541</v>
      </c>
      <c r="F2487" s="465" t="s">
        <v>5542</v>
      </c>
      <c r="G2487" s="465" t="s">
        <v>5543</v>
      </c>
      <c r="H2487" s="465" t="s">
        <v>5544</v>
      </c>
      <c r="I2487" s="465" t="s">
        <v>830</v>
      </c>
    </row>
    <row r="2488" hidden="1" ht="15.95" customHeight="1">
      <c r="A2488" s="465" t="s">
        <v>5545</v>
      </c>
      <c r="B2488" s="465" t="s">
        <v>5546</v>
      </c>
      <c r="C2488" s="465"/>
      <c r="D2488" s="465" t="s">
        <v>825</v>
      </c>
      <c r="E2488" s="465" t="s">
        <v>5541</v>
      </c>
      <c r="F2488" s="465" t="s">
        <v>5542</v>
      </c>
      <c r="G2488" s="465" t="s">
        <v>5543</v>
      </c>
      <c r="H2488" s="465" t="s">
        <v>5544</v>
      </c>
      <c r="I2488" s="465" t="s">
        <v>830</v>
      </c>
    </row>
    <row r="2489" hidden="1" ht="15.95" customHeight="1">
      <c r="A2489" s="465" t="s">
        <v>5547</v>
      </c>
      <c r="B2489" s="465" t="s">
        <v>5548</v>
      </c>
      <c r="C2489" s="465"/>
      <c r="D2489" s="465" t="s">
        <v>825</v>
      </c>
      <c r="E2489" s="465" t="s">
        <v>5541</v>
      </c>
      <c r="F2489" s="465" t="s">
        <v>5542</v>
      </c>
      <c r="G2489" s="465" t="s">
        <v>5543</v>
      </c>
      <c r="H2489" s="465" t="s">
        <v>5544</v>
      </c>
      <c r="I2489" s="465" t="s">
        <v>830</v>
      </c>
    </row>
    <row r="2490" hidden="1" ht="15.95" customHeight="1">
      <c r="A2490" s="465" t="s">
        <v>5549</v>
      </c>
      <c r="B2490" s="465" t="s">
        <v>5550</v>
      </c>
      <c r="C2490" s="465"/>
      <c r="D2490" s="465" t="s">
        <v>825</v>
      </c>
      <c r="E2490" s="465" t="s">
        <v>5541</v>
      </c>
      <c r="F2490" s="465" t="s">
        <v>5542</v>
      </c>
      <c r="G2490" s="465" t="s">
        <v>5543</v>
      </c>
      <c r="H2490" s="465" t="s">
        <v>5544</v>
      </c>
      <c r="I2490" s="465" t="s">
        <v>830</v>
      </c>
    </row>
    <row r="2491" hidden="1" ht="15.95" customHeight="1">
      <c r="A2491" s="465" t="s">
        <v>5551</v>
      </c>
      <c r="B2491" s="465" t="s">
        <v>5552</v>
      </c>
      <c r="C2491" s="465"/>
      <c r="D2491" s="465" t="s">
        <v>825</v>
      </c>
      <c r="E2491" s="465" t="s">
        <v>5541</v>
      </c>
      <c r="F2491" s="465" t="s">
        <v>5542</v>
      </c>
      <c r="G2491" s="465" t="s">
        <v>5543</v>
      </c>
      <c r="H2491" s="465" t="s">
        <v>5544</v>
      </c>
      <c r="I2491" s="465" t="s">
        <v>830</v>
      </c>
    </row>
    <row r="2492" hidden="1" ht="15.95" customHeight="1">
      <c r="A2492" s="465" t="s">
        <v>5553</v>
      </c>
      <c r="B2492" s="465" t="s">
        <v>5554</v>
      </c>
      <c r="C2492" s="465"/>
      <c r="D2492" s="465" t="s">
        <v>855</v>
      </c>
      <c r="E2492" s="465" t="s">
        <v>5541</v>
      </c>
      <c r="F2492" s="465" t="s">
        <v>5542</v>
      </c>
      <c r="G2492" s="465" t="s">
        <v>5543</v>
      </c>
      <c r="H2492" s="465" t="s">
        <v>5544</v>
      </c>
      <c r="I2492" s="465" t="s">
        <v>830</v>
      </c>
    </row>
    <row r="2493" hidden="1" ht="15.95" customHeight="1">
      <c r="A2493" s="465" t="s">
        <v>5555</v>
      </c>
      <c r="B2493" s="465" t="s">
        <v>5556</v>
      </c>
      <c r="C2493" s="465"/>
      <c r="D2493" s="465" t="s">
        <v>855</v>
      </c>
      <c r="E2493" s="465" t="s">
        <v>5541</v>
      </c>
      <c r="F2493" s="465" t="s">
        <v>5542</v>
      </c>
      <c r="G2493" s="465" t="s">
        <v>5543</v>
      </c>
      <c r="H2493" s="465" t="s">
        <v>5544</v>
      </c>
      <c r="I2493" s="465" t="s">
        <v>830</v>
      </c>
    </row>
    <row r="2494" hidden="1" ht="15.95" customHeight="1">
      <c r="A2494" s="465" t="s">
        <v>5557</v>
      </c>
      <c r="B2494" s="465" t="s">
        <v>1030</v>
      </c>
      <c r="C2494" s="465" t="s">
        <v>5558</v>
      </c>
      <c r="D2494" s="465" t="s">
        <v>855</v>
      </c>
      <c r="E2494" s="465" t="s">
        <v>5541</v>
      </c>
      <c r="F2494" s="465" t="s">
        <v>5542</v>
      </c>
      <c r="G2494" s="465" t="s">
        <v>5543</v>
      </c>
      <c r="H2494" s="465" t="s">
        <v>5544</v>
      </c>
      <c r="I2494" s="465" t="s">
        <v>830</v>
      </c>
    </row>
    <row r="2495" hidden="1" ht="15.95" customHeight="1">
      <c r="A2495" s="465" t="s">
        <v>5559</v>
      </c>
      <c r="B2495" s="465" t="s">
        <v>5560</v>
      </c>
      <c r="C2495" s="465"/>
      <c r="D2495" s="465" t="s">
        <v>855</v>
      </c>
      <c r="E2495" s="465" t="s">
        <v>5541</v>
      </c>
      <c r="F2495" s="465" t="s">
        <v>5542</v>
      </c>
      <c r="G2495" s="465" t="s">
        <v>5543</v>
      </c>
      <c r="H2495" s="465" t="s">
        <v>5544</v>
      </c>
      <c r="I2495" s="465" t="s">
        <v>830</v>
      </c>
    </row>
    <row r="2496" hidden="1" ht="15.95" customHeight="1">
      <c r="A2496" s="465" t="s">
        <v>5561</v>
      </c>
      <c r="B2496" s="465" t="s">
        <v>5562</v>
      </c>
      <c r="C2496" s="465" t="s">
        <v>5563</v>
      </c>
      <c r="D2496" s="465" t="s">
        <v>825</v>
      </c>
      <c r="E2496" s="465" t="s">
        <v>5564</v>
      </c>
      <c r="F2496" s="465" t="s">
        <v>5565</v>
      </c>
      <c r="G2496" s="465" t="s">
        <v>5543</v>
      </c>
      <c r="H2496" s="465" t="s">
        <v>5544</v>
      </c>
      <c r="I2496" s="465" t="s">
        <v>830</v>
      </c>
    </row>
    <row r="2497" hidden="1" ht="15.95" customHeight="1">
      <c r="A2497" s="465" t="s">
        <v>5566</v>
      </c>
      <c r="B2497" s="465" t="s">
        <v>5567</v>
      </c>
      <c r="C2497" s="465" t="s">
        <v>5568</v>
      </c>
      <c r="D2497" s="465" t="s">
        <v>825</v>
      </c>
      <c r="E2497" s="465" t="s">
        <v>5564</v>
      </c>
      <c r="F2497" s="465" t="s">
        <v>5565</v>
      </c>
      <c r="G2497" s="465" t="s">
        <v>5543</v>
      </c>
      <c r="H2497" s="465" t="s">
        <v>5544</v>
      </c>
      <c r="I2497" s="465" t="s">
        <v>830</v>
      </c>
    </row>
    <row r="2498" hidden="1" ht="15.95" customHeight="1">
      <c r="A2498" s="465" t="s">
        <v>5569</v>
      </c>
      <c r="B2498" s="465" t="s">
        <v>1990</v>
      </c>
      <c r="C2498" s="465" t="s">
        <v>5570</v>
      </c>
      <c r="D2498" s="465" t="s">
        <v>825</v>
      </c>
      <c r="E2498" s="465" t="s">
        <v>5564</v>
      </c>
      <c r="F2498" s="465" t="s">
        <v>5565</v>
      </c>
      <c r="G2498" s="465" t="s">
        <v>5543</v>
      </c>
      <c r="H2498" s="465" t="s">
        <v>5544</v>
      </c>
      <c r="I2498" s="465" t="s">
        <v>830</v>
      </c>
    </row>
    <row r="2499" hidden="1" ht="15.95" customHeight="1">
      <c r="A2499" s="465" t="s">
        <v>5571</v>
      </c>
      <c r="B2499" s="465" t="s">
        <v>5572</v>
      </c>
      <c r="C2499" s="465" t="s">
        <v>5573</v>
      </c>
      <c r="D2499" s="465" t="s">
        <v>855</v>
      </c>
      <c r="E2499" s="465" t="s">
        <v>5564</v>
      </c>
      <c r="F2499" s="465" t="s">
        <v>5565</v>
      </c>
      <c r="G2499" s="465" t="s">
        <v>5543</v>
      </c>
      <c r="H2499" s="465" t="s">
        <v>5544</v>
      </c>
      <c r="I2499" s="465" t="s">
        <v>830</v>
      </c>
    </row>
    <row r="2500" hidden="1" ht="15.95" customHeight="1">
      <c r="A2500" s="465" t="s">
        <v>5574</v>
      </c>
      <c r="B2500" s="465" t="s">
        <v>5575</v>
      </c>
      <c r="C2500" s="465"/>
      <c r="D2500" s="465" t="s">
        <v>855</v>
      </c>
      <c r="E2500" s="465" t="s">
        <v>5564</v>
      </c>
      <c r="F2500" s="465" t="s">
        <v>5565</v>
      </c>
      <c r="G2500" s="465" t="s">
        <v>5543</v>
      </c>
      <c r="H2500" s="465" t="s">
        <v>5544</v>
      </c>
      <c r="I2500" s="465" t="s">
        <v>830</v>
      </c>
    </row>
    <row r="2501" hidden="1" ht="15.95" customHeight="1">
      <c r="A2501" s="465" t="s">
        <v>5576</v>
      </c>
      <c r="B2501" s="465" t="s">
        <v>1164</v>
      </c>
      <c r="C2501" s="465"/>
      <c r="D2501" s="465" t="s">
        <v>855</v>
      </c>
      <c r="E2501" s="465" t="s">
        <v>5564</v>
      </c>
      <c r="F2501" s="465" t="s">
        <v>5565</v>
      </c>
      <c r="G2501" s="465" t="s">
        <v>5543</v>
      </c>
      <c r="H2501" s="465" t="s">
        <v>5544</v>
      </c>
      <c r="I2501" s="465" t="s">
        <v>830</v>
      </c>
    </row>
    <row r="2502" hidden="1" ht="15.95" customHeight="1">
      <c r="A2502" s="465" t="s">
        <v>5577</v>
      </c>
      <c r="B2502" s="465" t="s">
        <v>5578</v>
      </c>
      <c r="C2502" s="465"/>
      <c r="D2502" s="465" t="s">
        <v>884</v>
      </c>
      <c r="E2502" s="465" t="s">
        <v>5579</v>
      </c>
      <c r="F2502" s="465" t="s">
        <v>5580</v>
      </c>
      <c r="G2502" s="465" t="s">
        <v>5543</v>
      </c>
      <c r="H2502" s="465" t="s">
        <v>5544</v>
      </c>
      <c r="I2502" s="465" t="s">
        <v>830</v>
      </c>
    </row>
    <row r="2503" hidden="1" ht="15.95" customHeight="1">
      <c r="A2503" s="465" t="s">
        <v>5581</v>
      </c>
      <c r="B2503" s="465" t="s">
        <v>1722</v>
      </c>
      <c r="C2503" s="465"/>
      <c r="D2503" s="465" t="s">
        <v>855</v>
      </c>
      <c r="E2503" s="465" t="s">
        <v>5579</v>
      </c>
      <c r="F2503" s="465" t="s">
        <v>5580</v>
      </c>
      <c r="G2503" s="465" t="s">
        <v>5543</v>
      </c>
      <c r="H2503" s="465" t="s">
        <v>5544</v>
      </c>
      <c r="I2503" s="465" t="s">
        <v>830</v>
      </c>
    </row>
    <row r="2504" hidden="1" ht="15.95" customHeight="1">
      <c r="A2504" s="465" t="s">
        <v>5582</v>
      </c>
      <c r="B2504" s="465" t="s">
        <v>5583</v>
      </c>
      <c r="C2504" s="465"/>
      <c r="D2504" s="465" t="s">
        <v>884</v>
      </c>
      <c r="E2504" s="465" t="s">
        <v>5579</v>
      </c>
      <c r="F2504" s="465" t="s">
        <v>5580</v>
      </c>
      <c r="G2504" s="465" t="s">
        <v>5543</v>
      </c>
      <c r="H2504" s="465" t="s">
        <v>5544</v>
      </c>
      <c r="I2504" s="465" t="s">
        <v>830</v>
      </c>
    </row>
    <row r="2505" hidden="1" ht="15.95" customHeight="1">
      <c r="A2505" s="465" t="s">
        <v>5584</v>
      </c>
      <c r="B2505" s="465" t="s">
        <v>5585</v>
      </c>
      <c r="C2505" s="465"/>
      <c r="D2505" s="465" t="s">
        <v>855</v>
      </c>
      <c r="E2505" s="465" t="s">
        <v>5579</v>
      </c>
      <c r="F2505" s="465" t="s">
        <v>5580</v>
      </c>
      <c r="G2505" s="465" t="s">
        <v>5543</v>
      </c>
      <c r="H2505" s="465" t="s">
        <v>5544</v>
      </c>
      <c r="I2505" s="465" t="s">
        <v>830</v>
      </c>
    </row>
    <row r="2506" hidden="1" ht="15.95" customHeight="1">
      <c r="A2506" s="465" t="s">
        <v>5586</v>
      </c>
      <c r="B2506" s="465" t="s">
        <v>5587</v>
      </c>
      <c r="C2506" s="465"/>
      <c r="D2506" s="465" t="s">
        <v>855</v>
      </c>
      <c r="E2506" s="465" t="s">
        <v>5579</v>
      </c>
      <c r="F2506" s="465" t="s">
        <v>5580</v>
      </c>
      <c r="G2506" s="465" t="s">
        <v>5543</v>
      </c>
      <c r="H2506" s="465" t="s">
        <v>5544</v>
      </c>
      <c r="I2506" s="465" t="s">
        <v>830</v>
      </c>
    </row>
    <row r="2507" hidden="1" ht="15.95" customHeight="1">
      <c r="A2507" s="465" t="s">
        <v>5588</v>
      </c>
      <c r="B2507" s="465" t="s">
        <v>5589</v>
      </c>
      <c r="C2507" s="465"/>
      <c r="D2507" s="465" t="s">
        <v>855</v>
      </c>
      <c r="E2507" s="465" t="s">
        <v>5579</v>
      </c>
      <c r="F2507" s="465" t="s">
        <v>5580</v>
      </c>
      <c r="G2507" s="465" t="s">
        <v>5543</v>
      </c>
      <c r="H2507" s="465" t="s">
        <v>5544</v>
      </c>
      <c r="I2507" s="465" t="s">
        <v>830</v>
      </c>
    </row>
    <row r="2508" hidden="1" ht="15.95" customHeight="1">
      <c r="A2508" s="465" t="s">
        <v>5590</v>
      </c>
      <c r="B2508" s="465" t="s">
        <v>5591</v>
      </c>
      <c r="C2508" s="465"/>
      <c r="D2508" s="465" t="s">
        <v>884</v>
      </c>
      <c r="E2508" s="465" t="s">
        <v>5579</v>
      </c>
      <c r="F2508" s="465" t="s">
        <v>5580</v>
      </c>
      <c r="G2508" s="465" t="s">
        <v>5543</v>
      </c>
      <c r="H2508" s="465" t="s">
        <v>5544</v>
      </c>
      <c r="I2508" s="465" t="s">
        <v>830</v>
      </c>
    </row>
    <row r="2509" hidden="1" ht="15.95" customHeight="1">
      <c r="A2509" s="465" t="s">
        <v>5592</v>
      </c>
      <c r="B2509" s="465" t="s">
        <v>5593</v>
      </c>
      <c r="C2509" s="465"/>
      <c r="D2509" s="465" t="s">
        <v>855</v>
      </c>
      <c r="E2509" s="465" t="s">
        <v>5579</v>
      </c>
      <c r="F2509" s="465" t="s">
        <v>5580</v>
      </c>
      <c r="G2509" s="465" t="s">
        <v>5543</v>
      </c>
      <c r="H2509" s="465" t="s">
        <v>5544</v>
      </c>
      <c r="I2509" s="465" t="s">
        <v>830</v>
      </c>
    </row>
    <row r="2510" hidden="1" ht="15.95" customHeight="1">
      <c r="A2510" s="465" t="s">
        <v>5594</v>
      </c>
      <c r="B2510" s="465" t="s">
        <v>5595</v>
      </c>
      <c r="C2510" s="465"/>
      <c r="D2510" s="465" t="s">
        <v>884</v>
      </c>
      <c r="E2510" s="465" t="s">
        <v>5579</v>
      </c>
      <c r="F2510" s="465" t="s">
        <v>5580</v>
      </c>
      <c r="G2510" s="465" t="s">
        <v>5543</v>
      </c>
      <c r="H2510" s="465" t="s">
        <v>5544</v>
      </c>
      <c r="I2510" s="465" t="s">
        <v>830</v>
      </c>
    </row>
    <row r="2511" hidden="1" ht="15.95" customHeight="1">
      <c r="A2511" s="465" t="s">
        <v>5596</v>
      </c>
      <c r="B2511" s="465" t="s">
        <v>5597</v>
      </c>
      <c r="C2511" s="465"/>
      <c r="D2511" s="465" t="s">
        <v>855</v>
      </c>
      <c r="E2511" s="465" t="s">
        <v>5579</v>
      </c>
      <c r="F2511" s="465" t="s">
        <v>5580</v>
      </c>
      <c r="G2511" s="465" t="s">
        <v>5543</v>
      </c>
      <c r="H2511" s="465" t="s">
        <v>5544</v>
      </c>
      <c r="I2511" s="465" t="s">
        <v>830</v>
      </c>
    </row>
    <row r="2512" hidden="1" ht="15.95" customHeight="1">
      <c r="A2512" s="465" t="s">
        <v>5598</v>
      </c>
      <c r="B2512" s="465" t="s">
        <v>5599</v>
      </c>
      <c r="C2512" s="465"/>
      <c r="D2512" s="465" t="s">
        <v>884</v>
      </c>
      <c r="E2512" s="465" t="s">
        <v>5600</v>
      </c>
      <c r="F2512" s="465" t="s">
        <v>1883</v>
      </c>
      <c r="G2512" s="465" t="s">
        <v>5543</v>
      </c>
      <c r="H2512" s="465" t="s">
        <v>5544</v>
      </c>
      <c r="I2512" s="465" t="s">
        <v>830</v>
      </c>
    </row>
    <row r="2513" hidden="1" ht="15.95" customHeight="1">
      <c r="A2513" s="465" t="s">
        <v>5601</v>
      </c>
      <c r="B2513" s="465" t="s">
        <v>3126</v>
      </c>
      <c r="C2513" s="465"/>
      <c r="D2513" s="465" t="s">
        <v>855</v>
      </c>
      <c r="E2513" s="465" t="s">
        <v>5600</v>
      </c>
      <c r="F2513" s="465" t="s">
        <v>1883</v>
      </c>
      <c r="G2513" s="465" t="s">
        <v>5543</v>
      </c>
      <c r="H2513" s="465" t="s">
        <v>5544</v>
      </c>
      <c r="I2513" s="465" t="s">
        <v>830</v>
      </c>
    </row>
    <row r="2514" hidden="1" ht="15.95" customHeight="1">
      <c r="A2514" s="465" t="s">
        <v>5602</v>
      </c>
      <c r="B2514" s="465" t="s">
        <v>2076</v>
      </c>
      <c r="C2514" s="465"/>
      <c r="D2514" s="465" t="s">
        <v>855</v>
      </c>
      <c r="E2514" s="465" t="s">
        <v>5600</v>
      </c>
      <c r="F2514" s="465" t="s">
        <v>1883</v>
      </c>
      <c r="G2514" s="465" t="s">
        <v>5543</v>
      </c>
      <c r="H2514" s="465" t="s">
        <v>5544</v>
      </c>
      <c r="I2514" s="465" t="s">
        <v>830</v>
      </c>
    </row>
    <row r="2515" hidden="1" ht="15.95" customHeight="1">
      <c r="A2515" s="465" t="s">
        <v>5603</v>
      </c>
      <c r="B2515" s="465" t="s">
        <v>5604</v>
      </c>
      <c r="C2515" s="465"/>
      <c r="D2515" s="465" t="s">
        <v>855</v>
      </c>
      <c r="E2515" s="465" t="s">
        <v>5600</v>
      </c>
      <c r="F2515" s="465" t="s">
        <v>1883</v>
      </c>
      <c r="G2515" s="465" t="s">
        <v>5543</v>
      </c>
      <c r="H2515" s="465" t="s">
        <v>5544</v>
      </c>
      <c r="I2515" s="465" t="s">
        <v>830</v>
      </c>
    </row>
    <row r="2516" hidden="1" ht="15.95" customHeight="1">
      <c r="A2516" s="465" t="s">
        <v>5605</v>
      </c>
      <c r="B2516" s="465" t="s">
        <v>2507</v>
      </c>
      <c r="C2516" s="465"/>
      <c r="D2516" s="465" t="s">
        <v>855</v>
      </c>
      <c r="E2516" s="465" t="s">
        <v>5600</v>
      </c>
      <c r="F2516" s="465" t="s">
        <v>1883</v>
      </c>
      <c r="G2516" s="465" t="s">
        <v>5543</v>
      </c>
      <c r="H2516" s="465" t="s">
        <v>5544</v>
      </c>
      <c r="I2516" s="465" t="s">
        <v>830</v>
      </c>
    </row>
    <row r="2517" hidden="1" ht="15.95" customHeight="1">
      <c r="A2517" s="465" t="s">
        <v>5606</v>
      </c>
      <c r="B2517" s="465" t="s">
        <v>2336</v>
      </c>
      <c r="C2517" s="465"/>
      <c r="D2517" s="465" t="s">
        <v>855</v>
      </c>
      <c r="E2517" s="465" t="s">
        <v>5600</v>
      </c>
      <c r="F2517" s="465" t="s">
        <v>1883</v>
      </c>
      <c r="G2517" s="465" t="s">
        <v>5543</v>
      </c>
      <c r="H2517" s="465" t="s">
        <v>5544</v>
      </c>
      <c r="I2517" s="465" t="s">
        <v>830</v>
      </c>
    </row>
    <row r="2518" hidden="1" ht="15.95" customHeight="1">
      <c r="A2518" s="465" t="s">
        <v>5607</v>
      </c>
      <c r="B2518" s="465" t="s">
        <v>5608</v>
      </c>
      <c r="C2518" s="465"/>
      <c r="D2518" s="465" t="s">
        <v>884</v>
      </c>
      <c r="E2518" s="465" t="s">
        <v>5600</v>
      </c>
      <c r="F2518" s="465" t="s">
        <v>1883</v>
      </c>
      <c r="G2518" s="465" t="s">
        <v>5543</v>
      </c>
      <c r="H2518" s="465" t="s">
        <v>5544</v>
      </c>
      <c r="I2518" s="465" t="s">
        <v>830</v>
      </c>
    </row>
    <row r="2519" hidden="1" ht="15.95" customHeight="1">
      <c r="A2519" s="465" t="s">
        <v>5609</v>
      </c>
      <c r="B2519" s="465" t="s">
        <v>5610</v>
      </c>
      <c r="C2519" s="465"/>
      <c r="D2519" s="465" t="s">
        <v>855</v>
      </c>
      <c r="E2519" s="465" t="s">
        <v>5600</v>
      </c>
      <c r="F2519" s="465" t="s">
        <v>1883</v>
      </c>
      <c r="G2519" s="465" t="s">
        <v>5543</v>
      </c>
      <c r="H2519" s="465" t="s">
        <v>5544</v>
      </c>
      <c r="I2519" s="465" t="s">
        <v>830</v>
      </c>
    </row>
    <row r="2520" hidden="1" ht="15.95" customHeight="1">
      <c r="A2520" s="465" t="s">
        <v>5611</v>
      </c>
      <c r="B2520" s="465" t="s">
        <v>5612</v>
      </c>
      <c r="C2520" s="465"/>
      <c r="D2520" s="465" t="s">
        <v>855</v>
      </c>
      <c r="E2520" s="465" t="s">
        <v>5600</v>
      </c>
      <c r="F2520" s="465" t="s">
        <v>1883</v>
      </c>
      <c r="G2520" s="465" t="s">
        <v>5543</v>
      </c>
      <c r="H2520" s="465" t="s">
        <v>5544</v>
      </c>
      <c r="I2520" s="465" t="s">
        <v>830</v>
      </c>
    </row>
    <row r="2521" hidden="1" ht="15.95" customHeight="1">
      <c r="A2521" s="465" t="s">
        <v>5613</v>
      </c>
      <c r="B2521" s="465" t="s">
        <v>5614</v>
      </c>
      <c r="C2521" s="465"/>
      <c r="D2521" s="465" t="s">
        <v>884</v>
      </c>
      <c r="E2521" s="465" t="s">
        <v>5615</v>
      </c>
      <c r="F2521" s="465" t="s">
        <v>5616</v>
      </c>
      <c r="G2521" s="465" t="s">
        <v>5543</v>
      </c>
      <c r="H2521" s="465" t="s">
        <v>5544</v>
      </c>
      <c r="I2521" s="465" t="s">
        <v>830</v>
      </c>
    </row>
    <row r="2522" hidden="1" ht="15.95" customHeight="1">
      <c r="A2522" s="465" t="s">
        <v>5617</v>
      </c>
      <c r="B2522" s="465" t="s">
        <v>5618</v>
      </c>
      <c r="C2522" s="465"/>
      <c r="D2522" s="465" t="s">
        <v>884</v>
      </c>
      <c r="E2522" s="465" t="s">
        <v>5615</v>
      </c>
      <c r="F2522" s="465" t="s">
        <v>5616</v>
      </c>
      <c r="G2522" s="465" t="s">
        <v>5543</v>
      </c>
      <c r="H2522" s="465" t="s">
        <v>5544</v>
      </c>
      <c r="I2522" s="465" t="s">
        <v>830</v>
      </c>
    </row>
    <row r="2523" hidden="1" ht="15.95" customHeight="1">
      <c r="A2523" s="465" t="s">
        <v>5619</v>
      </c>
      <c r="B2523" s="465" t="s">
        <v>1033</v>
      </c>
      <c r="C2523" s="465"/>
      <c r="D2523" s="465" t="s">
        <v>855</v>
      </c>
      <c r="E2523" s="465" t="s">
        <v>5615</v>
      </c>
      <c r="F2523" s="465" t="s">
        <v>5616</v>
      </c>
      <c r="G2523" s="465" t="s">
        <v>5543</v>
      </c>
      <c r="H2523" s="465" t="s">
        <v>5544</v>
      </c>
      <c r="I2523" s="465" t="s">
        <v>830</v>
      </c>
    </row>
    <row r="2524" hidden="1" ht="15.95" customHeight="1">
      <c r="A2524" s="465" t="s">
        <v>5620</v>
      </c>
      <c r="B2524" s="465" t="s">
        <v>3360</v>
      </c>
      <c r="C2524" s="465"/>
      <c r="D2524" s="465" t="s">
        <v>855</v>
      </c>
      <c r="E2524" s="465" t="s">
        <v>5615</v>
      </c>
      <c r="F2524" s="465" t="s">
        <v>5616</v>
      </c>
      <c r="G2524" s="465" t="s">
        <v>5543</v>
      </c>
      <c r="H2524" s="465" t="s">
        <v>5544</v>
      </c>
      <c r="I2524" s="465" t="s">
        <v>830</v>
      </c>
    </row>
    <row r="2525" hidden="1" ht="15.95" customHeight="1">
      <c r="A2525" s="465" t="s">
        <v>5621</v>
      </c>
      <c r="B2525" s="465" t="s">
        <v>3417</v>
      </c>
      <c r="C2525" s="465"/>
      <c r="D2525" s="465" t="s">
        <v>855</v>
      </c>
      <c r="E2525" s="465" t="s">
        <v>5615</v>
      </c>
      <c r="F2525" s="465" t="s">
        <v>5616</v>
      </c>
      <c r="G2525" s="465" t="s">
        <v>5543</v>
      </c>
      <c r="H2525" s="465" t="s">
        <v>5544</v>
      </c>
      <c r="I2525" s="465" t="s">
        <v>830</v>
      </c>
    </row>
    <row r="2526" hidden="1" ht="15.95" customHeight="1">
      <c r="A2526" s="465" t="s">
        <v>5622</v>
      </c>
      <c r="B2526" s="465" t="s">
        <v>3441</v>
      </c>
      <c r="C2526" s="465"/>
      <c r="D2526" s="465" t="s">
        <v>855</v>
      </c>
      <c r="E2526" s="465" t="s">
        <v>5615</v>
      </c>
      <c r="F2526" s="465" t="s">
        <v>5616</v>
      </c>
      <c r="G2526" s="465" t="s">
        <v>5543</v>
      </c>
      <c r="H2526" s="465" t="s">
        <v>5544</v>
      </c>
      <c r="I2526" s="465" t="s">
        <v>830</v>
      </c>
    </row>
    <row r="2527" hidden="1" ht="15.95" customHeight="1">
      <c r="A2527" s="465" t="s">
        <v>5623</v>
      </c>
      <c r="B2527" s="465" t="s">
        <v>5624</v>
      </c>
      <c r="C2527" s="465"/>
      <c r="D2527" s="465" t="s">
        <v>855</v>
      </c>
      <c r="E2527" s="465" t="s">
        <v>5615</v>
      </c>
      <c r="F2527" s="465" t="s">
        <v>5616</v>
      </c>
      <c r="G2527" s="465" t="s">
        <v>5543</v>
      </c>
      <c r="H2527" s="465" t="s">
        <v>5544</v>
      </c>
      <c r="I2527" s="465" t="s">
        <v>830</v>
      </c>
    </row>
    <row r="2528" hidden="1" ht="15.95" customHeight="1">
      <c r="A2528" s="465" t="s">
        <v>5625</v>
      </c>
      <c r="B2528" s="465" t="s">
        <v>5626</v>
      </c>
      <c r="C2528" s="465"/>
      <c r="D2528" s="465" t="s">
        <v>855</v>
      </c>
      <c r="E2528" s="465" t="s">
        <v>5615</v>
      </c>
      <c r="F2528" s="465" t="s">
        <v>5616</v>
      </c>
      <c r="G2528" s="465" t="s">
        <v>5543</v>
      </c>
      <c r="H2528" s="465" t="s">
        <v>5544</v>
      </c>
      <c r="I2528" s="465" t="s">
        <v>830</v>
      </c>
    </row>
    <row r="2529" hidden="1" ht="15.95" customHeight="1">
      <c r="A2529" s="465" t="s">
        <v>5627</v>
      </c>
      <c r="B2529" s="465" t="s">
        <v>4572</v>
      </c>
      <c r="C2529" s="465"/>
      <c r="D2529" s="465" t="s">
        <v>855</v>
      </c>
      <c r="E2529" s="465" t="s">
        <v>5615</v>
      </c>
      <c r="F2529" s="465" t="s">
        <v>5616</v>
      </c>
      <c r="G2529" s="465" t="s">
        <v>5543</v>
      </c>
      <c r="H2529" s="465" t="s">
        <v>5544</v>
      </c>
      <c r="I2529" s="465" t="s">
        <v>830</v>
      </c>
    </row>
    <row r="2530" hidden="1" ht="15.95" customHeight="1">
      <c r="A2530" s="465" t="s">
        <v>5628</v>
      </c>
      <c r="B2530" s="465" t="s">
        <v>5629</v>
      </c>
      <c r="C2530" s="465"/>
      <c r="D2530" s="465" t="s">
        <v>855</v>
      </c>
      <c r="E2530" s="465" t="s">
        <v>5615</v>
      </c>
      <c r="F2530" s="465" t="s">
        <v>5616</v>
      </c>
      <c r="G2530" s="465" t="s">
        <v>5543</v>
      </c>
      <c r="H2530" s="465" t="s">
        <v>5544</v>
      </c>
      <c r="I2530" s="465" t="s">
        <v>830</v>
      </c>
    </row>
    <row r="2531" hidden="1" ht="15.95" customHeight="1">
      <c r="A2531" s="465" t="s">
        <v>5630</v>
      </c>
      <c r="B2531" s="465" t="s">
        <v>5631</v>
      </c>
      <c r="C2531" s="465"/>
      <c r="D2531" s="465" t="s">
        <v>855</v>
      </c>
      <c r="E2531" s="465" t="s">
        <v>5615</v>
      </c>
      <c r="F2531" s="465" t="s">
        <v>5616</v>
      </c>
      <c r="G2531" s="465" t="s">
        <v>5543</v>
      </c>
      <c r="H2531" s="465" t="s">
        <v>5544</v>
      </c>
      <c r="I2531" s="465" t="s">
        <v>830</v>
      </c>
    </row>
    <row r="2532" hidden="1" ht="15.95" customHeight="1">
      <c r="A2532" s="465" t="s">
        <v>5632</v>
      </c>
      <c r="B2532" s="465" t="s">
        <v>5633</v>
      </c>
      <c r="C2532" s="465"/>
      <c r="D2532" s="465" t="s">
        <v>855</v>
      </c>
      <c r="E2532" s="465" t="s">
        <v>5615</v>
      </c>
      <c r="F2532" s="465" t="s">
        <v>5616</v>
      </c>
      <c r="G2532" s="465" t="s">
        <v>5543</v>
      </c>
      <c r="H2532" s="465" t="s">
        <v>5544</v>
      </c>
      <c r="I2532" s="465" t="s">
        <v>830</v>
      </c>
    </row>
    <row r="2533" hidden="1" ht="15.95" customHeight="1">
      <c r="A2533" s="465" t="s">
        <v>5634</v>
      </c>
      <c r="B2533" s="465" t="s">
        <v>5635</v>
      </c>
      <c r="C2533" s="465"/>
      <c r="D2533" s="465" t="s">
        <v>884</v>
      </c>
      <c r="E2533" s="465" t="s">
        <v>5615</v>
      </c>
      <c r="F2533" s="465" t="s">
        <v>5616</v>
      </c>
      <c r="G2533" s="465" t="s">
        <v>5543</v>
      </c>
      <c r="H2533" s="465" t="s">
        <v>5544</v>
      </c>
      <c r="I2533" s="465" t="s">
        <v>830</v>
      </c>
    </row>
    <row r="2534" hidden="1" ht="15.95" customHeight="1">
      <c r="A2534" s="465" t="s">
        <v>5636</v>
      </c>
      <c r="B2534" s="465" t="s">
        <v>5637</v>
      </c>
      <c r="C2534" s="465"/>
      <c r="D2534" s="465" t="s">
        <v>855</v>
      </c>
      <c r="E2534" s="465" t="s">
        <v>5615</v>
      </c>
      <c r="F2534" s="465" t="s">
        <v>5616</v>
      </c>
      <c r="G2534" s="465" t="s">
        <v>5543</v>
      </c>
      <c r="H2534" s="465" t="s">
        <v>5544</v>
      </c>
      <c r="I2534" s="465" t="s">
        <v>830</v>
      </c>
    </row>
    <row r="2535" hidden="1" ht="15.95" customHeight="1">
      <c r="A2535" s="465" t="s">
        <v>5638</v>
      </c>
      <c r="B2535" s="465" t="s">
        <v>2095</v>
      </c>
      <c r="C2535" s="465"/>
      <c r="D2535" s="465" t="s">
        <v>855</v>
      </c>
      <c r="E2535" s="465" t="s">
        <v>5615</v>
      </c>
      <c r="F2535" s="465" t="s">
        <v>5616</v>
      </c>
      <c r="G2535" s="465" t="s">
        <v>5543</v>
      </c>
      <c r="H2535" s="465" t="s">
        <v>5544</v>
      </c>
      <c r="I2535" s="465" t="s">
        <v>830</v>
      </c>
    </row>
    <row r="2536" hidden="1" ht="15.95" customHeight="1">
      <c r="A2536" s="465" t="s">
        <v>5639</v>
      </c>
      <c r="B2536" s="465" t="s">
        <v>5640</v>
      </c>
      <c r="C2536" s="465"/>
      <c r="D2536" s="465" t="s">
        <v>884</v>
      </c>
      <c r="E2536" s="465" t="s">
        <v>5641</v>
      </c>
      <c r="F2536" s="465" t="s">
        <v>5642</v>
      </c>
      <c r="G2536" s="465" t="s">
        <v>5543</v>
      </c>
      <c r="H2536" s="465" t="s">
        <v>5544</v>
      </c>
      <c r="I2536" s="465" t="s">
        <v>830</v>
      </c>
    </row>
    <row r="2537" hidden="1" ht="15.95" customHeight="1">
      <c r="A2537" s="465" t="s">
        <v>5643</v>
      </c>
      <c r="B2537" s="465" t="s">
        <v>5644</v>
      </c>
      <c r="C2537" s="465"/>
      <c r="D2537" s="465" t="s">
        <v>855</v>
      </c>
      <c r="E2537" s="465" t="s">
        <v>5641</v>
      </c>
      <c r="F2537" s="465" t="s">
        <v>5642</v>
      </c>
      <c r="G2537" s="465" t="s">
        <v>5543</v>
      </c>
      <c r="H2537" s="465" t="s">
        <v>5544</v>
      </c>
      <c r="I2537" s="465" t="s">
        <v>830</v>
      </c>
    </row>
    <row r="2538" hidden="1" ht="15.95" customHeight="1">
      <c r="A2538" s="465" t="s">
        <v>5645</v>
      </c>
      <c r="B2538" s="465" t="s">
        <v>5646</v>
      </c>
      <c r="C2538" s="465"/>
      <c r="D2538" s="465" t="s">
        <v>855</v>
      </c>
      <c r="E2538" s="465" t="s">
        <v>5641</v>
      </c>
      <c r="F2538" s="465" t="s">
        <v>5642</v>
      </c>
      <c r="G2538" s="465" t="s">
        <v>5543</v>
      </c>
      <c r="H2538" s="465" t="s">
        <v>5544</v>
      </c>
      <c r="I2538" s="465" t="s">
        <v>830</v>
      </c>
    </row>
    <row r="2539" hidden="1" ht="15.95" customHeight="1">
      <c r="A2539" s="465" t="s">
        <v>5647</v>
      </c>
      <c r="B2539" s="465" t="s">
        <v>5648</v>
      </c>
      <c r="C2539" s="465"/>
      <c r="D2539" s="465" t="s">
        <v>855</v>
      </c>
      <c r="E2539" s="465" t="s">
        <v>5641</v>
      </c>
      <c r="F2539" s="465" t="s">
        <v>5642</v>
      </c>
      <c r="G2539" s="465" t="s">
        <v>5543</v>
      </c>
      <c r="H2539" s="465" t="s">
        <v>5544</v>
      </c>
      <c r="I2539" s="465" t="s">
        <v>830</v>
      </c>
    </row>
    <row r="2540" hidden="1" ht="15.95" customHeight="1">
      <c r="A2540" s="465" t="s">
        <v>5649</v>
      </c>
      <c r="B2540" s="465" t="s">
        <v>5650</v>
      </c>
      <c r="C2540" s="465"/>
      <c r="D2540" s="465" t="s">
        <v>855</v>
      </c>
      <c r="E2540" s="465" t="s">
        <v>5641</v>
      </c>
      <c r="F2540" s="465" t="s">
        <v>5642</v>
      </c>
      <c r="G2540" s="465" t="s">
        <v>5543</v>
      </c>
      <c r="H2540" s="465" t="s">
        <v>5544</v>
      </c>
      <c r="I2540" s="465" t="s">
        <v>830</v>
      </c>
    </row>
    <row r="2541" hidden="1" ht="15.95" customHeight="1">
      <c r="A2541" s="465" t="s">
        <v>5651</v>
      </c>
      <c r="B2541" s="465" t="s">
        <v>4965</v>
      </c>
      <c r="C2541" s="465"/>
      <c r="D2541" s="465" t="s">
        <v>855</v>
      </c>
      <c r="E2541" s="465" t="s">
        <v>5641</v>
      </c>
      <c r="F2541" s="465" t="s">
        <v>5642</v>
      </c>
      <c r="G2541" s="465" t="s">
        <v>5543</v>
      </c>
      <c r="H2541" s="465" t="s">
        <v>5544</v>
      </c>
      <c r="I2541" s="465" t="s">
        <v>830</v>
      </c>
    </row>
    <row r="2542" hidden="1" ht="15.95" customHeight="1">
      <c r="A2542" s="465" t="s">
        <v>5652</v>
      </c>
      <c r="B2542" s="465" t="s">
        <v>5653</v>
      </c>
      <c r="C2542" s="465"/>
      <c r="D2542" s="465" t="s">
        <v>855</v>
      </c>
      <c r="E2542" s="465" t="s">
        <v>5641</v>
      </c>
      <c r="F2542" s="465" t="s">
        <v>5642</v>
      </c>
      <c r="G2542" s="465" t="s">
        <v>5543</v>
      </c>
      <c r="H2542" s="465" t="s">
        <v>5544</v>
      </c>
      <c r="I2542" s="465" t="s">
        <v>830</v>
      </c>
    </row>
    <row r="2543" hidden="1" ht="15.95" customHeight="1">
      <c r="A2543" s="465" t="s">
        <v>5654</v>
      </c>
      <c r="B2543" s="465" t="s">
        <v>5655</v>
      </c>
      <c r="C2543" s="465"/>
      <c r="D2543" s="465" t="s">
        <v>855</v>
      </c>
      <c r="E2543" s="465" t="s">
        <v>5641</v>
      </c>
      <c r="F2543" s="465" t="s">
        <v>5642</v>
      </c>
      <c r="G2543" s="465" t="s">
        <v>5543</v>
      </c>
      <c r="H2543" s="465" t="s">
        <v>5544</v>
      </c>
      <c r="I2543" s="465" t="s">
        <v>830</v>
      </c>
    </row>
    <row r="2544" hidden="1" ht="15.95" customHeight="1">
      <c r="A2544" s="465" t="s">
        <v>5656</v>
      </c>
      <c r="B2544" s="465" t="s">
        <v>5657</v>
      </c>
      <c r="C2544" s="465"/>
      <c r="D2544" s="465" t="s">
        <v>855</v>
      </c>
      <c r="E2544" s="465" t="s">
        <v>5641</v>
      </c>
      <c r="F2544" s="465" t="s">
        <v>5642</v>
      </c>
      <c r="G2544" s="465" t="s">
        <v>5543</v>
      </c>
      <c r="H2544" s="465" t="s">
        <v>5544</v>
      </c>
      <c r="I2544" s="465" t="s">
        <v>830</v>
      </c>
    </row>
    <row r="2545" hidden="1" ht="15.95" customHeight="1">
      <c r="A2545" s="465" t="s">
        <v>5658</v>
      </c>
      <c r="B2545" s="465" t="s">
        <v>5659</v>
      </c>
      <c r="C2545" s="465"/>
      <c r="D2545" s="465" t="s">
        <v>855</v>
      </c>
      <c r="E2545" s="465" t="s">
        <v>5641</v>
      </c>
      <c r="F2545" s="465" t="s">
        <v>5642</v>
      </c>
      <c r="G2545" s="465" t="s">
        <v>5543</v>
      </c>
      <c r="H2545" s="465" t="s">
        <v>5544</v>
      </c>
      <c r="I2545" s="465" t="s">
        <v>830</v>
      </c>
    </row>
    <row r="2546" hidden="1" ht="15.95" customHeight="1">
      <c r="A2546" s="465" t="s">
        <v>5660</v>
      </c>
      <c r="B2546" s="465" t="s">
        <v>5661</v>
      </c>
      <c r="C2546" s="465"/>
      <c r="D2546" s="465" t="s">
        <v>855</v>
      </c>
      <c r="E2546" s="465" t="s">
        <v>5662</v>
      </c>
      <c r="F2546" s="465" t="s">
        <v>5663</v>
      </c>
      <c r="G2546" s="465" t="s">
        <v>5543</v>
      </c>
      <c r="H2546" s="465" t="s">
        <v>5544</v>
      </c>
      <c r="I2546" s="465" t="s">
        <v>830</v>
      </c>
    </row>
    <row r="2547" hidden="1" ht="15.95" customHeight="1">
      <c r="A2547" s="465" t="s">
        <v>5664</v>
      </c>
      <c r="B2547" s="465" t="s">
        <v>1112</v>
      </c>
      <c r="C2547" s="465" t="s">
        <v>5665</v>
      </c>
      <c r="D2547" s="465" t="s">
        <v>855</v>
      </c>
      <c r="E2547" s="465" t="s">
        <v>5662</v>
      </c>
      <c r="F2547" s="465" t="s">
        <v>5663</v>
      </c>
      <c r="G2547" s="465" t="s">
        <v>5543</v>
      </c>
      <c r="H2547" s="465" t="s">
        <v>5544</v>
      </c>
      <c r="I2547" s="465" t="s">
        <v>830</v>
      </c>
    </row>
    <row r="2548" hidden="1" ht="15.95" customHeight="1">
      <c r="A2548" s="465" t="s">
        <v>5666</v>
      </c>
      <c r="B2548" s="465" t="s">
        <v>5667</v>
      </c>
      <c r="C2548" s="465"/>
      <c r="D2548" s="465" t="s">
        <v>855</v>
      </c>
      <c r="E2548" s="465" t="s">
        <v>5662</v>
      </c>
      <c r="F2548" s="465" t="s">
        <v>5663</v>
      </c>
      <c r="G2548" s="465" t="s">
        <v>5543</v>
      </c>
      <c r="H2548" s="465" t="s">
        <v>5544</v>
      </c>
      <c r="I2548" s="465" t="s">
        <v>830</v>
      </c>
    </row>
    <row r="2549" hidden="1" ht="15.95" customHeight="1">
      <c r="A2549" s="465" t="s">
        <v>5668</v>
      </c>
      <c r="B2549" s="465" t="s">
        <v>5669</v>
      </c>
      <c r="C2549" s="465"/>
      <c r="D2549" s="465" t="s">
        <v>855</v>
      </c>
      <c r="E2549" s="465" t="s">
        <v>5662</v>
      </c>
      <c r="F2549" s="465" t="s">
        <v>5663</v>
      </c>
      <c r="G2549" s="465" t="s">
        <v>5543</v>
      </c>
      <c r="H2549" s="465" t="s">
        <v>5544</v>
      </c>
      <c r="I2549" s="465" t="s">
        <v>830</v>
      </c>
    </row>
    <row r="2550" hidden="1" ht="15.95" customHeight="1">
      <c r="A2550" s="465" t="s">
        <v>5670</v>
      </c>
      <c r="B2550" s="465" t="s">
        <v>5671</v>
      </c>
      <c r="C2550" s="465"/>
      <c r="D2550" s="465" t="s">
        <v>855</v>
      </c>
      <c r="E2550" s="465" t="s">
        <v>5662</v>
      </c>
      <c r="F2550" s="465" t="s">
        <v>5663</v>
      </c>
      <c r="G2550" s="465" t="s">
        <v>5543</v>
      </c>
      <c r="H2550" s="465" t="s">
        <v>5544</v>
      </c>
      <c r="I2550" s="465" t="s">
        <v>830</v>
      </c>
    </row>
    <row r="2551" hidden="1" ht="15.95" customHeight="1">
      <c r="A2551" s="465" t="s">
        <v>5672</v>
      </c>
      <c r="B2551" s="465" t="s">
        <v>5673</v>
      </c>
      <c r="C2551" s="465"/>
      <c r="D2551" s="465" t="s">
        <v>855</v>
      </c>
      <c r="E2551" s="465" t="s">
        <v>5662</v>
      </c>
      <c r="F2551" s="465" t="s">
        <v>5663</v>
      </c>
      <c r="G2551" s="465" t="s">
        <v>5543</v>
      </c>
      <c r="H2551" s="465" t="s">
        <v>5544</v>
      </c>
      <c r="I2551" s="465" t="s">
        <v>830</v>
      </c>
    </row>
    <row r="2552" hidden="1" ht="15.95" customHeight="1">
      <c r="A2552" s="465" t="s">
        <v>5674</v>
      </c>
      <c r="B2552" s="465" t="s">
        <v>5675</v>
      </c>
      <c r="C2552" s="465"/>
      <c r="D2552" s="465" t="s">
        <v>855</v>
      </c>
      <c r="E2552" s="465" t="s">
        <v>5662</v>
      </c>
      <c r="F2552" s="465" t="s">
        <v>5663</v>
      </c>
      <c r="G2552" s="465" t="s">
        <v>5543</v>
      </c>
      <c r="H2552" s="465" t="s">
        <v>5544</v>
      </c>
      <c r="I2552" s="465" t="s">
        <v>830</v>
      </c>
    </row>
    <row r="2553" hidden="1" ht="15.95" customHeight="1">
      <c r="A2553" s="465" t="s">
        <v>5676</v>
      </c>
      <c r="B2553" s="465" t="s">
        <v>5677</v>
      </c>
      <c r="C2553" s="465"/>
      <c r="D2553" s="465" t="s">
        <v>855</v>
      </c>
      <c r="E2553" s="465" t="s">
        <v>5662</v>
      </c>
      <c r="F2553" s="465" t="s">
        <v>5663</v>
      </c>
      <c r="G2553" s="465" t="s">
        <v>5543</v>
      </c>
      <c r="H2553" s="465" t="s">
        <v>5544</v>
      </c>
      <c r="I2553" s="465" t="s">
        <v>830</v>
      </c>
    </row>
    <row r="2554" hidden="1" ht="15.95" customHeight="1">
      <c r="A2554" s="465" t="s">
        <v>5678</v>
      </c>
      <c r="B2554" s="465" t="s">
        <v>5450</v>
      </c>
      <c r="C2554" s="465"/>
      <c r="D2554" s="465" t="s">
        <v>825</v>
      </c>
      <c r="E2554" s="465" t="s">
        <v>5679</v>
      </c>
      <c r="F2554" s="465" t="s">
        <v>5680</v>
      </c>
      <c r="G2554" s="465" t="s">
        <v>5543</v>
      </c>
      <c r="H2554" s="465" t="s">
        <v>5544</v>
      </c>
      <c r="I2554" s="465" t="s">
        <v>830</v>
      </c>
    </row>
    <row r="2555" hidden="1" ht="15.95" customHeight="1">
      <c r="A2555" s="465" t="s">
        <v>5681</v>
      </c>
      <c r="B2555" s="465" t="s">
        <v>5682</v>
      </c>
      <c r="C2555" s="465" t="s">
        <v>5683</v>
      </c>
      <c r="D2555" s="465" t="s">
        <v>825</v>
      </c>
      <c r="E2555" s="465" t="s">
        <v>5679</v>
      </c>
      <c r="F2555" s="465" t="s">
        <v>5680</v>
      </c>
      <c r="G2555" s="465" t="s">
        <v>5543</v>
      </c>
      <c r="H2555" s="465" t="s">
        <v>5544</v>
      </c>
      <c r="I2555" s="465" t="s">
        <v>830</v>
      </c>
    </row>
    <row r="2556" hidden="1" ht="15.95" customHeight="1">
      <c r="A2556" s="465" t="s">
        <v>5684</v>
      </c>
      <c r="B2556" s="465" t="s">
        <v>5685</v>
      </c>
      <c r="C2556" s="465"/>
      <c r="D2556" s="465" t="s">
        <v>825</v>
      </c>
      <c r="E2556" s="465" t="s">
        <v>5679</v>
      </c>
      <c r="F2556" s="465" t="s">
        <v>5680</v>
      </c>
      <c r="G2556" s="465" t="s">
        <v>5543</v>
      </c>
      <c r="H2556" s="465" t="s">
        <v>5544</v>
      </c>
      <c r="I2556" s="465" t="s">
        <v>830</v>
      </c>
    </row>
    <row r="2557" hidden="1" ht="15.95" customHeight="1">
      <c r="A2557" s="465" t="s">
        <v>5686</v>
      </c>
      <c r="B2557" s="465" t="s">
        <v>1781</v>
      </c>
      <c r="C2557" s="465"/>
      <c r="D2557" s="465" t="s">
        <v>855</v>
      </c>
      <c r="E2557" s="465" t="s">
        <v>5679</v>
      </c>
      <c r="F2557" s="465" t="s">
        <v>5680</v>
      </c>
      <c r="G2557" s="465" t="s">
        <v>5543</v>
      </c>
      <c r="H2557" s="465" t="s">
        <v>5544</v>
      </c>
      <c r="I2557" s="465" t="s">
        <v>830</v>
      </c>
    </row>
    <row r="2558" hidden="1" ht="15.95" customHeight="1">
      <c r="A2558" s="465" t="s">
        <v>5687</v>
      </c>
      <c r="B2558" s="465" t="s">
        <v>5688</v>
      </c>
      <c r="C2558" s="465"/>
      <c r="D2558" s="465" t="s">
        <v>825</v>
      </c>
      <c r="E2558" s="465" t="s">
        <v>5679</v>
      </c>
      <c r="F2558" s="465" t="s">
        <v>5680</v>
      </c>
      <c r="G2558" s="465" t="s">
        <v>5543</v>
      </c>
      <c r="H2558" s="465" t="s">
        <v>5544</v>
      </c>
      <c r="I2558" s="465" t="s">
        <v>830</v>
      </c>
    </row>
    <row r="2559" hidden="1" ht="15.95" customHeight="1">
      <c r="A2559" s="465" t="s">
        <v>5689</v>
      </c>
      <c r="B2559" s="465" t="s">
        <v>5690</v>
      </c>
      <c r="C2559" s="465"/>
      <c r="D2559" s="465" t="s">
        <v>855</v>
      </c>
      <c r="E2559" s="465" t="s">
        <v>5679</v>
      </c>
      <c r="F2559" s="465" t="s">
        <v>5680</v>
      </c>
      <c r="G2559" s="465" t="s">
        <v>5543</v>
      </c>
      <c r="H2559" s="465" t="s">
        <v>5544</v>
      </c>
      <c r="I2559" s="465" t="s">
        <v>830</v>
      </c>
    </row>
    <row r="2560" hidden="1" ht="15.95" customHeight="1">
      <c r="A2560" s="465" t="s">
        <v>5691</v>
      </c>
      <c r="B2560" s="465" t="s">
        <v>5692</v>
      </c>
      <c r="C2560" s="465"/>
      <c r="D2560" s="465" t="s">
        <v>855</v>
      </c>
      <c r="E2560" s="465" t="s">
        <v>5679</v>
      </c>
      <c r="F2560" s="465" t="s">
        <v>5680</v>
      </c>
      <c r="G2560" s="465" t="s">
        <v>5543</v>
      </c>
      <c r="H2560" s="465" t="s">
        <v>5544</v>
      </c>
      <c r="I2560" s="465" t="s">
        <v>830</v>
      </c>
    </row>
    <row r="2561" hidden="1" ht="15.95" customHeight="1">
      <c r="A2561" s="465" t="s">
        <v>5693</v>
      </c>
      <c r="B2561" s="465" t="s">
        <v>4474</v>
      </c>
      <c r="C2561" s="465"/>
      <c r="D2561" s="465" t="s">
        <v>855</v>
      </c>
      <c r="E2561" s="465" t="s">
        <v>5679</v>
      </c>
      <c r="F2561" s="465" t="s">
        <v>5680</v>
      </c>
      <c r="G2561" s="465" t="s">
        <v>5543</v>
      </c>
      <c r="H2561" s="465" t="s">
        <v>5544</v>
      </c>
      <c r="I2561" s="465" t="s">
        <v>830</v>
      </c>
    </row>
    <row r="2562" hidden="1" ht="15.95" customHeight="1">
      <c r="A2562" s="465" t="s">
        <v>5694</v>
      </c>
      <c r="B2562" s="465" t="s">
        <v>1856</v>
      </c>
      <c r="C2562" s="465" t="s">
        <v>5695</v>
      </c>
      <c r="D2562" s="465" t="s">
        <v>855</v>
      </c>
      <c r="E2562" s="465" t="s">
        <v>5679</v>
      </c>
      <c r="F2562" s="465" t="s">
        <v>5680</v>
      </c>
      <c r="G2562" s="465" t="s">
        <v>5543</v>
      </c>
      <c r="H2562" s="465" t="s">
        <v>5544</v>
      </c>
      <c r="I2562" s="465" t="s">
        <v>830</v>
      </c>
    </row>
    <row r="2563" hidden="1" ht="15.95" customHeight="1">
      <c r="A2563" s="465" t="s">
        <v>5696</v>
      </c>
      <c r="B2563" s="465" t="s">
        <v>1270</v>
      </c>
      <c r="C2563" s="465"/>
      <c r="D2563" s="465" t="s">
        <v>825</v>
      </c>
      <c r="E2563" s="465" t="s">
        <v>5697</v>
      </c>
      <c r="F2563" s="465" t="s">
        <v>5698</v>
      </c>
      <c r="G2563" s="465" t="s">
        <v>5699</v>
      </c>
      <c r="H2563" s="465" t="s">
        <v>5700</v>
      </c>
      <c r="I2563" s="465" t="s">
        <v>830</v>
      </c>
    </row>
    <row r="2564" hidden="1" ht="15.95" customHeight="1">
      <c r="A2564" s="465" t="s">
        <v>5701</v>
      </c>
      <c r="B2564" s="465" t="s">
        <v>1253</v>
      </c>
      <c r="C2564" s="465"/>
      <c r="D2564" s="465" t="s">
        <v>825</v>
      </c>
      <c r="E2564" s="465" t="s">
        <v>5697</v>
      </c>
      <c r="F2564" s="465" t="s">
        <v>5698</v>
      </c>
      <c r="G2564" s="465" t="s">
        <v>5699</v>
      </c>
      <c r="H2564" s="465" t="s">
        <v>5700</v>
      </c>
      <c r="I2564" s="465" t="s">
        <v>830</v>
      </c>
    </row>
    <row r="2565" hidden="1" ht="15.95" customHeight="1">
      <c r="A2565" s="465" t="s">
        <v>5702</v>
      </c>
      <c r="B2565" s="465" t="s">
        <v>449</v>
      </c>
      <c r="C2565" s="465"/>
      <c r="D2565" s="465" t="s">
        <v>825</v>
      </c>
      <c r="E2565" s="465" t="s">
        <v>5697</v>
      </c>
      <c r="F2565" s="465" t="s">
        <v>5698</v>
      </c>
      <c r="G2565" s="465" t="s">
        <v>5699</v>
      </c>
      <c r="H2565" s="465" t="s">
        <v>5700</v>
      </c>
      <c r="I2565" s="465" t="s">
        <v>830</v>
      </c>
    </row>
    <row r="2566" hidden="1" ht="15.95" customHeight="1">
      <c r="A2566" s="465" t="s">
        <v>5703</v>
      </c>
      <c r="B2566" s="465" t="s">
        <v>1268</v>
      </c>
      <c r="C2566" s="465"/>
      <c r="D2566" s="465" t="s">
        <v>825</v>
      </c>
      <c r="E2566" s="465" t="s">
        <v>5697</v>
      </c>
      <c r="F2566" s="465" t="s">
        <v>5698</v>
      </c>
      <c r="G2566" s="465" t="s">
        <v>5699</v>
      </c>
      <c r="H2566" s="465" t="s">
        <v>5700</v>
      </c>
      <c r="I2566" s="465" t="s">
        <v>830</v>
      </c>
    </row>
    <row r="2567" hidden="1" ht="15.95" customHeight="1">
      <c r="A2567" s="465" t="s">
        <v>5704</v>
      </c>
      <c r="B2567" s="465" t="s">
        <v>1264</v>
      </c>
      <c r="C2567" s="465"/>
      <c r="D2567" s="465" t="s">
        <v>825</v>
      </c>
      <c r="E2567" s="465" t="s">
        <v>5697</v>
      </c>
      <c r="F2567" s="465" t="s">
        <v>5698</v>
      </c>
      <c r="G2567" s="465" t="s">
        <v>5699</v>
      </c>
      <c r="H2567" s="465" t="s">
        <v>5700</v>
      </c>
      <c r="I2567" s="465" t="s">
        <v>830</v>
      </c>
    </row>
    <row r="2568" hidden="1" ht="15.95" customHeight="1">
      <c r="A2568" s="465" t="s">
        <v>5705</v>
      </c>
      <c r="B2568" s="465" t="s">
        <v>1266</v>
      </c>
      <c r="C2568" s="465"/>
      <c r="D2568" s="465" t="s">
        <v>825</v>
      </c>
      <c r="E2568" s="465" t="s">
        <v>5697</v>
      </c>
      <c r="F2568" s="465" t="s">
        <v>5698</v>
      </c>
      <c r="G2568" s="465" t="s">
        <v>5699</v>
      </c>
      <c r="H2568" s="465" t="s">
        <v>5700</v>
      </c>
      <c r="I2568" s="465" t="s">
        <v>830</v>
      </c>
    </row>
    <row r="2569" hidden="1" ht="15.95" customHeight="1">
      <c r="A2569" s="465" t="s">
        <v>5706</v>
      </c>
      <c r="B2569" s="465" t="s">
        <v>1272</v>
      </c>
      <c r="C2569" s="465"/>
      <c r="D2569" s="465" t="s">
        <v>825</v>
      </c>
      <c r="E2569" s="465" t="s">
        <v>5697</v>
      </c>
      <c r="F2569" s="465" t="s">
        <v>5698</v>
      </c>
      <c r="G2569" s="465" t="s">
        <v>5699</v>
      </c>
      <c r="H2569" s="465" t="s">
        <v>5700</v>
      </c>
      <c r="I2569" s="465" t="s">
        <v>830</v>
      </c>
    </row>
    <row r="2570" hidden="1" ht="15.95" customHeight="1">
      <c r="A2570" s="465" t="s">
        <v>5707</v>
      </c>
      <c r="B2570" s="465" t="s">
        <v>1278</v>
      </c>
      <c r="C2570" s="465"/>
      <c r="D2570" s="465" t="s">
        <v>825</v>
      </c>
      <c r="E2570" s="465" t="s">
        <v>5697</v>
      </c>
      <c r="F2570" s="465" t="s">
        <v>5698</v>
      </c>
      <c r="G2570" s="465" t="s">
        <v>5699</v>
      </c>
      <c r="H2570" s="465" t="s">
        <v>5700</v>
      </c>
      <c r="I2570" s="465" t="s">
        <v>830</v>
      </c>
    </row>
    <row r="2571" hidden="1" ht="15.95" customHeight="1">
      <c r="A2571" s="465" t="s">
        <v>5708</v>
      </c>
      <c r="B2571" s="465" t="s">
        <v>1262</v>
      </c>
      <c r="C2571" s="465"/>
      <c r="D2571" s="465" t="s">
        <v>825</v>
      </c>
      <c r="E2571" s="465" t="s">
        <v>5697</v>
      </c>
      <c r="F2571" s="465" t="s">
        <v>5698</v>
      </c>
      <c r="G2571" s="465" t="s">
        <v>5699</v>
      </c>
      <c r="H2571" s="465" t="s">
        <v>5700</v>
      </c>
      <c r="I2571" s="465" t="s">
        <v>830</v>
      </c>
    </row>
    <row r="2572" hidden="1" ht="15.95" customHeight="1">
      <c r="A2572" s="465" t="s">
        <v>5709</v>
      </c>
      <c r="B2572" s="465" t="s">
        <v>1274</v>
      </c>
      <c r="C2572" s="465"/>
      <c r="D2572" s="465" t="s">
        <v>825</v>
      </c>
      <c r="E2572" s="465" t="s">
        <v>5697</v>
      </c>
      <c r="F2572" s="465" t="s">
        <v>5698</v>
      </c>
      <c r="G2572" s="465" t="s">
        <v>5699</v>
      </c>
      <c r="H2572" s="465" t="s">
        <v>5700</v>
      </c>
      <c r="I2572" s="465" t="s">
        <v>830</v>
      </c>
    </row>
    <row r="2573" hidden="1" ht="15.95" customHeight="1">
      <c r="A2573" s="465" t="s">
        <v>5710</v>
      </c>
      <c r="B2573" s="465" t="s">
        <v>1881</v>
      </c>
      <c r="C2573" s="465"/>
      <c r="D2573" s="465" t="s">
        <v>884</v>
      </c>
      <c r="E2573" s="465" t="s">
        <v>5711</v>
      </c>
      <c r="F2573" s="465" t="s">
        <v>1883</v>
      </c>
      <c r="G2573" s="465" t="s">
        <v>5699</v>
      </c>
      <c r="H2573" s="465" t="s">
        <v>5700</v>
      </c>
      <c r="I2573" s="465" t="s">
        <v>830</v>
      </c>
    </row>
    <row r="2574" hidden="1" ht="15.95" customHeight="1">
      <c r="A2574" s="465" t="s">
        <v>5712</v>
      </c>
      <c r="B2574" s="465" t="s">
        <v>5713</v>
      </c>
      <c r="C2574" s="465"/>
      <c r="D2574" s="465" t="s">
        <v>855</v>
      </c>
      <c r="E2574" s="465" t="s">
        <v>5711</v>
      </c>
      <c r="F2574" s="465" t="s">
        <v>1883</v>
      </c>
      <c r="G2574" s="465" t="s">
        <v>5699</v>
      </c>
      <c r="H2574" s="465" t="s">
        <v>5700</v>
      </c>
      <c r="I2574" s="465" t="s">
        <v>830</v>
      </c>
    </row>
    <row r="2575" hidden="1" ht="15.95" customHeight="1">
      <c r="A2575" s="465" t="s">
        <v>5714</v>
      </c>
      <c r="B2575" s="465" t="s">
        <v>5715</v>
      </c>
      <c r="C2575" s="465"/>
      <c r="D2575" s="465" t="s">
        <v>855</v>
      </c>
      <c r="E2575" s="465" t="s">
        <v>5711</v>
      </c>
      <c r="F2575" s="465" t="s">
        <v>1883</v>
      </c>
      <c r="G2575" s="465" t="s">
        <v>5699</v>
      </c>
      <c r="H2575" s="465" t="s">
        <v>5700</v>
      </c>
      <c r="I2575" s="465" t="s">
        <v>830</v>
      </c>
    </row>
    <row r="2576" hidden="1" ht="15.95" customHeight="1">
      <c r="A2576" s="465" t="s">
        <v>5716</v>
      </c>
      <c r="B2576" s="465" t="s">
        <v>1112</v>
      </c>
      <c r="C2576" s="465"/>
      <c r="D2576" s="465" t="s">
        <v>855</v>
      </c>
      <c r="E2576" s="465" t="s">
        <v>5711</v>
      </c>
      <c r="F2576" s="465" t="s">
        <v>1883</v>
      </c>
      <c r="G2576" s="465" t="s">
        <v>5699</v>
      </c>
      <c r="H2576" s="465" t="s">
        <v>5700</v>
      </c>
      <c r="I2576" s="465" t="s">
        <v>830</v>
      </c>
    </row>
    <row r="2577" hidden="1" ht="15.95" customHeight="1">
      <c r="A2577" s="465" t="s">
        <v>5717</v>
      </c>
      <c r="B2577" s="465" t="s">
        <v>2336</v>
      </c>
      <c r="C2577" s="465"/>
      <c r="D2577" s="465" t="s">
        <v>855</v>
      </c>
      <c r="E2577" s="465" t="s">
        <v>5711</v>
      </c>
      <c r="F2577" s="465" t="s">
        <v>1883</v>
      </c>
      <c r="G2577" s="465" t="s">
        <v>5699</v>
      </c>
      <c r="H2577" s="465" t="s">
        <v>5700</v>
      </c>
      <c r="I2577" s="465" t="s">
        <v>830</v>
      </c>
    </row>
    <row r="2578" hidden="1" ht="15.95" customHeight="1">
      <c r="A2578" s="465" t="s">
        <v>5718</v>
      </c>
      <c r="B2578" s="465" t="s">
        <v>4522</v>
      </c>
      <c r="C2578" s="465"/>
      <c r="D2578" s="465" t="s">
        <v>855</v>
      </c>
      <c r="E2578" s="465" t="s">
        <v>5711</v>
      </c>
      <c r="F2578" s="465" t="s">
        <v>1883</v>
      </c>
      <c r="G2578" s="465" t="s">
        <v>5699</v>
      </c>
      <c r="H2578" s="465" t="s">
        <v>5700</v>
      </c>
      <c r="I2578" s="465" t="s">
        <v>830</v>
      </c>
    </row>
    <row r="2579" hidden="1" ht="15.95" customHeight="1">
      <c r="A2579" s="465" t="s">
        <v>5719</v>
      </c>
      <c r="B2579" s="465" t="s">
        <v>3936</v>
      </c>
      <c r="C2579" s="465"/>
      <c r="D2579" s="465" t="s">
        <v>855</v>
      </c>
      <c r="E2579" s="465" t="s">
        <v>5711</v>
      </c>
      <c r="F2579" s="465" t="s">
        <v>1883</v>
      </c>
      <c r="G2579" s="465" t="s">
        <v>5699</v>
      </c>
      <c r="H2579" s="465" t="s">
        <v>5700</v>
      </c>
      <c r="I2579" s="465" t="s">
        <v>830</v>
      </c>
    </row>
    <row r="2580" hidden="1" ht="15.95" customHeight="1">
      <c r="A2580" s="465" t="s">
        <v>5720</v>
      </c>
      <c r="B2580" s="465" t="s">
        <v>5721</v>
      </c>
      <c r="C2580" s="465"/>
      <c r="D2580" s="465" t="s">
        <v>855</v>
      </c>
      <c r="E2580" s="465" t="s">
        <v>5711</v>
      </c>
      <c r="F2580" s="465" t="s">
        <v>1883</v>
      </c>
      <c r="G2580" s="465" t="s">
        <v>5699</v>
      </c>
      <c r="H2580" s="465" t="s">
        <v>5700</v>
      </c>
      <c r="I2580" s="465" t="s">
        <v>830</v>
      </c>
    </row>
    <row r="2581" hidden="1" ht="15.95" customHeight="1">
      <c r="A2581" s="465" t="s">
        <v>5722</v>
      </c>
      <c r="B2581" s="465" t="s">
        <v>5723</v>
      </c>
      <c r="C2581" s="465"/>
      <c r="D2581" s="465" t="s">
        <v>884</v>
      </c>
      <c r="E2581" s="465" t="s">
        <v>5724</v>
      </c>
      <c r="F2581" s="465" t="s">
        <v>5725</v>
      </c>
      <c r="G2581" s="465" t="s">
        <v>5699</v>
      </c>
      <c r="H2581" s="465" t="s">
        <v>5700</v>
      </c>
      <c r="I2581" s="465" t="s">
        <v>830</v>
      </c>
    </row>
    <row r="2582" hidden="1" ht="15.95" customHeight="1">
      <c r="A2582" s="465" t="s">
        <v>5726</v>
      </c>
      <c r="B2582" s="465" t="s">
        <v>5727</v>
      </c>
      <c r="C2582" s="465"/>
      <c r="D2582" s="465" t="s">
        <v>884</v>
      </c>
      <c r="E2582" s="465" t="s">
        <v>5724</v>
      </c>
      <c r="F2582" s="465" t="s">
        <v>5725</v>
      </c>
      <c r="G2582" s="465" t="s">
        <v>5699</v>
      </c>
      <c r="H2582" s="465" t="s">
        <v>5700</v>
      </c>
      <c r="I2582" s="465" t="s">
        <v>830</v>
      </c>
    </row>
    <row r="2583" hidden="1" ht="15.95" customHeight="1">
      <c r="A2583" s="465" t="s">
        <v>5728</v>
      </c>
      <c r="B2583" s="465" t="s">
        <v>2480</v>
      </c>
      <c r="C2583" s="465"/>
      <c r="D2583" s="465" t="s">
        <v>855</v>
      </c>
      <c r="E2583" s="465" t="s">
        <v>5724</v>
      </c>
      <c r="F2583" s="465" t="s">
        <v>5725</v>
      </c>
      <c r="G2583" s="465" t="s">
        <v>5699</v>
      </c>
      <c r="H2583" s="465" t="s">
        <v>5700</v>
      </c>
      <c r="I2583" s="465" t="s">
        <v>830</v>
      </c>
    </row>
    <row r="2584" hidden="1" ht="15.95" customHeight="1">
      <c r="A2584" s="465" t="s">
        <v>5729</v>
      </c>
      <c r="B2584" s="465" t="s">
        <v>1011</v>
      </c>
      <c r="C2584" s="465"/>
      <c r="D2584" s="465" t="s">
        <v>855</v>
      </c>
      <c r="E2584" s="465" t="s">
        <v>5724</v>
      </c>
      <c r="F2584" s="465" t="s">
        <v>5725</v>
      </c>
      <c r="G2584" s="465" t="s">
        <v>5699</v>
      </c>
      <c r="H2584" s="465" t="s">
        <v>5700</v>
      </c>
      <c r="I2584" s="465" t="s">
        <v>830</v>
      </c>
    </row>
    <row r="2585" hidden="1" ht="15.95" customHeight="1">
      <c r="A2585" s="465" t="s">
        <v>5730</v>
      </c>
      <c r="B2585" s="465" t="s">
        <v>5731</v>
      </c>
      <c r="C2585" s="465"/>
      <c r="D2585" s="465" t="s">
        <v>855</v>
      </c>
      <c r="E2585" s="465" t="s">
        <v>5724</v>
      </c>
      <c r="F2585" s="465" t="s">
        <v>5725</v>
      </c>
      <c r="G2585" s="465" t="s">
        <v>5699</v>
      </c>
      <c r="H2585" s="465" t="s">
        <v>5700</v>
      </c>
      <c r="I2585" s="465" t="s">
        <v>830</v>
      </c>
    </row>
    <row r="2586" hidden="1" ht="15.95" customHeight="1">
      <c r="A2586" s="465" t="s">
        <v>5732</v>
      </c>
      <c r="B2586" s="465" t="s">
        <v>5733</v>
      </c>
      <c r="C2586" s="465"/>
      <c r="D2586" s="465" t="s">
        <v>855</v>
      </c>
      <c r="E2586" s="465" t="s">
        <v>5724</v>
      </c>
      <c r="F2586" s="465" t="s">
        <v>5725</v>
      </c>
      <c r="G2586" s="465" t="s">
        <v>5699</v>
      </c>
      <c r="H2586" s="465" t="s">
        <v>5700</v>
      </c>
      <c r="I2586" s="465" t="s">
        <v>830</v>
      </c>
    </row>
    <row r="2587" hidden="1" ht="15.95" customHeight="1">
      <c r="A2587" s="465" t="s">
        <v>5734</v>
      </c>
      <c r="B2587" s="465" t="s">
        <v>5735</v>
      </c>
      <c r="C2587" s="465"/>
      <c r="D2587" s="465" t="s">
        <v>855</v>
      </c>
      <c r="E2587" s="465" t="s">
        <v>5724</v>
      </c>
      <c r="F2587" s="465" t="s">
        <v>5725</v>
      </c>
      <c r="G2587" s="465" t="s">
        <v>5699</v>
      </c>
      <c r="H2587" s="465" t="s">
        <v>5700</v>
      </c>
      <c r="I2587" s="465" t="s">
        <v>830</v>
      </c>
    </row>
    <row r="2588" hidden="1" ht="15.95" customHeight="1">
      <c r="A2588" s="465" t="s">
        <v>5736</v>
      </c>
      <c r="B2588" s="465" t="s">
        <v>5737</v>
      </c>
      <c r="C2588" s="465"/>
      <c r="D2588" s="465" t="s">
        <v>855</v>
      </c>
      <c r="E2588" s="465" t="s">
        <v>5724</v>
      </c>
      <c r="F2588" s="465" t="s">
        <v>5725</v>
      </c>
      <c r="G2588" s="465" t="s">
        <v>5699</v>
      </c>
      <c r="H2588" s="465" t="s">
        <v>5700</v>
      </c>
      <c r="I2588" s="465" t="s">
        <v>830</v>
      </c>
    </row>
    <row r="2589" hidden="1" ht="15.95" customHeight="1">
      <c r="A2589" s="465" t="s">
        <v>5738</v>
      </c>
      <c r="B2589" s="465" t="s">
        <v>5042</v>
      </c>
      <c r="C2589" s="465"/>
      <c r="D2589" s="465" t="s">
        <v>855</v>
      </c>
      <c r="E2589" s="465" t="s">
        <v>5724</v>
      </c>
      <c r="F2589" s="465" t="s">
        <v>5725</v>
      </c>
      <c r="G2589" s="465" t="s">
        <v>5699</v>
      </c>
      <c r="H2589" s="465" t="s">
        <v>5700</v>
      </c>
      <c r="I2589" s="465" t="s">
        <v>830</v>
      </c>
    </row>
    <row r="2590" hidden="1" ht="15.95" customHeight="1">
      <c r="A2590" s="465" t="s">
        <v>5739</v>
      </c>
      <c r="B2590" s="465" t="s">
        <v>5740</v>
      </c>
      <c r="C2590" s="465"/>
      <c r="D2590" s="465" t="s">
        <v>855</v>
      </c>
      <c r="E2590" s="465" t="s">
        <v>5724</v>
      </c>
      <c r="F2590" s="465" t="s">
        <v>5725</v>
      </c>
      <c r="G2590" s="465" t="s">
        <v>5699</v>
      </c>
      <c r="H2590" s="465" t="s">
        <v>5700</v>
      </c>
      <c r="I2590" s="465" t="s">
        <v>830</v>
      </c>
    </row>
    <row r="2591" hidden="1" ht="15.95" customHeight="1">
      <c r="A2591" s="465" t="s">
        <v>5741</v>
      </c>
      <c r="B2591" s="465" t="s">
        <v>5742</v>
      </c>
      <c r="C2591" s="465"/>
      <c r="D2591" s="465" t="s">
        <v>855</v>
      </c>
      <c r="E2591" s="465" t="s">
        <v>5724</v>
      </c>
      <c r="F2591" s="465" t="s">
        <v>5725</v>
      </c>
      <c r="G2591" s="465" t="s">
        <v>5699</v>
      </c>
      <c r="H2591" s="465" t="s">
        <v>5700</v>
      </c>
      <c r="I2591" s="465" t="s">
        <v>830</v>
      </c>
    </row>
    <row r="2592" hidden="1" ht="15.95" customHeight="1">
      <c r="A2592" s="465" t="s">
        <v>5743</v>
      </c>
      <c r="B2592" s="465" t="s">
        <v>5744</v>
      </c>
      <c r="C2592" s="465"/>
      <c r="D2592" s="465" t="s">
        <v>855</v>
      </c>
      <c r="E2592" s="465" t="s">
        <v>5724</v>
      </c>
      <c r="F2592" s="465" t="s">
        <v>5725</v>
      </c>
      <c r="G2592" s="465" t="s">
        <v>5699</v>
      </c>
      <c r="H2592" s="465" t="s">
        <v>5700</v>
      </c>
      <c r="I2592" s="465" t="s">
        <v>830</v>
      </c>
    </row>
    <row r="2593" hidden="1" ht="15.95" customHeight="1">
      <c r="A2593" s="465" t="s">
        <v>5745</v>
      </c>
      <c r="B2593" s="465" t="s">
        <v>5746</v>
      </c>
      <c r="C2593" s="465"/>
      <c r="D2593" s="465" t="s">
        <v>855</v>
      </c>
      <c r="E2593" s="465" t="s">
        <v>5724</v>
      </c>
      <c r="F2593" s="465" t="s">
        <v>5725</v>
      </c>
      <c r="G2593" s="465" t="s">
        <v>5699</v>
      </c>
      <c r="H2593" s="465" t="s">
        <v>5700</v>
      </c>
      <c r="I2593" s="465" t="s">
        <v>830</v>
      </c>
    </row>
    <row r="2594" hidden="1" ht="15.95" customHeight="1">
      <c r="A2594" s="465" t="s">
        <v>5747</v>
      </c>
      <c r="B2594" s="465" t="s">
        <v>5748</v>
      </c>
      <c r="C2594" s="465"/>
      <c r="D2594" s="465" t="s">
        <v>884</v>
      </c>
      <c r="E2594" s="465" t="s">
        <v>5749</v>
      </c>
      <c r="F2594" s="465" t="s">
        <v>5750</v>
      </c>
      <c r="G2594" s="465" t="s">
        <v>5699</v>
      </c>
      <c r="H2594" s="465" t="s">
        <v>5700</v>
      </c>
      <c r="I2594" s="465" t="s">
        <v>830</v>
      </c>
    </row>
    <row r="2595" hidden="1" ht="15.95" customHeight="1">
      <c r="A2595" s="465" t="s">
        <v>5751</v>
      </c>
      <c r="B2595" s="465" t="s">
        <v>1788</v>
      </c>
      <c r="C2595" s="465"/>
      <c r="D2595" s="465" t="s">
        <v>855</v>
      </c>
      <c r="E2595" s="465" t="s">
        <v>5749</v>
      </c>
      <c r="F2595" s="465" t="s">
        <v>5750</v>
      </c>
      <c r="G2595" s="465" t="s">
        <v>5699</v>
      </c>
      <c r="H2595" s="465" t="s">
        <v>5700</v>
      </c>
      <c r="I2595" s="465" t="s">
        <v>830</v>
      </c>
    </row>
    <row r="2596" hidden="1" ht="15.95" customHeight="1">
      <c r="A2596" s="465" t="s">
        <v>5752</v>
      </c>
      <c r="B2596" s="465" t="s">
        <v>5753</v>
      </c>
      <c r="C2596" s="465"/>
      <c r="D2596" s="465" t="s">
        <v>855</v>
      </c>
      <c r="E2596" s="465" t="s">
        <v>5749</v>
      </c>
      <c r="F2596" s="465" t="s">
        <v>5750</v>
      </c>
      <c r="G2596" s="465" t="s">
        <v>5699</v>
      </c>
      <c r="H2596" s="465" t="s">
        <v>5700</v>
      </c>
      <c r="I2596" s="465" t="s">
        <v>830</v>
      </c>
    </row>
    <row r="2597" hidden="1" ht="15.95" customHeight="1">
      <c r="A2597" s="465" t="s">
        <v>5754</v>
      </c>
      <c r="B2597" s="465" t="s">
        <v>5755</v>
      </c>
      <c r="C2597" s="465"/>
      <c r="D2597" s="465" t="s">
        <v>855</v>
      </c>
      <c r="E2597" s="465" t="s">
        <v>5749</v>
      </c>
      <c r="F2597" s="465" t="s">
        <v>5750</v>
      </c>
      <c r="G2597" s="465" t="s">
        <v>5699</v>
      </c>
      <c r="H2597" s="465" t="s">
        <v>5700</v>
      </c>
      <c r="I2597" s="465" t="s">
        <v>830</v>
      </c>
    </row>
    <row r="2598" hidden="1" ht="15.95" customHeight="1">
      <c r="A2598" s="465" t="s">
        <v>5756</v>
      </c>
      <c r="B2598" s="465" t="s">
        <v>5757</v>
      </c>
      <c r="C2598" s="465"/>
      <c r="D2598" s="465" t="s">
        <v>855</v>
      </c>
      <c r="E2598" s="465" t="s">
        <v>5749</v>
      </c>
      <c r="F2598" s="465" t="s">
        <v>5750</v>
      </c>
      <c r="G2598" s="465" t="s">
        <v>5699</v>
      </c>
      <c r="H2598" s="465" t="s">
        <v>5700</v>
      </c>
      <c r="I2598" s="465" t="s">
        <v>830</v>
      </c>
    </row>
    <row r="2599" hidden="1" ht="15.95" customHeight="1">
      <c r="A2599" s="465" t="s">
        <v>5758</v>
      </c>
      <c r="B2599" s="465" t="s">
        <v>3659</v>
      </c>
      <c r="C2599" s="465"/>
      <c r="D2599" s="465" t="s">
        <v>855</v>
      </c>
      <c r="E2599" s="465" t="s">
        <v>5749</v>
      </c>
      <c r="F2599" s="465" t="s">
        <v>5750</v>
      </c>
      <c r="G2599" s="465" t="s">
        <v>5699</v>
      </c>
      <c r="H2599" s="465" t="s">
        <v>5700</v>
      </c>
      <c r="I2599" s="465" t="s">
        <v>830</v>
      </c>
    </row>
    <row r="2600" hidden="1" ht="15.95" customHeight="1">
      <c r="A2600" s="465" t="s">
        <v>5759</v>
      </c>
      <c r="B2600" s="465" t="s">
        <v>5661</v>
      </c>
      <c r="C2600" s="465"/>
      <c r="D2600" s="465" t="s">
        <v>855</v>
      </c>
      <c r="E2600" s="465" t="s">
        <v>5749</v>
      </c>
      <c r="F2600" s="465" t="s">
        <v>5750</v>
      </c>
      <c r="G2600" s="465" t="s">
        <v>5699</v>
      </c>
      <c r="H2600" s="465" t="s">
        <v>5700</v>
      </c>
      <c r="I2600" s="465" t="s">
        <v>830</v>
      </c>
    </row>
    <row r="2601" hidden="1" ht="15.95" customHeight="1">
      <c r="A2601" s="465" t="s">
        <v>5760</v>
      </c>
      <c r="B2601" s="465" t="s">
        <v>4542</v>
      </c>
      <c r="C2601" s="465"/>
      <c r="D2601" s="465" t="s">
        <v>855</v>
      </c>
      <c r="E2601" s="465" t="s">
        <v>5749</v>
      </c>
      <c r="F2601" s="465" t="s">
        <v>5750</v>
      </c>
      <c r="G2601" s="465" t="s">
        <v>5699</v>
      </c>
      <c r="H2601" s="465" t="s">
        <v>5700</v>
      </c>
      <c r="I2601" s="465" t="s">
        <v>830</v>
      </c>
    </row>
    <row r="2602" hidden="1" ht="15.95" customHeight="1">
      <c r="A2602" s="465" t="s">
        <v>5761</v>
      </c>
      <c r="B2602" s="465" t="s">
        <v>3650</v>
      </c>
      <c r="C2602" s="465"/>
      <c r="D2602" s="465" t="s">
        <v>855</v>
      </c>
      <c r="E2602" s="465" t="s">
        <v>5749</v>
      </c>
      <c r="F2602" s="465" t="s">
        <v>5750</v>
      </c>
      <c r="G2602" s="465" t="s">
        <v>5699</v>
      </c>
      <c r="H2602" s="465" t="s">
        <v>5700</v>
      </c>
      <c r="I2602" s="465" t="s">
        <v>830</v>
      </c>
    </row>
    <row r="2603" hidden="1" ht="15.95" customHeight="1">
      <c r="A2603" s="465" t="s">
        <v>5762</v>
      </c>
      <c r="B2603" s="465" t="s">
        <v>5763</v>
      </c>
      <c r="C2603" s="465"/>
      <c r="D2603" s="465" t="s">
        <v>884</v>
      </c>
      <c r="E2603" s="465" t="s">
        <v>5764</v>
      </c>
      <c r="F2603" s="465" t="s">
        <v>5765</v>
      </c>
      <c r="G2603" s="465" t="s">
        <v>5699</v>
      </c>
      <c r="H2603" s="465" t="s">
        <v>5700</v>
      </c>
      <c r="I2603" s="465" t="s">
        <v>830</v>
      </c>
    </row>
    <row r="2604" hidden="1" ht="15.95" customHeight="1">
      <c r="A2604" s="465" t="s">
        <v>5766</v>
      </c>
      <c r="B2604" s="465" t="s">
        <v>5767</v>
      </c>
      <c r="C2604" s="465"/>
      <c r="D2604" s="465" t="s">
        <v>855</v>
      </c>
      <c r="E2604" s="465" t="s">
        <v>5764</v>
      </c>
      <c r="F2604" s="465" t="s">
        <v>5765</v>
      </c>
      <c r="G2604" s="465" t="s">
        <v>5699</v>
      </c>
      <c r="H2604" s="465" t="s">
        <v>5700</v>
      </c>
      <c r="I2604" s="465" t="s">
        <v>830</v>
      </c>
    </row>
    <row r="2605" hidden="1" ht="15.95" customHeight="1">
      <c r="A2605" s="465" t="s">
        <v>5768</v>
      </c>
      <c r="B2605" s="465" t="s">
        <v>5769</v>
      </c>
      <c r="C2605" s="465"/>
      <c r="D2605" s="465" t="s">
        <v>855</v>
      </c>
      <c r="E2605" s="465" t="s">
        <v>5764</v>
      </c>
      <c r="F2605" s="465" t="s">
        <v>5765</v>
      </c>
      <c r="G2605" s="465" t="s">
        <v>5699</v>
      </c>
      <c r="H2605" s="465" t="s">
        <v>5700</v>
      </c>
      <c r="I2605" s="465" t="s">
        <v>830</v>
      </c>
    </row>
    <row r="2606" hidden="1" ht="15.95" customHeight="1">
      <c r="A2606" s="465" t="s">
        <v>5770</v>
      </c>
      <c r="B2606" s="465" t="s">
        <v>5771</v>
      </c>
      <c r="C2606" s="465"/>
      <c r="D2606" s="465" t="s">
        <v>855</v>
      </c>
      <c r="E2606" s="465" t="s">
        <v>5764</v>
      </c>
      <c r="F2606" s="465" t="s">
        <v>5765</v>
      </c>
      <c r="G2606" s="465" t="s">
        <v>5699</v>
      </c>
      <c r="H2606" s="465" t="s">
        <v>5700</v>
      </c>
      <c r="I2606" s="465" t="s">
        <v>830</v>
      </c>
    </row>
    <row r="2607" hidden="1" ht="15.95" customHeight="1">
      <c r="A2607" s="465" t="s">
        <v>5772</v>
      </c>
      <c r="B2607" s="465" t="s">
        <v>5773</v>
      </c>
      <c r="C2607" s="465"/>
      <c r="D2607" s="465" t="s">
        <v>855</v>
      </c>
      <c r="E2607" s="465" t="s">
        <v>5764</v>
      </c>
      <c r="F2607" s="465" t="s">
        <v>5765</v>
      </c>
      <c r="G2607" s="465" t="s">
        <v>5699</v>
      </c>
      <c r="H2607" s="465" t="s">
        <v>5700</v>
      </c>
      <c r="I2607" s="465" t="s">
        <v>830</v>
      </c>
    </row>
    <row r="2608" hidden="1" ht="15.95" customHeight="1">
      <c r="A2608" s="465" t="s">
        <v>5774</v>
      </c>
      <c r="B2608" s="465" t="s">
        <v>5775</v>
      </c>
      <c r="C2608" s="465"/>
      <c r="D2608" s="465" t="s">
        <v>855</v>
      </c>
      <c r="E2608" s="465" t="s">
        <v>5764</v>
      </c>
      <c r="F2608" s="465" t="s">
        <v>5765</v>
      </c>
      <c r="G2608" s="465" t="s">
        <v>5699</v>
      </c>
      <c r="H2608" s="465" t="s">
        <v>5700</v>
      </c>
      <c r="I2608" s="465" t="s">
        <v>830</v>
      </c>
    </row>
    <row r="2609" hidden="1" ht="15.95" customHeight="1">
      <c r="A2609" s="465" t="s">
        <v>5776</v>
      </c>
      <c r="B2609" s="465" t="s">
        <v>5777</v>
      </c>
      <c r="C2609" s="465"/>
      <c r="D2609" s="465" t="s">
        <v>855</v>
      </c>
      <c r="E2609" s="465" t="s">
        <v>5764</v>
      </c>
      <c r="F2609" s="465" t="s">
        <v>5765</v>
      </c>
      <c r="G2609" s="465" t="s">
        <v>5699</v>
      </c>
      <c r="H2609" s="465" t="s">
        <v>5700</v>
      </c>
      <c r="I2609" s="465" t="s">
        <v>830</v>
      </c>
    </row>
    <row r="2610" hidden="1" ht="15.95" customHeight="1">
      <c r="A2610" s="465" t="s">
        <v>5778</v>
      </c>
      <c r="B2610" s="465" t="s">
        <v>5779</v>
      </c>
      <c r="C2610" s="465"/>
      <c r="D2610" s="465" t="s">
        <v>855</v>
      </c>
      <c r="E2610" s="465" t="s">
        <v>5764</v>
      </c>
      <c r="F2610" s="465" t="s">
        <v>5765</v>
      </c>
      <c r="G2610" s="465" t="s">
        <v>5699</v>
      </c>
      <c r="H2610" s="465" t="s">
        <v>5700</v>
      </c>
      <c r="I2610" s="465" t="s">
        <v>830</v>
      </c>
    </row>
    <row r="2611" hidden="1" ht="15.95" customHeight="1">
      <c r="A2611" s="465" t="s">
        <v>5780</v>
      </c>
      <c r="B2611" s="465" t="s">
        <v>5781</v>
      </c>
      <c r="C2611" s="465"/>
      <c r="D2611" s="465" t="s">
        <v>884</v>
      </c>
      <c r="E2611" s="465" t="s">
        <v>5782</v>
      </c>
      <c r="F2611" s="465" t="s">
        <v>5783</v>
      </c>
      <c r="G2611" s="465" t="s">
        <v>5699</v>
      </c>
      <c r="H2611" s="465" t="s">
        <v>5700</v>
      </c>
      <c r="I2611" s="465" t="s">
        <v>830</v>
      </c>
    </row>
    <row r="2612" hidden="1" ht="15.95" customHeight="1">
      <c r="A2612" s="465" t="s">
        <v>5784</v>
      </c>
      <c r="B2612" s="465" t="s">
        <v>5785</v>
      </c>
      <c r="C2612" s="465"/>
      <c r="D2612" s="465" t="s">
        <v>855</v>
      </c>
      <c r="E2612" s="465" t="s">
        <v>5782</v>
      </c>
      <c r="F2612" s="465" t="s">
        <v>5783</v>
      </c>
      <c r="G2612" s="465" t="s">
        <v>5699</v>
      </c>
      <c r="H2612" s="465" t="s">
        <v>5700</v>
      </c>
      <c r="I2612" s="465" t="s">
        <v>830</v>
      </c>
    </row>
    <row r="2613" hidden="1" ht="15.95" customHeight="1">
      <c r="A2613" s="465" t="s">
        <v>5786</v>
      </c>
      <c r="B2613" s="465" t="s">
        <v>5787</v>
      </c>
      <c r="C2613" s="465"/>
      <c r="D2613" s="465" t="s">
        <v>884</v>
      </c>
      <c r="E2613" s="465" t="s">
        <v>5782</v>
      </c>
      <c r="F2613" s="465" t="s">
        <v>5783</v>
      </c>
      <c r="G2613" s="465" t="s">
        <v>5699</v>
      </c>
      <c r="H2613" s="465" t="s">
        <v>5700</v>
      </c>
      <c r="I2613" s="465" t="s">
        <v>830</v>
      </c>
    </row>
    <row r="2614" hidden="1" ht="15.95" customHeight="1">
      <c r="A2614" s="465" t="s">
        <v>5788</v>
      </c>
      <c r="B2614" s="465" t="s">
        <v>5789</v>
      </c>
      <c r="C2614" s="465"/>
      <c r="D2614" s="465" t="s">
        <v>855</v>
      </c>
      <c r="E2614" s="465" t="s">
        <v>5782</v>
      </c>
      <c r="F2614" s="465" t="s">
        <v>5783</v>
      </c>
      <c r="G2614" s="465" t="s">
        <v>5699</v>
      </c>
      <c r="H2614" s="465" t="s">
        <v>5700</v>
      </c>
      <c r="I2614" s="465" t="s">
        <v>830</v>
      </c>
    </row>
    <row r="2615" hidden="1" ht="15.95" customHeight="1">
      <c r="A2615" s="465" t="s">
        <v>5790</v>
      </c>
      <c r="B2615" s="465" t="s">
        <v>2450</v>
      </c>
      <c r="C2615" s="465"/>
      <c r="D2615" s="465" t="s">
        <v>855</v>
      </c>
      <c r="E2615" s="465" t="s">
        <v>5782</v>
      </c>
      <c r="F2615" s="465" t="s">
        <v>5783</v>
      </c>
      <c r="G2615" s="465" t="s">
        <v>5699</v>
      </c>
      <c r="H2615" s="465" t="s">
        <v>5700</v>
      </c>
      <c r="I2615" s="465" t="s">
        <v>830</v>
      </c>
    </row>
    <row r="2616" hidden="1" ht="15.95" customHeight="1">
      <c r="A2616" s="465" t="s">
        <v>5791</v>
      </c>
      <c r="B2616" s="465" t="s">
        <v>5792</v>
      </c>
      <c r="C2616" s="465"/>
      <c r="D2616" s="465" t="s">
        <v>855</v>
      </c>
      <c r="E2616" s="465" t="s">
        <v>5782</v>
      </c>
      <c r="F2616" s="465" t="s">
        <v>5783</v>
      </c>
      <c r="G2616" s="465" t="s">
        <v>5699</v>
      </c>
      <c r="H2616" s="465" t="s">
        <v>5700</v>
      </c>
      <c r="I2616" s="465" t="s">
        <v>830</v>
      </c>
    </row>
    <row r="2617" hidden="1" ht="15.95" customHeight="1">
      <c r="A2617" s="465" t="s">
        <v>5793</v>
      </c>
      <c r="B2617" s="465" t="s">
        <v>2507</v>
      </c>
      <c r="C2617" s="465"/>
      <c r="D2617" s="465" t="s">
        <v>855</v>
      </c>
      <c r="E2617" s="465" t="s">
        <v>5782</v>
      </c>
      <c r="F2617" s="465" t="s">
        <v>5783</v>
      </c>
      <c r="G2617" s="465" t="s">
        <v>5699</v>
      </c>
      <c r="H2617" s="465" t="s">
        <v>5700</v>
      </c>
      <c r="I2617" s="465" t="s">
        <v>830</v>
      </c>
    </row>
    <row r="2618" hidden="1" ht="15.95" customHeight="1">
      <c r="A2618" s="465" t="s">
        <v>5794</v>
      </c>
      <c r="B2618" s="465" t="s">
        <v>1691</v>
      </c>
      <c r="C2618" s="465"/>
      <c r="D2618" s="465" t="s">
        <v>855</v>
      </c>
      <c r="E2618" s="465" t="s">
        <v>5782</v>
      </c>
      <c r="F2618" s="465" t="s">
        <v>5783</v>
      </c>
      <c r="G2618" s="465" t="s">
        <v>5699</v>
      </c>
      <c r="H2618" s="465" t="s">
        <v>5700</v>
      </c>
      <c r="I2618" s="465" t="s">
        <v>830</v>
      </c>
    </row>
    <row r="2619" hidden="1" ht="15.95" customHeight="1">
      <c r="A2619" s="465" t="s">
        <v>5795</v>
      </c>
      <c r="B2619" s="465" t="s">
        <v>5796</v>
      </c>
      <c r="C2619" s="465"/>
      <c r="D2619" s="465" t="s">
        <v>855</v>
      </c>
      <c r="E2619" s="465" t="s">
        <v>5782</v>
      </c>
      <c r="F2619" s="465" t="s">
        <v>5783</v>
      </c>
      <c r="G2619" s="465" t="s">
        <v>5699</v>
      </c>
      <c r="H2619" s="465" t="s">
        <v>5700</v>
      </c>
      <c r="I2619" s="465" t="s">
        <v>830</v>
      </c>
    </row>
    <row r="2620" hidden="1" ht="15.95" customHeight="1">
      <c r="A2620" s="465" t="s">
        <v>5797</v>
      </c>
      <c r="B2620" s="465" t="s">
        <v>3874</v>
      </c>
      <c r="C2620" s="465"/>
      <c r="D2620" s="465" t="s">
        <v>855</v>
      </c>
      <c r="E2620" s="465" t="s">
        <v>5782</v>
      </c>
      <c r="F2620" s="465" t="s">
        <v>5783</v>
      </c>
      <c r="G2620" s="465" t="s">
        <v>5699</v>
      </c>
      <c r="H2620" s="465" t="s">
        <v>5700</v>
      </c>
      <c r="I2620" s="465" t="s">
        <v>830</v>
      </c>
    </row>
    <row r="2621" hidden="1" ht="15.95" customHeight="1">
      <c r="A2621" s="465" t="s">
        <v>5798</v>
      </c>
      <c r="B2621" s="465" t="s">
        <v>4474</v>
      </c>
      <c r="C2621" s="465"/>
      <c r="D2621" s="465" t="s">
        <v>855</v>
      </c>
      <c r="E2621" s="465" t="s">
        <v>5782</v>
      </c>
      <c r="F2621" s="465" t="s">
        <v>5783</v>
      </c>
      <c r="G2621" s="465" t="s">
        <v>5699</v>
      </c>
      <c r="H2621" s="465" t="s">
        <v>5700</v>
      </c>
      <c r="I2621" s="465" t="s">
        <v>830</v>
      </c>
    </row>
    <row r="2622" hidden="1" ht="15.95" customHeight="1">
      <c r="A2622" s="465" t="s">
        <v>5799</v>
      </c>
      <c r="B2622" s="465" t="s">
        <v>5800</v>
      </c>
      <c r="C2622" s="465"/>
      <c r="D2622" s="465" t="s">
        <v>884</v>
      </c>
      <c r="E2622" s="465" t="s">
        <v>5801</v>
      </c>
      <c r="F2622" s="465" t="s">
        <v>5802</v>
      </c>
      <c r="G2622" s="465" t="s">
        <v>5699</v>
      </c>
      <c r="H2622" s="465" t="s">
        <v>5700</v>
      </c>
      <c r="I2622" s="465" t="s">
        <v>830</v>
      </c>
    </row>
    <row r="2623" hidden="1" ht="15.95" customHeight="1">
      <c r="A2623" s="465" t="s">
        <v>5803</v>
      </c>
      <c r="B2623" s="465" t="s">
        <v>5804</v>
      </c>
      <c r="C2623" s="465"/>
      <c r="D2623" s="465" t="s">
        <v>855</v>
      </c>
      <c r="E2623" s="465" t="s">
        <v>5801</v>
      </c>
      <c r="F2623" s="465" t="s">
        <v>5802</v>
      </c>
      <c r="G2623" s="465" t="s">
        <v>5699</v>
      </c>
      <c r="H2623" s="465" t="s">
        <v>5700</v>
      </c>
      <c r="I2623" s="465" t="s">
        <v>830</v>
      </c>
    </row>
    <row r="2624" hidden="1" ht="15.95" customHeight="1">
      <c r="A2624" s="465" t="s">
        <v>5805</v>
      </c>
      <c r="B2624" s="465" t="s">
        <v>5806</v>
      </c>
      <c r="C2624" s="465"/>
      <c r="D2624" s="465" t="s">
        <v>855</v>
      </c>
      <c r="E2624" s="465" t="s">
        <v>5801</v>
      </c>
      <c r="F2624" s="465" t="s">
        <v>5802</v>
      </c>
      <c r="G2624" s="465" t="s">
        <v>5699</v>
      </c>
      <c r="H2624" s="465" t="s">
        <v>5700</v>
      </c>
      <c r="I2624" s="465" t="s">
        <v>830</v>
      </c>
    </row>
    <row r="2625" hidden="1" ht="15.95" customHeight="1">
      <c r="A2625" s="465" t="s">
        <v>5807</v>
      </c>
      <c r="B2625" s="465" t="s">
        <v>2321</v>
      </c>
      <c r="C2625" s="465"/>
      <c r="D2625" s="465" t="s">
        <v>855</v>
      </c>
      <c r="E2625" s="465" t="s">
        <v>5801</v>
      </c>
      <c r="F2625" s="465" t="s">
        <v>5802</v>
      </c>
      <c r="G2625" s="465" t="s">
        <v>5699</v>
      </c>
      <c r="H2625" s="465" t="s">
        <v>5700</v>
      </c>
      <c r="I2625" s="465" t="s">
        <v>830</v>
      </c>
    </row>
    <row r="2626" hidden="1" ht="15.95" customHeight="1">
      <c r="A2626" s="465" t="s">
        <v>5808</v>
      </c>
      <c r="B2626" s="465" t="s">
        <v>5809</v>
      </c>
      <c r="C2626" s="465"/>
      <c r="D2626" s="465" t="s">
        <v>855</v>
      </c>
      <c r="E2626" s="465" t="s">
        <v>5801</v>
      </c>
      <c r="F2626" s="465" t="s">
        <v>5802</v>
      </c>
      <c r="G2626" s="465" t="s">
        <v>5699</v>
      </c>
      <c r="H2626" s="465" t="s">
        <v>5700</v>
      </c>
      <c r="I2626" s="465" t="s">
        <v>830</v>
      </c>
    </row>
    <row r="2627" hidden="1" ht="15.95" customHeight="1">
      <c r="A2627" s="465" t="s">
        <v>5810</v>
      </c>
      <c r="B2627" s="465" t="s">
        <v>4394</v>
      </c>
      <c r="C2627" s="465"/>
      <c r="D2627" s="465" t="s">
        <v>855</v>
      </c>
      <c r="E2627" s="465" t="s">
        <v>5801</v>
      </c>
      <c r="F2627" s="465" t="s">
        <v>5802</v>
      </c>
      <c r="G2627" s="465" t="s">
        <v>5699</v>
      </c>
      <c r="H2627" s="465" t="s">
        <v>5700</v>
      </c>
      <c r="I2627" s="465" t="s">
        <v>830</v>
      </c>
    </row>
    <row r="2628" hidden="1" ht="15.95" customHeight="1">
      <c r="A2628" s="465" t="s">
        <v>5811</v>
      </c>
      <c r="B2628" s="465" t="s">
        <v>5812</v>
      </c>
      <c r="C2628" s="465"/>
      <c r="D2628" s="465" t="s">
        <v>855</v>
      </c>
      <c r="E2628" s="465" t="s">
        <v>5801</v>
      </c>
      <c r="F2628" s="465" t="s">
        <v>5802</v>
      </c>
      <c r="G2628" s="465" t="s">
        <v>5699</v>
      </c>
      <c r="H2628" s="465" t="s">
        <v>5700</v>
      </c>
      <c r="I2628" s="465" t="s">
        <v>830</v>
      </c>
    </row>
    <row r="2629" hidden="1" ht="15.95" customHeight="1">
      <c r="A2629" s="465" t="s">
        <v>5813</v>
      </c>
      <c r="B2629" s="465" t="s">
        <v>5814</v>
      </c>
      <c r="C2629" s="465"/>
      <c r="D2629" s="465" t="s">
        <v>855</v>
      </c>
      <c r="E2629" s="465" t="s">
        <v>5801</v>
      </c>
      <c r="F2629" s="465" t="s">
        <v>5802</v>
      </c>
      <c r="G2629" s="465" t="s">
        <v>5699</v>
      </c>
      <c r="H2629" s="465" t="s">
        <v>5700</v>
      </c>
      <c r="I2629" s="465" t="s">
        <v>830</v>
      </c>
    </row>
    <row r="2630" hidden="1" ht="15.95" customHeight="1">
      <c r="A2630" s="465" t="s">
        <v>5815</v>
      </c>
      <c r="B2630" s="465" t="s">
        <v>5816</v>
      </c>
      <c r="C2630" s="465"/>
      <c r="D2630" s="465" t="s">
        <v>855</v>
      </c>
      <c r="E2630" s="465" t="s">
        <v>5801</v>
      </c>
      <c r="F2630" s="465" t="s">
        <v>5802</v>
      </c>
      <c r="G2630" s="465" t="s">
        <v>5699</v>
      </c>
      <c r="H2630" s="465" t="s">
        <v>5700</v>
      </c>
      <c r="I2630" s="465" t="s">
        <v>830</v>
      </c>
    </row>
    <row r="2631" hidden="1" ht="15.95" customHeight="1">
      <c r="A2631" s="465" t="s">
        <v>5817</v>
      </c>
      <c r="B2631" s="465" t="s">
        <v>5818</v>
      </c>
      <c r="C2631" s="465"/>
      <c r="D2631" s="465" t="s">
        <v>855</v>
      </c>
      <c r="E2631" s="465" t="s">
        <v>5801</v>
      </c>
      <c r="F2631" s="465" t="s">
        <v>5802</v>
      </c>
      <c r="G2631" s="465" t="s">
        <v>5699</v>
      </c>
      <c r="H2631" s="465" t="s">
        <v>5700</v>
      </c>
      <c r="I2631" s="465" t="s">
        <v>830</v>
      </c>
    </row>
    <row r="2632" hidden="1" ht="15.95" customHeight="1">
      <c r="A2632" s="465" t="s">
        <v>5819</v>
      </c>
      <c r="B2632" s="465" t="s">
        <v>5820</v>
      </c>
      <c r="C2632" s="465"/>
      <c r="D2632" s="465" t="s">
        <v>855</v>
      </c>
      <c r="E2632" s="465" t="s">
        <v>5801</v>
      </c>
      <c r="F2632" s="465" t="s">
        <v>5802</v>
      </c>
      <c r="G2632" s="465" t="s">
        <v>5699</v>
      </c>
      <c r="H2632" s="465" t="s">
        <v>5700</v>
      </c>
      <c r="I2632" s="465" t="s">
        <v>830</v>
      </c>
    </row>
    <row r="2633" hidden="1" ht="15.95" customHeight="1">
      <c r="A2633" s="465" t="s">
        <v>5821</v>
      </c>
      <c r="B2633" s="465" t="s">
        <v>1266</v>
      </c>
      <c r="C2633" s="465"/>
      <c r="D2633" s="465" t="s">
        <v>825</v>
      </c>
      <c r="E2633" s="465" t="s">
        <v>5822</v>
      </c>
      <c r="F2633" s="465" t="s">
        <v>5823</v>
      </c>
      <c r="G2633" s="465" t="s">
        <v>5699</v>
      </c>
      <c r="H2633" s="465" t="s">
        <v>5700</v>
      </c>
      <c r="I2633" s="465" t="s">
        <v>830</v>
      </c>
    </row>
    <row r="2634" hidden="1" ht="15.95" customHeight="1">
      <c r="A2634" s="465" t="s">
        <v>5824</v>
      </c>
      <c r="B2634" s="465" t="s">
        <v>1264</v>
      </c>
      <c r="C2634" s="465"/>
      <c r="D2634" s="465" t="s">
        <v>825</v>
      </c>
      <c r="E2634" s="465" t="s">
        <v>5822</v>
      </c>
      <c r="F2634" s="465" t="s">
        <v>5823</v>
      </c>
      <c r="G2634" s="465" t="s">
        <v>5699</v>
      </c>
      <c r="H2634" s="465" t="s">
        <v>5700</v>
      </c>
      <c r="I2634" s="465" t="s">
        <v>830</v>
      </c>
    </row>
    <row r="2635" hidden="1" ht="15.95" customHeight="1">
      <c r="A2635" s="465" t="s">
        <v>5825</v>
      </c>
      <c r="B2635" s="465" t="s">
        <v>5826</v>
      </c>
      <c r="C2635" s="465"/>
      <c r="D2635" s="465" t="s">
        <v>855</v>
      </c>
      <c r="E2635" s="465" t="s">
        <v>5822</v>
      </c>
      <c r="F2635" s="465" t="s">
        <v>5823</v>
      </c>
      <c r="G2635" s="465" t="s">
        <v>5699</v>
      </c>
      <c r="H2635" s="465" t="s">
        <v>5700</v>
      </c>
      <c r="I2635" s="465" t="s">
        <v>830</v>
      </c>
    </row>
    <row r="2636" hidden="1" ht="15.95" customHeight="1">
      <c r="A2636" s="465" t="s">
        <v>5827</v>
      </c>
      <c r="B2636" s="465" t="s">
        <v>2095</v>
      </c>
      <c r="C2636" s="465"/>
      <c r="D2636" s="465" t="s">
        <v>855</v>
      </c>
      <c r="E2636" s="465" t="s">
        <v>5822</v>
      </c>
      <c r="F2636" s="465" t="s">
        <v>5823</v>
      </c>
      <c r="G2636" s="465" t="s">
        <v>5699</v>
      </c>
      <c r="H2636" s="465" t="s">
        <v>5700</v>
      </c>
      <c r="I2636" s="465" t="s">
        <v>830</v>
      </c>
    </row>
    <row r="2637" hidden="1" ht="15.95" customHeight="1">
      <c r="A2637" s="465" t="s">
        <v>5828</v>
      </c>
      <c r="B2637" s="465" t="s">
        <v>1781</v>
      </c>
      <c r="C2637" s="465"/>
      <c r="D2637" s="465" t="s">
        <v>855</v>
      </c>
      <c r="E2637" s="465" t="s">
        <v>5822</v>
      </c>
      <c r="F2637" s="465" t="s">
        <v>5823</v>
      </c>
      <c r="G2637" s="465" t="s">
        <v>5699</v>
      </c>
      <c r="H2637" s="465" t="s">
        <v>5700</v>
      </c>
      <c r="I2637" s="465" t="s">
        <v>830</v>
      </c>
    </row>
    <row r="2638" hidden="1" ht="15.95" customHeight="1">
      <c r="A2638" s="465" t="s">
        <v>5829</v>
      </c>
      <c r="B2638" s="465" t="s">
        <v>1278</v>
      </c>
      <c r="C2638" s="465"/>
      <c r="D2638" s="465" t="s">
        <v>825</v>
      </c>
      <c r="E2638" s="465" t="s">
        <v>5822</v>
      </c>
      <c r="F2638" s="465" t="s">
        <v>5823</v>
      </c>
      <c r="G2638" s="465" t="s">
        <v>5699</v>
      </c>
      <c r="H2638" s="465" t="s">
        <v>5700</v>
      </c>
      <c r="I2638" s="465" t="s">
        <v>830</v>
      </c>
    </row>
    <row r="2639" hidden="1" ht="15.95" customHeight="1">
      <c r="A2639" s="465" t="s">
        <v>5830</v>
      </c>
      <c r="B2639" s="465" t="s">
        <v>3368</v>
      </c>
      <c r="C2639" s="465"/>
      <c r="D2639" s="465" t="s">
        <v>855</v>
      </c>
      <c r="E2639" s="465" t="s">
        <v>5822</v>
      </c>
      <c r="F2639" s="465" t="s">
        <v>5823</v>
      </c>
      <c r="G2639" s="465" t="s">
        <v>5699</v>
      </c>
      <c r="H2639" s="465" t="s">
        <v>5700</v>
      </c>
      <c r="I2639" s="465" t="s">
        <v>830</v>
      </c>
    </row>
    <row r="2640" hidden="1" ht="15.95" customHeight="1">
      <c r="A2640" s="465" t="s">
        <v>5831</v>
      </c>
      <c r="B2640" s="465" t="s">
        <v>5832</v>
      </c>
      <c r="C2640" s="465"/>
      <c r="D2640" s="465" t="s">
        <v>855</v>
      </c>
      <c r="E2640" s="465" t="s">
        <v>5822</v>
      </c>
      <c r="F2640" s="465" t="s">
        <v>5823</v>
      </c>
      <c r="G2640" s="465" t="s">
        <v>5699</v>
      </c>
      <c r="H2640" s="465" t="s">
        <v>5700</v>
      </c>
      <c r="I2640" s="465" t="s">
        <v>830</v>
      </c>
    </row>
    <row r="2641" hidden="1" ht="15.95" customHeight="1">
      <c r="A2641" s="465" t="s">
        <v>5833</v>
      </c>
      <c r="B2641" s="465" t="s">
        <v>5834</v>
      </c>
      <c r="C2641" s="465"/>
      <c r="D2641" s="465" t="s">
        <v>884</v>
      </c>
      <c r="E2641" s="465" t="s">
        <v>5835</v>
      </c>
      <c r="F2641" s="465" t="s">
        <v>5836</v>
      </c>
      <c r="G2641" s="465" t="s">
        <v>5699</v>
      </c>
      <c r="H2641" s="465" t="s">
        <v>5700</v>
      </c>
      <c r="I2641" s="465" t="s">
        <v>830</v>
      </c>
    </row>
    <row r="2642" hidden="1" ht="15.95" customHeight="1">
      <c r="A2642" s="465" t="s">
        <v>5837</v>
      </c>
      <c r="B2642" s="465" t="s">
        <v>5838</v>
      </c>
      <c r="C2642" s="465"/>
      <c r="D2642" s="465" t="s">
        <v>884</v>
      </c>
      <c r="E2642" s="465" t="s">
        <v>5835</v>
      </c>
      <c r="F2642" s="465" t="s">
        <v>5836</v>
      </c>
      <c r="G2642" s="465" t="s">
        <v>5699</v>
      </c>
      <c r="H2642" s="465" t="s">
        <v>5700</v>
      </c>
      <c r="I2642" s="465" t="s">
        <v>830</v>
      </c>
    </row>
    <row r="2643" hidden="1" ht="15.95" customHeight="1">
      <c r="A2643" s="465" t="s">
        <v>5839</v>
      </c>
      <c r="B2643" s="465" t="s">
        <v>5840</v>
      </c>
      <c r="C2643" s="465"/>
      <c r="D2643" s="465" t="s">
        <v>855</v>
      </c>
      <c r="E2643" s="465" t="s">
        <v>5835</v>
      </c>
      <c r="F2643" s="465" t="s">
        <v>5836</v>
      </c>
      <c r="G2643" s="465" t="s">
        <v>5699</v>
      </c>
      <c r="H2643" s="465" t="s">
        <v>5700</v>
      </c>
      <c r="I2643" s="465" t="s">
        <v>830</v>
      </c>
    </row>
    <row r="2644" hidden="1" ht="15.95" customHeight="1">
      <c r="A2644" s="465" t="s">
        <v>5841</v>
      </c>
      <c r="B2644" s="465" t="s">
        <v>1811</v>
      </c>
      <c r="C2644" s="465"/>
      <c r="D2644" s="465" t="s">
        <v>855</v>
      </c>
      <c r="E2644" s="465" t="s">
        <v>5835</v>
      </c>
      <c r="F2644" s="465" t="s">
        <v>5836</v>
      </c>
      <c r="G2644" s="465" t="s">
        <v>5699</v>
      </c>
      <c r="H2644" s="465" t="s">
        <v>5700</v>
      </c>
      <c r="I2644" s="465" t="s">
        <v>830</v>
      </c>
    </row>
    <row r="2645" hidden="1" ht="15.95" customHeight="1">
      <c r="A2645" s="465" t="s">
        <v>5842</v>
      </c>
      <c r="B2645" s="465" t="s">
        <v>5843</v>
      </c>
      <c r="C2645" s="465"/>
      <c r="D2645" s="465" t="s">
        <v>855</v>
      </c>
      <c r="E2645" s="465" t="s">
        <v>5835</v>
      </c>
      <c r="F2645" s="465" t="s">
        <v>5836</v>
      </c>
      <c r="G2645" s="465" t="s">
        <v>5699</v>
      </c>
      <c r="H2645" s="465" t="s">
        <v>5700</v>
      </c>
      <c r="I2645" s="465" t="s">
        <v>830</v>
      </c>
    </row>
    <row r="2646" hidden="1" ht="15.95" customHeight="1">
      <c r="A2646" s="465" t="s">
        <v>5844</v>
      </c>
      <c r="B2646" s="465" t="s">
        <v>5845</v>
      </c>
      <c r="C2646" s="465"/>
      <c r="D2646" s="465" t="s">
        <v>855</v>
      </c>
      <c r="E2646" s="465" t="s">
        <v>5835</v>
      </c>
      <c r="F2646" s="465" t="s">
        <v>5836</v>
      </c>
      <c r="G2646" s="465" t="s">
        <v>5699</v>
      </c>
      <c r="H2646" s="465" t="s">
        <v>5700</v>
      </c>
      <c r="I2646" s="465" t="s">
        <v>830</v>
      </c>
    </row>
    <row r="2647" hidden="1" ht="15.95" customHeight="1">
      <c r="A2647" s="465" t="s">
        <v>5846</v>
      </c>
      <c r="B2647" s="465" t="s">
        <v>3959</v>
      </c>
      <c r="C2647" s="465"/>
      <c r="D2647" s="465" t="s">
        <v>855</v>
      </c>
      <c r="E2647" s="465" t="s">
        <v>5835</v>
      </c>
      <c r="F2647" s="465" t="s">
        <v>5836</v>
      </c>
      <c r="G2647" s="465" t="s">
        <v>5699</v>
      </c>
      <c r="H2647" s="465" t="s">
        <v>5700</v>
      </c>
      <c r="I2647" s="465" t="s">
        <v>830</v>
      </c>
    </row>
    <row r="2648" hidden="1" ht="15.95" customHeight="1">
      <c r="A2648" s="465" t="s">
        <v>5847</v>
      </c>
      <c r="B2648" s="465" t="s">
        <v>3232</v>
      </c>
      <c r="C2648" s="465"/>
      <c r="D2648" s="465" t="s">
        <v>855</v>
      </c>
      <c r="E2648" s="465" t="s">
        <v>5835</v>
      </c>
      <c r="F2648" s="465" t="s">
        <v>5836</v>
      </c>
      <c r="G2648" s="465" t="s">
        <v>5699</v>
      </c>
      <c r="H2648" s="465" t="s">
        <v>5700</v>
      </c>
      <c r="I2648" s="465" t="s">
        <v>830</v>
      </c>
    </row>
    <row r="2649" hidden="1" ht="15.95" customHeight="1">
      <c r="A2649" s="465" t="s">
        <v>5848</v>
      </c>
      <c r="B2649" s="465" t="s">
        <v>3259</v>
      </c>
      <c r="C2649" s="465"/>
      <c r="D2649" s="465" t="s">
        <v>855</v>
      </c>
      <c r="E2649" s="465" t="s">
        <v>5835</v>
      </c>
      <c r="F2649" s="465" t="s">
        <v>5836</v>
      </c>
      <c r="G2649" s="465" t="s">
        <v>5699</v>
      </c>
      <c r="H2649" s="465" t="s">
        <v>5700</v>
      </c>
      <c r="I2649" s="465" t="s">
        <v>830</v>
      </c>
    </row>
    <row r="2650" hidden="1" ht="15.95" customHeight="1">
      <c r="A2650" s="465" t="s">
        <v>5849</v>
      </c>
      <c r="B2650" s="465" t="s">
        <v>4046</v>
      </c>
      <c r="C2650" s="465"/>
      <c r="D2650" s="465" t="s">
        <v>855</v>
      </c>
      <c r="E2650" s="465" t="s">
        <v>5835</v>
      </c>
      <c r="F2650" s="465" t="s">
        <v>5836</v>
      </c>
      <c r="G2650" s="465" t="s">
        <v>5699</v>
      </c>
      <c r="H2650" s="465" t="s">
        <v>5700</v>
      </c>
      <c r="I2650" s="465" t="s">
        <v>830</v>
      </c>
    </row>
    <row r="2651" hidden="1" ht="15.95" customHeight="1">
      <c r="A2651" s="465" t="s">
        <v>5850</v>
      </c>
      <c r="B2651" s="465" t="s">
        <v>1266</v>
      </c>
      <c r="C2651" s="465"/>
      <c r="D2651" s="465" t="s">
        <v>825</v>
      </c>
      <c r="E2651" s="465" t="s">
        <v>5851</v>
      </c>
      <c r="F2651" s="465" t="s">
        <v>5852</v>
      </c>
      <c r="G2651" s="465" t="s">
        <v>5699</v>
      </c>
      <c r="H2651" s="465" t="s">
        <v>5700</v>
      </c>
      <c r="I2651" s="465" t="s">
        <v>830</v>
      </c>
    </row>
    <row r="2652" hidden="1" ht="15.95" customHeight="1">
      <c r="A2652" s="465" t="s">
        <v>5853</v>
      </c>
      <c r="B2652" s="465" t="s">
        <v>5854</v>
      </c>
      <c r="C2652" s="465"/>
      <c r="D2652" s="465" t="s">
        <v>855</v>
      </c>
      <c r="E2652" s="465" t="s">
        <v>5851</v>
      </c>
      <c r="F2652" s="465" t="s">
        <v>5852</v>
      </c>
      <c r="G2652" s="465" t="s">
        <v>5699</v>
      </c>
      <c r="H2652" s="465" t="s">
        <v>5700</v>
      </c>
      <c r="I2652" s="465" t="s">
        <v>830</v>
      </c>
    </row>
    <row r="2653" hidden="1" ht="15.95" customHeight="1">
      <c r="A2653" s="465" t="s">
        <v>5855</v>
      </c>
      <c r="B2653" s="465" t="s">
        <v>5856</v>
      </c>
      <c r="C2653" s="465"/>
      <c r="D2653" s="465" t="s">
        <v>825</v>
      </c>
      <c r="E2653" s="465" t="s">
        <v>5851</v>
      </c>
      <c r="F2653" s="465" t="s">
        <v>5852</v>
      </c>
      <c r="G2653" s="465" t="s">
        <v>5699</v>
      </c>
      <c r="H2653" s="465" t="s">
        <v>5700</v>
      </c>
      <c r="I2653" s="465" t="s">
        <v>830</v>
      </c>
    </row>
    <row r="2654" hidden="1" ht="15.95" customHeight="1">
      <c r="A2654" s="465" t="s">
        <v>5857</v>
      </c>
      <c r="B2654" s="465" t="s">
        <v>5858</v>
      </c>
      <c r="C2654" s="465"/>
      <c r="D2654" s="465" t="s">
        <v>855</v>
      </c>
      <c r="E2654" s="465" t="s">
        <v>5851</v>
      </c>
      <c r="F2654" s="465" t="s">
        <v>5852</v>
      </c>
      <c r="G2654" s="465" t="s">
        <v>5699</v>
      </c>
      <c r="H2654" s="465" t="s">
        <v>5700</v>
      </c>
      <c r="I2654" s="465" t="s">
        <v>830</v>
      </c>
    </row>
    <row r="2655" hidden="1" ht="15.95" customHeight="1">
      <c r="A2655" s="465" t="s">
        <v>5859</v>
      </c>
      <c r="B2655" s="465" t="s">
        <v>906</v>
      </c>
      <c r="C2655" s="465"/>
      <c r="D2655" s="465" t="s">
        <v>855</v>
      </c>
      <c r="E2655" s="465" t="s">
        <v>5851</v>
      </c>
      <c r="F2655" s="465" t="s">
        <v>5852</v>
      </c>
      <c r="G2655" s="465" t="s">
        <v>5699</v>
      </c>
      <c r="H2655" s="465" t="s">
        <v>5700</v>
      </c>
      <c r="I2655" s="465" t="s">
        <v>830</v>
      </c>
    </row>
    <row r="2656" hidden="1" ht="15.95" customHeight="1">
      <c r="A2656" s="465" t="s">
        <v>5860</v>
      </c>
      <c r="B2656" s="465" t="s">
        <v>5861</v>
      </c>
      <c r="C2656" s="465"/>
      <c r="D2656" s="465" t="s">
        <v>855</v>
      </c>
      <c r="E2656" s="465" t="s">
        <v>5851</v>
      </c>
      <c r="F2656" s="465" t="s">
        <v>5852</v>
      </c>
      <c r="G2656" s="465" t="s">
        <v>5699</v>
      </c>
      <c r="H2656" s="465" t="s">
        <v>5700</v>
      </c>
      <c r="I2656" s="465" t="s">
        <v>830</v>
      </c>
    </row>
    <row r="2657" hidden="1" ht="15.95" customHeight="1">
      <c r="A2657" s="465" t="s">
        <v>5862</v>
      </c>
      <c r="B2657" s="465" t="s">
        <v>1264</v>
      </c>
      <c r="C2657" s="465"/>
      <c r="D2657" s="465" t="s">
        <v>825</v>
      </c>
      <c r="E2657" s="465" t="s">
        <v>5851</v>
      </c>
      <c r="F2657" s="465" t="s">
        <v>5852</v>
      </c>
      <c r="G2657" s="465" t="s">
        <v>5699</v>
      </c>
      <c r="H2657" s="465" t="s">
        <v>5700</v>
      </c>
      <c r="I2657" s="465" t="s">
        <v>830</v>
      </c>
    </row>
    <row r="2658" hidden="1" ht="15.95" customHeight="1">
      <c r="A2658" s="465" t="s">
        <v>5863</v>
      </c>
      <c r="B2658" s="465" t="s">
        <v>5864</v>
      </c>
      <c r="C2658" s="465"/>
      <c r="D2658" s="465" t="s">
        <v>825</v>
      </c>
      <c r="E2658" s="465" t="s">
        <v>5851</v>
      </c>
      <c r="F2658" s="465" t="s">
        <v>5852</v>
      </c>
      <c r="G2658" s="465" t="s">
        <v>5699</v>
      </c>
      <c r="H2658" s="465" t="s">
        <v>5700</v>
      </c>
      <c r="I2658" s="465" t="s">
        <v>830</v>
      </c>
    </row>
    <row r="2659" hidden="1" ht="15.95" customHeight="1">
      <c r="A2659" s="465" t="s">
        <v>5865</v>
      </c>
      <c r="B2659" s="465" t="s">
        <v>1050</v>
      </c>
      <c r="C2659" s="465"/>
      <c r="D2659" s="465" t="s">
        <v>855</v>
      </c>
      <c r="E2659" s="465" t="s">
        <v>5851</v>
      </c>
      <c r="F2659" s="465" t="s">
        <v>5852</v>
      </c>
      <c r="G2659" s="465" t="s">
        <v>5699</v>
      </c>
      <c r="H2659" s="465" t="s">
        <v>5700</v>
      </c>
      <c r="I2659" s="465" t="s">
        <v>830</v>
      </c>
    </row>
    <row r="2660" hidden="1" ht="15.95" customHeight="1">
      <c r="A2660" s="465" t="s">
        <v>5866</v>
      </c>
      <c r="B2660" s="465" t="s">
        <v>5867</v>
      </c>
      <c r="C2660" s="465"/>
      <c r="D2660" s="465" t="s">
        <v>855</v>
      </c>
      <c r="E2660" s="465" t="s">
        <v>5851</v>
      </c>
      <c r="F2660" s="465" t="s">
        <v>5852</v>
      </c>
      <c r="G2660" s="465" t="s">
        <v>5699</v>
      </c>
      <c r="H2660" s="465" t="s">
        <v>5700</v>
      </c>
      <c r="I2660" s="465" t="s">
        <v>830</v>
      </c>
    </row>
    <row r="2661" hidden="1" ht="15.95" customHeight="1">
      <c r="A2661" s="465" t="s">
        <v>5868</v>
      </c>
      <c r="B2661" s="465" t="s">
        <v>5869</v>
      </c>
      <c r="C2661" s="465"/>
      <c r="D2661" s="465" t="s">
        <v>855</v>
      </c>
      <c r="E2661" s="465" t="s">
        <v>5870</v>
      </c>
      <c r="F2661" s="465" t="s">
        <v>5871</v>
      </c>
      <c r="G2661" s="465" t="s">
        <v>5699</v>
      </c>
      <c r="H2661" s="465" t="s">
        <v>5700</v>
      </c>
      <c r="I2661" s="465" t="s">
        <v>830</v>
      </c>
    </row>
    <row r="2662" hidden="1" ht="15.95" customHeight="1">
      <c r="A2662" s="465" t="s">
        <v>5872</v>
      </c>
      <c r="B2662" s="465" t="s">
        <v>5873</v>
      </c>
      <c r="C2662" s="465"/>
      <c r="D2662" s="465" t="s">
        <v>884</v>
      </c>
      <c r="E2662" s="465" t="s">
        <v>5870</v>
      </c>
      <c r="F2662" s="465" t="s">
        <v>5871</v>
      </c>
      <c r="G2662" s="465" t="s">
        <v>5699</v>
      </c>
      <c r="H2662" s="465" t="s">
        <v>5700</v>
      </c>
      <c r="I2662" s="465" t="s">
        <v>830</v>
      </c>
    </row>
    <row r="2663" hidden="1" ht="15.95" customHeight="1">
      <c r="A2663" s="465" t="s">
        <v>5874</v>
      </c>
      <c r="B2663" s="465" t="s">
        <v>5875</v>
      </c>
      <c r="C2663" s="465"/>
      <c r="D2663" s="465" t="s">
        <v>855</v>
      </c>
      <c r="E2663" s="465" t="s">
        <v>5870</v>
      </c>
      <c r="F2663" s="465" t="s">
        <v>5871</v>
      </c>
      <c r="G2663" s="465" t="s">
        <v>5699</v>
      </c>
      <c r="H2663" s="465" t="s">
        <v>5700</v>
      </c>
      <c r="I2663" s="465" t="s">
        <v>830</v>
      </c>
    </row>
    <row r="2664" hidden="1" ht="15.95" customHeight="1">
      <c r="A2664" s="465" t="s">
        <v>5876</v>
      </c>
      <c r="B2664" s="465" t="s">
        <v>5877</v>
      </c>
      <c r="C2664" s="465"/>
      <c r="D2664" s="465" t="s">
        <v>855</v>
      </c>
      <c r="E2664" s="465" t="s">
        <v>5870</v>
      </c>
      <c r="F2664" s="465" t="s">
        <v>5871</v>
      </c>
      <c r="G2664" s="465" t="s">
        <v>5699</v>
      </c>
      <c r="H2664" s="465" t="s">
        <v>5700</v>
      </c>
      <c r="I2664" s="465" t="s">
        <v>830</v>
      </c>
    </row>
    <row r="2665" hidden="1" ht="15.95" customHeight="1">
      <c r="A2665" s="465" t="s">
        <v>5878</v>
      </c>
      <c r="B2665" s="465" t="s">
        <v>5879</v>
      </c>
      <c r="C2665" s="465"/>
      <c r="D2665" s="465" t="s">
        <v>884</v>
      </c>
      <c r="E2665" s="465" t="s">
        <v>5870</v>
      </c>
      <c r="F2665" s="465" t="s">
        <v>5871</v>
      </c>
      <c r="G2665" s="465" t="s">
        <v>5699</v>
      </c>
      <c r="H2665" s="465" t="s">
        <v>5700</v>
      </c>
      <c r="I2665" s="465" t="s">
        <v>830</v>
      </c>
    </row>
    <row r="2666" hidden="1" ht="15.95" customHeight="1">
      <c r="A2666" s="465" t="s">
        <v>5880</v>
      </c>
      <c r="B2666" s="465" t="s">
        <v>5881</v>
      </c>
      <c r="C2666" s="465"/>
      <c r="D2666" s="465" t="s">
        <v>855</v>
      </c>
      <c r="E2666" s="465" t="s">
        <v>5870</v>
      </c>
      <c r="F2666" s="465" t="s">
        <v>5871</v>
      </c>
      <c r="G2666" s="465" t="s">
        <v>5699</v>
      </c>
      <c r="H2666" s="465" t="s">
        <v>5700</v>
      </c>
      <c r="I2666" s="465" t="s">
        <v>830</v>
      </c>
    </row>
    <row r="2667" hidden="1" ht="15.95" customHeight="1">
      <c r="A2667" s="465" t="s">
        <v>5882</v>
      </c>
      <c r="B2667" s="465" t="s">
        <v>5883</v>
      </c>
      <c r="C2667" s="465"/>
      <c r="D2667" s="465" t="s">
        <v>855</v>
      </c>
      <c r="E2667" s="465" t="s">
        <v>5870</v>
      </c>
      <c r="F2667" s="465" t="s">
        <v>5871</v>
      </c>
      <c r="G2667" s="465" t="s">
        <v>5699</v>
      </c>
      <c r="H2667" s="465" t="s">
        <v>5700</v>
      </c>
      <c r="I2667" s="465" t="s">
        <v>830</v>
      </c>
    </row>
    <row r="2668" hidden="1" ht="15.95" customHeight="1">
      <c r="A2668" s="465" t="s">
        <v>5884</v>
      </c>
      <c r="B2668" s="465" t="s">
        <v>5885</v>
      </c>
      <c r="C2668" s="465"/>
      <c r="D2668" s="465" t="s">
        <v>855</v>
      </c>
      <c r="E2668" s="465" t="s">
        <v>5870</v>
      </c>
      <c r="F2668" s="465" t="s">
        <v>5871</v>
      </c>
      <c r="G2668" s="465" t="s">
        <v>5699</v>
      </c>
      <c r="H2668" s="465" t="s">
        <v>5700</v>
      </c>
      <c r="I2668" s="465" t="s">
        <v>830</v>
      </c>
    </row>
    <row r="2669" hidden="1" ht="15.95" customHeight="1">
      <c r="A2669" s="465" t="s">
        <v>5886</v>
      </c>
      <c r="B2669" s="465" t="s">
        <v>5887</v>
      </c>
      <c r="C2669" s="465"/>
      <c r="D2669" s="465" t="s">
        <v>855</v>
      </c>
      <c r="E2669" s="465" t="s">
        <v>5870</v>
      </c>
      <c r="F2669" s="465" t="s">
        <v>5871</v>
      </c>
      <c r="G2669" s="465" t="s">
        <v>5699</v>
      </c>
      <c r="H2669" s="465" t="s">
        <v>5700</v>
      </c>
      <c r="I2669" s="465" t="s">
        <v>830</v>
      </c>
    </row>
    <row r="2670" hidden="1" ht="15.95" customHeight="1">
      <c r="A2670" s="465" t="s">
        <v>5888</v>
      </c>
      <c r="B2670" s="465" t="s">
        <v>5889</v>
      </c>
      <c r="C2670" s="465"/>
      <c r="D2670" s="465" t="s">
        <v>855</v>
      </c>
      <c r="E2670" s="465" t="s">
        <v>5870</v>
      </c>
      <c r="F2670" s="465" t="s">
        <v>5871</v>
      </c>
      <c r="G2670" s="465" t="s">
        <v>5699</v>
      </c>
      <c r="H2670" s="465" t="s">
        <v>5700</v>
      </c>
      <c r="I2670" s="465" t="s">
        <v>830</v>
      </c>
    </row>
    <row r="2671" hidden="1" ht="15.95" customHeight="1">
      <c r="A2671" s="465" t="s">
        <v>5890</v>
      </c>
      <c r="B2671" s="465" t="s">
        <v>5891</v>
      </c>
      <c r="C2671" s="465"/>
      <c r="D2671" s="465" t="s">
        <v>855</v>
      </c>
      <c r="E2671" s="465" t="s">
        <v>5870</v>
      </c>
      <c r="F2671" s="465" t="s">
        <v>5871</v>
      </c>
      <c r="G2671" s="465" t="s">
        <v>5699</v>
      </c>
      <c r="H2671" s="465" t="s">
        <v>5700</v>
      </c>
      <c r="I2671" s="465" t="s">
        <v>830</v>
      </c>
    </row>
    <row r="2672" hidden="1" ht="15.95" customHeight="1">
      <c r="A2672" s="465" t="s">
        <v>5892</v>
      </c>
      <c r="B2672" s="465" t="s">
        <v>1264</v>
      </c>
      <c r="C2672" s="465"/>
      <c r="D2672" s="465" t="s">
        <v>825</v>
      </c>
      <c r="E2672" s="465" t="s">
        <v>5893</v>
      </c>
      <c r="F2672" s="465" t="s">
        <v>5894</v>
      </c>
      <c r="G2672" s="465" t="s">
        <v>5895</v>
      </c>
      <c r="H2672" s="465" t="s">
        <v>5896</v>
      </c>
      <c r="I2672" s="465" t="s">
        <v>830</v>
      </c>
    </row>
    <row r="2673" hidden="1" ht="15.95" customHeight="1">
      <c r="A2673" s="465" t="s">
        <v>5897</v>
      </c>
      <c r="B2673" s="465" t="s">
        <v>1278</v>
      </c>
      <c r="C2673" s="465"/>
      <c r="D2673" s="465" t="s">
        <v>825</v>
      </c>
      <c r="E2673" s="465" t="s">
        <v>5893</v>
      </c>
      <c r="F2673" s="465" t="s">
        <v>5894</v>
      </c>
      <c r="G2673" s="465" t="s">
        <v>5895</v>
      </c>
      <c r="H2673" s="465" t="s">
        <v>5896</v>
      </c>
      <c r="I2673" s="465" t="s">
        <v>830</v>
      </c>
    </row>
    <row r="2674" hidden="1" ht="15.95" customHeight="1">
      <c r="A2674" s="465" t="s">
        <v>5898</v>
      </c>
      <c r="B2674" s="465" t="s">
        <v>1270</v>
      </c>
      <c r="C2674" s="465"/>
      <c r="D2674" s="465" t="s">
        <v>825</v>
      </c>
      <c r="E2674" s="465" t="s">
        <v>5893</v>
      </c>
      <c r="F2674" s="465" t="s">
        <v>5894</v>
      </c>
      <c r="G2674" s="465" t="s">
        <v>5895</v>
      </c>
      <c r="H2674" s="465" t="s">
        <v>5896</v>
      </c>
      <c r="I2674" s="465" t="s">
        <v>830</v>
      </c>
    </row>
    <row r="2675" hidden="1" ht="15.95" customHeight="1">
      <c r="A2675" s="465" t="s">
        <v>5899</v>
      </c>
      <c r="B2675" s="465" t="s">
        <v>1253</v>
      </c>
      <c r="C2675" s="465"/>
      <c r="D2675" s="465" t="s">
        <v>825</v>
      </c>
      <c r="E2675" s="465" t="s">
        <v>5893</v>
      </c>
      <c r="F2675" s="465" t="s">
        <v>5894</v>
      </c>
      <c r="G2675" s="465" t="s">
        <v>5895</v>
      </c>
      <c r="H2675" s="465" t="s">
        <v>5896</v>
      </c>
      <c r="I2675" s="465" t="s">
        <v>830</v>
      </c>
    </row>
    <row r="2676" hidden="1" ht="15.95" customHeight="1">
      <c r="A2676" s="465" t="s">
        <v>5900</v>
      </c>
      <c r="B2676" s="465" t="s">
        <v>1266</v>
      </c>
      <c r="C2676" s="465"/>
      <c r="D2676" s="465" t="s">
        <v>825</v>
      </c>
      <c r="E2676" s="465" t="s">
        <v>5893</v>
      </c>
      <c r="F2676" s="465" t="s">
        <v>5894</v>
      </c>
      <c r="G2676" s="465" t="s">
        <v>5895</v>
      </c>
      <c r="H2676" s="465" t="s">
        <v>5896</v>
      </c>
      <c r="I2676" s="465" t="s">
        <v>830</v>
      </c>
    </row>
    <row r="2677" hidden="1" ht="15.95" customHeight="1">
      <c r="A2677" s="465" t="s">
        <v>5901</v>
      </c>
      <c r="B2677" s="465" t="s">
        <v>449</v>
      </c>
      <c r="C2677" s="465"/>
      <c r="D2677" s="465" t="s">
        <v>825</v>
      </c>
      <c r="E2677" s="465" t="s">
        <v>5893</v>
      </c>
      <c r="F2677" s="465" t="s">
        <v>5894</v>
      </c>
      <c r="G2677" s="465" t="s">
        <v>5895</v>
      </c>
      <c r="H2677" s="465" t="s">
        <v>5896</v>
      </c>
      <c r="I2677" s="465" t="s">
        <v>830</v>
      </c>
    </row>
    <row r="2678" hidden="1" ht="15.95" customHeight="1">
      <c r="A2678" s="465" t="s">
        <v>5902</v>
      </c>
      <c r="B2678" s="465" t="s">
        <v>5903</v>
      </c>
      <c r="C2678" s="465"/>
      <c r="D2678" s="465" t="s">
        <v>825</v>
      </c>
      <c r="E2678" s="465" t="s">
        <v>5893</v>
      </c>
      <c r="F2678" s="465" t="s">
        <v>5894</v>
      </c>
      <c r="G2678" s="465" t="s">
        <v>5895</v>
      </c>
      <c r="H2678" s="465" t="s">
        <v>5896</v>
      </c>
      <c r="I2678" s="465" t="s">
        <v>830</v>
      </c>
    </row>
    <row r="2679" hidden="1" ht="15.95" customHeight="1">
      <c r="A2679" s="465" t="s">
        <v>5904</v>
      </c>
      <c r="B2679" s="465" t="s">
        <v>5069</v>
      </c>
      <c r="C2679" s="465"/>
      <c r="D2679" s="465" t="s">
        <v>855</v>
      </c>
      <c r="E2679" s="465" t="s">
        <v>5893</v>
      </c>
      <c r="F2679" s="465" t="s">
        <v>5894</v>
      </c>
      <c r="G2679" s="465" t="s">
        <v>5895</v>
      </c>
      <c r="H2679" s="465" t="s">
        <v>5896</v>
      </c>
      <c r="I2679" s="465" t="s">
        <v>830</v>
      </c>
    </row>
    <row r="2680" hidden="1" ht="15.95" customHeight="1">
      <c r="A2680" s="465" t="s">
        <v>5905</v>
      </c>
      <c r="B2680" s="465" t="s">
        <v>5906</v>
      </c>
      <c r="C2680" s="465"/>
      <c r="D2680" s="465" t="s">
        <v>855</v>
      </c>
      <c r="E2680" s="465" t="s">
        <v>5893</v>
      </c>
      <c r="F2680" s="465" t="s">
        <v>5894</v>
      </c>
      <c r="G2680" s="465" t="s">
        <v>5895</v>
      </c>
      <c r="H2680" s="465" t="s">
        <v>5896</v>
      </c>
      <c r="I2680" s="465" t="s">
        <v>830</v>
      </c>
    </row>
    <row r="2681" hidden="1" ht="15.95" customHeight="1">
      <c r="A2681" s="465" t="s">
        <v>5907</v>
      </c>
      <c r="B2681" s="465" t="s">
        <v>5908</v>
      </c>
      <c r="C2681" s="465"/>
      <c r="D2681" s="465" t="s">
        <v>855</v>
      </c>
      <c r="E2681" s="465" t="s">
        <v>5893</v>
      </c>
      <c r="F2681" s="465" t="s">
        <v>5894</v>
      </c>
      <c r="G2681" s="465" t="s">
        <v>5895</v>
      </c>
      <c r="H2681" s="465" t="s">
        <v>5896</v>
      </c>
      <c r="I2681" s="465" t="s">
        <v>830</v>
      </c>
    </row>
    <row r="2682" hidden="1" ht="15.95" customHeight="1">
      <c r="A2682" s="465" t="s">
        <v>5909</v>
      </c>
      <c r="B2682" s="465" t="s">
        <v>5910</v>
      </c>
      <c r="C2682" s="465"/>
      <c r="D2682" s="465" t="s">
        <v>884</v>
      </c>
      <c r="E2682" s="465" t="s">
        <v>5911</v>
      </c>
      <c r="F2682" s="465" t="s">
        <v>5912</v>
      </c>
      <c r="G2682" s="465" t="s">
        <v>5895</v>
      </c>
      <c r="H2682" s="465" t="s">
        <v>5896</v>
      </c>
      <c r="I2682" s="465" t="s">
        <v>830</v>
      </c>
    </row>
    <row r="2683" hidden="1" ht="15.95" customHeight="1">
      <c r="A2683" s="465" t="s">
        <v>5913</v>
      </c>
      <c r="B2683" s="465" t="s">
        <v>5914</v>
      </c>
      <c r="C2683" s="465"/>
      <c r="D2683" s="465" t="s">
        <v>855</v>
      </c>
      <c r="E2683" s="465" t="s">
        <v>5911</v>
      </c>
      <c r="F2683" s="465" t="s">
        <v>5912</v>
      </c>
      <c r="G2683" s="465" t="s">
        <v>5895</v>
      </c>
      <c r="H2683" s="465" t="s">
        <v>5896</v>
      </c>
      <c r="I2683" s="465" t="s">
        <v>830</v>
      </c>
    </row>
    <row r="2684" hidden="1" ht="15.95" customHeight="1">
      <c r="A2684" s="465" t="s">
        <v>5915</v>
      </c>
      <c r="B2684" s="465" t="s">
        <v>5916</v>
      </c>
      <c r="C2684" s="465"/>
      <c r="D2684" s="465" t="s">
        <v>855</v>
      </c>
      <c r="E2684" s="465" t="s">
        <v>5911</v>
      </c>
      <c r="F2684" s="465" t="s">
        <v>5912</v>
      </c>
      <c r="G2684" s="465" t="s">
        <v>5895</v>
      </c>
      <c r="H2684" s="465" t="s">
        <v>5896</v>
      </c>
      <c r="I2684" s="465" t="s">
        <v>830</v>
      </c>
    </row>
    <row r="2685" hidden="1" ht="15.95" customHeight="1">
      <c r="A2685" s="465" t="s">
        <v>5917</v>
      </c>
      <c r="B2685" s="465" t="s">
        <v>5918</v>
      </c>
      <c r="C2685" s="465"/>
      <c r="D2685" s="465" t="s">
        <v>855</v>
      </c>
      <c r="E2685" s="465" t="s">
        <v>5911</v>
      </c>
      <c r="F2685" s="465" t="s">
        <v>5912</v>
      </c>
      <c r="G2685" s="465" t="s">
        <v>5895</v>
      </c>
      <c r="H2685" s="465" t="s">
        <v>5896</v>
      </c>
      <c r="I2685" s="465" t="s">
        <v>830</v>
      </c>
    </row>
    <row r="2686" hidden="1" ht="15.95" customHeight="1">
      <c r="A2686" s="465" t="s">
        <v>5919</v>
      </c>
      <c r="B2686" s="465" t="s">
        <v>1877</v>
      </c>
      <c r="C2686" s="465"/>
      <c r="D2686" s="465" t="s">
        <v>855</v>
      </c>
      <c r="E2686" s="465" t="s">
        <v>5911</v>
      </c>
      <c r="F2686" s="465" t="s">
        <v>5912</v>
      </c>
      <c r="G2686" s="465" t="s">
        <v>5895</v>
      </c>
      <c r="H2686" s="465" t="s">
        <v>5896</v>
      </c>
      <c r="I2686" s="465" t="s">
        <v>830</v>
      </c>
    </row>
    <row r="2687" hidden="1" ht="15.95" customHeight="1">
      <c r="A2687" s="465" t="s">
        <v>5920</v>
      </c>
      <c r="B2687" s="465" t="s">
        <v>4864</v>
      </c>
      <c r="C2687" s="465"/>
      <c r="D2687" s="465" t="s">
        <v>855</v>
      </c>
      <c r="E2687" s="465" t="s">
        <v>5911</v>
      </c>
      <c r="F2687" s="465" t="s">
        <v>5912</v>
      </c>
      <c r="G2687" s="465" t="s">
        <v>5895</v>
      </c>
      <c r="H2687" s="465" t="s">
        <v>5896</v>
      </c>
      <c r="I2687" s="465" t="s">
        <v>830</v>
      </c>
    </row>
    <row r="2688" hidden="1" ht="15.95" customHeight="1">
      <c r="A2688" s="465" t="s">
        <v>5921</v>
      </c>
      <c r="B2688" s="465" t="s">
        <v>3149</v>
      </c>
      <c r="C2688" s="465"/>
      <c r="D2688" s="465" t="s">
        <v>855</v>
      </c>
      <c r="E2688" s="465" t="s">
        <v>5911</v>
      </c>
      <c r="F2688" s="465" t="s">
        <v>5912</v>
      </c>
      <c r="G2688" s="465" t="s">
        <v>5895</v>
      </c>
      <c r="H2688" s="465" t="s">
        <v>5896</v>
      </c>
      <c r="I2688" s="465" t="s">
        <v>830</v>
      </c>
    </row>
    <row r="2689" hidden="1" ht="15.95" customHeight="1">
      <c r="A2689" s="465" t="s">
        <v>5922</v>
      </c>
      <c r="B2689" s="465" t="s">
        <v>5923</v>
      </c>
      <c r="C2689" s="465"/>
      <c r="D2689" s="465" t="s">
        <v>855</v>
      </c>
      <c r="E2689" s="465" t="s">
        <v>5911</v>
      </c>
      <c r="F2689" s="465" t="s">
        <v>5912</v>
      </c>
      <c r="G2689" s="465" t="s">
        <v>5895</v>
      </c>
      <c r="H2689" s="465" t="s">
        <v>5896</v>
      </c>
      <c r="I2689" s="465" t="s">
        <v>830</v>
      </c>
    </row>
    <row r="2690" hidden="1" ht="15.95" customHeight="1">
      <c r="A2690" s="465" t="s">
        <v>5924</v>
      </c>
      <c r="B2690" s="465" t="s">
        <v>5925</v>
      </c>
      <c r="C2690" s="465"/>
      <c r="D2690" s="465" t="s">
        <v>855</v>
      </c>
      <c r="E2690" s="465" t="s">
        <v>5911</v>
      </c>
      <c r="F2690" s="465" t="s">
        <v>5912</v>
      </c>
      <c r="G2690" s="465" t="s">
        <v>5895</v>
      </c>
      <c r="H2690" s="465" t="s">
        <v>5896</v>
      </c>
      <c r="I2690" s="465" t="s">
        <v>830</v>
      </c>
    </row>
    <row r="2691" hidden="1" ht="15.95" customHeight="1">
      <c r="A2691" s="465" t="s">
        <v>5926</v>
      </c>
      <c r="B2691" s="465" t="s">
        <v>5927</v>
      </c>
      <c r="C2691" s="465"/>
      <c r="D2691" s="465" t="s">
        <v>884</v>
      </c>
      <c r="E2691" s="465" t="s">
        <v>5928</v>
      </c>
      <c r="F2691" s="465" t="s">
        <v>5929</v>
      </c>
      <c r="G2691" s="465" t="s">
        <v>5895</v>
      </c>
      <c r="H2691" s="465" t="s">
        <v>5896</v>
      </c>
      <c r="I2691" s="465" t="s">
        <v>830</v>
      </c>
    </row>
    <row r="2692" hidden="1" ht="15.95" customHeight="1">
      <c r="A2692" s="465" t="s">
        <v>5930</v>
      </c>
      <c r="B2692" s="465" t="s">
        <v>5931</v>
      </c>
      <c r="C2692" s="465"/>
      <c r="D2692" s="465" t="s">
        <v>855</v>
      </c>
      <c r="E2692" s="465" t="s">
        <v>5928</v>
      </c>
      <c r="F2692" s="465" t="s">
        <v>5929</v>
      </c>
      <c r="G2692" s="465" t="s">
        <v>5895</v>
      </c>
      <c r="H2692" s="465" t="s">
        <v>5896</v>
      </c>
      <c r="I2692" s="465" t="s">
        <v>830</v>
      </c>
    </row>
    <row r="2693" hidden="1" ht="15.95" customHeight="1">
      <c r="A2693" s="465" t="s">
        <v>5932</v>
      </c>
      <c r="B2693" s="465" t="s">
        <v>5933</v>
      </c>
      <c r="C2693" s="465"/>
      <c r="D2693" s="465" t="s">
        <v>855</v>
      </c>
      <c r="E2693" s="465" t="s">
        <v>5928</v>
      </c>
      <c r="F2693" s="465" t="s">
        <v>5929</v>
      </c>
      <c r="G2693" s="465" t="s">
        <v>5895</v>
      </c>
      <c r="H2693" s="465" t="s">
        <v>5896</v>
      </c>
      <c r="I2693" s="465" t="s">
        <v>830</v>
      </c>
    </row>
    <row r="2694" hidden="1" ht="15.95" customHeight="1">
      <c r="A2694" s="465" t="s">
        <v>5934</v>
      </c>
      <c r="B2694" s="465" t="s">
        <v>4016</v>
      </c>
      <c r="C2694" s="465"/>
      <c r="D2694" s="465" t="s">
        <v>855</v>
      </c>
      <c r="E2694" s="465" t="s">
        <v>5928</v>
      </c>
      <c r="F2694" s="465" t="s">
        <v>5929</v>
      </c>
      <c r="G2694" s="465" t="s">
        <v>5895</v>
      </c>
      <c r="H2694" s="465" t="s">
        <v>5896</v>
      </c>
      <c r="I2694" s="465" t="s">
        <v>830</v>
      </c>
    </row>
    <row r="2695" hidden="1" ht="15.95" customHeight="1">
      <c r="A2695" s="465" t="s">
        <v>5935</v>
      </c>
      <c r="B2695" s="465" t="s">
        <v>5753</v>
      </c>
      <c r="C2695" s="465"/>
      <c r="D2695" s="465" t="s">
        <v>855</v>
      </c>
      <c r="E2695" s="465" t="s">
        <v>5928</v>
      </c>
      <c r="F2695" s="465" t="s">
        <v>5929</v>
      </c>
      <c r="G2695" s="465" t="s">
        <v>5895</v>
      </c>
      <c r="H2695" s="465" t="s">
        <v>5896</v>
      </c>
      <c r="I2695" s="465" t="s">
        <v>830</v>
      </c>
    </row>
    <row r="2696" hidden="1" ht="15.95" customHeight="1">
      <c r="A2696" s="465" t="s">
        <v>5936</v>
      </c>
      <c r="B2696" s="465" t="s">
        <v>2516</v>
      </c>
      <c r="C2696" s="465"/>
      <c r="D2696" s="465" t="s">
        <v>855</v>
      </c>
      <c r="E2696" s="465" t="s">
        <v>5928</v>
      </c>
      <c r="F2696" s="465" t="s">
        <v>5929</v>
      </c>
      <c r="G2696" s="465" t="s">
        <v>5895</v>
      </c>
      <c r="H2696" s="465" t="s">
        <v>5896</v>
      </c>
      <c r="I2696" s="465" t="s">
        <v>830</v>
      </c>
    </row>
    <row r="2697" hidden="1" ht="15.95" customHeight="1">
      <c r="A2697" s="465" t="s">
        <v>5937</v>
      </c>
      <c r="B2697" s="465" t="s">
        <v>5938</v>
      </c>
      <c r="C2697" s="465"/>
      <c r="D2697" s="465" t="s">
        <v>855</v>
      </c>
      <c r="E2697" s="465" t="s">
        <v>5928</v>
      </c>
      <c r="F2697" s="465" t="s">
        <v>5929</v>
      </c>
      <c r="G2697" s="465" t="s">
        <v>5895</v>
      </c>
      <c r="H2697" s="465" t="s">
        <v>5896</v>
      </c>
      <c r="I2697" s="465" t="s">
        <v>830</v>
      </c>
    </row>
    <row r="2698" hidden="1" ht="15.95" customHeight="1">
      <c r="A2698" s="465" t="s">
        <v>5939</v>
      </c>
      <c r="B2698" s="465" t="s">
        <v>5940</v>
      </c>
      <c r="C2698" s="465"/>
      <c r="D2698" s="465" t="s">
        <v>855</v>
      </c>
      <c r="E2698" s="465" t="s">
        <v>5928</v>
      </c>
      <c r="F2698" s="465" t="s">
        <v>5929</v>
      </c>
      <c r="G2698" s="465" t="s">
        <v>5895</v>
      </c>
      <c r="H2698" s="465" t="s">
        <v>5896</v>
      </c>
      <c r="I2698" s="465" t="s">
        <v>830</v>
      </c>
    </row>
    <row r="2699" hidden="1" ht="15.95" customHeight="1">
      <c r="A2699" s="465" t="s">
        <v>5941</v>
      </c>
      <c r="B2699" s="465" t="s">
        <v>5942</v>
      </c>
      <c r="C2699" s="465"/>
      <c r="D2699" s="465" t="s">
        <v>855</v>
      </c>
      <c r="E2699" s="465" t="s">
        <v>5943</v>
      </c>
      <c r="F2699" s="465" t="s">
        <v>5944</v>
      </c>
      <c r="G2699" s="465" t="s">
        <v>5895</v>
      </c>
      <c r="H2699" s="465" t="s">
        <v>5896</v>
      </c>
      <c r="I2699" s="465" t="s">
        <v>830</v>
      </c>
    </row>
    <row r="2700" hidden="1" ht="15.95" customHeight="1">
      <c r="A2700" s="465" t="s">
        <v>5945</v>
      </c>
      <c r="B2700" s="465" t="s">
        <v>5946</v>
      </c>
      <c r="C2700" s="465"/>
      <c r="D2700" s="465" t="s">
        <v>855</v>
      </c>
      <c r="E2700" s="465" t="s">
        <v>5943</v>
      </c>
      <c r="F2700" s="465" t="s">
        <v>5944</v>
      </c>
      <c r="G2700" s="465" t="s">
        <v>5895</v>
      </c>
      <c r="H2700" s="465" t="s">
        <v>5896</v>
      </c>
      <c r="I2700" s="465" t="s">
        <v>830</v>
      </c>
    </row>
    <row r="2701" hidden="1" ht="15.95" customHeight="1">
      <c r="A2701" s="465" t="s">
        <v>5947</v>
      </c>
      <c r="B2701" s="465" t="s">
        <v>5948</v>
      </c>
      <c r="C2701" s="465"/>
      <c r="D2701" s="465" t="s">
        <v>884</v>
      </c>
      <c r="E2701" s="465" t="s">
        <v>5943</v>
      </c>
      <c r="F2701" s="465" t="s">
        <v>5944</v>
      </c>
      <c r="G2701" s="465" t="s">
        <v>5895</v>
      </c>
      <c r="H2701" s="465" t="s">
        <v>5896</v>
      </c>
      <c r="I2701" s="465" t="s">
        <v>830</v>
      </c>
    </row>
    <row r="2702" hidden="1" ht="15.95" customHeight="1">
      <c r="A2702" s="465" t="s">
        <v>5949</v>
      </c>
      <c r="B2702" s="465" t="s">
        <v>5950</v>
      </c>
      <c r="C2702" s="465"/>
      <c r="D2702" s="465" t="s">
        <v>855</v>
      </c>
      <c r="E2702" s="465" t="s">
        <v>5943</v>
      </c>
      <c r="F2702" s="465" t="s">
        <v>5944</v>
      </c>
      <c r="G2702" s="465" t="s">
        <v>5895</v>
      </c>
      <c r="H2702" s="465" t="s">
        <v>5896</v>
      </c>
      <c r="I2702" s="465" t="s">
        <v>830</v>
      </c>
    </row>
    <row r="2703" hidden="1" ht="15.95" customHeight="1">
      <c r="A2703" s="465" t="s">
        <v>5951</v>
      </c>
      <c r="B2703" s="465" t="s">
        <v>5952</v>
      </c>
      <c r="C2703" s="465"/>
      <c r="D2703" s="465" t="s">
        <v>855</v>
      </c>
      <c r="E2703" s="465" t="s">
        <v>5943</v>
      </c>
      <c r="F2703" s="465" t="s">
        <v>5944</v>
      </c>
      <c r="G2703" s="465" t="s">
        <v>5895</v>
      </c>
      <c r="H2703" s="465" t="s">
        <v>5896</v>
      </c>
      <c r="I2703" s="465" t="s">
        <v>830</v>
      </c>
    </row>
    <row r="2704" hidden="1" ht="15.95" customHeight="1">
      <c r="A2704" s="465" t="s">
        <v>5953</v>
      </c>
      <c r="B2704" s="465" t="s">
        <v>5954</v>
      </c>
      <c r="C2704" s="465"/>
      <c r="D2704" s="465" t="s">
        <v>855</v>
      </c>
      <c r="E2704" s="465" t="s">
        <v>5943</v>
      </c>
      <c r="F2704" s="465" t="s">
        <v>5944</v>
      </c>
      <c r="G2704" s="465" t="s">
        <v>5895</v>
      </c>
      <c r="H2704" s="465" t="s">
        <v>5896</v>
      </c>
      <c r="I2704" s="465" t="s">
        <v>830</v>
      </c>
    </row>
    <row r="2705" hidden="1" ht="15.95" customHeight="1">
      <c r="A2705" s="465" t="s">
        <v>5955</v>
      </c>
      <c r="B2705" s="465" t="s">
        <v>5956</v>
      </c>
      <c r="C2705" s="465"/>
      <c r="D2705" s="465" t="s">
        <v>855</v>
      </c>
      <c r="E2705" s="465" t="s">
        <v>5943</v>
      </c>
      <c r="F2705" s="465" t="s">
        <v>5944</v>
      </c>
      <c r="G2705" s="465" t="s">
        <v>5895</v>
      </c>
      <c r="H2705" s="465" t="s">
        <v>5896</v>
      </c>
      <c r="I2705" s="465" t="s">
        <v>830</v>
      </c>
    </row>
    <row r="2706" hidden="1" ht="15.95" customHeight="1">
      <c r="A2706" s="465" t="s">
        <v>5957</v>
      </c>
      <c r="B2706" s="465" t="s">
        <v>3441</v>
      </c>
      <c r="C2706" s="465"/>
      <c r="D2706" s="465" t="s">
        <v>855</v>
      </c>
      <c r="E2706" s="465" t="s">
        <v>5943</v>
      </c>
      <c r="F2706" s="465" t="s">
        <v>5944</v>
      </c>
      <c r="G2706" s="465" t="s">
        <v>5895</v>
      </c>
      <c r="H2706" s="465" t="s">
        <v>5896</v>
      </c>
      <c r="I2706" s="465" t="s">
        <v>830</v>
      </c>
    </row>
    <row r="2707" hidden="1" ht="15.95" customHeight="1">
      <c r="A2707" s="465" t="s">
        <v>5958</v>
      </c>
      <c r="B2707" s="465" t="s">
        <v>1266</v>
      </c>
      <c r="C2707" s="465"/>
      <c r="D2707" s="465" t="s">
        <v>825</v>
      </c>
      <c r="E2707" s="465" t="s">
        <v>5959</v>
      </c>
      <c r="F2707" s="465" t="s">
        <v>5960</v>
      </c>
      <c r="G2707" s="465" t="s">
        <v>5895</v>
      </c>
      <c r="H2707" s="465" t="s">
        <v>5896</v>
      </c>
      <c r="I2707" s="465" t="s">
        <v>830</v>
      </c>
    </row>
    <row r="2708" hidden="1" ht="15.95" customHeight="1">
      <c r="A2708" s="465" t="s">
        <v>5961</v>
      </c>
      <c r="B2708" s="465" t="s">
        <v>5962</v>
      </c>
      <c r="C2708" s="465"/>
      <c r="D2708" s="465" t="s">
        <v>825</v>
      </c>
      <c r="E2708" s="465" t="s">
        <v>5959</v>
      </c>
      <c r="F2708" s="465" t="s">
        <v>5960</v>
      </c>
      <c r="G2708" s="465" t="s">
        <v>5895</v>
      </c>
      <c r="H2708" s="465" t="s">
        <v>5896</v>
      </c>
      <c r="I2708" s="465" t="s">
        <v>830</v>
      </c>
    </row>
    <row r="2709" hidden="1" ht="15.95" customHeight="1">
      <c r="A2709" s="465" t="s">
        <v>5963</v>
      </c>
      <c r="B2709" s="465" t="s">
        <v>5964</v>
      </c>
      <c r="C2709" s="465"/>
      <c r="D2709" s="465" t="s">
        <v>855</v>
      </c>
      <c r="E2709" s="465" t="s">
        <v>5959</v>
      </c>
      <c r="F2709" s="465" t="s">
        <v>5960</v>
      </c>
      <c r="G2709" s="465" t="s">
        <v>5895</v>
      </c>
      <c r="H2709" s="465" t="s">
        <v>5896</v>
      </c>
      <c r="I2709" s="465" t="s">
        <v>830</v>
      </c>
    </row>
    <row r="2710" hidden="1" ht="15.95" customHeight="1">
      <c r="A2710" s="465" t="s">
        <v>5965</v>
      </c>
      <c r="B2710" s="465" t="s">
        <v>5966</v>
      </c>
      <c r="C2710" s="465"/>
      <c r="D2710" s="465" t="s">
        <v>825</v>
      </c>
      <c r="E2710" s="465" t="s">
        <v>5959</v>
      </c>
      <c r="F2710" s="465" t="s">
        <v>5960</v>
      </c>
      <c r="G2710" s="465" t="s">
        <v>5895</v>
      </c>
      <c r="H2710" s="465" t="s">
        <v>5896</v>
      </c>
      <c r="I2710" s="465" t="s">
        <v>830</v>
      </c>
    </row>
    <row r="2711" hidden="1" ht="15.95" customHeight="1">
      <c r="A2711" s="465" t="s">
        <v>5967</v>
      </c>
      <c r="B2711" s="465" t="s">
        <v>5968</v>
      </c>
      <c r="C2711" s="465"/>
      <c r="D2711" s="465" t="s">
        <v>855</v>
      </c>
      <c r="E2711" s="465" t="s">
        <v>5959</v>
      </c>
      <c r="F2711" s="465" t="s">
        <v>5960</v>
      </c>
      <c r="G2711" s="465" t="s">
        <v>5895</v>
      </c>
      <c r="H2711" s="465" t="s">
        <v>5896</v>
      </c>
      <c r="I2711" s="465" t="s">
        <v>830</v>
      </c>
    </row>
    <row r="2712" hidden="1" ht="15.95" customHeight="1">
      <c r="A2712" s="465" t="s">
        <v>5969</v>
      </c>
      <c r="B2712" s="465" t="s">
        <v>1833</v>
      </c>
      <c r="C2712" s="465"/>
      <c r="D2712" s="465" t="s">
        <v>855</v>
      </c>
      <c r="E2712" s="465" t="s">
        <v>5959</v>
      </c>
      <c r="F2712" s="465" t="s">
        <v>5960</v>
      </c>
      <c r="G2712" s="465" t="s">
        <v>5895</v>
      </c>
      <c r="H2712" s="465" t="s">
        <v>5896</v>
      </c>
      <c r="I2712" s="465" t="s">
        <v>830</v>
      </c>
    </row>
    <row r="2713" hidden="1" ht="15.95" customHeight="1">
      <c r="A2713" s="465" t="s">
        <v>5970</v>
      </c>
      <c r="B2713" s="465" t="s">
        <v>4222</v>
      </c>
      <c r="C2713" s="465"/>
      <c r="D2713" s="465" t="s">
        <v>855</v>
      </c>
      <c r="E2713" s="465" t="s">
        <v>5959</v>
      </c>
      <c r="F2713" s="465" t="s">
        <v>5960</v>
      </c>
      <c r="G2713" s="465" t="s">
        <v>5895</v>
      </c>
      <c r="H2713" s="465" t="s">
        <v>5896</v>
      </c>
      <c r="I2713" s="465" t="s">
        <v>830</v>
      </c>
    </row>
    <row r="2714" hidden="1" ht="15.95" customHeight="1">
      <c r="A2714" s="465" t="s">
        <v>5971</v>
      </c>
      <c r="B2714" s="465" t="s">
        <v>5972</v>
      </c>
      <c r="C2714" s="465"/>
      <c r="D2714" s="465" t="s">
        <v>855</v>
      </c>
      <c r="E2714" s="465" t="s">
        <v>5959</v>
      </c>
      <c r="F2714" s="465" t="s">
        <v>5960</v>
      </c>
      <c r="G2714" s="465" t="s">
        <v>5895</v>
      </c>
      <c r="H2714" s="465" t="s">
        <v>5896</v>
      </c>
      <c r="I2714" s="465" t="s">
        <v>830</v>
      </c>
    </row>
    <row r="2715" hidden="1" ht="15.95" customHeight="1">
      <c r="A2715" s="465" t="s">
        <v>5973</v>
      </c>
      <c r="B2715" s="465" t="s">
        <v>5974</v>
      </c>
      <c r="C2715" s="465"/>
      <c r="D2715" s="465" t="s">
        <v>855</v>
      </c>
      <c r="E2715" s="465" t="s">
        <v>5959</v>
      </c>
      <c r="F2715" s="465" t="s">
        <v>5960</v>
      </c>
      <c r="G2715" s="465" t="s">
        <v>5895</v>
      </c>
      <c r="H2715" s="465" t="s">
        <v>5896</v>
      </c>
      <c r="I2715" s="465" t="s">
        <v>830</v>
      </c>
    </row>
    <row r="2716" hidden="1" ht="15.95" customHeight="1">
      <c r="A2716" s="465" t="s">
        <v>5975</v>
      </c>
      <c r="B2716" s="465" t="s">
        <v>3874</v>
      </c>
      <c r="C2716" s="465"/>
      <c r="D2716" s="465" t="s">
        <v>855</v>
      </c>
      <c r="E2716" s="465" t="s">
        <v>5959</v>
      </c>
      <c r="F2716" s="465" t="s">
        <v>5960</v>
      </c>
      <c r="G2716" s="465" t="s">
        <v>5895</v>
      </c>
      <c r="H2716" s="465" t="s">
        <v>5896</v>
      </c>
      <c r="I2716" s="465" t="s">
        <v>830</v>
      </c>
    </row>
    <row r="2717" hidden="1" ht="15.95" customHeight="1">
      <c r="A2717" s="465" t="s">
        <v>5976</v>
      </c>
      <c r="B2717" s="465" t="s">
        <v>5977</v>
      </c>
      <c r="C2717" s="465"/>
      <c r="D2717" s="465" t="s">
        <v>884</v>
      </c>
      <c r="E2717" s="465" t="s">
        <v>5978</v>
      </c>
      <c r="F2717" s="465" t="s">
        <v>5979</v>
      </c>
      <c r="G2717" s="465" t="s">
        <v>5895</v>
      </c>
      <c r="H2717" s="465" t="s">
        <v>5896</v>
      </c>
      <c r="I2717" s="465" t="s">
        <v>830</v>
      </c>
    </row>
    <row r="2718" hidden="1" ht="15.95" customHeight="1">
      <c r="A2718" s="465" t="s">
        <v>5980</v>
      </c>
      <c r="B2718" s="465" t="s">
        <v>5981</v>
      </c>
      <c r="C2718" s="465"/>
      <c r="D2718" s="465" t="s">
        <v>855</v>
      </c>
      <c r="E2718" s="465" t="s">
        <v>5978</v>
      </c>
      <c r="F2718" s="465" t="s">
        <v>5979</v>
      </c>
      <c r="G2718" s="465" t="s">
        <v>5895</v>
      </c>
      <c r="H2718" s="465" t="s">
        <v>5896</v>
      </c>
      <c r="I2718" s="465" t="s">
        <v>830</v>
      </c>
    </row>
    <row r="2719" hidden="1" ht="15.95" customHeight="1">
      <c r="A2719" s="465" t="s">
        <v>5982</v>
      </c>
      <c r="B2719" s="465" t="s">
        <v>5983</v>
      </c>
      <c r="C2719" s="465"/>
      <c r="D2719" s="465" t="s">
        <v>855</v>
      </c>
      <c r="E2719" s="465" t="s">
        <v>5978</v>
      </c>
      <c r="F2719" s="465" t="s">
        <v>5979</v>
      </c>
      <c r="G2719" s="465" t="s">
        <v>5895</v>
      </c>
      <c r="H2719" s="465" t="s">
        <v>5896</v>
      </c>
      <c r="I2719" s="465" t="s">
        <v>830</v>
      </c>
    </row>
    <row r="2720" hidden="1" ht="15.95" customHeight="1">
      <c r="A2720" s="465" t="s">
        <v>5984</v>
      </c>
      <c r="B2720" s="465" t="s">
        <v>5985</v>
      </c>
      <c r="C2720" s="465"/>
      <c r="D2720" s="465" t="s">
        <v>855</v>
      </c>
      <c r="E2720" s="465" t="s">
        <v>5978</v>
      </c>
      <c r="F2720" s="465" t="s">
        <v>5979</v>
      </c>
      <c r="G2720" s="465" t="s">
        <v>5895</v>
      </c>
      <c r="H2720" s="465" t="s">
        <v>5896</v>
      </c>
      <c r="I2720" s="465" t="s">
        <v>830</v>
      </c>
    </row>
    <row r="2721" hidden="1" ht="15.95" customHeight="1">
      <c r="A2721" s="465" t="s">
        <v>5986</v>
      </c>
      <c r="B2721" s="465" t="s">
        <v>5987</v>
      </c>
      <c r="C2721" s="465"/>
      <c r="D2721" s="465" t="s">
        <v>855</v>
      </c>
      <c r="E2721" s="465" t="s">
        <v>5978</v>
      </c>
      <c r="F2721" s="465" t="s">
        <v>5979</v>
      </c>
      <c r="G2721" s="465" t="s">
        <v>5895</v>
      </c>
      <c r="H2721" s="465" t="s">
        <v>5896</v>
      </c>
      <c r="I2721" s="465" t="s">
        <v>830</v>
      </c>
    </row>
    <row r="2722" hidden="1" ht="15.95" customHeight="1">
      <c r="A2722" s="465" t="s">
        <v>5988</v>
      </c>
      <c r="B2722" s="465" t="s">
        <v>5989</v>
      </c>
      <c r="C2722" s="465"/>
      <c r="D2722" s="465" t="s">
        <v>855</v>
      </c>
      <c r="E2722" s="465" t="s">
        <v>5978</v>
      </c>
      <c r="F2722" s="465" t="s">
        <v>5979</v>
      </c>
      <c r="G2722" s="465" t="s">
        <v>5895</v>
      </c>
      <c r="H2722" s="465" t="s">
        <v>5896</v>
      </c>
      <c r="I2722" s="465" t="s">
        <v>830</v>
      </c>
    </row>
    <row r="2723" hidden="1" ht="15.95" customHeight="1">
      <c r="A2723" s="465" t="s">
        <v>5990</v>
      </c>
      <c r="B2723" s="465" t="s">
        <v>5991</v>
      </c>
      <c r="C2723" s="465"/>
      <c r="D2723" s="465" t="s">
        <v>855</v>
      </c>
      <c r="E2723" s="465" t="s">
        <v>5978</v>
      </c>
      <c r="F2723" s="465" t="s">
        <v>5979</v>
      </c>
      <c r="G2723" s="465" t="s">
        <v>5895</v>
      </c>
      <c r="H2723" s="465" t="s">
        <v>5896</v>
      </c>
      <c r="I2723" s="465" t="s">
        <v>830</v>
      </c>
    </row>
    <row r="2724" hidden="1" ht="15.95" customHeight="1">
      <c r="A2724" s="465" t="s">
        <v>5992</v>
      </c>
      <c r="B2724" s="465" t="s">
        <v>5993</v>
      </c>
      <c r="C2724" s="465"/>
      <c r="D2724" s="465" t="s">
        <v>855</v>
      </c>
      <c r="E2724" s="465" t="s">
        <v>5978</v>
      </c>
      <c r="F2724" s="465" t="s">
        <v>5979</v>
      </c>
      <c r="G2724" s="465" t="s">
        <v>5895</v>
      </c>
      <c r="H2724" s="465" t="s">
        <v>5896</v>
      </c>
      <c r="I2724" s="465" t="s">
        <v>830</v>
      </c>
    </row>
    <row r="2725" hidden="1" ht="15.95" customHeight="1">
      <c r="A2725" s="465" t="s">
        <v>5994</v>
      </c>
      <c r="B2725" s="465" t="s">
        <v>5995</v>
      </c>
      <c r="C2725" s="465"/>
      <c r="D2725" s="465" t="s">
        <v>855</v>
      </c>
      <c r="E2725" s="465" t="s">
        <v>5978</v>
      </c>
      <c r="F2725" s="465" t="s">
        <v>5979</v>
      </c>
      <c r="G2725" s="465" t="s">
        <v>5895</v>
      </c>
      <c r="H2725" s="465" t="s">
        <v>5896</v>
      </c>
      <c r="I2725" s="465" t="s">
        <v>830</v>
      </c>
    </row>
    <row r="2726" hidden="1" ht="15.95" customHeight="1">
      <c r="A2726" s="465" t="s">
        <v>5996</v>
      </c>
      <c r="B2726" s="465" t="s">
        <v>2050</v>
      </c>
      <c r="C2726" s="465"/>
      <c r="D2726" s="465" t="s">
        <v>855</v>
      </c>
      <c r="E2726" s="465" t="s">
        <v>5978</v>
      </c>
      <c r="F2726" s="465" t="s">
        <v>5979</v>
      </c>
      <c r="G2726" s="465" t="s">
        <v>5895</v>
      </c>
      <c r="H2726" s="465" t="s">
        <v>5896</v>
      </c>
      <c r="I2726" s="465" t="s">
        <v>830</v>
      </c>
    </row>
    <row r="2727" hidden="1" ht="15.95" customHeight="1">
      <c r="A2727" s="465" t="s">
        <v>5997</v>
      </c>
      <c r="B2727" s="465" t="s">
        <v>5998</v>
      </c>
      <c r="C2727" s="465"/>
      <c r="D2727" s="465" t="s">
        <v>855</v>
      </c>
      <c r="E2727" s="465" t="s">
        <v>5978</v>
      </c>
      <c r="F2727" s="465" t="s">
        <v>5979</v>
      </c>
      <c r="G2727" s="465" t="s">
        <v>5895</v>
      </c>
      <c r="H2727" s="465" t="s">
        <v>5896</v>
      </c>
      <c r="I2727" s="465" t="s">
        <v>830</v>
      </c>
    </row>
    <row r="2728" hidden="1" ht="15.95" customHeight="1">
      <c r="A2728" s="465" t="s">
        <v>5999</v>
      </c>
      <c r="B2728" s="465" t="s">
        <v>6000</v>
      </c>
      <c r="C2728" s="465"/>
      <c r="D2728" s="465" t="s">
        <v>884</v>
      </c>
      <c r="E2728" s="465" t="s">
        <v>6001</v>
      </c>
      <c r="F2728" s="465" t="s">
        <v>6002</v>
      </c>
      <c r="G2728" s="465" t="s">
        <v>5895</v>
      </c>
      <c r="H2728" s="465" t="s">
        <v>5896</v>
      </c>
      <c r="I2728" s="465" t="s">
        <v>830</v>
      </c>
    </row>
    <row r="2729" hidden="1" ht="15.95" customHeight="1">
      <c r="A2729" s="465" t="s">
        <v>6003</v>
      </c>
      <c r="B2729" s="465" t="s">
        <v>6004</v>
      </c>
      <c r="C2729" s="465"/>
      <c r="D2729" s="465" t="s">
        <v>855</v>
      </c>
      <c r="E2729" s="465" t="s">
        <v>6001</v>
      </c>
      <c r="F2729" s="465" t="s">
        <v>6002</v>
      </c>
      <c r="G2729" s="465" t="s">
        <v>5895</v>
      </c>
      <c r="H2729" s="465" t="s">
        <v>5896</v>
      </c>
      <c r="I2729" s="465" t="s">
        <v>830</v>
      </c>
    </row>
    <row r="2730" hidden="1" ht="15.95" customHeight="1">
      <c r="A2730" s="465" t="s">
        <v>6005</v>
      </c>
      <c r="B2730" s="465" t="s">
        <v>3281</v>
      </c>
      <c r="C2730" s="465"/>
      <c r="D2730" s="465" t="s">
        <v>855</v>
      </c>
      <c r="E2730" s="465" t="s">
        <v>6001</v>
      </c>
      <c r="F2730" s="465" t="s">
        <v>6002</v>
      </c>
      <c r="G2730" s="465" t="s">
        <v>5895</v>
      </c>
      <c r="H2730" s="465" t="s">
        <v>5896</v>
      </c>
      <c r="I2730" s="465" t="s">
        <v>830</v>
      </c>
    </row>
    <row r="2731" hidden="1" ht="15.95" customHeight="1">
      <c r="A2731" s="465" t="s">
        <v>6006</v>
      </c>
      <c r="B2731" s="465" t="s">
        <v>6007</v>
      </c>
      <c r="C2731" s="465"/>
      <c r="D2731" s="465" t="s">
        <v>855</v>
      </c>
      <c r="E2731" s="465" t="s">
        <v>6001</v>
      </c>
      <c r="F2731" s="465" t="s">
        <v>6002</v>
      </c>
      <c r="G2731" s="465" t="s">
        <v>5895</v>
      </c>
      <c r="H2731" s="465" t="s">
        <v>5896</v>
      </c>
      <c r="I2731" s="465" t="s">
        <v>830</v>
      </c>
    </row>
    <row r="2732" hidden="1" ht="15.95" customHeight="1">
      <c r="A2732" s="465" t="s">
        <v>6008</v>
      </c>
      <c r="B2732" s="465" t="s">
        <v>4866</v>
      </c>
      <c r="C2732" s="465"/>
      <c r="D2732" s="465" t="s">
        <v>855</v>
      </c>
      <c r="E2732" s="465" t="s">
        <v>6001</v>
      </c>
      <c r="F2732" s="465" t="s">
        <v>6002</v>
      </c>
      <c r="G2732" s="465" t="s">
        <v>5895</v>
      </c>
      <c r="H2732" s="465" t="s">
        <v>5896</v>
      </c>
      <c r="I2732" s="465" t="s">
        <v>830</v>
      </c>
    </row>
    <row r="2733" hidden="1" ht="15.95" customHeight="1">
      <c r="A2733" s="465" t="s">
        <v>6009</v>
      </c>
      <c r="B2733" s="465" t="s">
        <v>6010</v>
      </c>
      <c r="C2733" s="465"/>
      <c r="D2733" s="465" t="s">
        <v>855</v>
      </c>
      <c r="E2733" s="465" t="s">
        <v>6001</v>
      </c>
      <c r="F2733" s="465" t="s">
        <v>6002</v>
      </c>
      <c r="G2733" s="465" t="s">
        <v>5895</v>
      </c>
      <c r="H2733" s="465" t="s">
        <v>5896</v>
      </c>
      <c r="I2733" s="465" t="s">
        <v>830</v>
      </c>
    </row>
    <row r="2734" hidden="1" ht="15.95" customHeight="1">
      <c r="A2734" s="465" t="s">
        <v>6011</v>
      </c>
      <c r="B2734" s="465" t="s">
        <v>6012</v>
      </c>
      <c r="C2734" s="465"/>
      <c r="D2734" s="465" t="s">
        <v>855</v>
      </c>
      <c r="E2734" s="465" t="s">
        <v>6001</v>
      </c>
      <c r="F2734" s="465" t="s">
        <v>6002</v>
      </c>
      <c r="G2734" s="465" t="s">
        <v>5895</v>
      </c>
      <c r="H2734" s="465" t="s">
        <v>5896</v>
      </c>
      <c r="I2734" s="465" t="s">
        <v>830</v>
      </c>
    </row>
    <row r="2735" hidden="1" ht="15.95" customHeight="1">
      <c r="A2735" s="465" t="s">
        <v>6013</v>
      </c>
      <c r="B2735" s="465" t="s">
        <v>6014</v>
      </c>
      <c r="C2735" s="465"/>
      <c r="D2735" s="465" t="s">
        <v>855</v>
      </c>
      <c r="E2735" s="465" t="s">
        <v>6001</v>
      </c>
      <c r="F2735" s="465" t="s">
        <v>6002</v>
      </c>
      <c r="G2735" s="465" t="s">
        <v>5895</v>
      </c>
      <c r="H2735" s="465" t="s">
        <v>5896</v>
      </c>
      <c r="I2735" s="465" t="s">
        <v>830</v>
      </c>
    </row>
    <row r="2736" hidden="1" ht="15.95" customHeight="1">
      <c r="A2736" s="465" t="s">
        <v>6015</v>
      </c>
      <c r="B2736" s="465" t="s">
        <v>1262</v>
      </c>
      <c r="C2736" s="465"/>
      <c r="D2736" s="465" t="s">
        <v>825</v>
      </c>
      <c r="E2736" s="465" t="s">
        <v>6016</v>
      </c>
      <c r="F2736" s="465" t="s">
        <v>6017</v>
      </c>
      <c r="G2736" s="465" t="s">
        <v>6018</v>
      </c>
      <c r="H2736" s="465" t="s">
        <v>6019</v>
      </c>
      <c r="I2736" s="465" t="s">
        <v>830</v>
      </c>
    </row>
    <row r="2737" hidden="1" ht="15.95" customHeight="1">
      <c r="A2737" s="465" t="s">
        <v>6020</v>
      </c>
      <c r="B2737" s="465" t="s">
        <v>1272</v>
      </c>
      <c r="C2737" s="465"/>
      <c r="D2737" s="465" t="s">
        <v>825</v>
      </c>
      <c r="E2737" s="465" t="s">
        <v>6016</v>
      </c>
      <c r="F2737" s="465" t="s">
        <v>6017</v>
      </c>
      <c r="G2737" s="465" t="s">
        <v>6018</v>
      </c>
      <c r="H2737" s="465" t="s">
        <v>6019</v>
      </c>
      <c r="I2737" s="465" t="s">
        <v>830</v>
      </c>
    </row>
    <row r="2738" hidden="1" ht="15.95" customHeight="1">
      <c r="A2738" s="465" t="s">
        <v>6021</v>
      </c>
      <c r="B2738" s="465" t="s">
        <v>1266</v>
      </c>
      <c r="C2738" s="465"/>
      <c r="D2738" s="465" t="s">
        <v>825</v>
      </c>
      <c r="E2738" s="465" t="s">
        <v>6016</v>
      </c>
      <c r="F2738" s="465" t="s">
        <v>6017</v>
      </c>
      <c r="G2738" s="465" t="s">
        <v>6018</v>
      </c>
      <c r="H2738" s="465" t="s">
        <v>6019</v>
      </c>
      <c r="I2738" s="465" t="s">
        <v>830</v>
      </c>
    </row>
    <row r="2739" hidden="1" ht="15.95" customHeight="1">
      <c r="A2739" s="465" t="s">
        <v>6022</v>
      </c>
      <c r="B2739" s="465" t="s">
        <v>1270</v>
      </c>
      <c r="C2739" s="465"/>
      <c r="D2739" s="465" t="s">
        <v>825</v>
      </c>
      <c r="E2739" s="465" t="s">
        <v>6016</v>
      </c>
      <c r="F2739" s="465" t="s">
        <v>6017</v>
      </c>
      <c r="G2739" s="465" t="s">
        <v>6018</v>
      </c>
      <c r="H2739" s="465" t="s">
        <v>6019</v>
      </c>
      <c r="I2739" s="465" t="s">
        <v>830</v>
      </c>
    </row>
    <row r="2740" hidden="1" ht="15.95" customHeight="1">
      <c r="A2740" s="465" t="s">
        <v>6023</v>
      </c>
      <c r="B2740" s="465" t="s">
        <v>1264</v>
      </c>
      <c r="C2740" s="465"/>
      <c r="D2740" s="465" t="s">
        <v>825</v>
      </c>
      <c r="E2740" s="465" t="s">
        <v>6016</v>
      </c>
      <c r="F2740" s="465" t="s">
        <v>6017</v>
      </c>
      <c r="G2740" s="465" t="s">
        <v>6018</v>
      </c>
      <c r="H2740" s="465" t="s">
        <v>6019</v>
      </c>
      <c r="I2740" s="465" t="s">
        <v>830</v>
      </c>
    </row>
    <row r="2741" hidden="1" ht="15.95" customHeight="1">
      <c r="A2741" s="465" t="s">
        <v>6024</v>
      </c>
      <c r="B2741" s="465" t="s">
        <v>449</v>
      </c>
      <c r="C2741" s="465"/>
      <c r="D2741" s="465" t="s">
        <v>825</v>
      </c>
      <c r="E2741" s="465" t="s">
        <v>6016</v>
      </c>
      <c r="F2741" s="465" t="s">
        <v>6017</v>
      </c>
      <c r="G2741" s="465" t="s">
        <v>6018</v>
      </c>
      <c r="H2741" s="465" t="s">
        <v>6019</v>
      </c>
      <c r="I2741" s="465" t="s">
        <v>830</v>
      </c>
    </row>
    <row r="2742" hidden="1" ht="15.95" customHeight="1">
      <c r="A2742" s="465" t="s">
        <v>6025</v>
      </c>
      <c r="B2742" s="465" t="s">
        <v>1268</v>
      </c>
      <c r="C2742" s="465"/>
      <c r="D2742" s="465" t="s">
        <v>825</v>
      </c>
      <c r="E2742" s="465" t="s">
        <v>6016</v>
      </c>
      <c r="F2742" s="465" t="s">
        <v>6017</v>
      </c>
      <c r="G2742" s="465" t="s">
        <v>6018</v>
      </c>
      <c r="H2742" s="465" t="s">
        <v>6019</v>
      </c>
      <c r="I2742" s="465" t="s">
        <v>830</v>
      </c>
    </row>
    <row r="2743" hidden="1" ht="15.95" customHeight="1">
      <c r="A2743" s="465" t="s">
        <v>6026</v>
      </c>
      <c r="B2743" s="465" t="s">
        <v>1253</v>
      </c>
      <c r="C2743" s="465"/>
      <c r="D2743" s="465" t="s">
        <v>825</v>
      </c>
      <c r="E2743" s="465" t="s">
        <v>6016</v>
      </c>
      <c r="F2743" s="465" t="s">
        <v>6017</v>
      </c>
      <c r="G2743" s="465" t="s">
        <v>6018</v>
      </c>
      <c r="H2743" s="465" t="s">
        <v>6019</v>
      </c>
      <c r="I2743" s="465" t="s">
        <v>830</v>
      </c>
    </row>
    <row r="2744" hidden="1" ht="15.95" customHeight="1">
      <c r="A2744" s="465" t="s">
        <v>6027</v>
      </c>
      <c r="B2744" s="465" t="s">
        <v>6028</v>
      </c>
      <c r="C2744" s="465"/>
      <c r="D2744" s="465" t="s">
        <v>825</v>
      </c>
      <c r="E2744" s="465" t="s">
        <v>6016</v>
      </c>
      <c r="F2744" s="465" t="s">
        <v>6017</v>
      </c>
      <c r="G2744" s="465" t="s">
        <v>6018</v>
      </c>
      <c r="H2744" s="465" t="s">
        <v>6019</v>
      </c>
      <c r="I2744" s="465" t="s">
        <v>830</v>
      </c>
    </row>
    <row r="2745" hidden="1" ht="15.95" customHeight="1">
      <c r="A2745" s="465" t="s">
        <v>6029</v>
      </c>
      <c r="B2745" s="465" t="s">
        <v>6030</v>
      </c>
      <c r="C2745" s="465"/>
      <c r="D2745" s="465" t="s">
        <v>855</v>
      </c>
      <c r="E2745" s="465" t="s">
        <v>6016</v>
      </c>
      <c r="F2745" s="465" t="s">
        <v>6017</v>
      </c>
      <c r="G2745" s="465" t="s">
        <v>6018</v>
      </c>
      <c r="H2745" s="465" t="s">
        <v>6019</v>
      </c>
      <c r="I2745" s="465" t="s">
        <v>830</v>
      </c>
    </row>
    <row r="2746" hidden="1" ht="15.95" customHeight="1">
      <c r="A2746" s="465" t="s">
        <v>6031</v>
      </c>
      <c r="B2746" s="465" t="s">
        <v>2866</v>
      </c>
      <c r="C2746" s="465"/>
      <c r="D2746" s="465" t="s">
        <v>825</v>
      </c>
      <c r="E2746" s="465" t="s">
        <v>6016</v>
      </c>
      <c r="F2746" s="465" t="s">
        <v>6017</v>
      </c>
      <c r="G2746" s="465" t="s">
        <v>6018</v>
      </c>
      <c r="H2746" s="465" t="s">
        <v>6019</v>
      </c>
      <c r="I2746" s="465" t="s">
        <v>830</v>
      </c>
    </row>
    <row r="2747" hidden="1" ht="15.95" customHeight="1">
      <c r="A2747" s="465" t="s">
        <v>6032</v>
      </c>
      <c r="B2747" s="465" t="s">
        <v>1164</v>
      </c>
      <c r="C2747" s="465"/>
      <c r="D2747" s="465" t="s">
        <v>855</v>
      </c>
      <c r="E2747" s="465" t="s">
        <v>6016</v>
      </c>
      <c r="F2747" s="465" t="s">
        <v>6017</v>
      </c>
      <c r="G2747" s="465" t="s">
        <v>6018</v>
      </c>
      <c r="H2747" s="465" t="s">
        <v>6019</v>
      </c>
      <c r="I2747" s="465" t="s">
        <v>830</v>
      </c>
    </row>
    <row r="2748" hidden="1" ht="15.95" customHeight="1">
      <c r="A2748" s="465" t="s">
        <v>6033</v>
      </c>
      <c r="B2748" s="465" t="s">
        <v>6034</v>
      </c>
      <c r="C2748" s="465"/>
      <c r="D2748" s="465" t="s">
        <v>855</v>
      </c>
      <c r="E2748" s="465" t="s">
        <v>6016</v>
      </c>
      <c r="F2748" s="465" t="s">
        <v>6017</v>
      </c>
      <c r="G2748" s="465" t="s">
        <v>6018</v>
      </c>
      <c r="H2748" s="465" t="s">
        <v>6019</v>
      </c>
      <c r="I2748" s="465" t="s">
        <v>830</v>
      </c>
    </row>
    <row r="2749" hidden="1" ht="15.95" customHeight="1">
      <c r="A2749" s="465" t="s">
        <v>6035</v>
      </c>
      <c r="B2749" s="465" t="s">
        <v>6036</v>
      </c>
      <c r="C2749" s="465"/>
      <c r="D2749" s="465" t="s">
        <v>855</v>
      </c>
      <c r="E2749" s="465" t="s">
        <v>6016</v>
      </c>
      <c r="F2749" s="465" t="s">
        <v>6017</v>
      </c>
      <c r="G2749" s="465" t="s">
        <v>6018</v>
      </c>
      <c r="H2749" s="465" t="s">
        <v>6019</v>
      </c>
      <c r="I2749" s="465" t="s">
        <v>830</v>
      </c>
    </row>
    <row r="2750" hidden="1" ht="15.95" customHeight="1">
      <c r="A2750" s="465" t="s">
        <v>6037</v>
      </c>
      <c r="B2750" s="465" t="s">
        <v>6038</v>
      </c>
      <c r="C2750" s="465"/>
      <c r="D2750" s="465" t="s">
        <v>855</v>
      </c>
      <c r="E2750" s="465" t="s">
        <v>6016</v>
      </c>
      <c r="F2750" s="465" t="s">
        <v>6017</v>
      </c>
      <c r="G2750" s="465" t="s">
        <v>6018</v>
      </c>
      <c r="H2750" s="465" t="s">
        <v>6019</v>
      </c>
      <c r="I2750" s="465" t="s">
        <v>830</v>
      </c>
    </row>
    <row r="2751" hidden="1" ht="15.95" customHeight="1">
      <c r="A2751" s="465" t="s">
        <v>6039</v>
      </c>
      <c r="B2751" s="465" t="s">
        <v>4770</v>
      </c>
      <c r="C2751" s="465"/>
      <c r="D2751" s="465" t="s">
        <v>855</v>
      </c>
      <c r="E2751" s="465" t="s">
        <v>6016</v>
      </c>
      <c r="F2751" s="465" t="s">
        <v>6017</v>
      </c>
      <c r="G2751" s="465" t="s">
        <v>6018</v>
      </c>
      <c r="H2751" s="465" t="s">
        <v>6019</v>
      </c>
      <c r="I2751" s="465" t="s">
        <v>830</v>
      </c>
    </row>
    <row r="2752" hidden="1" ht="15.95" customHeight="1">
      <c r="A2752" s="465" t="s">
        <v>6040</v>
      </c>
      <c r="B2752" s="465" t="s">
        <v>4217</v>
      </c>
      <c r="C2752" s="465"/>
      <c r="D2752" s="465" t="s">
        <v>855</v>
      </c>
      <c r="E2752" s="465" t="s">
        <v>6016</v>
      </c>
      <c r="F2752" s="465" t="s">
        <v>6017</v>
      </c>
      <c r="G2752" s="465" t="s">
        <v>6018</v>
      </c>
      <c r="H2752" s="465" t="s">
        <v>6019</v>
      </c>
      <c r="I2752" s="465" t="s">
        <v>830</v>
      </c>
    </row>
    <row r="2753" hidden="1" ht="15.95" customHeight="1">
      <c r="A2753" s="465" t="s">
        <v>6041</v>
      </c>
      <c r="B2753" s="465" t="s">
        <v>6042</v>
      </c>
      <c r="C2753" s="465"/>
      <c r="D2753" s="465" t="s">
        <v>884</v>
      </c>
      <c r="E2753" s="465" t="s">
        <v>6043</v>
      </c>
      <c r="F2753" s="465" t="s">
        <v>6044</v>
      </c>
      <c r="G2753" s="465" t="s">
        <v>6018</v>
      </c>
      <c r="H2753" s="465" t="s">
        <v>6019</v>
      </c>
      <c r="I2753" s="465" t="s">
        <v>830</v>
      </c>
    </row>
    <row r="2754" hidden="1" ht="15.95" customHeight="1">
      <c r="A2754" s="465" t="s">
        <v>6045</v>
      </c>
      <c r="B2754" s="465" t="s">
        <v>4927</v>
      </c>
      <c r="C2754" s="465"/>
      <c r="D2754" s="465" t="s">
        <v>855</v>
      </c>
      <c r="E2754" s="465" t="s">
        <v>6043</v>
      </c>
      <c r="F2754" s="465" t="s">
        <v>6044</v>
      </c>
      <c r="G2754" s="465" t="s">
        <v>6018</v>
      </c>
      <c r="H2754" s="465" t="s">
        <v>6019</v>
      </c>
      <c r="I2754" s="465" t="s">
        <v>830</v>
      </c>
    </row>
    <row r="2755" hidden="1" ht="15.95" customHeight="1">
      <c r="A2755" s="465" t="s">
        <v>6046</v>
      </c>
      <c r="B2755" s="465" t="s">
        <v>6047</v>
      </c>
      <c r="C2755" s="465"/>
      <c r="D2755" s="465" t="s">
        <v>855</v>
      </c>
      <c r="E2755" s="465" t="s">
        <v>6043</v>
      </c>
      <c r="F2755" s="465" t="s">
        <v>6044</v>
      </c>
      <c r="G2755" s="465" t="s">
        <v>6018</v>
      </c>
      <c r="H2755" s="465" t="s">
        <v>6019</v>
      </c>
      <c r="I2755" s="465" t="s">
        <v>830</v>
      </c>
    </row>
    <row r="2756" hidden="1" ht="15.95" customHeight="1">
      <c r="A2756" s="465" t="s">
        <v>6048</v>
      </c>
      <c r="B2756" s="465" t="s">
        <v>6049</v>
      </c>
      <c r="C2756" s="465"/>
      <c r="D2756" s="465" t="s">
        <v>855</v>
      </c>
      <c r="E2756" s="465" t="s">
        <v>6043</v>
      </c>
      <c r="F2756" s="465" t="s">
        <v>6044</v>
      </c>
      <c r="G2756" s="465" t="s">
        <v>6018</v>
      </c>
      <c r="H2756" s="465" t="s">
        <v>6019</v>
      </c>
      <c r="I2756" s="465" t="s">
        <v>830</v>
      </c>
    </row>
    <row r="2757" hidden="1" ht="15.95" customHeight="1">
      <c r="A2757" s="465" t="s">
        <v>6050</v>
      </c>
      <c r="B2757" s="465" t="s">
        <v>6051</v>
      </c>
      <c r="C2757" s="465"/>
      <c r="D2757" s="465" t="s">
        <v>855</v>
      </c>
      <c r="E2757" s="465" t="s">
        <v>6043</v>
      </c>
      <c r="F2757" s="465" t="s">
        <v>6044</v>
      </c>
      <c r="G2757" s="465" t="s">
        <v>6018</v>
      </c>
      <c r="H2757" s="465" t="s">
        <v>6019</v>
      </c>
      <c r="I2757" s="465" t="s">
        <v>830</v>
      </c>
    </row>
    <row r="2758" hidden="1" ht="15.95" customHeight="1">
      <c r="A2758" s="465" t="s">
        <v>6052</v>
      </c>
      <c r="B2758" s="465" t="s">
        <v>6053</v>
      </c>
      <c r="C2758" s="465"/>
      <c r="D2758" s="465" t="s">
        <v>855</v>
      </c>
      <c r="E2758" s="465" t="s">
        <v>6043</v>
      </c>
      <c r="F2758" s="465" t="s">
        <v>6044</v>
      </c>
      <c r="G2758" s="465" t="s">
        <v>6018</v>
      </c>
      <c r="H2758" s="465" t="s">
        <v>6019</v>
      </c>
      <c r="I2758" s="465" t="s">
        <v>830</v>
      </c>
    </row>
    <row r="2759" hidden="1" ht="15.95" customHeight="1">
      <c r="A2759" s="465" t="s">
        <v>6054</v>
      </c>
      <c r="B2759" s="465" t="s">
        <v>4851</v>
      </c>
      <c r="C2759" s="465"/>
      <c r="D2759" s="465" t="s">
        <v>855</v>
      </c>
      <c r="E2759" s="465" t="s">
        <v>6043</v>
      </c>
      <c r="F2759" s="465" t="s">
        <v>6044</v>
      </c>
      <c r="G2759" s="465" t="s">
        <v>6018</v>
      </c>
      <c r="H2759" s="465" t="s">
        <v>6019</v>
      </c>
      <c r="I2759" s="465" t="s">
        <v>830</v>
      </c>
    </row>
    <row r="2760" hidden="1" ht="15.95" customHeight="1">
      <c r="A2760" s="465" t="s">
        <v>6055</v>
      </c>
      <c r="B2760" s="465" t="s">
        <v>6056</v>
      </c>
      <c r="C2760" s="465"/>
      <c r="D2760" s="465" t="s">
        <v>855</v>
      </c>
      <c r="E2760" s="465" t="s">
        <v>6043</v>
      </c>
      <c r="F2760" s="465" t="s">
        <v>6044</v>
      </c>
      <c r="G2760" s="465" t="s">
        <v>6018</v>
      </c>
      <c r="H2760" s="465" t="s">
        <v>6019</v>
      </c>
      <c r="I2760" s="465" t="s">
        <v>830</v>
      </c>
    </row>
    <row r="2761" hidden="1" ht="15.95" customHeight="1">
      <c r="A2761" s="465" t="s">
        <v>6057</v>
      </c>
      <c r="B2761" s="465" t="s">
        <v>6058</v>
      </c>
      <c r="C2761" s="465"/>
      <c r="D2761" s="465" t="s">
        <v>884</v>
      </c>
      <c r="E2761" s="465" t="s">
        <v>6059</v>
      </c>
      <c r="F2761" s="465" t="s">
        <v>6060</v>
      </c>
      <c r="G2761" s="465" t="s">
        <v>6018</v>
      </c>
      <c r="H2761" s="465" t="s">
        <v>6019</v>
      </c>
      <c r="I2761" s="465" t="s">
        <v>830</v>
      </c>
    </row>
    <row r="2762" hidden="1" ht="15.95" customHeight="1">
      <c r="A2762" s="465" t="s">
        <v>6061</v>
      </c>
      <c r="B2762" s="465" t="s">
        <v>6062</v>
      </c>
      <c r="C2762" s="465"/>
      <c r="D2762" s="465" t="s">
        <v>855</v>
      </c>
      <c r="E2762" s="465" t="s">
        <v>6059</v>
      </c>
      <c r="F2762" s="465" t="s">
        <v>6060</v>
      </c>
      <c r="G2762" s="465" t="s">
        <v>6018</v>
      </c>
      <c r="H2762" s="465" t="s">
        <v>6019</v>
      </c>
      <c r="I2762" s="465" t="s">
        <v>830</v>
      </c>
    </row>
    <row r="2763" hidden="1" ht="15.95" customHeight="1">
      <c r="A2763" s="465" t="s">
        <v>6063</v>
      </c>
      <c r="B2763" s="465" t="s">
        <v>6064</v>
      </c>
      <c r="C2763" s="465" t="s">
        <v>6065</v>
      </c>
      <c r="D2763" s="465" t="s">
        <v>855</v>
      </c>
      <c r="E2763" s="465" t="s">
        <v>6059</v>
      </c>
      <c r="F2763" s="465" t="s">
        <v>6060</v>
      </c>
      <c r="G2763" s="465" t="s">
        <v>6018</v>
      </c>
      <c r="H2763" s="465" t="s">
        <v>6019</v>
      </c>
      <c r="I2763" s="465" t="s">
        <v>830</v>
      </c>
    </row>
    <row r="2764" hidden="1" ht="15.95" customHeight="1">
      <c r="A2764" s="465" t="s">
        <v>6066</v>
      </c>
      <c r="B2764" s="465" t="s">
        <v>6067</v>
      </c>
      <c r="C2764" s="465"/>
      <c r="D2764" s="465" t="s">
        <v>855</v>
      </c>
      <c r="E2764" s="465" t="s">
        <v>6059</v>
      </c>
      <c r="F2764" s="465" t="s">
        <v>6060</v>
      </c>
      <c r="G2764" s="465" t="s">
        <v>6018</v>
      </c>
      <c r="H2764" s="465" t="s">
        <v>6019</v>
      </c>
      <c r="I2764" s="465" t="s">
        <v>830</v>
      </c>
    </row>
    <row r="2765" hidden="1" ht="15.95" customHeight="1">
      <c r="A2765" s="465" t="s">
        <v>6068</v>
      </c>
      <c r="B2765" s="465" t="s">
        <v>6069</v>
      </c>
      <c r="C2765" s="465" t="s">
        <v>6070</v>
      </c>
      <c r="D2765" s="465" t="s">
        <v>855</v>
      </c>
      <c r="E2765" s="465" t="s">
        <v>6059</v>
      </c>
      <c r="F2765" s="465" t="s">
        <v>6060</v>
      </c>
      <c r="G2765" s="465" t="s">
        <v>6018</v>
      </c>
      <c r="H2765" s="465" t="s">
        <v>6019</v>
      </c>
      <c r="I2765" s="465" t="s">
        <v>830</v>
      </c>
    </row>
    <row r="2766" hidden="1" ht="15.95" customHeight="1">
      <c r="A2766" s="465" t="s">
        <v>6071</v>
      </c>
      <c r="B2766" s="465" t="s">
        <v>6072</v>
      </c>
      <c r="C2766" s="465"/>
      <c r="D2766" s="465" t="s">
        <v>855</v>
      </c>
      <c r="E2766" s="465" t="s">
        <v>6059</v>
      </c>
      <c r="F2766" s="465" t="s">
        <v>6060</v>
      </c>
      <c r="G2766" s="465" t="s">
        <v>6018</v>
      </c>
      <c r="H2766" s="465" t="s">
        <v>6019</v>
      </c>
      <c r="I2766" s="465" t="s">
        <v>830</v>
      </c>
    </row>
    <row r="2767" hidden="1" ht="15.95" customHeight="1">
      <c r="A2767" s="465" t="s">
        <v>6073</v>
      </c>
      <c r="B2767" s="465" t="s">
        <v>6074</v>
      </c>
      <c r="C2767" s="465"/>
      <c r="D2767" s="465" t="s">
        <v>855</v>
      </c>
      <c r="E2767" s="465" t="s">
        <v>6059</v>
      </c>
      <c r="F2767" s="465" t="s">
        <v>6060</v>
      </c>
      <c r="G2767" s="465" t="s">
        <v>6018</v>
      </c>
      <c r="H2767" s="465" t="s">
        <v>6019</v>
      </c>
      <c r="I2767" s="465" t="s">
        <v>830</v>
      </c>
    </row>
    <row r="2768" hidden="1" ht="15.95" customHeight="1">
      <c r="A2768" s="465" t="s">
        <v>6075</v>
      </c>
      <c r="B2768" s="465" t="s">
        <v>1856</v>
      </c>
      <c r="C2768" s="465"/>
      <c r="D2768" s="465" t="s">
        <v>855</v>
      </c>
      <c r="E2768" s="465" t="s">
        <v>6059</v>
      </c>
      <c r="F2768" s="465" t="s">
        <v>6060</v>
      </c>
      <c r="G2768" s="465" t="s">
        <v>6018</v>
      </c>
      <c r="H2768" s="465" t="s">
        <v>6019</v>
      </c>
      <c r="I2768" s="465" t="s">
        <v>830</v>
      </c>
    </row>
    <row r="2769" hidden="1" ht="15.95" customHeight="1">
      <c r="A2769" s="465" t="s">
        <v>6076</v>
      </c>
      <c r="B2769" s="465" t="s">
        <v>6077</v>
      </c>
      <c r="C2769" s="465"/>
      <c r="D2769" s="465" t="s">
        <v>855</v>
      </c>
      <c r="E2769" s="465" t="s">
        <v>6059</v>
      </c>
      <c r="F2769" s="465" t="s">
        <v>6060</v>
      </c>
      <c r="G2769" s="465" t="s">
        <v>6018</v>
      </c>
      <c r="H2769" s="465" t="s">
        <v>6019</v>
      </c>
      <c r="I2769" s="465" t="s">
        <v>830</v>
      </c>
    </row>
    <row r="2770" hidden="1" ht="15.95" customHeight="1">
      <c r="A2770" s="465" t="s">
        <v>6078</v>
      </c>
      <c r="B2770" s="465" t="s">
        <v>4461</v>
      </c>
      <c r="C2770" s="465"/>
      <c r="D2770" s="465" t="s">
        <v>855</v>
      </c>
      <c r="E2770" s="465" t="s">
        <v>6059</v>
      </c>
      <c r="F2770" s="465" t="s">
        <v>6060</v>
      </c>
      <c r="G2770" s="465" t="s">
        <v>6018</v>
      </c>
      <c r="H2770" s="465" t="s">
        <v>6019</v>
      </c>
      <c r="I2770" s="465" t="s">
        <v>830</v>
      </c>
    </row>
    <row r="2771" hidden="1" ht="15.95" customHeight="1">
      <c r="A2771" s="465" t="s">
        <v>6079</v>
      </c>
      <c r="B2771" s="465" t="s">
        <v>6080</v>
      </c>
      <c r="C2771" s="465"/>
      <c r="D2771" s="465" t="s">
        <v>855</v>
      </c>
      <c r="E2771" s="465" t="s">
        <v>6059</v>
      </c>
      <c r="F2771" s="465" t="s">
        <v>6060</v>
      </c>
      <c r="G2771" s="465" t="s">
        <v>6018</v>
      </c>
      <c r="H2771" s="465" t="s">
        <v>6019</v>
      </c>
      <c r="I2771" s="465" t="s">
        <v>830</v>
      </c>
    </row>
    <row r="2772" hidden="1" ht="15.95" customHeight="1">
      <c r="A2772" s="465" t="s">
        <v>6081</v>
      </c>
      <c r="B2772" s="465" t="s">
        <v>6082</v>
      </c>
      <c r="C2772" s="465"/>
      <c r="D2772" s="465" t="s">
        <v>855</v>
      </c>
      <c r="E2772" s="465" t="s">
        <v>6059</v>
      </c>
      <c r="F2772" s="465" t="s">
        <v>6060</v>
      </c>
      <c r="G2772" s="465" t="s">
        <v>6018</v>
      </c>
      <c r="H2772" s="465" t="s">
        <v>6019</v>
      </c>
      <c r="I2772" s="465" t="s">
        <v>830</v>
      </c>
    </row>
    <row r="2773" hidden="1" ht="15.95" customHeight="1">
      <c r="A2773" s="465" t="s">
        <v>6083</v>
      </c>
      <c r="B2773" s="465" t="s">
        <v>6084</v>
      </c>
      <c r="C2773" s="465"/>
      <c r="D2773" s="465" t="s">
        <v>884</v>
      </c>
      <c r="E2773" s="465" t="s">
        <v>6085</v>
      </c>
      <c r="F2773" s="465" t="s">
        <v>6086</v>
      </c>
      <c r="G2773" s="465" t="s">
        <v>6018</v>
      </c>
      <c r="H2773" s="465" t="s">
        <v>6019</v>
      </c>
      <c r="I2773" s="465" t="s">
        <v>830</v>
      </c>
    </row>
    <row r="2774" hidden="1" ht="15.95" customHeight="1">
      <c r="A2774" s="465" t="s">
        <v>6087</v>
      </c>
      <c r="B2774" s="465" t="s">
        <v>6088</v>
      </c>
      <c r="C2774" s="465"/>
      <c r="D2774" s="465" t="s">
        <v>884</v>
      </c>
      <c r="E2774" s="465" t="s">
        <v>6085</v>
      </c>
      <c r="F2774" s="465" t="s">
        <v>6086</v>
      </c>
      <c r="G2774" s="465" t="s">
        <v>6018</v>
      </c>
      <c r="H2774" s="465" t="s">
        <v>6019</v>
      </c>
      <c r="I2774" s="465" t="s">
        <v>830</v>
      </c>
    </row>
    <row r="2775" hidden="1" ht="15.95" customHeight="1">
      <c r="A2775" s="465" t="s">
        <v>6089</v>
      </c>
      <c r="B2775" s="465" t="s">
        <v>6090</v>
      </c>
      <c r="C2775" s="465"/>
      <c r="D2775" s="465" t="s">
        <v>855</v>
      </c>
      <c r="E2775" s="465" t="s">
        <v>6085</v>
      </c>
      <c r="F2775" s="465" t="s">
        <v>6086</v>
      </c>
      <c r="G2775" s="465" t="s">
        <v>6018</v>
      </c>
      <c r="H2775" s="465" t="s">
        <v>6019</v>
      </c>
      <c r="I2775" s="465" t="s">
        <v>830</v>
      </c>
    </row>
    <row r="2776" hidden="1" ht="15.95" customHeight="1">
      <c r="A2776" s="465" t="s">
        <v>6091</v>
      </c>
      <c r="B2776" s="465" t="s">
        <v>6092</v>
      </c>
      <c r="C2776" s="465"/>
      <c r="D2776" s="465" t="s">
        <v>855</v>
      </c>
      <c r="E2776" s="465" t="s">
        <v>6085</v>
      </c>
      <c r="F2776" s="465" t="s">
        <v>6086</v>
      </c>
      <c r="G2776" s="465" t="s">
        <v>6018</v>
      </c>
      <c r="H2776" s="465" t="s">
        <v>6019</v>
      </c>
      <c r="I2776" s="465" t="s">
        <v>830</v>
      </c>
    </row>
    <row r="2777" hidden="1" ht="15.95" customHeight="1">
      <c r="A2777" s="465" t="s">
        <v>6093</v>
      </c>
      <c r="B2777" s="465" t="s">
        <v>6094</v>
      </c>
      <c r="C2777" s="465"/>
      <c r="D2777" s="465" t="s">
        <v>855</v>
      </c>
      <c r="E2777" s="465" t="s">
        <v>6085</v>
      </c>
      <c r="F2777" s="465" t="s">
        <v>6086</v>
      </c>
      <c r="G2777" s="465" t="s">
        <v>6018</v>
      </c>
      <c r="H2777" s="465" t="s">
        <v>6019</v>
      </c>
      <c r="I2777" s="465" t="s">
        <v>830</v>
      </c>
    </row>
    <row r="2778" hidden="1" ht="15.95" customHeight="1">
      <c r="A2778" s="465" t="s">
        <v>6095</v>
      </c>
      <c r="B2778" s="465" t="s">
        <v>6096</v>
      </c>
      <c r="C2778" s="465" t="s">
        <v>6097</v>
      </c>
      <c r="D2778" s="465" t="s">
        <v>855</v>
      </c>
      <c r="E2778" s="465" t="s">
        <v>6085</v>
      </c>
      <c r="F2778" s="465" t="s">
        <v>6086</v>
      </c>
      <c r="G2778" s="465" t="s">
        <v>6018</v>
      </c>
      <c r="H2778" s="465" t="s">
        <v>6019</v>
      </c>
      <c r="I2778" s="465" t="s">
        <v>830</v>
      </c>
    </row>
    <row r="2779" hidden="1" ht="15.95" customHeight="1">
      <c r="A2779" s="465" t="s">
        <v>6098</v>
      </c>
      <c r="B2779" s="465" t="s">
        <v>4855</v>
      </c>
      <c r="C2779" s="465"/>
      <c r="D2779" s="465" t="s">
        <v>855</v>
      </c>
      <c r="E2779" s="465" t="s">
        <v>6085</v>
      </c>
      <c r="F2779" s="465" t="s">
        <v>6086</v>
      </c>
      <c r="G2779" s="465" t="s">
        <v>6018</v>
      </c>
      <c r="H2779" s="465" t="s">
        <v>6019</v>
      </c>
      <c r="I2779" s="465" t="s">
        <v>830</v>
      </c>
    </row>
    <row r="2780" hidden="1" ht="15.95" customHeight="1">
      <c r="A2780" s="465" t="s">
        <v>6099</v>
      </c>
      <c r="B2780" s="465" t="s">
        <v>3273</v>
      </c>
      <c r="C2780" s="465"/>
      <c r="D2780" s="465" t="s">
        <v>855</v>
      </c>
      <c r="E2780" s="465" t="s">
        <v>6085</v>
      </c>
      <c r="F2780" s="465" t="s">
        <v>6086</v>
      </c>
      <c r="G2780" s="465" t="s">
        <v>6018</v>
      </c>
      <c r="H2780" s="465" t="s">
        <v>6019</v>
      </c>
      <c r="I2780" s="465" t="s">
        <v>830</v>
      </c>
    </row>
    <row r="2781" hidden="1" ht="15.95" customHeight="1">
      <c r="A2781" s="465" t="s">
        <v>6100</v>
      </c>
      <c r="B2781" s="465" t="s">
        <v>6101</v>
      </c>
      <c r="C2781" s="465"/>
      <c r="D2781" s="465" t="s">
        <v>855</v>
      </c>
      <c r="E2781" s="465" t="s">
        <v>6085</v>
      </c>
      <c r="F2781" s="465" t="s">
        <v>6086</v>
      </c>
      <c r="G2781" s="465" t="s">
        <v>6018</v>
      </c>
      <c r="H2781" s="465" t="s">
        <v>6019</v>
      </c>
      <c r="I2781" s="465" t="s">
        <v>830</v>
      </c>
    </row>
    <row r="2782" hidden="1" ht="15.95" customHeight="1">
      <c r="A2782" s="465" t="s">
        <v>6102</v>
      </c>
      <c r="B2782" s="465" t="s">
        <v>6103</v>
      </c>
      <c r="C2782" s="465"/>
      <c r="D2782" s="465" t="s">
        <v>855</v>
      </c>
      <c r="E2782" s="465" t="s">
        <v>6085</v>
      </c>
      <c r="F2782" s="465" t="s">
        <v>6086</v>
      </c>
      <c r="G2782" s="465" t="s">
        <v>6018</v>
      </c>
      <c r="H2782" s="465" t="s">
        <v>6019</v>
      </c>
      <c r="I2782" s="465" t="s">
        <v>830</v>
      </c>
    </row>
    <row r="2783" hidden="1" ht="15.95" customHeight="1">
      <c r="A2783" s="465" t="s">
        <v>6104</v>
      </c>
      <c r="B2783" s="465" t="s">
        <v>6105</v>
      </c>
      <c r="C2783" s="465"/>
      <c r="D2783" s="465" t="s">
        <v>855</v>
      </c>
      <c r="E2783" s="465" t="s">
        <v>6085</v>
      </c>
      <c r="F2783" s="465" t="s">
        <v>6086</v>
      </c>
      <c r="G2783" s="465" t="s">
        <v>6018</v>
      </c>
      <c r="H2783" s="465" t="s">
        <v>6019</v>
      </c>
      <c r="I2783" s="465" t="s">
        <v>830</v>
      </c>
    </row>
    <row r="2784" hidden="1" ht="15.95" customHeight="1">
      <c r="A2784" s="465" t="s">
        <v>6106</v>
      </c>
      <c r="B2784" s="465" t="s">
        <v>6107</v>
      </c>
      <c r="C2784" s="465" t="s">
        <v>6108</v>
      </c>
      <c r="D2784" s="465" t="s">
        <v>855</v>
      </c>
      <c r="E2784" s="465" t="s">
        <v>6085</v>
      </c>
      <c r="F2784" s="465" t="s">
        <v>6086</v>
      </c>
      <c r="G2784" s="465" t="s">
        <v>6018</v>
      </c>
      <c r="H2784" s="465" t="s">
        <v>6019</v>
      </c>
      <c r="I2784" s="465" t="s">
        <v>830</v>
      </c>
    </row>
    <row r="2785" hidden="1" ht="15.95" customHeight="1">
      <c r="A2785" s="465" t="s">
        <v>6109</v>
      </c>
      <c r="B2785" s="465" t="s">
        <v>6110</v>
      </c>
      <c r="C2785" s="465"/>
      <c r="D2785" s="465" t="s">
        <v>855</v>
      </c>
      <c r="E2785" s="465" t="s">
        <v>6085</v>
      </c>
      <c r="F2785" s="465" t="s">
        <v>6086</v>
      </c>
      <c r="G2785" s="465" t="s">
        <v>6018</v>
      </c>
      <c r="H2785" s="465" t="s">
        <v>6019</v>
      </c>
      <c r="I2785" s="465" t="s">
        <v>830</v>
      </c>
    </row>
    <row r="2786" hidden="1" ht="15.95" customHeight="1">
      <c r="A2786" s="465" t="s">
        <v>6111</v>
      </c>
      <c r="B2786" s="465" t="s">
        <v>6112</v>
      </c>
      <c r="C2786" s="465"/>
      <c r="D2786" s="465" t="s">
        <v>884</v>
      </c>
      <c r="E2786" s="465" t="s">
        <v>6113</v>
      </c>
      <c r="F2786" s="465" t="s">
        <v>6114</v>
      </c>
      <c r="G2786" s="465" t="s">
        <v>6018</v>
      </c>
      <c r="H2786" s="465" t="s">
        <v>6019</v>
      </c>
      <c r="I2786" s="465" t="s">
        <v>830</v>
      </c>
    </row>
    <row r="2787" hidden="1" ht="15.95" customHeight="1">
      <c r="A2787" s="465" t="s">
        <v>6115</v>
      </c>
      <c r="B2787" s="465" t="s">
        <v>2321</v>
      </c>
      <c r="C2787" s="465" t="s">
        <v>6116</v>
      </c>
      <c r="D2787" s="465" t="s">
        <v>855</v>
      </c>
      <c r="E2787" s="465" t="s">
        <v>6113</v>
      </c>
      <c r="F2787" s="465" t="s">
        <v>6114</v>
      </c>
      <c r="G2787" s="465" t="s">
        <v>6018</v>
      </c>
      <c r="H2787" s="465" t="s">
        <v>6019</v>
      </c>
      <c r="I2787" s="465" t="s">
        <v>830</v>
      </c>
    </row>
    <row r="2788" hidden="1" ht="15.95" customHeight="1">
      <c r="A2788" s="465" t="s">
        <v>6117</v>
      </c>
      <c r="B2788" s="465" t="s">
        <v>6118</v>
      </c>
      <c r="C2788" s="465"/>
      <c r="D2788" s="465" t="s">
        <v>855</v>
      </c>
      <c r="E2788" s="465" t="s">
        <v>6113</v>
      </c>
      <c r="F2788" s="465" t="s">
        <v>6114</v>
      </c>
      <c r="G2788" s="465" t="s">
        <v>6018</v>
      </c>
      <c r="H2788" s="465" t="s">
        <v>6019</v>
      </c>
      <c r="I2788" s="465" t="s">
        <v>830</v>
      </c>
    </row>
    <row r="2789" hidden="1" ht="15.95" customHeight="1">
      <c r="A2789" s="465" t="s">
        <v>6119</v>
      </c>
      <c r="B2789" s="465" t="s">
        <v>3895</v>
      </c>
      <c r="C2789" s="465"/>
      <c r="D2789" s="465" t="s">
        <v>855</v>
      </c>
      <c r="E2789" s="465" t="s">
        <v>6113</v>
      </c>
      <c r="F2789" s="465" t="s">
        <v>6114</v>
      </c>
      <c r="G2789" s="465" t="s">
        <v>6018</v>
      </c>
      <c r="H2789" s="465" t="s">
        <v>6019</v>
      </c>
      <c r="I2789" s="465" t="s">
        <v>830</v>
      </c>
    </row>
    <row r="2790" hidden="1" ht="15.95" customHeight="1">
      <c r="A2790" s="465" t="s">
        <v>6120</v>
      </c>
      <c r="B2790" s="465" t="s">
        <v>1691</v>
      </c>
      <c r="C2790" s="465"/>
      <c r="D2790" s="465" t="s">
        <v>855</v>
      </c>
      <c r="E2790" s="465" t="s">
        <v>6113</v>
      </c>
      <c r="F2790" s="465" t="s">
        <v>6114</v>
      </c>
      <c r="G2790" s="465" t="s">
        <v>6018</v>
      </c>
      <c r="H2790" s="465" t="s">
        <v>6019</v>
      </c>
      <c r="I2790" s="465" t="s">
        <v>830</v>
      </c>
    </row>
    <row r="2791" hidden="1" ht="15.95" customHeight="1">
      <c r="A2791" s="465" t="s">
        <v>6121</v>
      </c>
      <c r="B2791" s="465" t="s">
        <v>4270</v>
      </c>
      <c r="C2791" s="465"/>
      <c r="D2791" s="465" t="s">
        <v>855</v>
      </c>
      <c r="E2791" s="465" t="s">
        <v>6113</v>
      </c>
      <c r="F2791" s="465" t="s">
        <v>6114</v>
      </c>
      <c r="G2791" s="465" t="s">
        <v>6018</v>
      </c>
      <c r="H2791" s="465" t="s">
        <v>6019</v>
      </c>
      <c r="I2791" s="465" t="s">
        <v>830</v>
      </c>
    </row>
    <row r="2792" hidden="1" ht="15.95" customHeight="1">
      <c r="A2792" s="465" t="s">
        <v>6122</v>
      </c>
      <c r="B2792" s="465" t="s">
        <v>5626</v>
      </c>
      <c r="C2792" s="465" t="s">
        <v>6123</v>
      </c>
      <c r="D2792" s="465" t="s">
        <v>855</v>
      </c>
      <c r="E2792" s="465" t="s">
        <v>6113</v>
      </c>
      <c r="F2792" s="465" t="s">
        <v>6114</v>
      </c>
      <c r="G2792" s="465" t="s">
        <v>6018</v>
      </c>
      <c r="H2792" s="465" t="s">
        <v>6019</v>
      </c>
      <c r="I2792" s="465" t="s">
        <v>830</v>
      </c>
    </row>
    <row r="2793" hidden="1" ht="15.95" customHeight="1">
      <c r="A2793" s="465" t="s">
        <v>6124</v>
      </c>
      <c r="B2793" s="465" t="s">
        <v>5291</v>
      </c>
      <c r="C2793" s="465" t="s">
        <v>6125</v>
      </c>
      <c r="D2793" s="465" t="s">
        <v>855</v>
      </c>
      <c r="E2793" s="465" t="s">
        <v>6113</v>
      </c>
      <c r="F2793" s="465" t="s">
        <v>6114</v>
      </c>
      <c r="G2793" s="465" t="s">
        <v>6018</v>
      </c>
      <c r="H2793" s="465" t="s">
        <v>6019</v>
      </c>
      <c r="I2793" s="465" t="s">
        <v>830</v>
      </c>
    </row>
    <row r="2794" hidden="1" ht="15.95" customHeight="1">
      <c r="A2794" s="465" t="s">
        <v>6126</v>
      </c>
      <c r="B2794" s="465" t="s">
        <v>6127</v>
      </c>
      <c r="C2794" s="465"/>
      <c r="D2794" s="465" t="s">
        <v>855</v>
      </c>
      <c r="E2794" s="465" t="s">
        <v>6113</v>
      </c>
      <c r="F2794" s="465" t="s">
        <v>6114</v>
      </c>
      <c r="G2794" s="465" t="s">
        <v>6018</v>
      </c>
      <c r="H2794" s="465" t="s">
        <v>6019</v>
      </c>
      <c r="I2794" s="465" t="s">
        <v>830</v>
      </c>
    </row>
    <row r="2795" hidden="1" ht="15.95" customHeight="1">
      <c r="A2795" s="465" t="s">
        <v>6128</v>
      </c>
      <c r="B2795" s="465" t="s">
        <v>6129</v>
      </c>
      <c r="C2795" s="465"/>
      <c r="D2795" s="465" t="s">
        <v>855</v>
      </c>
      <c r="E2795" s="465" t="s">
        <v>6113</v>
      </c>
      <c r="F2795" s="465" t="s">
        <v>6114</v>
      </c>
      <c r="G2795" s="465" t="s">
        <v>6018</v>
      </c>
      <c r="H2795" s="465" t="s">
        <v>6019</v>
      </c>
      <c r="I2795" s="465" t="s">
        <v>830</v>
      </c>
    </row>
    <row r="2796" hidden="1" ht="15.95" customHeight="1">
      <c r="A2796" s="465" t="s">
        <v>6130</v>
      </c>
      <c r="B2796" s="465" t="s">
        <v>6131</v>
      </c>
      <c r="C2796" s="465"/>
      <c r="D2796" s="465" t="s">
        <v>855</v>
      </c>
      <c r="E2796" s="465" t="s">
        <v>6113</v>
      </c>
      <c r="F2796" s="465" t="s">
        <v>6114</v>
      </c>
      <c r="G2796" s="465" t="s">
        <v>6018</v>
      </c>
      <c r="H2796" s="465" t="s">
        <v>6019</v>
      </c>
      <c r="I2796" s="465" t="s">
        <v>830</v>
      </c>
    </row>
    <row r="2797" hidden="1" ht="15.95" customHeight="1">
      <c r="A2797" s="465" t="s">
        <v>6132</v>
      </c>
      <c r="B2797" s="465" t="s">
        <v>6133</v>
      </c>
      <c r="C2797" s="465"/>
      <c r="D2797" s="465" t="s">
        <v>884</v>
      </c>
      <c r="E2797" s="465" t="s">
        <v>6134</v>
      </c>
      <c r="F2797" s="465" t="s">
        <v>6135</v>
      </c>
      <c r="G2797" s="465" t="s">
        <v>6018</v>
      </c>
      <c r="H2797" s="465" t="s">
        <v>6019</v>
      </c>
      <c r="I2797" s="465" t="s">
        <v>830</v>
      </c>
    </row>
    <row r="2798" hidden="1" ht="15.95" customHeight="1">
      <c r="A2798" s="465" t="s">
        <v>6136</v>
      </c>
      <c r="B2798" s="465" t="s">
        <v>6137</v>
      </c>
      <c r="C2798" s="465"/>
      <c r="D2798" s="465" t="s">
        <v>855</v>
      </c>
      <c r="E2798" s="465" t="s">
        <v>6134</v>
      </c>
      <c r="F2798" s="465" t="s">
        <v>6135</v>
      </c>
      <c r="G2798" s="465" t="s">
        <v>6018</v>
      </c>
      <c r="H2798" s="465" t="s">
        <v>6019</v>
      </c>
      <c r="I2798" s="465" t="s">
        <v>830</v>
      </c>
    </row>
    <row r="2799" hidden="1" ht="15.95" customHeight="1">
      <c r="A2799" s="465" t="s">
        <v>6138</v>
      </c>
      <c r="B2799" s="465" t="s">
        <v>6139</v>
      </c>
      <c r="C2799" s="465"/>
      <c r="D2799" s="465" t="s">
        <v>855</v>
      </c>
      <c r="E2799" s="465" t="s">
        <v>6134</v>
      </c>
      <c r="F2799" s="465" t="s">
        <v>6135</v>
      </c>
      <c r="G2799" s="465" t="s">
        <v>6018</v>
      </c>
      <c r="H2799" s="465" t="s">
        <v>6019</v>
      </c>
      <c r="I2799" s="465" t="s">
        <v>830</v>
      </c>
    </row>
    <row r="2800" hidden="1" ht="15.95" customHeight="1">
      <c r="A2800" s="465" t="s">
        <v>6140</v>
      </c>
      <c r="B2800" s="465" t="s">
        <v>6141</v>
      </c>
      <c r="C2800" s="465"/>
      <c r="D2800" s="465" t="s">
        <v>855</v>
      </c>
      <c r="E2800" s="465" t="s">
        <v>6134</v>
      </c>
      <c r="F2800" s="465" t="s">
        <v>6135</v>
      </c>
      <c r="G2800" s="465" t="s">
        <v>6018</v>
      </c>
      <c r="H2800" s="465" t="s">
        <v>6019</v>
      </c>
      <c r="I2800" s="465" t="s">
        <v>830</v>
      </c>
    </row>
    <row r="2801" hidden="1" ht="15.95" customHeight="1">
      <c r="A2801" s="465" t="s">
        <v>6142</v>
      </c>
      <c r="B2801" s="465" t="s">
        <v>3614</v>
      </c>
      <c r="C2801" s="465" t="s">
        <v>6143</v>
      </c>
      <c r="D2801" s="465" t="s">
        <v>855</v>
      </c>
      <c r="E2801" s="465" t="s">
        <v>6134</v>
      </c>
      <c r="F2801" s="465" t="s">
        <v>6135</v>
      </c>
      <c r="G2801" s="465" t="s">
        <v>6018</v>
      </c>
      <c r="H2801" s="465" t="s">
        <v>6019</v>
      </c>
      <c r="I2801" s="465" t="s">
        <v>830</v>
      </c>
    </row>
    <row r="2802" hidden="1" ht="15.95" customHeight="1">
      <c r="A2802" s="465" t="s">
        <v>6144</v>
      </c>
      <c r="B2802" s="465" t="s">
        <v>1234</v>
      </c>
      <c r="C2802" s="465"/>
      <c r="D2802" s="465" t="s">
        <v>855</v>
      </c>
      <c r="E2802" s="465" t="s">
        <v>6134</v>
      </c>
      <c r="F2802" s="465" t="s">
        <v>6135</v>
      </c>
      <c r="G2802" s="465" t="s">
        <v>6018</v>
      </c>
      <c r="H2802" s="465" t="s">
        <v>6019</v>
      </c>
      <c r="I2802" s="465" t="s">
        <v>830</v>
      </c>
    </row>
    <row r="2803" hidden="1" ht="15.95" customHeight="1">
      <c r="A2803" s="465" t="s">
        <v>6145</v>
      </c>
      <c r="B2803" s="465" t="s">
        <v>1162</v>
      </c>
      <c r="C2803" s="465"/>
      <c r="D2803" s="465" t="s">
        <v>855</v>
      </c>
      <c r="E2803" s="465" t="s">
        <v>6134</v>
      </c>
      <c r="F2803" s="465" t="s">
        <v>6135</v>
      </c>
      <c r="G2803" s="465" t="s">
        <v>6018</v>
      </c>
      <c r="H2803" s="465" t="s">
        <v>6019</v>
      </c>
      <c r="I2803" s="465" t="s">
        <v>830</v>
      </c>
    </row>
    <row r="2804" hidden="1" ht="15.95" customHeight="1">
      <c r="A2804" s="465" t="s">
        <v>6146</v>
      </c>
      <c r="B2804" s="465" t="s">
        <v>6147</v>
      </c>
      <c r="C2804" s="465"/>
      <c r="D2804" s="465" t="s">
        <v>855</v>
      </c>
      <c r="E2804" s="465" t="s">
        <v>6134</v>
      </c>
      <c r="F2804" s="465" t="s">
        <v>6135</v>
      </c>
      <c r="G2804" s="465" t="s">
        <v>6018</v>
      </c>
      <c r="H2804" s="465" t="s">
        <v>6019</v>
      </c>
      <c r="I2804" s="465" t="s">
        <v>830</v>
      </c>
    </row>
    <row r="2805" hidden="1" ht="15.95" customHeight="1">
      <c r="A2805" s="465" t="s">
        <v>6148</v>
      </c>
      <c r="B2805" s="465" t="s">
        <v>6149</v>
      </c>
      <c r="C2805" s="465"/>
      <c r="D2805" s="465" t="s">
        <v>855</v>
      </c>
      <c r="E2805" s="465" t="s">
        <v>6134</v>
      </c>
      <c r="F2805" s="465" t="s">
        <v>6135</v>
      </c>
      <c r="G2805" s="465" t="s">
        <v>6018</v>
      </c>
      <c r="H2805" s="465" t="s">
        <v>6019</v>
      </c>
      <c r="I2805" s="465" t="s">
        <v>830</v>
      </c>
    </row>
    <row r="2806" hidden="1" ht="15.95" customHeight="1">
      <c r="A2806" s="465" t="s">
        <v>6150</v>
      </c>
      <c r="B2806" s="465" t="s">
        <v>6151</v>
      </c>
      <c r="C2806" s="465" t="s">
        <v>6152</v>
      </c>
      <c r="D2806" s="465" t="s">
        <v>855</v>
      </c>
      <c r="E2806" s="465" t="s">
        <v>6134</v>
      </c>
      <c r="F2806" s="465" t="s">
        <v>6135</v>
      </c>
      <c r="G2806" s="465" t="s">
        <v>6018</v>
      </c>
      <c r="H2806" s="465" t="s">
        <v>6019</v>
      </c>
      <c r="I2806" s="465" t="s">
        <v>830</v>
      </c>
    </row>
    <row r="2807" hidden="1" ht="15.95" customHeight="1">
      <c r="A2807" s="465" t="s">
        <v>6153</v>
      </c>
      <c r="B2807" s="465" t="s">
        <v>1030</v>
      </c>
      <c r="C2807" s="465"/>
      <c r="D2807" s="465" t="s">
        <v>855</v>
      </c>
      <c r="E2807" s="465" t="s">
        <v>6134</v>
      </c>
      <c r="F2807" s="465" t="s">
        <v>6135</v>
      </c>
      <c r="G2807" s="465" t="s">
        <v>6018</v>
      </c>
      <c r="H2807" s="465" t="s">
        <v>6019</v>
      </c>
      <c r="I2807" s="465" t="s">
        <v>830</v>
      </c>
    </row>
    <row r="2808" hidden="1" ht="15.95" customHeight="1">
      <c r="A2808" s="465" t="s">
        <v>6154</v>
      </c>
      <c r="B2808" s="465" t="s">
        <v>6155</v>
      </c>
      <c r="C2808" s="465"/>
      <c r="D2808" s="465" t="s">
        <v>855</v>
      </c>
      <c r="E2808" s="465" t="s">
        <v>6134</v>
      </c>
      <c r="F2808" s="465" t="s">
        <v>6135</v>
      </c>
      <c r="G2808" s="465" t="s">
        <v>6018</v>
      </c>
      <c r="H2808" s="465" t="s">
        <v>6019</v>
      </c>
      <c r="I2808" s="465" t="s">
        <v>830</v>
      </c>
    </row>
    <row r="2809" hidden="1" ht="15.95" customHeight="1">
      <c r="A2809" s="465" t="s">
        <v>6156</v>
      </c>
      <c r="B2809" s="465" t="s">
        <v>6157</v>
      </c>
      <c r="C2809" s="465"/>
      <c r="D2809" s="465" t="s">
        <v>855</v>
      </c>
      <c r="E2809" s="465" t="s">
        <v>6134</v>
      </c>
      <c r="F2809" s="465" t="s">
        <v>6135</v>
      </c>
      <c r="G2809" s="465" t="s">
        <v>6018</v>
      </c>
      <c r="H2809" s="465" t="s">
        <v>6019</v>
      </c>
      <c r="I2809" s="465" t="s">
        <v>830</v>
      </c>
    </row>
    <row r="2810" hidden="1" ht="15.95" customHeight="1">
      <c r="A2810" s="465" t="s">
        <v>6158</v>
      </c>
      <c r="B2810" s="465" t="s">
        <v>6159</v>
      </c>
      <c r="C2810" s="465"/>
      <c r="D2810" s="465" t="s">
        <v>855</v>
      </c>
      <c r="E2810" s="465" t="s">
        <v>6134</v>
      </c>
      <c r="F2810" s="465" t="s">
        <v>6135</v>
      </c>
      <c r="G2810" s="465" t="s">
        <v>6018</v>
      </c>
      <c r="H2810" s="465" t="s">
        <v>6019</v>
      </c>
      <c r="I2810" s="465" t="s">
        <v>830</v>
      </c>
    </row>
    <row r="2811" hidden="1" ht="15.95" customHeight="1">
      <c r="A2811" s="465" t="s">
        <v>6160</v>
      </c>
      <c r="B2811" s="465" t="s">
        <v>6161</v>
      </c>
      <c r="C2811" s="465" t="s">
        <v>6162</v>
      </c>
      <c r="D2811" s="465" t="s">
        <v>855</v>
      </c>
      <c r="E2811" s="465" t="s">
        <v>6134</v>
      </c>
      <c r="F2811" s="465" t="s">
        <v>6135</v>
      </c>
      <c r="G2811" s="465" t="s">
        <v>6018</v>
      </c>
      <c r="H2811" s="465" t="s">
        <v>6019</v>
      </c>
      <c r="I2811" s="465" t="s">
        <v>830</v>
      </c>
    </row>
    <row r="2812" hidden="1" ht="15.95" customHeight="1">
      <c r="A2812" s="465" t="s">
        <v>6163</v>
      </c>
      <c r="B2812" s="465" t="s">
        <v>6164</v>
      </c>
      <c r="C2812" s="465"/>
      <c r="D2812" s="465" t="s">
        <v>855</v>
      </c>
      <c r="E2812" s="465" t="s">
        <v>6134</v>
      </c>
      <c r="F2812" s="465" t="s">
        <v>6135</v>
      </c>
      <c r="G2812" s="465" t="s">
        <v>6018</v>
      </c>
      <c r="H2812" s="465" t="s">
        <v>6019</v>
      </c>
      <c r="I2812" s="465" t="s">
        <v>830</v>
      </c>
    </row>
    <row r="2813" hidden="1" ht="15.95" customHeight="1">
      <c r="A2813" s="465" t="s">
        <v>6165</v>
      </c>
      <c r="B2813" s="465" t="s">
        <v>6166</v>
      </c>
      <c r="C2813" s="465"/>
      <c r="D2813" s="465" t="s">
        <v>884</v>
      </c>
      <c r="E2813" s="465" t="s">
        <v>6167</v>
      </c>
      <c r="F2813" s="465" t="s">
        <v>6168</v>
      </c>
      <c r="G2813" s="465" t="s">
        <v>6018</v>
      </c>
      <c r="H2813" s="465" t="s">
        <v>6019</v>
      </c>
      <c r="I2813" s="465" t="s">
        <v>830</v>
      </c>
    </row>
    <row r="2814" hidden="1" ht="15.95" customHeight="1">
      <c r="A2814" s="465" t="s">
        <v>6169</v>
      </c>
      <c r="B2814" s="465" t="s">
        <v>6170</v>
      </c>
      <c r="C2814" s="465"/>
      <c r="D2814" s="465" t="s">
        <v>855</v>
      </c>
      <c r="E2814" s="465" t="s">
        <v>6167</v>
      </c>
      <c r="F2814" s="465" t="s">
        <v>6168</v>
      </c>
      <c r="G2814" s="465" t="s">
        <v>6018</v>
      </c>
      <c r="H2814" s="465" t="s">
        <v>6019</v>
      </c>
      <c r="I2814" s="465" t="s">
        <v>830</v>
      </c>
    </row>
    <row r="2815" hidden="1" ht="15.95" customHeight="1">
      <c r="A2815" s="465" t="s">
        <v>6171</v>
      </c>
      <c r="B2815" s="465" t="s">
        <v>6172</v>
      </c>
      <c r="C2815" s="465"/>
      <c r="D2815" s="465" t="s">
        <v>855</v>
      </c>
      <c r="E2815" s="465" t="s">
        <v>6167</v>
      </c>
      <c r="F2815" s="465" t="s">
        <v>6168</v>
      </c>
      <c r="G2815" s="465" t="s">
        <v>6018</v>
      </c>
      <c r="H2815" s="465" t="s">
        <v>6019</v>
      </c>
      <c r="I2815" s="465" t="s">
        <v>830</v>
      </c>
    </row>
    <row r="2816" hidden="1" ht="15.95" customHeight="1">
      <c r="A2816" s="465" t="s">
        <v>6173</v>
      </c>
      <c r="B2816" s="465" t="s">
        <v>6174</v>
      </c>
      <c r="C2816" s="465"/>
      <c r="D2816" s="465" t="s">
        <v>855</v>
      </c>
      <c r="E2816" s="465" t="s">
        <v>6167</v>
      </c>
      <c r="F2816" s="465" t="s">
        <v>6168</v>
      </c>
      <c r="G2816" s="465" t="s">
        <v>6018</v>
      </c>
      <c r="H2816" s="465" t="s">
        <v>6019</v>
      </c>
      <c r="I2816" s="465" t="s">
        <v>830</v>
      </c>
    </row>
    <row r="2817" hidden="1" ht="15.95" customHeight="1">
      <c r="A2817" s="465" t="s">
        <v>6175</v>
      </c>
      <c r="B2817" s="465" t="s">
        <v>6176</v>
      </c>
      <c r="C2817" s="465" t="s">
        <v>6177</v>
      </c>
      <c r="D2817" s="465" t="s">
        <v>855</v>
      </c>
      <c r="E2817" s="465" t="s">
        <v>6167</v>
      </c>
      <c r="F2817" s="465" t="s">
        <v>6168</v>
      </c>
      <c r="G2817" s="465" t="s">
        <v>6018</v>
      </c>
      <c r="H2817" s="465" t="s">
        <v>6019</v>
      </c>
      <c r="I2817" s="465" t="s">
        <v>830</v>
      </c>
    </row>
    <row r="2818" hidden="1" ht="15.95" customHeight="1">
      <c r="A2818" s="465" t="s">
        <v>6178</v>
      </c>
      <c r="B2818" s="465" t="s">
        <v>6179</v>
      </c>
      <c r="C2818" s="465"/>
      <c r="D2818" s="465" t="s">
        <v>855</v>
      </c>
      <c r="E2818" s="465" t="s">
        <v>6167</v>
      </c>
      <c r="F2818" s="465" t="s">
        <v>6168</v>
      </c>
      <c r="G2818" s="465" t="s">
        <v>6018</v>
      </c>
      <c r="H2818" s="465" t="s">
        <v>6019</v>
      </c>
      <c r="I2818" s="465" t="s">
        <v>830</v>
      </c>
    </row>
    <row r="2819" hidden="1" ht="15.95" customHeight="1">
      <c r="A2819" s="465" t="s">
        <v>6180</v>
      </c>
      <c r="B2819" s="465" t="s">
        <v>6181</v>
      </c>
      <c r="C2819" s="465"/>
      <c r="D2819" s="465" t="s">
        <v>855</v>
      </c>
      <c r="E2819" s="465" t="s">
        <v>6167</v>
      </c>
      <c r="F2819" s="465" t="s">
        <v>6168</v>
      </c>
      <c r="G2819" s="465" t="s">
        <v>6018</v>
      </c>
      <c r="H2819" s="465" t="s">
        <v>6019</v>
      </c>
      <c r="I2819" s="465" t="s">
        <v>830</v>
      </c>
    </row>
    <row r="2820" hidden="1" ht="15.95" customHeight="1">
      <c r="A2820" s="465" t="s">
        <v>6182</v>
      </c>
      <c r="B2820" s="465" t="s">
        <v>6183</v>
      </c>
      <c r="C2820" s="465"/>
      <c r="D2820" s="465" t="s">
        <v>855</v>
      </c>
      <c r="E2820" s="465" t="s">
        <v>6167</v>
      </c>
      <c r="F2820" s="465" t="s">
        <v>6168</v>
      </c>
      <c r="G2820" s="465" t="s">
        <v>6018</v>
      </c>
      <c r="H2820" s="465" t="s">
        <v>6019</v>
      </c>
      <c r="I2820" s="465" t="s">
        <v>830</v>
      </c>
    </row>
    <row r="2821" hidden="1" ht="15.95" customHeight="1">
      <c r="A2821" s="465" t="s">
        <v>6184</v>
      </c>
      <c r="B2821" s="465" t="s">
        <v>6185</v>
      </c>
      <c r="C2821" s="465"/>
      <c r="D2821" s="465" t="s">
        <v>884</v>
      </c>
      <c r="E2821" s="465" t="s">
        <v>6186</v>
      </c>
      <c r="F2821" s="465" t="s">
        <v>4900</v>
      </c>
      <c r="G2821" s="465" t="s">
        <v>6018</v>
      </c>
      <c r="H2821" s="465" t="s">
        <v>6019</v>
      </c>
      <c r="I2821" s="465" t="s">
        <v>830</v>
      </c>
    </row>
    <row r="2822" hidden="1" ht="15.95" customHeight="1">
      <c r="A2822" s="465" t="s">
        <v>6187</v>
      </c>
      <c r="B2822" s="465" t="s">
        <v>4040</v>
      </c>
      <c r="C2822" s="465" t="s">
        <v>6188</v>
      </c>
      <c r="D2822" s="465" t="s">
        <v>855</v>
      </c>
      <c r="E2822" s="465" t="s">
        <v>6186</v>
      </c>
      <c r="F2822" s="465" t="s">
        <v>4900</v>
      </c>
      <c r="G2822" s="465" t="s">
        <v>6018</v>
      </c>
      <c r="H2822" s="465" t="s">
        <v>6019</v>
      </c>
      <c r="I2822" s="465" t="s">
        <v>830</v>
      </c>
    </row>
    <row r="2823" hidden="1" ht="15.95" customHeight="1">
      <c r="A2823" s="465" t="s">
        <v>6189</v>
      </c>
      <c r="B2823" s="465" t="s">
        <v>3650</v>
      </c>
      <c r="C2823" s="465"/>
      <c r="D2823" s="465" t="s">
        <v>855</v>
      </c>
      <c r="E2823" s="465" t="s">
        <v>6186</v>
      </c>
      <c r="F2823" s="465" t="s">
        <v>4900</v>
      </c>
      <c r="G2823" s="465" t="s">
        <v>6018</v>
      </c>
      <c r="H2823" s="465" t="s">
        <v>6019</v>
      </c>
      <c r="I2823" s="465" t="s">
        <v>830</v>
      </c>
    </row>
    <row r="2824" hidden="1" ht="15.95" customHeight="1">
      <c r="A2824" s="465" t="s">
        <v>6190</v>
      </c>
      <c r="B2824" s="465" t="s">
        <v>2336</v>
      </c>
      <c r="C2824" s="465"/>
      <c r="D2824" s="465" t="s">
        <v>855</v>
      </c>
      <c r="E2824" s="465" t="s">
        <v>6186</v>
      </c>
      <c r="F2824" s="465" t="s">
        <v>4900</v>
      </c>
      <c r="G2824" s="465" t="s">
        <v>6018</v>
      </c>
      <c r="H2824" s="465" t="s">
        <v>6019</v>
      </c>
      <c r="I2824" s="465" t="s">
        <v>830</v>
      </c>
    </row>
    <row r="2825" hidden="1" ht="15.95" customHeight="1">
      <c r="A2825" s="465" t="s">
        <v>6191</v>
      </c>
      <c r="B2825" s="465" t="s">
        <v>910</v>
      </c>
      <c r="C2825" s="465"/>
      <c r="D2825" s="465" t="s">
        <v>855</v>
      </c>
      <c r="E2825" s="465" t="s">
        <v>6186</v>
      </c>
      <c r="F2825" s="465" t="s">
        <v>4900</v>
      </c>
      <c r="G2825" s="465" t="s">
        <v>6018</v>
      </c>
      <c r="H2825" s="465" t="s">
        <v>6019</v>
      </c>
      <c r="I2825" s="465" t="s">
        <v>830</v>
      </c>
    </row>
    <row r="2826" hidden="1" ht="15.95" customHeight="1">
      <c r="A2826" s="465" t="s">
        <v>6192</v>
      </c>
      <c r="B2826" s="465" t="s">
        <v>6193</v>
      </c>
      <c r="C2826" s="465"/>
      <c r="D2826" s="465" t="s">
        <v>855</v>
      </c>
      <c r="E2826" s="465" t="s">
        <v>6186</v>
      </c>
      <c r="F2826" s="465" t="s">
        <v>4900</v>
      </c>
      <c r="G2826" s="465" t="s">
        <v>6018</v>
      </c>
      <c r="H2826" s="465" t="s">
        <v>6019</v>
      </c>
      <c r="I2826" s="465" t="s">
        <v>830</v>
      </c>
    </row>
    <row r="2827" hidden="1" ht="15.95" customHeight="1">
      <c r="A2827" s="465" t="s">
        <v>6194</v>
      </c>
      <c r="B2827" s="465" t="s">
        <v>6195</v>
      </c>
      <c r="C2827" s="465"/>
      <c r="D2827" s="465" t="s">
        <v>855</v>
      </c>
      <c r="E2827" s="465" t="s">
        <v>6186</v>
      </c>
      <c r="F2827" s="465" t="s">
        <v>4900</v>
      </c>
      <c r="G2827" s="465" t="s">
        <v>6018</v>
      </c>
      <c r="H2827" s="465" t="s">
        <v>6019</v>
      </c>
      <c r="I2827" s="465" t="s">
        <v>830</v>
      </c>
    </row>
    <row r="2828" hidden="1" ht="15.95" customHeight="1">
      <c r="A2828" s="465" t="s">
        <v>6196</v>
      </c>
      <c r="B2828" s="465" t="s">
        <v>6197</v>
      </c>
      <c r="C2828" s="465" t="s">
        <v>6198</v>
      </c>
      <c r="D2828" s="465" t="s">
        <v>855</v>
      </c>
      <c r="E2828" s="465" t="s">
        <v>6186</v>
      </c>
      <c r="F2828" s="465" t="s">
        <v>4900</v>
      </c>
      <c r="G2828" s="465" t="s">
        <v>6018</v>
      </c>
      <c r="H2828" s="465" t="s">
        <v>6019</v>
      </c>
      <c r="I2828" s="465" t="s">
        <v>830</v>
      </c>
    </row>
    <row r="2829" hidden="1" ht="15.95" customHeight="1">
      <c r="A2829" s="465" t="s">
        <v>6199</v>
      </c>
      <c r="B2829" s="465" t="s">
        <v>6200</v>
      </c>
      <c r="C2829" s="465"/>
      <c r="D2829" s="465" t="s">
        <v>855</v>
      </c>
      <c r="E2829" s="465" t="s">
        <v>6186</v>
      </c>
      <c r="F2829" s="465" t="s">
        <v>4900</v>
      </c>
      <c r="G2829" s="465" t="s">
        <v>6018</v>
      </c>
      <c r="H2829" s="465" t="s">
        <v>6019</v>
      </c>
      <c r="I2829" s="465" t="s">
        <v>830</v>
      </c>
    </row>
    <row r="2830" hidden="1" ht="15.95" customHeight="1">
      <c r="A2830" s="465" t="s">
        <v>6201</v>
      </c>
      <c r="B2830" s="465" t="s">
        <v>6202</v>
      </c>
      <c r="C2830" s="465"/>
      <c r="D2830" s="465" t="s">
        <v>855</v>
      </c>
      <c r="E2830" s="465" t="s">
        <v>6203</v>
      </c>
      <c r="F2830" s="465" t="s">
        <v>6204</v>
      </c>
      <c r="G2830" s="465" t="s">
        <v>6018</v>
      </c>
      <c r="H2830" s="465" t="s">
        <v>6019</v>
      </c>
      <c r="I2830" s="465" t="s">
        <v>830</v>
      </c>
    </row>
    <row r="2831" hidden="1" ht="15.95" customHeight="1">
      <c r="A2831" s="465" t="s">
        <v>6205</v>
      </c>
      <c r="B2831" s="465" t="s">
        <v>6206</v>
      </c>
      <c r="C2831" s="465"/>
      <c r="D2831" s="465" t="s">
        <v>855</v>
      </c>
      <c r="E2831" s="465" t="s">
        <v>6203</v>
      </c>
      <c r="F2831" s="465" t="s">
        <v>6204</v>
      </c>
      <c r="G2831" s="465" t="s">
        <v>6018</v>
      </c>
      <c r="H2831" s="465" t="s">
        <v>6019</v>
      </c>
      <c r="I2831" s="465" t="s">
        <v>830</v>
      </c>
    </row>
    <row r="2832" hidden="1" ht="15.95" customHeight="1">
      <c r="A2832" s="465" t="s">
        <v>6207</v>
      </c>
      <c r="B2832" s="465" t="s">
        <v>6208</v>
      </c>
      <c r="C2832" s="465"/>
      <c r="D2832" s="465" t="s">
        <v>855</v>
      </c>
      <c r="E2832" s="465" t="s">
        <v>6203</v>
      </c>
      <c r="F2832" s="465" t="s">
        <v>6204</v>
      </c>
      <c r="G2832" s="465" t="s">
        <v>6018</v>
      </c>
      <c r="H2832" s="465" t="s">
        <v>6019</v>
      </c>
      <c r="I2832" s="465" t="s">
        <v>830</v>
      </c>
    </row>
    <row r="2833" hidden="1" ht="15.95" customHeight="1">
      <c r="A2833" s="465" t="s">
        <v>6209</v>
      </c>
      <c r="B2833" s="465" t="s">
        <v>5885</v>
      </c>
      <c r="C2833" s="465"/>
      <c r="D2833" s="465" t="s">
        <v>855</v>
      </c>
      <c r="E2833" s="465" t="s">
        <v>6203</v>
      </c>
      <c r="F2833" s="465" t="s">
        <v>6204</v>
      </c>
      <c r="G2833" s="465" t="s">
        <v>6018</v>
      </c>
      <c r="H2833" s="465" t="s">
        <v>6019</v>
      </c>
      <c r="I2833" s="465" t="s">
        <v>830</v>
      </c>
    </row>
    <row r="2834" hidden="1" ht="15.95" customHeight="1">
      <c r="A2834" s="465" t="s">
        <v>6210</v>
      </c>
      <c r="B2834" s="465" t="s">
        <v>6211</v>
      </c>
      <c r="C2834" s="465"/>
      <c r="D2834" s="465" t="s">
        <v>884</v>
      </c>
      <c r="E2834" s="465" t="s">
        <v>6203</v>
      </c>
      <c r="F2834" s="465" t="s">
        <v>6204</v>
      </c>
      <c r="G2834" s="465" t="s">
        <v>6018</v>
      </c>
      <c r="H2834" s="465" t="s">
        <v>6019</v>
      </c>
      <c r="I2834" s="465" t="s">
        <v>830</v>
      </c>
    </row>
    <row r="2835" hidden="1" ht="15.95" customHeight="1">
      <c r="A2835" s="465" t="s">
        <v>6212</v>
      </c>
      <c r="B2835" s="465" t="s">
        <v>3507</v>
      </c>
      <c r="C2835" s="465"/>
      <c r="D2835" s="465" t="s">
        <v>855</v>
      </c>
      <c r="E2835" s="465" t="s">
        <v>6203</v>
      </c>
      <c r="F2835" s="465" t="s">
        <v>6204</v>
      </c>
      <c r="G2835" s="465" t="s">
        <v>6018</v>
      </c>
      <c r="H2835" s="465" t="s">
        <v>6019</v>
      </c>
      <c r="I2835" s="465" t="s">
        <v>830</v>
      </c>
    </row>
    <row r="2836" hidden="1" ht="15.95" customHeight="1">
      <c r="A2836" s="465" t="s">
        <v>6213</v>
      </c>
      <c r="B2836" s="465" t="s">
        <v>6214</v>
      </c>
      <c r="C2836" s="465"/>
      <c r="D2836" s="465" t="s">
        <v>855</v>
      </c>
      <c r="E2836" s="465" t="s">
        <v>6203</v>
      </c>
      <c r="F2836" s="465" t="s">
        <v>6204</v>
      </c>
      <c r="G2836" s="465" t="s">
        <v>6018</v>
      </c>
      <c r="H2836" s="465" t="s">
        <v>6019</v>
      </c>
      <c r="I2836" s="465" t="s">
        <v>830</v>
      </c>
    </row>
  </sheetData>
  <sheetProtection sheet="1" objects="1" scenarios="1" formatCells="0" formatColumns="0" formatRows="0" sort="0" autoFilter="0" pivotTables="0"/>
  <autoFilter ref="A1:IV2836">
    <filterColumn colId="5">
      <filters>
        <filter val="Quận 2"/>
      </filters>
    </filterColumn>
    <filterColumn colId="7">
      <filters>
        <filter val="thành phố Hồ Chí Minh."/>
      </filters>
    </filterColumn>
  </autoFilter>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45" activePane="bottomRight" state="frozen"/>
      <selection pane="topRight" activeCell="B1" sqref="B1"/>
      <selection pane="bottomLeft" activeCell="A4" sqref="A4"/>
      <selection pane="bottomRight" activeCell="F113" sqref="F113"/>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4" t="s">
        <v>560</v>
      </c>
      <c r="B1" s="524" t="s">
        <v>561</v>
      </c>
      <c r="C1" s="524" t="s">
        <v>562</v>
      </c>
      <c r="D1" s="524" t="s">
        <v>563</v>
      </c>
      <c r="E1" s="524" t="s">
        <v>564</v>
      </c>
      <c r="F1" s="525" t="s">
        <v>166</v>
      </c>
      <c r="G1" s="352"/>
      <c r="H1" s="526" t="s">
        <v>565</v>
      </c>
      <c r="I1" s="353"/>
      <c r="J1" s="527" t="s">
        <v>430</v>
      </c>
      <c r="K1" s="354"/>
      <c r="L1" s="528" t="s">
        <v>566</v>
      </c>
      <c r="M1" s="355"/>
      <c r="N1" s="529" t="s">
        <v>567</v>
      </c>
      <c r="O1" s="356"/>
      <c r="P1" s="357"/>
      <c r="Q1" s="357"/>
      <c r="R1" s="332"/>
      <c r="S1" s="332"/>
      <c r="T1" s="332"/>
      <c r="U1" s="332"/>
      <c r="V1" s="332"/>
      <c r="W1" s="332"/>
      <c r="X1" s="358"/>
      <c r="Y1" s="524" t="s">
        <v>568</v>
      </c>
      <c r="Z1" s="359"/>
      <c r="AA1" s="332"/>
      <c r="AB1" s="332"/>
      <c r="AC1" s="352"/>
      <c r="AD1" s="530" t="s">
        <v>569</v>
      </c>
      <c r="AE1" s="531" t="s">
        <v>570</v>
      </c>
      <c r="AF1" s="532" t="s">
        <v>571</v>
      </c>
      <c r="AG1" s="532" t="s">
        <v>572</v>
      </c>
      <c r="AH1" s="533" t="s">
        <v>573</v>
      </c>
      <c r="AI1" s="360"/>
      <c r="AJ1" s="530" t="s">
        <v>574</v>
      </c>
      <c r="AK1" s="352"/>
      <c r="AL1" s="534" t="s">
        <v>575</v>
      </c>
      <c r="AM1" s="535" t="s">
        <v>576</v>
      </c>
      <c r="AN1" s="534" t="s">
        <v>577</v>
      </c>
      <c r="AO1" s="535" t="s">
        <v>578</v>
      </c>
      <c r="AP1" s="534" t="s">
        <v>579</v>
      </c>
      <c r="AQ1" s="364"/>
      <c r="AR1" s="363"/>
      <c r="AS1" s="365"/>
      <c r="AT1" s="536" t="s">
        <v>580</v>
      </c>
      <c r="AU1" s="536" t="s">
        <v>581</v>
      </c>
      <c r="AV1" s="536" t="s">
        <v>582</v>
      </c>
      <c r="AW1" s="537" t="s">
        <v>583</v>
      </c>
      <c r="AX1" s="365"/>
      <c r="AY1" s="365"/>
      <c r="AZ1" s="534" t="s">
        <v>584</v>
      </c>
      <c r="BB1" s="538" t="s">
        <v>585</v>
      </c>
      <c r="BC1" s="539" t="s">
        <v>586</v>
      </c>
      <c r="BD1" s="366"/>
      <c r="BE1" s="540" t="s">
        <v>587</v>
      </c>
      <c r="BF1" s="540" t="s">
        <v>588</v>
      </c>
    </row>
    <row r="2" hidden="1" s="372" customFormat="1">
      <c r="A2" s="333"/>
      <c r="B2" s="367" t="s">
        <v>589</v>
      </c>
      <c r="C2" s="367" t="s">
        <v>590</v>
      </c>
      <c r="D2" s="367"/>
      <c r="E2" s="367" t="s">
        <v>591</v>
      </c>
      <c r="F2" s="367" t="s">
        <v>589</v>
      </c>
      <c r="G2" s="367" t="s">
        <v>592</v>
      </c>
      <c r="H2" s="368" t="s">
        <v>589</v>
      </c>
      <c r="I2" s="367" t="s">
        <v>592</v>
      </c>
      <c r="J2" s="368" t="s">
        <v>589</v>
      </c>
      <c r="K2" s="367" t="s">
        <v>592</v>
      </c>
      <c r="L2" s="367" t="s">
        <v>589</v>
      </c>
      <c r="M2" s="367" t="s">
        <v>592</v>
      </c>
      <c r="N2" s="367" t="s">
        <v>589</v>
      </c>
      <c r="O2" s="367" t="s">
        <v>592</v>
      </c>
      <c r="P2" s="367"/>
      <c r="Q2" s="367"/>
      <c r="R2" s="367"/>
      <c r="S2" s="367"/>
      <c r="T2" s="367"/>
      <c r="U2" s="367"/>
      <c r="V2" s="367"/>
      <c r="W2" s="367"/>
      <c r="X2" s="369"/>
      <c r="Y2" s="367"/>
      <c r="Z2" s="367"/>
      <c r="AA2" s="367"/>
      <c r="AB2" s="367"/>
      <c r="AC2" s="367"/>
      <c r="AD2" s="367"/>
      <c r="AE2" s="370" t="s">
        <v>590</v>
      </c>
      <c r="AF2" s="368" t="s">
        <v>593</v>
      </c>
      <c r="AG2" s="368" t="s">
        <v>591</v>
      </c>
      <c r="AH2" s="371" t="s">
        <v>594</v>
      </c>
      <c r="AI2" s="367"/>
      <c r="AJ2" s="367"/>
      <c r="AK2" s="367"/>
      <c r="AL2" s="367" t="s">
        <v>590</v>
      </c>
      <c r="AM2" s="368" t="s">
        <v>595</v>
      </c>
      <c r="AN2" s="367" t="s">
        <v>595</v>
      </c>
      <c r="AO2" s="368" t="s">
        <v>591</v>
      </c>
      <c r="AP2" s="367"/>
      <c r="AQ2" s="368"/>
      <c r="AR2" s="367"/>
      <c r="AS2" s="367"/>
      <c r="AT2" s="367"/>
      <c r="AU2" s="367"/>
      <c r="AV2" s="367"/>
      <c r="AW2" s="370"/>
      <c r="AX2" s="367"/>
      <c r="AY2" s="367"/>
      <c r="AZ2" s="367"/>
      <c r="BB2" s="373"/>
      <c r="BC2" s="374"/>
      <c r="BD2" s="375"/>
      <c r="BE2" s="373"/>
      <c r="BF2" s="373"/>
      <c r="BH2" s="376"/>
    </row>
    <row r="3" hidden="1">
      <c r="A3" s="333" t="s">
        <v>596</v>
      </c>
      <c r="B3" s="335" t="s">
        <v>597</v>
      </c>
      <c r="C3" s="334" t="s">
        <v>598</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596</v>
      </c>
      <c r="Z3" s="333"/>
      <c r="AA3" s="333"/>
      <c r="AB3" s="333"/>
      <c r="AC3" s="379"/>
      <c r="AD3" s="380" t="s">
        <v>599</v>
      </c>
      <c r="AE3" s="342" t="s">
        <v>598</v>
      </c>
      <c r="AF3" s="335">
        <v>2.57</v>
      </c>
      <c r="AG3" s="335">
        <v>17.8</v>
      </c>
      <c r="AH3" s="337">
        <v>0</v>
      </c>
      <c r="AI3" s="335"/>
      <c r="AJ3" s="381" t="s">
        <v>600</v>
      </c>
      <c r="AK3" s="382"/>
      <c r="AL3" s="332" t="s">
        <v>598</v>
      </c>
      <c r="AM3" s="335">
        <v>11.5</v>
      </c>
      <c r="AN3" s="335">
        <v>3.67</v>
      </c>
      <c r="AO3" s="335">
        <f>0.1*2</f>
        <v>0.2</v>
      </c>
      <c r="AP3" s="383" t="s">
        <v>601</v>
      </c>
      <c r="AQ3" s="335"/>
      <c r="AR3" s="383"/>
      <c r="AS3" s="365"/>
      <c r="AT3" s="384" t="s">
        <v>602</v>
      </c>
      <c r="AU3" s="385" t="s">
        <v>603</v>
      </c>
      <c r="AV3" s="385" t="s">
        <v>604</v>
      </c>
      <c r="AW3" s="384" t="s">
        <v>602</v>
      </c>
      <c r="AX3" s="365"/>
      <c r="AY3" s="365"/>
      <c r="AZ3" s="385" t="s">
        <v>605</v>
      </c>
      <c r="BB3" s="384">
        <v>1</v>
      </c>
      <c r="BC3" s="386"/>
      <c r="BD3" s="387"/>
      <c r="BE3" s="384" t="s">
        <v>606</v>
      </c>
      <c r="BF3" s="384" t="s">
        <v>606</v>
      </c>
    </row>
    <row r="4" hidden="1">
      <c r="A4" s="333" t="s">
        <v>596</v>
      </c>
      <c r="B4" s="335" t="s">
        <v>597</v>
      </c>
      <c r="C4" s="334" t="s">
        <v>598</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607</v>
      </c>
      <c r="Z4" s="333"/>
      <c r="AA4" s="333"/>
      <c r="AB4" s="333"/>
      <c r="AC4" s="379"/>
      <c r="AD4" s="380" t="s">
        <v>600</v>
      </c>
      <c r="AE4" s="342" t="s">
        <v>608</v>
      </c>
      <c r="AF4" s="335">
        <v>1.31</v>
      </c>
      <c r="AG4" s="335">
        <v>17.6</v>
      </c>
      <c r="AH4" s="337">
        <v>0</v>
      </c>
      <c r="AI4" s="335"/>
      <c r="AJ4" s="381" t="s">
        <v>599</v>
      </c>
      <c r="AK4" s="382"/>
      <c r="AL4" s="334" t="s">
        <v>178</v>
      </c>
      <c r="AM4" s="335">
        <v>16.6</v>
      </c>
      <c r="AN4" s="335">
        <v>6.3</v>
      </c>
      <c r="AO4" s="335">
        <v>0.2</v>
      </c>
      <c r="AP4" s="383" t="s">
        <v>601</v>
      </c>
      <c r="AQ4" s="335"/>
      <c r="AR4" s="383"/>
      <c r="AS4" s="365"/>
      <c r="AT4" s="384" t="s">
        <v>609</v>
      </c>
      <c r="AU4" s="385" t="s">
        <v>178</v>
      </c>
      <c r="AV4" s="385" t="s">
        <v>610</v>
      </c>
      <c r="AW4" s="384" t="s">
        <v>609</v>
      </c>
      <c r="AX4" s="365"/>
      <c r="AY4" s="365"/>
      <c r="AZ4" s="385" t="s">
        <v>605</v>
      </c>
      <c r="BB4" s="384">
        <v>2</v>
      </c>
      <c r="BC4" s="386"/>
      <c r="BD4" s="387"/>
      <c r="BE4" s="384" t="s">
        <v>611</v>
      </c>
      <c r="BF4" s="384" t="s">
        <v>611</v>
      </c>
    </row>
    <row r="5" hidden="1">
      <c r="A5" s="333" t="s">
        <v>596</v>
      </c>
      <c r="B5" s="335" t="s">
        <v>597</v>
      </c>
      <c r="C5" s="334" t="s">
        <v>598</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612</v>
      </c>
      <c r="Z5" s="333"/>
      <c r="AA5" s="333"/>
      <c r="AB5" s="333"/>
      <c r="AC5" s="379"/>
      <c r="AD5" s="380" t="s">
        <v>600</v>
      </c>
      <c r="AE5" s="383" t="s">
        <v>178</v>
      </c>
      <c r="AF5" s="335">
        <v>1.31</v>
      </c>
      <c r="AG5" s="335">
        <v>18</v>
      </c>
      <c r="AH5" s="337">
        <v>0</v>
      </c>
      <c r="AI5" s="335"/>
      <c r="AJ5" s="389" t="s">
        <v>613</v>
      </c>
      <c r="AK5" s="390"/>
      <c r="AL5" s="334" t="s">
        <v>598</v>
      </c>
      <c r="AM5" s="335">
        <v>11.6</v>
      </c>
      <c r="AN5" s="335">
        <v>3.95</v>
      </c>
      <c r="AO5" s="335">
        <f ref="AO5:AO12" t="shared" si="5">0.1*2</f>
        <v>0.2</v>
      </c>
      <c r="AP5" s="385" t="s">
        <v>605</v>
      </c>
      <c r="AQ5" s="335"/>
      <c r="AR5" s="385"/>
      <c r="AS5" s="365"/>
      <c r="AT5" s="384" t="s">
        <v>609</v>
      </c>
      <c r="AU5" s="385" t="s">
        <v>614</v>
      </c>
      <c r="AV5" s="385" t="s">
        <v>615</v>
      </c>
      <c r="AW5" s="384" t="s">
        <v>616</v>
      </c>
      <c r="AX5" s="365"/>
      <c r="AY5" s="365"/>
      <c r="AZ5" s="385" t="s">
        <v>605</v>
      </c>
      <c r="BB5" s="384" t="s">
        <v>617</v>
      </c>
      <c r="BC5" s="386"/>
      <c r="BD5" s="387"/>
      <c r="BE5" s="384" t="s">
        <v>618</v>
      </c>
      <c r="BF5" s="384" t="s">
        <v>618</v>
      </c>
    </row>
    <row r="6" hidden="1">
      <c r="A6" s="333" t="s">
        <v>596</v>
      </c>
      <c r="B6" s="335" t="s">
        <v>597</v>
      </c>
      <c r="C6" s="334" t="s">
        <v>598</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619</v>
      </c>
      <c r="Z6" s="333"/>
      <c r="AA6" s="333"/>
      <c r="AB6" s="333"/>
      <c r="AC6" s="379"/>
      <c r="AD6" s="384" t="s">
        <v>613</v>
      </c>
      <c r="AE6" s="385" t="s">
        <v>620</v>
      </c>
      <c r="AF6" s="392">
        <v>1.92</v>
      </c>
      <c r="AG6" s="392">
        <v>16.4</v>
      </c>
      <c r="AH6" s="337">
        <v>0</v>
      </c>
      <c r="AI6" s="392"/>
      <c r="AJ6" s="389" t="s">
        <v>621</v>
      </c>
      <c r="AK6" s="390"/>
      <c r="AL6" s="334" t="s">
        <v>608</v>
      </c>
      <c r="AM6" s="335">
        <v>16.6</v>
      </c>
      <c r="AN6" s="335">
        <v>5.75</v>
      </c>
      <c r="AO6" s="335">
        <f t="shared" si="5"/>
        <v>0.2</v>
      </c>
      <c r="AP6" s="385" t="s">
        <v>605</v>
      </c>
      <c r="AQ6" s="335"/>
      <c r="AR6" s="385"/>
      <c r="AS6" s="365"/>
      <c r="AT6" s="384" t="s">
        <v>616</v>
      </c>
      <c r="AU6" s="385" t="s">
        <v>608</v>
      </c>
      <c r="AV6" s="385" t="s">
        <v>604</v>
      </c>
      <c r="AW6" s="384" t="s">
        <v>622</v>
      </c>
      <c r="AX6" s="365"/>
      <c r="AY6" s="365"/>
      <c r="AZ6" s="385" t="s">
        <v>605</v>
      </c>
      <c r="BB6" s="384" t="s">
        <v>623</v>
      </c>
      <c r="BC6" s="384"/>
      <c r="BD6" s="365"/>
      <c r="BE6" s="384" t="s">
        <v>624</v>
      </c>
      <c r="BF6" s="384" t="s">
        <v>624</v>
      </c>
      <c r="BI6" s="393"/>
    </row>
    <row r="7" hidden="1">
      <c r="A7" s="333" t="s">
        <v>596</v>
      </c>
      <c r="B7" s="335" t="s">
        <v>597</v>
      </c>
      <c r="C7" s="334" t="s">
        <v>608</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625</v>
      </c>
      <c r="Z7" s="333"/>
      <c r="AA7" s="333"/>
      <c r="AB7" s="333"/>
      <c r="AC7" s="379"/>
      <c r="AD7" s="384" t="s">
        <v>626</v>
      </c>
      <c r="AE7" s="385" t="s">
        <v>620</v>
      </c>
      <c r="AF7" s="392">
        <v>2.45</v>
      </c>
      <c r="AG7" s="392">
        <v>16.9</v>
      </c>
      <c r="AH7" s="337">
        <v>0</v>
      </c>
      <c r="AI7" s="392"/>
      <c r="AJ7" s="389" t="s">
        <v>626</v>
      </c>
      <c r="AK7" s="390"/>
      <c r="AL7" s="332" t="s">
        <v>178</v>
      </c>
      <c r="AM7" s="394">
        <v>18.1</v>
      </c>
      <c r="AN7" s="383">
        <v>6.78</v>
      </c>
      <c r="AO7" s="394">
        <f t="shared" si="5"/>
        <v>0.2</v>
      </c>
      <c r="AP7" s="385" t="s">
        <v>605</v>
      </c>
      <c r="AQ7" s="394"/>
      <c r="AR7" s="385"/>
      <c r="AS7" s="365"/>
      <c r="AT7" s="384" t="s">
        <v>616</v>
      </c>
      <c r="AU7" s="385" t="s">
        <v>598</v>
      </c>
      <c r="AV7" s="385" t="s">
        <v>615</v>
      </c>
      <c r="AW7" s="384" t="s">
        <v>627</v>
      </c>
      <c r="AX7" s="365"/>
      <c r="AY7" s="365"/>
      <c r="AZ7" s="385" t="s">
        <v>605</v>
      </c>
      <c r="BB7" s="384">
        <v>3</v>
      </c>
      <c r="BC7" s="386"/>
      <c r="BD7" s="387"/>
      <c r="BE7" s="384" t="s">
        <v>628</v>
      </c>
      <c r="BF7" s="384" t="s">
        <v>628</v>
      </c>
      <c r="BH7" s="395"/>
      <c r="BI7" s="393"/>
    </row>
    <row r="8" hidden="1">
      <c r="A8" s="333" t="s">
        <v>596</v>
      </c>
      <c r="B8" s="335" t="s">
        <v>597</v>
      </c>
      <c r="C8" s="334" t="s">
        <v>608</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629</v>
      </c>
      <c r="Z8" s="391"/>
      <c r="AA8" s="359"/>
      <c r="AB8" s="359"/>
      <c r="AC8" s="379"/>
      <c r="AD8" s="380" t="s">
        <v>630</v>
      </c>
      <c r="AE8" s="342" t="s">
        <v>598</v>
      </c>
      <c r="AF8" s="335">
        <v>2.44</v>
      </c>
      <c r="AG8" s="335">
        <v>17.9</v>
      </c>
      <c r="AH8" s="337">
        <v>3</v>
      </c>
      <c r="AI8" s="335"/>
      <c r="AJ8" s="381" t="s">
        <v>630</v>
      </c>
      <c r="AK8" s="390"/>
      <c r="AL8" s="385" t="s">
        <v>620</v>
      </c>
      <c r="AM8" s="335">
        <v>16.6</v>
      </c>
      <c r="AN8" s="335">
        <v>5.75</v>
      </c>
      <c r="AO8" s="335">
        <f t="shared" si="5"/>
        <v>0.2</v>
      </c>
      <c r="AP8" s="385" t="s">
        <v>605</v>
      </c>
      <c r="AQ8" s="335"/>
      <c r="AR8" s="385"/>
      <c r="AS8" s="365"/>
      <c r="AT8" s="384" t="s">
        <v>616</v>
      </c>
      <c r="AU8" s="385" t="s">
        <v>620</v>
      </c>
      <c r="AV8" s="385" t="s">
        <v>631</v>
      </c>
      <c r="AW8" s="384" t="s">
        <v>632</v>
      </c>
      <c r="AX8" s="365"/>
      <c r="AY8" s="365"/>
      <c r="AZ8" s="385" t="s">
        <v>605</v>
      </c>
      <c r="BB8" s="384">
        <v>4</v>
      </c>
      <c r="BC8" s="384" t="s">
        <v>633</v>
      </c>
      <c r="BD8" s="365"/>
      <c r="BE8" s="384" t="s">
        <v>634</v>
      </c>
      <c r="BF8" s="384" t="s">
        <v>634</v>
      </c>
      <c r="BH8" s="395"/>
      <c r="BI8" s="393"/>
    </row>
    <row r="9" hidden="1" ht="21">
      <c r="A9" s="333" t="s">
        <v>596</v>
      </c>
      <c r="B9" s="335" t="s">
        <v>597</v>
      </c>
      <c r="C9" s="334" t="s">
        <v>608</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635</v>
      </c>
      <c r="Z9" s="391"/>
      <c r="AA9" s="359"/>
      <c r="AB9" s="359"/>
      <c r="AC9" s="379"/>
      <c r="AD9" s="380" t="s">
        <v>636</v>
      </c>
      <c r="AE9" s="342" t="s">
        <v>598</v>
      </c>
      <c r="AF9" s="335">
        <v>2.44</v>
      </c>
      <c r="AG9" s="335">
        <v>16.8</v>
      </c>
      <c r="AH9" s="337">
        <v>0</v>
      </c>
      <c r="AI9" s="335"/>
      <c r="AJ9" s="396" t="s">
        <v>637</v>
      </c>
      <c r="AK9" s="390"/>
      <c r="AL9" s="334" t="s">
        <v>638</v>
      </c>
      <c r="AM9" s="394">
        <v>18.1</v>
      </c>
      <c r="AN9" s="383">
        <v>6.78</v>
      </c>
      <c r="AO9" s="394">
        <f t="shared" si="5"/>
        <v>0.2</v>
      </c>
      <c r="AP9" s="385" t="s">
        <v>605</v>
      </c>
      <c r="AQ9" s="335"/>
      <c r="AR9" s="385"/>
      <c r="AS9" s="365"/>
      <c r="AT9" s="384" t="s">
        <v>622</v>
      </c>
      <c r="AU9" s="385" t="s">
        <v>608</v>
      </c>
      <c r="AV9" s="385" t="s">
        <v>604</v>
      </c>
      <c r="AW9" s="384" t="s">
        <v>639</v>
      </c>
      <c r="AX9" s="365"/>
      <c r="AY9" s="365"/>
      <c r="AZ9" s="385" t="s">
        <v>605</v>
      </c>
      <c r="BB9" s="384" t="s">
        <v>640</v>
      </c>
      <c r="BC9" s="386"/>
      <c r="BD9" s="387"/>
      <c r="BE9" s="384" t="s">
        <v>641</v>
      </c>
      <c r="BF9" s="384" t="s">
        <v>641</v>
      </c>
      <c r="BH9" s="395"/>
      <c r="BI9" s="393"/>
    </row>
    <row r="10" hidden="1" ht="21">
      <c r="A10" s="333" t="s">
        <v>596</v>
      </c>
      <c r="B10" s="335" t="s">
        <v>597</v>
      </c>
      <c r="C10" s="334" t="s">
        <v>608</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642</v>
      </c>
      <c r="Z10" s="391"/>
      <c r="AA10" s="359"/>
      <c r="AB10" s="359"/>
      <c r="AC10" s="379"/>
      <c r="AD10" s="397" t="s">
        <v>643</v>
      </c>
      <c r="AE10" s="342" t="s">
        <v>608</v>
      </c>
      <c r="AF10" s="335">
        <v>1.3</v>
      </c>
      <c r="AG10" s="335">
        <v>18.1</v>
      </c>
      <c r="AH10" s="337">
        <v>0</v>
      </c>
      <c r="AI10" s="335"/>
      <c r="AJ10" s="391" t="s">
        <v>644</v>
      </c>
      <c r="AK10" s="398"/>
      <c r="AL10" s="334" t="s">
        <v>645</v>
      </c>
      <c r="AM10" s="394">
        <v>18.1</v>
      </c>
      <c r="AN10" s="383">
        <v>6.78</v>
      </c>
      <c r="AO10" s="394">
        <f t="shared" si="5"/>
        <v>0.2</v>
      </c>
      <c r="AP10" s="385" t="s">
        <v>605</v>
      </c>
      <c r="AQ10" s="335"/>
      <c r="AR10" s="385"/>
      <c r="AS10" s="365"/>
      <c r="AT10" s="384" t="s">
        <v>622</v>
      </c>
      <c r="AU10" s="385" t="s">
        <v>598</v>
      </c>
      <c r="AV10" s="385" t="s">
        <v>615</v>
      </c>
      <c r="AW10" s="399" t="s">
        <v>646</v>
      </c>
      <c r="AX10" s="365"/>
      <c r="AY10" s="365"/>
      <c r="AZ10" s="385" t="s">
        <v>605</v>
      </c>
      <c r="BB10" s="384" t="s">
        <v>647</v>
      </c>
      <c r="BC10" s="386"/>
      <c r="BD10" s="387"/>
      <c r="BE10" s="384" t="s">
        <v>648</v>
      </c>
      <c r="BF10" s="384" t="s">
        <v>648</v>
      </c>
      <c r="BH10" s="395"/>
      <c r="BI10" s="393"/>
    </row>
    <row r="11" hidden="1">
      <c r="A11" s="397" t="s">
        <v>596</v>
      </c>
      <c r="B11" s="335" t="s">
        <v>597</v>
      </c>
      <c r="C11" s="334" t="s">
        <v>620</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649</v>
      </c>
      <c r="Z11" s="333"/>
      <c r="AA11" s="333"/>
      <c r="AB11" s="333"/>
      <c r="AC11" s="400"/>
      <c r="AD11" s="397" t="s">
        <v>650</v>
      </c>
      <c r="AE11" s="383" t="s">
        <v>178</v>
      </c>
      <c r="AF11" s="335">
        <v>1.31</v>
      </c>
      <c r="AG11" s="335">
        <v>18</v>
      </c>
      <c r="AH11" s="337">
        <v>0</v>
      </c>
      <c r="AI11" s="335"/>
      <c r="AJ11" s="381" t="s">
        <v>651</v>
      </c>
      <c r="AK11" s="398"/>
      <c r="AL11" s="336" t="s">
        <v>614</v>
      </c>
      <c r="AM11" s="362">
        <v>11.6</v>
      </c>
      <c r="AN11" s="362">
        <v>3.95</v>
      </c>
      <c r="AO11" s="362">
        <f t="shared" si="5"/>
        <v>0.2</v>
      </c>
      <c r="AP11" s="361" t="s">
        <v>605</v>
      </c>
      <c r="AQ11" s="335"/>
      <c r="AR11" s="385"/>
      <c r="AS11" s="365"/>
      <c r="AT11" s="384" t="s">
        <v>622</v>
      </c>
      <c r="AU11" s="385" t="s">
        <v>620</v>
      </c>
      <c r="AV11" s="385" t="s">
        <v>631</v>
      </c>
      <c r="AW11" s="399" t="s">
        <v>652</v>
      </c>
      <c r="AZ11" s="385" t="s">
        <v>605</v>
      </c>
      <c r="BB11" s="384" t="s">
        <v>653</v>
      </c>
      <c r="BC11" s="386"/>
      <c r="BD11" s="387"/>
      <c r="BE11" s="384" t="s">
        <v>654</v>
      </c>
      <c r="BF11" s="384" t="s">
        <v>654</v>
      </c>
      <c r="BH11" s="395"/>
      <c r="BI11" s="393"/>
    </row>
    <row r="12" hidden="1">
      <c r="A12" s="397" t="s">
        <v>596</v>
      </c>
      <c r="B12" s="335" t="s">
        <v>597</v>
      </c>
      <c r="C12" s="334" t="s">
        <v>620</v>
      </c>
      <c r="D12" s="383" t="s">
        <v>655</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656</v>
      </c>
      <c r="Z12" s="333"/>
      <c r="AA12" s="399"/>
      <c r="AB12" s="399"/>
      <c r="AC12" s="400"/>
      <c r="AD12" s="402" t="s">
        <v>657</v>
      </c>
      <c r="AE12" s="385" t="s">
        <v>620</v>
      </c>
      <c r="AF12" s="392">
        <v>2.57</v>
      </c>
      <c r="AG12" s="392">
        <v>17.4</v>
      </c>
      <c r="AH12" s="337">
        <v>0</v>
      </c>
      <c r="AI12" s="392"/>
      <c r="AJ12" s="381" t="s">
        <v>636</v>
      </c>
      <c r="AK12" s="403"/>
      <c r="AL12" s="336" t="s">
        <v>603</v>
      </c>
      <c r="AM12" s="362">
        <v>16.6</v>
      </c>
      <c r="AN12" s="362">
        <v>5.75</v>
      </c>
      <c r="AO12" s="362">
        <f t="shared" si="5"/>
        <v>0.2</v>
      </c>
      <c r="AP12" s="361" t="s">
        <v>605</v>
      </c>
      <c r="AQ12" s="335"/>
      <c r="AR12" s="385"/>
      <c r="AS12" s="365"/>
      <c r="AT12" s="384" t="s">
        <v>627</v>
      </c>
      <c r="AU12" s="385" t="s">
        <v>608</v>
      </c>
      <c r="AV12" s="385" t="s">
        <v>604</v>
      </c>
      <c r="AW12" s="384" t="s">
        <v>658</v>
      </c>
      <c r="AX12" s="365"/>
      <c r="AY12" s="365"/>
      <c r="AZ12" s="385" t="s">
        <v>605</v>
      </c>
      <c r="BB12" s="384" t="s">
        <v>659</v>
      </c>
      <c r="BC12" s="386"/>
      <c r="BD12" s="387"/>
      <c r="BE12" s="384" t="s">
        <v>660</v>
      </c>
      <c r="BF12" s="384" t="s">
        <v>660</v>
      </c>
      <c r="BH12" s="395"/>
    </row>
    <row r="13" hidden="1">
      <c r="A13" s="397" t="s">
        <v>596</v>
      </c>
      <c r="B13" s="335" t="s">
        <v>597</v>
      </c>
      <c r="C13" s="334" t="s">
        <v>620</v>
      </c>
      <c r="D13" s="383" t="s">
        <v>661</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662</v>
      </c>
      <c r="Z13" s="333"/>
      <c r="AA13" s="333"/>
      <c r="AB13" s="333"/>
      <c r="AC13" s="400"/>
      <c r="AD13" s="380" t="s">
        <v>663</v>
      </c>
      <c r="AE13" s="342" t="s">
        <v>598</v>
      </c>
      <c r="AF13" s="335">
        <v>2.58</v>
      </c>
      <c r="AG13" s="335">
        <v>18</v>
      </c>
      <c r="AH13" s="337">
        <v>0</v>
      </c>
      <c r="AI13" s="335"/>
      <c r="AJ13" s="396" t="s">
        <v>643</v>
      </c>
      <c r="AK13" s="403"/>
      <c r="AL13" s="334" t="s">
        <v>598</v>
      </c>
      <c r="AM13" s="335">
        <v>6.87</v>
      </c>
      <c r="AN13" s="377">
        <v>3.88</v>
      </c>
      <c r="AO13" s="335">
        <f ref="AO13:AO23" t="shared" si="6">0.2</f>
        <v>0.2</v>
      </c>
      <c r="AP13" s="385" t="s">
        <v>664</v>
      </c>
      <c r="AQ13" s="335"/>
      <c r="AR13" s="385"/>
      <c r="AS13" s="365"/>
      <c r="AT13" s="384" t="s">
        <v>627</v>
      </c>
      <c r="AU13" s="385" t="s">
        <v>598</v>
      </c>
      <c r="AV13" s="385" t="s">
        <v>615</v>
      </c>
      <c r="AW13" s="399" t="s">
        <v>665</v>
      </c>
      <c r="AX13" s="365"/>
      <c r="AY13" s="365"/>
      <c r="AZ13" s="385" t="s">
        <v>664</v>
      </c>
      <c r="BB13" s="384" t="s">
        <v>661</v>
      </c>
      <c r="BC13" s="386"/>
      <c r="BD13" s="387"/>
      <c r="BE13" s="384"/>
      <c r="BF13" s="384"/>
      <c r="BH13" s="395"/>
      <c r="BI13" s="393"/>
    </row>
    <row r="14" hidden="1">
      <c r="A14" s="397" t="s">
        <v>596</v>
      </c>
      <c r="B14" s="335" t="s">
        <v>597</v>
      </c>
      <c r="C14" s="334" t="s">
        <v>620</v>
      </c>
      <c r="D14" s="383" t="s">
        <v>666</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667</v>
      </c>
      <c r="Z14" s="333"/>
      <c r="AA14" s="399"/>
      <c r="AB14" s="399"/>
      <c r="AC14" s="400"/>
      <c r="AD14" s="380" t="s">
        <v>668</v>
      </c>
      <c r="AE14" s="342" t="s">
        <v>608</v>
      </c>
      <c r="AF14" s="335">
        <v>1.3</v>
      </c>
      <c r="AG14" s="335">
        <v>18</v>
      </c>
      <c r="AH14" s="337">
        <v>0</v>
      </c>
      <c r="AI14" s="335"/>
      <c r="AJ14" s="404" t="s">
        <v>657</v>
      </c>
      <c r="AK14" s="403"/>
      <c r="AL14" s="334" t="s">
        <v>608</v>
      </c>
      <c r="AM14" s="335">
        <v>10.15</v>
      </c>
      <c r="AN14" s="377">
        <v>5.75</v>
      </c>
      <c r="AO14" s="335">
        <f t="shared" si="6"/>
        <v>0.2</v>
      </c>
      <c r="AP14" s="385" t="s">
        <v>664</v>
      </c>
      <c r="AQ14" s="335"/>
      <c r="AR14" s="385"/>
      <c r="AS14" s="365"/>
      <c r="AT14" s="384" t="s">
        <v>627</v>
      </c>
      <c r="AU14" s="385" t="s">
        <v>620</v>
      </c>
      <c r="AV14" s="385" t="s">
        <v>631</v>
      </c>
      <c r="AW14" s="399" t="s">
        <v>669</v>
      </c>
      <c r="AX14" s="365"/>
      <c r="AY14" s="365"/>
      <c r="AZ14" s="385" t="s">
        <v>664</v>
      </c>
      <c r="BB14" s="384" t="s">
        <v>655</v>
      </c>
      <c r="BC14" s="386"/>
      <c r="BD14" s="387"/>
      <c r="BE14" s="384"/>
      <c r="BF14" s="384"/>
      <c r="BH14" s="395"/>
    </row>
    <row r="15" hidden="1">
      <c r="A15" s="397" t="s">
        <v>596</v>
      </c>
      <c r="B15" s="335" t="s">
        <v>597</v>
      </c>
      <c r="C15" s="334" t="s">
        <v>620</v>
      </c>
      <c r="D15" s="383" t="s">
        <v>670</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671</v>
      </c>
      <c r="Z15" s="391"/>
      <c r="AA15" s="359"/>
      <c r="AB15" s="359"/>
      <c r="AC15" s="400"/>
      <c r="AD15" s="380" t="s">
        <v>672</v>
      </c>
      <c r="AE15" s="342" t="s">
        <v>598</v>
      </c>
      <c r="AF15" s="335">
        <v>2.58</v>
      </c>
      <c r="AG15" s="335">
        <v>18</v>
      </c>
      <c r="AH15" s="337">
        <v>0</v>
      </c>
      <c r="AJ15" s="396" t="s">
        <v>650</v>
      </c>
      <c r="AK15" s="403"/>
      <c r="AL15" s="332" t="s">
        <v>614</v>
      </c>
      <c r="AM15" s="335">
        <v>6.87</v>
      </c>
      <c r="AN15" s="377">
        <v>3.88</v>
      </c>
      <c r="AO15" s="335">
        <f t="shared" si="6"/>
        <v>0.2</v>
      </c>
      <c r="AP15" s="385" t="s">
        <v>664</v>
      </c>
      <c r="AQ15" s="335"/>
      <c r="AR15" s="385"/>
      <c r="AS15" s="365"/>
      <c r="AT15" s="384" t="s">
        <v>632</v>
      </c>
      <c r="AU15" s="385" t="s">
        <v>608</v>
      </c>
      <c r="AV15" s="385" t="s">
        <v>604</v>
      </c>
      <c r="AW15" s="399" t="s">
        <v>673</v>
      </c>
      <c r="AX15" s="365"/>
      <c r="AY15" s="365"/>
      <c r="AZ15" s="385" t="s">
        <v>664</v>
      </c>
      <c r="BB15" s="384" t="s">
        <v>670</v>
      </c>
      <c r="BC15" s="386"/>
      <c r="BD15" s="387"/>
      <c r="BE15" s="384"/>
      <c r="BF15" s="384"/>
      <c r="BH15" s="395"/>
    </row>
    <row r="16" hidden="1">
      <c r="A16" s="397" t="s">
        <v>596</v>
      </c>
      <c r="B16" s="335" t="s">
        <v>597</v>
      </c>
      <c r="C16" s="334" t="s">
        <v>620</v>
      </c>
      <c r="D16" s="383" t="s">
        <v>674</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675</v>
      </c>
      <c r="Z16" s="391"/>
      <c r="AA16" s="359"/>
      <c r="AB16" s="359"/>
      <c r="AC16" s="400"/>
      <c r="AD16" s="397" t="s">
        <v>676</v>
      </c>
      <c r="AE16" s="342" t="s">
        <v>608</v>
      </c>
      <c r="AF16" s="335">
        <v>1.3</v>
      </c>
      <c r="AG16" s="335">
        <v>17.5</v>
      </c>
      <c r="AH16" s="337">
        <v>0</v>
      </c>
      <c r="AI16" s="335"/>
      <c r="AJ16" s="381" t="s">
        <v>677</v>
      </c>
      <c r="AK16" s="403"/>
      <c r="AL16" s="332" t="s">
        <v>178</v>
      </c>
      <c r="AM16" s="335">
        <v>20</v>
      </c>
      <c r="AN16" s="377">
        <v>6.21</v>
      </c>
      <c r="AO16" s="335">
        <f t="shared" si="6"/>
        <v>0.2</v>
      </c>
      <c r="AP16" s="385" t="s">
        <v>664</v>
      </c>
      <c r="AQ16" s="335"/>
      <c r="AR16" s="385"/>
      <c r="AS16" s="365"/>
      <c r="AT16" s="384" t="s">
        <v>632</v>
      </c>
      <c r="AU16" s="385" t="s">
        <v>598</v>
      </c>
      <c r="AV16" s="385" t="s">
        <v>615</v>
      </c>
      <c r="AW16" s="399" t="s">
        <v>678</v>
      </c>
      <c r="AX16" s="365"/>
      <c r="AY16" s="365"/>
      <c r="AZ16" s="385" t="s">
        <v>664</v>
      </c>
      <c r="BB16" s="384" t="s">
        <v>666</v>
      </c>
      <c r="BC16" s="386"/>
      <c r="BD16" s="387"/>
      <c r="BE16" s="384"/>
      <c r="BF16" s="384"/>
    </row>
    <row r="17" hidden="1">
      <c r="A17" s="397" t="s">
        <v>596</v>
      </c>
      <c r="B17" s="335" t="s">
        <v>597</v>
      </c>
      <c r="C17" s="334" t="s">
        <v>620</v>
      </c>
      <c r="D17" s="383" t="s">
        <v>679</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175</v>
      </c>
      <c r="Z17" s="391"/>
      <c r="AA17" s="359"/>
      <c r="AB17" s="359"/>
      <c r="AC17" s="400"/>
      <c r="AD17" s="397" t="s">
        <v>680</v>
      </c>
      <c r="AE17" s="383" t="s">
        <v>178</v>
      </c>
      <c r="AF17" s="335">
        <v>1.31</v>
      </c>
      <c r="AG17" s="335">
        <v>18</v>
      </c>
      <c r="AH17" s="337">
        <v>0</v>
      </c>
      <c r="AI17" s="335"/>
      <c r="AJ17" s="381" t="s">
        <v>681</v>
      </c>
      <c r="AK17" s="382"/>
      <c r="AL17" s="334" t="s">
        <v>603</v>
      </c>
      <c r="AM17" s="335">
        <v>10.15</v>
      </c>
      <c r="AN17" s="377">
        <v>5.75</v>
      </c>
      <c r="AO17" s="335">
        <f t="shared" si="6"/>
        <v>0.2</v>
      </c>
      <c r="AP17" s="385" t="s">
        <v>664</v>
      </c>
      <c r="AQ17" s="335"/>
      <c r="AR17" s="385"/>
      <c r="AS17" s="365"/>
      <c r="AT17" s="399" t="s">
        <v>632</v>
      </c>
      <c r="AU17" s="385" t="s">
        <v>620</v>
      </c>
      <c r="AV17" s="385" t="s">
        <v>631</v>
      </c>
      <c r="AW17" s="384" t="s">
        <v>682</v>
      </c>
      <c r="AX17" s="365"/>
      <c r="AY17" s="365"/>
      <c r="AZ17" s="385" t="s">
        <v>664</v>
      </c>
      <c r="BB17" s="384">
        <v>6</v>
      </c>
      <c r="BC17" s="384" t="s">
        <v>683</v>
      </c>
      <c r="BD17" s="365"/>
      <c r="BE17" s="384"/>
      <c r="BF17" s="384"/>
    </row>
    <row r="18" hidden="1" ht="21">
      <c r="A18" s="397" t="s">
        <v>596</v>
      </c>
      <c r="B18" s="335" t="s">
        <v>597</v>
      </c>
      <c r="C18" s="334" t="s">
        <v>620</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684</v>
      </c>
      <c r="Z18" s="391"/>
      <c r="AA18" s="359"/>
      <c r="AB18" s="359"/>
      <c r="AC18" s="379"/>
      <c r="AD18" s="380" t="s">
        <v>685</v>
      </c>
      <c r="AE18" s="385" t="s">
        <v>620</v>
      </c>
      <c r="AF18" s="335">
        <v>1.94</v>
      </c>
      <c r="AG18" s="335">
        <v>17.8</v>
      </c>
      <c r="AH18" s="337">
        <v>0</v>
      </c>
      <c r="AI18" s="335"/>
      <c r="AJ18" s="391" t="s">
        <v>686</v>
      </c>
      <c r="AK18" s="382"/>
      <c r="AL18" s="334" t="s">
        <v>620</v>
      </c>
      <c r="AM18" s="335">
        <v>10.15</v>
      </c>
      <c r="AN18" s="335">
        <v>5.75</v>
      </c>
      <c r="AO18" s="335">
        <f t="shared" si="6"/>
        <v>0.2</v>
      </c>
      <c r="AP18" s="385" t="s">
        <v>664</v>
      </c>
      <c r="AQ18" s="388"/>
      <c r="AR18" s="385"/>
      <c r="AS18" s="365"/>
      <c r="AT18" s="399" t="s">
        <v>639</v>
      </c>
      <c r="AU18" s="385" t="s">
        <v>608</v>
      </c>
      <c r="AV18" s="385" t="s">
        <v>604</v>
      </c>
      <c r="AW18" s="384" t="s">
        <v>687</v>
      </c>
      <c r="AX18" s="365"/>
      <c r="AY18" s="365"/>
      <c r="AZ18" s="385" t="s">
        <v>664</v>
      </c>
      <c r="BB18" s="384" t="s">
        <v>674</v>
      </c>
      <c r="BC18" s="384"/>
      <c r="BD18" s="405"/>
      <c r="BE18" s="384"/>
      <c r="BF18" s="384"/>
    </row>
    <row r="19" hidden="1" ht="15.75" customHeight="1">
      <c r="A19" s="397" t="s">
        <v>688</v>
      </c>
      <c r="B19" s="335" t="s">
        <v>597</v>
      </c>
      <c r="C19" s="334" t="s">
        <v>178</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689</v>
      </c>
      <c r="Z19" s="396"/>
      <c r="AA19" s="397"/>
      <c r="AB19" s="397"/>
      <c r="AC19" s="379"/>
      <c r="AD19" s="397" t="s">
        <v>690</v>
      </c>
      <c r="AE19" s="342" t="s">
        <v>598</v>
      </c>
      <c r="AF19" s="394">
        <v>2.58</v>
      </c>
      <c r="AG19" s="394">
        <v>17.5</v>
      </c>
      <c r="AH19" s="337">
        <v>0</v>
      </c>
      <c r="AI19" s="335"/>
      <c r="AJ19" s="396" t="s">
        <v>691</v>
      </c>
      <c r="AK19" s="398"/>
      <c r="AL19" s="334" t="s">
        <v>598</v>
      </c>
      <c r="AM19" s="335">
        <v>7.12</v>
      </c>
      <c r="AN19" s="335">
        <v>3.67</v>
      </c>
      <c r="AO19" s="335">
        <f t="shared" si="6"/>
        <v>0.2</v>
      </c>
      <c r="AP19" s="385" t="s">
        <v>692</v>
      </c>
      <c r="AQ19" s="388"/>
      <c r="AR19" s="385"/>
      <c r="AS19" s="365"/>
      <c r="AT19" s="399" t="s">
        <v>639</v>
      </c>
      <c r="AU19" s="385" t="s">
        <v>598</v>
      </c>
      <c r="AV19" s="385" t="s">
        <v>615</v>
      </c>
      <c r="AW19" s="384" t="s">
        <v>693</v>
      </c>
      <c r="AX19" s="365"/>
      <c r="AY19" s="365"/>
      <c r="AZ19" s="385" t="s">
        <v>664</v>
      </c>
      <c r="BB19" s="384">
        <v>8</v>
      </c>
      <c r="BC19" s="386" t="s">
        <v>694</v>
      </c>
      <c r="BD19" s="406"/>
    </row>
    <row r="20" hidden="1">
      <c r="A20" s="397" t="s">
        <v>688</v>
      </c>
      <c r="B20" s="335" t="s">
        <v>597</v>
      </c>
      <c r="C20" s="334" t="s">
        <v>614</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695</v>
      </c>
      <c r="Z20" s="397"/>
      <c r="AA20" s="397"/>
      <c r="AB20" s="397"/>
      <c r="AC20" s="379"/>
      <c r="AD20" s="397" t="s">
        <v>696</v>
      </c>
      <c r="AE20" s="342" t="s">
        <v>598</v>
      </c>
      <c r="AF20" s="394">
        <v>2.6</v>
      </c>
      <c r="AG20" s="394">
        <v>18</v>
      </c>
      <c r="AH20" s="337">
        <v>0</v>
      </c>
      <c r="AI20" s="335"/>
      <c r="AJ20" s="381" t="s">
        <v>668</v>
      </c>
      <c r="AK20" s="398"/>
      <c r="AL20" s="334" t="s">
        <v>608</v>
      </c>
      <c r="AM20" s="335">
        <v>10.06</v>
      </c>
      <c r="AN20" s="335">
        <v>5.04</v>
      </c>
      <c r="AO20" s="335">
        <f t="shared" si="6"/>
        <v>0.2</v>
      </c>
      <c r="AP20" s="385" t="s">
        <v>692</v>
      </c>
      <c r="AQ20" s="384"/>
      <c r="AR20" s="384"/>
      <c r="AS20" s="365"/>
      <c r="AT20" s="399" t="s">
        <v>639</v>
      </c>
      <c r="AU20" s="385" t="s">
        <v>620</v>
      </c>
      <c r="AV20" s="385" t="s">
        <v>631</v>
      </c>
      <c r="AW20" s="384" t="s">
        <v>697</v>
      </c>
      <c r="AX20" s="365"/>
      <c r="AY20" s="365"/>
      <c r="AZ20" s="385" t="s">
        <v>664</v>
      </c>
      <c r="BB20" s="384">
        <v>10</v>
      </c>
      <c r="BC20" s="386"/>
      <c r="BD20" s="406"/>
    </row>
    <row r="21" hidden="1">
      <c r="A21" s="333" t="s">
        <v>607</v>
      </c>
      <c r="B21" s="335" t="s">
        <v>597</v>
      </c>
      <c r="C21" s="334" t="s">
        <v>598</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698</v>
      </c>
      <c r="Z21" s="333"/>
      <c r="AA21" s="333"/>
      <c r="AB21" s="333"/>
      <c r="AC21" s="400"/>
      <c r="AD21" s="380" t="s">
        <v>699</v>
      </c>
      <c r="AE21" s="342" t="s">
        <v>608</v>
      </c>
      <c r="AF21" s="335">
        <v>1.35</v>
      </c>
      <c r="AG21" s="335">
        <v>17.6</v>
      </c>
      <c r="AH21" s="337">
        <v>0</v>
      </c>
      <c r="AI21" s="394"/>
      <c r="AJ21" s="381" t="s">
        <v>663</v>
      </c>
      <c r="AK21" s="398"/>
      <c r="AL21" s="334" t="s">
        <v>614</v>
      </c>
      <c r="AM21" s="335">
        <v>7.12</v>
      </c>
      <c r="AN21" s="335">
        <v>3.67</v>
      </c>
      <c r="AO21" s="335">
        <f t="shared" si="6"/>
        <v>0.2</v>
      </c>
      <c r="AP21" s="385" t="s">
        <v>692</v>
      </c>
      <c r="AQ21" s="384"/>
      <c r="AR21" s="384"/>
      <c r="AS21" s="365"/>
      <c r="AT21" s="399" t="s">
        <v>646</v>
      </c>
      <c r="AU21" s="383" t="s">
        <v>608</v>
      </c>
      <c r="AV21" s="385" t="s">
        <v>604</v>
      </c>
      <c r="AW21" s="384" t="s">
        <v>700</v>
      </c>
      <c r="AX21" s="365"/>
      <c r="AY21" s="365"/>
      <c r="AZ21" s="385" t="s">
        <v>664</v>
      </c>
      <c r="BB21" s="384">
        <v>12</v>
      </c>
      <c r="BC21" s="386"/>
      <c r="BD21" s="406"/>
    </row>
    <row r="22" hidden="1">
      <c r="A22" s="333" t="s">
        <v>607</v>
      </c>
      <c r="B22" s="335" t="s">
        <v>597</v>
      </c>
      <c r="C22" s="334" t="s">
        <v>598</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701</v>
      </c>
      <c r="Z22" s="333"/>
      <c r="AA22" s="333"/>
      <c r="AB22" s="333"/>
      <c r="AC22" s="400"/>
      <c r="AD22" s="397" t="s">
        <v>699</v>
      </c>
      <c r="AE22" s="383" t="s">
        <v>178</v>
      </c>
      <c r="AF22" s="335">
        <v>1.35</v>
      </c>
      <c r="AG22" s="335">
        <v>18.6</v>
      </c>
      <c r="AH22" s="337">
        <v>0</v>
      </c>
      <c r="AI22" s="383"/>
      <c r="AJ22" s="381" t="s">
        <v>702</v>
      </c>
      <c r="AK22" s="398"/>
      <c r="AL22" s="334" t="s">
        <v>178</v>
      </c>
      <c r="AM22" s="335">
        <v>10.96</v>
      </c>
      <c r="AN22" s="335">
        <v>5.53</v>
      </c>
      <c r="AO22" s="335">
        <f>0.1*2</f>
        <v>0.2</v>
      </c>
      <c r="AP22" s="385" t="s">
        <v>692</v>
      </c>
      <c r="AQ22" s="399"/>
      <c r="AR22" s="399"/>
      <c r="AS22" s="365"/>
      <c r="AT22" s="399" t="s">
        <v>646</v>
      </c>
      <c r="AU22" s="385" t="s">
        <v>598</v>
      </c>
      <c r="AV22" s="385" t="s">
        <v>615</v>
      </c>
      <c r="AW22" s="384" t="s">
        <v>703</v>
      </c>
      <c r="AX22" s="365"/>
      <c r="AY22" s="365"/>
      <c r="AZ22" s="385" t="s">
        <v>664</v>
      </c>
      <c r="BB22" s="384">
        <v>0</v>
      </c>
      <c r="BC22" s="386"/>
      <c r="BD22" s="406"/>
      <c r="BE22" s="348"/>
      <c r="BF22" s="348"/>
      <c r="BG22" s="348"/>
    </row>
    <row r="23" hidden="1">
      <c r="A23" s="333" t="s">
        <v>607</v>
      </c>
      <c r="B23" s="335" t="s">
        <v>597</v>
      </c>
      <c r="C23" s="334" t="s">
        <v>608</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704</v>
      </c>
      <c r="Z23" s="333"/>
      <c r="AA23" s="333"/>
      <c r="AB23" s="333"/>
      <c r="AC23" s="400"/>
      <c r="AD23" s="380" t="s">
        <v>705</v>
      </c>
      <c r="AE23" s="385" t="s">
        <v>620</v>
      </c>
      <c r="AF23" s="335">
        <v>2.08</v>
      </c>
      <c r="AG23" s="335">
        <v>16.7</v>
      </c>
      <c r="AH23" s="337">
        <v>0</v>
      </c>
      <c r="AI23" s="335"/>
      <c r="AJ23" s="396" t="s">
        <v>706</v>
      </c>
      <c r="AK23" s="403"/>
      <c r="AL23" s="336" t="s">
        <v>603</v>
      </c>
      <c r="AM23" s="362">
        <v>10.06</v>
      </c>
      <c r="AN23" s="362">
        <v>5.04</v>
      </c>
      <c r="AO23" s="362">
        <f t="shared" si="6"/>
        <v>0.2</v>
      </c>
      <c r="AP23" s="361" t="s">
        <v>692</v>
      </c>
      <c r="AQ23" s="399"/>
      <c r="AR23" s="399"/>
      <c r="AS23" s="365"/>
      <c r="AT23" s="399" t="s">
        <v>652</v>
      </c>
      <c r="AU23" s="383" t="s">
        <v>608</v>
      </c>
      <c r="AV23" s="385" t="s">
        <v>604</v>
      </c>
      <c r="AW23" s="399" t="s">
        <v>707</v>
      </c>
      <c r="AX23" s="365"/>
      <c r="AY23" s="365"/>
      <c r="AZ23" s="385" t="s">
        <v>692</v>
      </c>
      <c r="BB23" s="348"/>
      <c r="BC23" s="407"/>
      <c r="BE23" s="348"/>
      <c r="BF23" s="348"/>
      <c r="BG23" s="348"/>
    </row>
    <row r="24" hidden="1">
      <c r="A24" s="333" t="s">
        <v>607</v>
      </c>
      <c r="B24" s="335" t="s">
        <v>597</v>
      </c>
      <c r="C24" s="334" t="s">
        <v>608</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708</v>
      </c>
      <c r="Z24" s="333"/>
      <c r="AA24" s="333"/>
      <c r="AB24" s="333"/>
      <c r="AC24" s="400"/>
      <c r="AD24" s="402" t="s">
        <v>709</v>
      </c>
      <c r="AE24" s="342" t="s">
        <v>598</v>
      </c>
      <c r="AF24" s="392">
        <v>2.64</v>
      </c>
      <c r="AG24" s="392">
        <v>18</v>
      </c>
      <c r="AH24" s="337">
        <v>0</v>
      </c>
      <c r="AI24" s="335"/>
      <c r="AJ24" s="396" t="s">
        <v>710</v>
      </c>
      <c r="AK24" s="403"/>
      <c r="AL24" s="334" t="s">
        <v>608</v>
      </c>
      <c r="AM24" s="335">
        <v>13</v>
      </c>
      <c r="AN24" s="335">
        <v>6</v>
      </c>
      <c r="AO24" s="335">
        <v>0.2</v>
      </c>
      <c r="AP24" s="385" t="s">
        <v>711</v>
      </c>
      <c r="AQ24" s="388"/>
      <c r="AR24" s="385"/>
      <c r="AS24" s="365"/>
      <c r="AT24" s="384" t="s">
        <v>652</v>
      </c>
      <c r="AU24" s="383" t="s">
        <v>598</v>
      </c>
      <c r="AV24" s="385" t="s">
        <v>615</v>
      </c>
      <c r="AW24" s="384" t="s">
        <v>712</v>
      </c>
      <c r="AX24" s="365"/>
      <c r="AY24" s="365"/>
      <c r="AZ24" s="385" t="s">
        <v>692</v>
      </c>
      <c r="BB24" s="348"/>
      <c r="BC24" s="407"/>
      <c r="BE24" s="348"/>
      <c r="BF24" s="348"/>
      <c r="BG24" s="348"/>
    </row>
    <row r="25" hidden="1">
      <c r="A25" s="397" t="s">
        <v>689</v>
      </c>
      <c r="B25" s="335" t="s">
        <v>597</v>
      </c>
      <c r="C25" s="334" t="s">
        <v>645</v>
      </c>
      <c r="D25" s="383" t="s">
        <v>666</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713</v>
      </c>
      <c r="Z25" s="333"/>
      <c r="AA25" s="333"/>
      <c r="AB25" s="333"/>
      <c r="AC25" s="400"/>
      <c r="AD25" s="397" t="s">
        <v>714</v>
      </c>
      <c r="AE25" s="342" t="s">
        <v>608</v>
      </c>
      <c r="AF25" s="335">
        <v>1.31</v>
      </c>
      <c r="AG25" s="335">
        <v>17.8</v>
      </c>
      <c r="AH25" s="337">
        <v>0</v>
      </c>
      <c r="AI25" s="335"/>
      <c r="AJ25" s="389" t="s">
        <v>676</v>
      </c>
      <c r="AK25" s="382"/>
      <c r="AL25" s="347"/>
      <c r="AM25" s="335"/>
      <c r="AN25" s="335"/>
      <c r="AO25" s="335"/>
      <c r="AP25" s="409"/>
      <c r="AQ25" s="388"/>
      <c r="AR25" s="385"/>
      <c r="AS25" s="365"/>
      <c r="AT25" s="384" t="s">
        <v>658</v>
      </c>
      <c r="AU25" s="383" t="s">
        <v>638</v>
      </c>
      <c r="AV25" s="385" t="s">
        <v>715</v>
      </c>
      <c r="AW25" s="384" t="s">
        <v>716</v>
      </c>
      <c r="AX25" s="365"/>
      <c r="AY25" s="365"/>
      <c r="AZ25" s="385" t="s">
        <v>692</v>
      </c>
      <c r="BB25" s="348"/>
      <c r="BC25" s="407"/>
      <c r="BE25" s="348"/>
      <c r="BF25" s="348"/>
      <c r="BG25" s="348"/>
    </row>
    <row r="26" hidden="1">
      <c r="A26" s="397" t="s">
        <v>689</v>
      </c>
      <c r="B26" s="335" t="s">
        <v>597</v>
      </c>
      <c r="C26" s="334" t="s">
        <v>645</v>
      </c>
      <c r="D26" s="383" t="s">
        <v>674</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717</v>
      </c>
      <c r="Z26" s="399"/>
      <c r="AA26" s="399"/>
      <c r="AB26" s="399"/>
      <c r="AC26" s="400"/>
      <c r="AD26" s="402" t="s">
        <v>718</v>
      </c>
      <c r="AE26" s="383" t="s">
        <v>178</v>
      </c>
      <c r="AF26" s="392">
        <v>1.31</v>
      </c>
      <c r="AG26" s="392">
        <v>18</v>
      </c>
      <c r="AH26" s="337">
        <v>0</v>
      </c>
      <c r="AI26" s="392"/>
      <c r="AJ26" s="389" t="s">
        <v>672</v>
      </c>
      <c r="AK26" s="382"/>
      <c r="AL26" s="347"/>
      <c r="AM26" s="335"/>
      <c r="AN26" s="335"/>
      <c r="AO26" s="335"/>
      <c r="AP26" s="409"/>
      <c r="AQ26" s="388"/>
      <c r="AR26" s="385"/>
      <c r="AS26" s="365"/>
      <c r="AT26" s="399" t="s">
        <v>658</v>
      </c>
      <c r="AU26" s="383" t="s">
        <v>645</v>
      </c>
      <c r="AV26" s="383" t="s">
        <v>719</v>
      </c>
      <c r="AW26" s="384" t="s">
        <v>720</v>
      </c>
      <c r="AX26" s="365"/>
      <c r="AY26" s="365"/>
      <c r="AZ26" s="385" t="s">
        <v>692</v>
      </c>
      <c r="BB26" s="348"/>
      <c r="BC26" s="407"/>
      <c r="BE26" s="348"/>
      <c r="BF26" s="348"/>
      <c r="BG26" s="348"/>
    </row>
    <row r="27" hidden="1">
      <c r="A27" s="333" t="s">
        <v>612</v>
      </c>
      <c r="B27" s="335" t="s">
        <v>597</v>
      </c>
      <c r="C27" s="334" t="s">
        <v>598</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439</v>
      </c>
      <c r="Z27" s="391"/>
      <c r="AA27" s="359"/>
      <c r="AB27" s="359"/>
      <c r="AC27" s="379"/>
      <c r="AD27" s="384" t="s">
        <v>721</v>
      </c>
      <c r="AE27" s="385" t="s">
        <v>620</v>
      </c>
      <c r="AF27" s="335">
        <v>2.52</v>
      </c>
      <c r="AG27" s="335">
        <v>17.5</v>
      </c>
      <c r="AH27" s="337">
        <v>0</v>
      </c>
      <c r="AI27" s="335"/>
      <c r="AJ27" s="389" t="s">
        <v>722</v>
      </c>
      <c r="AK27" s="390"/>
      <c r="AL27" s="399"/>
      <c r="AM27" s="399"/>
      <c r="AN27" s="399"/>
      <c r="AO27" s="399"/>
      <c r="AP27" s="399"/>
      <c r="AQ27" s="399"/>
      <c r="AR27" s="399"/>
      <c r="AS27" s="365"/>
      <c r="AT27" s="399" t="s">
        <v>665</v>
      </c>
      <c r="AU27" s="383" t="s">
        <v>603</v>
      </c>
      <c r="AV27" s="383" t="s">
        <v>723</v>
      </c>
      <c r="AW27" s="384" t="s">
        <v>724</v>
      </c>
      <c r="AX27" s="365"/>
      <c r="AY27" s="365"/>
      <c r="AZ27" s="385" t="s">
        <v>692</v>
      </c>
      <c r="BB27" s="348"/>
      <c r="BC27" s="407"/>
      <c r="BE27" s="348"/>
      <c r="BF27" s="348"/>
      <c r="BG27" s="348"/>
    </row>
    <row r="28" hidden="1">
      <c r="A28" s="333" t="s">
        <v>612</v>
      </c>
      <c r="B28" s="335" t="s">
        <v>597</v>
      </c>
      <c r="C28" s="334" t="s">
        <v>598</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725</v>
      </c>
      <c r="Z28" s="391"/>
      <c r="AA28" s="359"/>
      <c r="AB28" s="359"/>
      <c r="AC28" s="379"/>
      <c r="AD28" s="380" t="s">
        <v>726</v>
      </c>
      <c r="AE28" s="342" t="s">
        <v>598</v>
      </c>
      <c r="AF28" s="335">
        <v>2.58</v>
      </c>
      <c r="AG28" s="335">
        <v>18</v>
      </c>
      <c r="AH28" s="337">
        <v>0</v>
      </c>
      <c r="AI28" s="392"/>
      <c r="AJ28" s="396" t="s">
        <v>685</v>
      </c>
      <c r="AK28" s="390"/>
      <c r="AL28" s="347"/>
      <c r="AM28" s="388"/>
      <c r="AN28" s="388"/>
      <c r="AO28" s="388"/>
      <c r="AP28" s="409"/>
      <c r="AQ28" s="388"/>
      <c r="AR28" s="385"/>
      <c r="AS28" s="365"/>
      <c r="AT28" s="399" t="s">
        <v>669</v>
      </c>
      <c r="AU28" s="383" t="s">
        <v>178</v>
      </c>
      <c r="AV28" s="383" t="s">
        <v>727</v>
      </c>
      <c r="AW28" s="384" t="s">
        <v>728</v>
      </c>
      <c r="AX28" s="365"/>
      <c r="AY28" s="365"/>
      <c r="AZ28" s="385" t="s">
        <v>692</v>
      </c>
      <c r="BC28" s="407"/>
      <c r="BE28" s="348"/>
      <c r="BF28" s="348"/>
      <c r="BG28" s="348"/>
    </row>
    <row r="29" hidden="1">
      <c r="A29" s="333" t="s">
        <v>612</v>
      </c>
      <c r="B29" s="335" t="s">
        <v>597</v>
      </c>
      <c r="C29" s="334" t="s">
        <v>608</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729</v>
      </c>
      <c r="Z29" s="333"/>
      <c r="AA29" s="333"/>
      <c r="AB29" s="333"/>
      <c r="AC29" s="379"/>
      <c r="AD29" s="380" t="s">
        <v>730</v>
      </c>
      <c r="AE29" s="342" t="s">
        <v>598</v>
      </c>
      <c r="AF29" s="335">
        <v>2.58</v>
      </c>
      <c r="AG29" s="335">
        <v>18</v>
      </c>
      <c r="AH29" s="337">
        <v>0</v>
      </c>
      <c r="AI29" s="335"/>
      <c r="AJ29" s="381" t="s">
        <v>731</v>
      </c>
      <c r="AK29" s="410"/>
      <c r="AL29" s="334"/>
      <c r="AM29" s="335"/>
      <c r="AN29" s="335"/>
      <c r="AO29" s="335"/>
      <c r="AP29" s="409"/>
      <c r="AQ29" s="388"/>
      <c r="AR29" s="385"/>
      <c r="AS29" s="365"/>
      <c r="AT29" s="399" t="s">
        <v>669</v>
      </c>
      <c r="AU29" s="385" t="s">
        <v>614</v>
      </c>
      <c r="AV29" s="385" t="s">
        <v>732</v>
      </c>
      <c r="AW29" s="384" t="s">
        <v>733</v>
      </c>
      <c r="AX29" s="365"/>
      <c r="AY29" s="365"/>
      <c r="AZ29" s="385" t="s">
        <v>692</v>
      </c>
      <c r="BB29" s="348"/>
      <c r="BC29" s="407"/>
      <c r="BE29" s="348"/>
      <c r="BF29" s="348"/>
      <c r="BG29" s="348"/>
    </row>
    <row r="30" hidden="1">
      <c r="A30" s="333" t="s">
        <v>612</v>
      </c>
      <c r="B30" s="335" t="s">
        <v>597</v>
      </c>
      <c r="C30" s="334" t="s">
        <v>608</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734</v>
      </c>
      <c r="Z30" s="396"/>
      <c r="AA30" s="397"/>
      <c r="AB30" s="397"/>
      <c r="AC30" s="379"/>
      <c r="AD30" s="380" t="s">
        <v>735</v>
      </c>
      <c r="AE30" s="342" t="s">
        <v>608</v>
      </c>
      <c r="AF30" s="335">
        <v>1.3</v>
      </c>
      <c r="AG30" s="335">
        <v>17.5</v>
      </c>
      <c r="AH30" s="337">
        <v>0</v>
      </c>
      <c r="AI30" s="335"/>
      <c r="AJ30" s="381" t="s">
        <v>680</v>
      </c>
      <c r="AK30" s="410"/>
      <c r="AL30" s="334"/>
      <c r="AM30" s="335"/>
      <c r="AN30" s="335"/>
      <c r="AO30" s="335"/>
      <c r="AP30" s="409"/>
      <c r="AQ30" s="388"/>
      <c r="AR30" s="385"/>
      <c r="AS30" s="365"/>
      <c r="AT30" s="384" t="s">
        <v>673</v>
      </c>
      <c r="AU30" s="383" t="s">
        <v>598</v>
      </c>
      <c r="AV30" s="383" t="s">
        <v>732</v>
      </c>
      <c r="AW30" s="384" t="s">
        <v>736</v>
      </c>
      <c r="AX30" s="365"/>
      <c r="AY30" s="365"/>
      <c r="AZ30" s="385" t="s">
        <v>692</v>
      </c>
      <c r="BC30" s="407"/>
      <c r="BE30" s="348"/>
      <c r="BF30" s="348"/>
      <c r="BG30" s="348"/>
      <c r="BH30" s="348"/>
      <c r="BI30" s="348"/>
      <c r="BJ30" s="348"/>
    </row>
    <row r="31" hidden="1">
      <c r="A31" s="397" t="s">
        <v>698</v>
      </c>
      <c r="B31" s="335" t="s">
        <v>597</v>
      </c>
      <c r="C31" s="334" t="s">
        <v>645</v>
      </c>
      <c r="D31" s="383" t="s">
        <v>666</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737</v>
      </c>
      <c r="Z31" s="391"/>
      <c r="AA31" s="399"/>
      <c r="AB31" s="399"/>
      <c r="AC31" s="400"/>
      <c r="AD31" s="380" t="s">
        <v>735</v>
      </c>
      <c r="AE31" s="383" t="s">
        <v>178</v>
      </c>
      <c r="AF31" s="335">
        <v>1.3</v>
      </c>
      <c r="AG31" s="335">
        <v>18</v>
      </c>
      <c r="AH31" s="337">
        <v>0</v>
      </c>
      <c r="AI31" s="335"/>
      <c r="AJ31" s="396" t="s">
        <v>738</v>
      </c>
      <c r="AK31" s="382"/>
      <c r="AL31" s="347"/>
      <c r="AM31" s="388"/>
      <c r="AN31" s="388"/>
      <c r="AO31" s="388"/>
      <c r="AP31" s="409"/>
      <c r="AQ31" s="388"/>
      <c r="AR31" s="385"/>
      <c r="AS31" s="365"/>
      <c r="AT31" s="384" t="s">
        <v>673</v>
      </c>
      <c r="AU31" s="383" t="s">
        <v>608</v>
      </c>
      <c r="AV31" s="383" t="s">
        <v>723</v>
      </c>
      <c r="AW31" s="384" t="s">
        <v>739</v>
      </c>
      <c r="AX31" s="365"/>
      <c r="AY31" s="365"/>
      <c r="AZ31" s="385" t="s">
        <v>692</v>
      </c>
      <c r="BB31" s="348"/>
      <c r="BC31" s="407"/>
      <c r="BE31" s="348"/>
      <c r="BF31" s="348"/>
      <c r="BG31" s="348"/>
      <c r="BH31" s="348"/>
      <c r="BI31" s="348"/>
      <c r="BJ31" s="348"/>
    </row>
    <row r="32" hidden="1" s="348" customFormat="1">
      <c r="A32" s="397" t="s">
        <v>698</v>
      </c>
      <c r="B32" s="335" t="s">
        <v>597</v>
      </c>
      <c r="C32" s="334" t="s">
        <v>645</v>
      </c>
      <c r="D32" s="383" t="s">
        <v>674</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740</v>
      </c>
      <c r="Z32" s="391"/>
      <c r="AA32" s="399"/>
      <c r="AB32" s="399"/>
      <c r="AC32" s="400"/>
      <c r="AD32" s="402" t="s">
        <v>741</v>
      </c>
      <c r="AE32" s="385" t="s">
        <v>620</v>
      </c>
      <c r="AF32" s="394">
        <v>2.58</v>
      </c>
      <c r="AG32" s="394">
        <v>17.2</v>
      </c>
      <c r="AH32" s="337">
        <v>0</v>
      </c>
      <c r="AI32" s="335"/>
      <c r="AJ32" s="389" t="s">
        <v>742</v>
      </c>
      <c r="AK32" s="382"/>
      <c r="AL32" s="347"/>
      <c r="AM32" s="388"/>
      <c r="AN32" s="388"/>
      <c r="AO32" s="388"/>
      <c r="AP32" s="409"/>
      <c r="AQ32" s="388"/>
      <c r="AR32" s="385"/>
      <c r="AS32" s="365"/>
      <c r="AT32" s="384" t="s">
        <v>673</v>
      </c>
      <c r="AU32" s="385" t="s">
        <v>620</v>
      </c>
      <c r="AV32" s="385" t="s">
        <v>743</v>
      </c>
      <c r="AW32" s="384" t="s">
        <v>744</v>
      </c>
      <c r="AX32" s="365"/>
      <c r="AY32" s="365"/>
      <c r="AZ32" s="385" t="s">
        <v>601</v>
      </c>
      <c r="BA32" s="349"/>
      <c r="BC32" s="407"/>
      <c r="BD32" s="408"/>
    </row>
    <row r="33" s="348" customFormat="1">
      <c r="A33" s="397" t="s">
        <v>695</v>
      </c>
      <c r="B33" s="335" t="s">
        <v>597</v>
      </c>
      <c r="C33" s="334" t="s">
        <v>645</v>
      </c>
      <c r="D33" s="383" t="s">
        <v>666</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745</v>
      </c>
      <c r="Z33" s="333"/>
      <c r="AA33" s="333"/>
      <c r="AB33" s="333"/>
      <c r="AC33" s="379"/>
      <c r="AD33" s="380" t="s">
        <v>746</v>
      </c>
      <c r="AE33" s="383" t="s">
        <v>178</v>
      </c>
      <c r="AF33" s="335">
        <v>1.31</v>
      </c>
      <c r="AG33" s="335">
        <v>18</v>
      </c>
      <c r="AH33" s="337">
        <v>0</v>
      </c>
      <c r="AI33" s="335"/>
      <c r="AJ33" s="389" t="s">
        <v>747</v>
      </c>
      <c r="AK33" s="398"/>
      <c r="AL33" s="334"/>
      <c r="AM33" s="335"/>
      <c r="AN33" s="335"/>
      <c r="AO33" s="335"/>
      <c r="AP33" s="409"/>
      <c r="AQ33" s="388"/>
      <c r="AR33" s="385"/>
      <c r="AS33" s="365"/>
      <c r="AT33" s="384" t="s">
        <v>678</v>
      </c>
      <c r="AU33" s="383" t="s">
        <v>598</v>
      </c>
      <c r="AV33" s="383" t="s">
        <v>732</v>
      </c>
      <c r="AW33" s="384" t="s">
        <v>748</v>
      </c>
      <c r="AX33" s="365"/>
      <c r="AY33" s="365"/>
      <c r="AZ33" s="385" t="s">
        <v>601</v>
      </c>
      <c r="BA33" s="349"/>
      <c r="BC33" s="407"/>
      <c r="BD33" s="408"/>
    </row>
    <row r="34" s="348" customFormat="1">
      <c r="A34" s="397" t="s">
        <v>695</v>
      </c>
      <c r="B34" s="335" t="s">
        <v>597</v>
      </c>
      <c r="C34" s="334" t="s">
        <v>645</v>
      </c>
      <c r="D34" s="383" t="s">
        <v>674</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749</v>
      </c>
      <c r="Z34" s="391"/>
      <c r="AA34" s="397"/>
      <c r="AB34" s="397"/>
      <c r="AC34" s="379"/>
      <c r="AD34" s="384" t="s">
        <v>621</v>
      </c>
      <c r="AE34" s="342" t="s">
        <v>598</v>
      </c>
      <c r="AF34" s="392">
        <v>2.45</v>
      </c>
      <c r="AG34" s="392">
        <v>17.5</v>
      </c>
      <c r="AH34" s="337">
        <v>0</v>
      </c>
      <c r="AI34" s="383"/>
      <c r="AJ34" s="404" t="s">
        <v>690</v>
      </c>
      <c r="AK34" s="398"/>
      <c r="AL34" s="334"/>
      <c r="AM34" s="335"/>
      <c r="AN34" s="335"/>
      <c r="AO34" s="335"/>
      <c r="AP34" s="409"/>
      <c r="AQ34" s="388"/>
      <c r="AR34" s="385"/>
      <c r="AS34" s="365"/>
      <c r="AT34" s="384" t="s">
        <v>678</v>
      </c>
      <c r="AU34" s="383" t="s">
        <v>608</v>
      </c>
      <c r="AV34" s="383" t="s">
        <v>723</v>
      </c>
      <c r="AW34" s="384" t="s">
        <v>750</v>
      </c>
      <c r="AX34" s="365"/>
      <c r="AY34" s="365"/>
      <c r="AZ34" s="385" t="s">
        <v>601</v>
      </c>
      <c r="BA34" s="349"/>
      <c r="BB34" s="350"/>
      <c r="BC34" s="411"/>
      <c r="BD34" s="408"/>
      <c r="BE34" s="350"/>
      <c r="BF34" s="350"/>
      <c r="BG34" s="350"/>
    </row>
    <row r="35" hidden="1" s="348" customFormat="1">
      <c r="A35" s="333" t="s">
        <v>619</v>
      </c>
      <c r="B35" s="335" t="s">
        <v>597</v>
      </c>
      <c r="C35" s="334" t="s">
        <v>598</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751</v>
      </c>
      <c r="Z35" s="391"/>
      <c r="AA35" s="397"/>
      <c r="AB35" s="397"/>
      <c r="AC35" s="400"/>
      <c r="AD35" s="384" t="s">
        <v>621</v>
      </c>
      <c r="AE35" s="342" t="s">
        <v>608</v>
      </c>
      <c r="AF35" s="392">
        <v>2.45</v>
      </c>
      <c r="AG35" s="392">
        <v>17</v>
      </c>
      <c r="AH35" s="337">
        <v>0</v>
      </c>
      <c r="AI35" s="335"/>
      <c r="AJ35" s="396" t="s">
        <v>752</v>
      </c>
      <c r="AK35" s="403"/>
      <c r="AL35" s="334"/>
      <c r="AM35" s="335"/>
      <c r="AN35" s="335"/>
      <c r="AO35" s="335"/>
      <c r="AP35" s="409"/>
      <c r="AQ35" s="388"/>
      <c r="AR35" s="385"/>
      <c r="AS35" s="365"/>
      <c r="AT35" s="384" t="s">
        <v>678</v>
      </c>
      <c r="AU35" s="385" t="s">
        <v>620</v>
      </c>
      <c r="AV35" s="385" t="s">
        <v>743</v>
      </c>
      <c r="AW35" s="384" t="s">
        <v>753</v>
      </c>
      <c r="AX35" s="365"/>
      <c r="AY35" s="365"/>
      <c r="AZ35" s="385" t="s">
        <v>601</v>
      </c>
      <c r="BA35" s="349"/>
      <c r="BB35" s="350"/>
      <c r="BC35" s="411"/>
      <c r="BD35" s="408"/>
      <c r="BE35" s="350"/>
      <c r="BF35" s="350"/>
      <c r="BG35" s="350"/>
    </row>
    <row r="36" hidden="1" s="348" customFormat="1">
      <c r="A36" s="333" t="s">
        <v>619</v>
      </c>
      <c r="B36" s="335" t="s">
        <v>597</v>
      </c>
      <c r="C36" s="334" t="s">
        <v>598</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754</v>
      </c>
      <c r="Z36" s="391"/>
      <c r="AA36" s="397"/>
      <c r="AB36" s="397"/>
      <c r="AC36" s="400"/>
      <c r="AD36" s="384" t="s">
        <v>626</v>
      </c>
      <c r="AE36" s="342" t="s">
        <v>598</v>
      </c>
      <c r="AF36" s="392">
        <v>2.45</v>
      </c>
      <c r="AG36" s="392">
        <v>17.1</v>
      </c>
      <c r="AH36" s="337">
        <v>0</v>
      </c>
      <c r="AI36" s="385"/>
      <c r="AJ36" s="404" t="s">
        <v>705</v>
      </c>
      <c r="AK36" s="403"/>
      <c r="AL36" s="334"/>
      <c r="AM36" s="335"/>
      <c r="AN36" s="335"/>
      <c r="AO36" s="335"/>
      <c r="AP36" s="409"/>
      <c r="AQ36" s="388"/>
      <c r="AR36" s="385"/>
      <c r="AS36" s="365"/>
      <c r="AT36" s="384" t="s">
        <v>682</v>
      </c>
      <c r="AU36" s="383" t="s">
        <v>598</v>
      </c>
      <c r="AV36" s="383" t="s">
        <v>732</v>
      </c>
      <c r="AW36" s="399" t="s">
        <v>755</v>
      </c>
      <c r="AX36" s="365"/>
      <c r="AY36" s="365"/>
      <c r="AZ36" s="385" t="s">
        <v>601</v>
      </c>
      <c r="BA36" s="349"/>
      <c r="BB36" s="350"/>
      <c r="BC36" s="411"/>
      <c r="BD36" s="408"/>
      <c r="BE36" s="350"/>
      <c r="BF36" s="350"/>
      <c r="BG36" s="350"/>
    </row>
    <row r="37" hidden="1" s="348" customFormat="1">
      <c r="A37" s="333" t="s">
        <v>619</v>
      </c>
      <c r="B37" s="335" t="s">
        <v>597</v>
      </c>
      <c r="C37" s="334" t="s">
        <v>598</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756</v>
      </c>
      <c r="Z37" s="335"/>
      <c r="AA37" s="399"/>
      <c r="AB37" s="399"/>
      <c r="AC37" s="400"/>
      <c r="AD37" s="384" t="s">
        <v>626</v>
      </c>
      <c r="AE37" s="342" t="s">
        <v>608</v>
      </c>
      <c r="AF37" s="392">
        <v>2.45</v>
      </c>
      <c r="AG37" s="392">
        <v>16.7</v>
      </c>
      <c r="AH37" s="337">
        <v>0</v>
      </c>
      <c r="AI37" s="385"/>
      <c r="AJ37" s="381" t="s">
        <v>699</v>
      </c>
      <c r="AK37" s="403"/>
      <c r="AL37" s="334"/>
      <c r="AM37" s="335"/>
      <c r="AN37" s="335"/>
      <c r="AO37" s="335"/>
      <c r="AP37" s="409"/>
      <c r="AQ37" s="388"/>
      <c r="AR37" s="385"/>
      <c r="AS37" s="365"/>
      <c r="AT37" s="384" t="s">
        <v>682</v>
      </c>
      <c r="AU37" s="383" t="s">
        <v>608</v>
      </c>
      <c r="AV37" s="383" t="s">
        <v>723</v>
      </c>
      <c r="AW37" s="399" t="s">
        <v>757</v>
      </c>
      <c r="AX37" s="365"/>
      <c r="AY37" s="365"/>
      <c r="AZ37" s="385" t="s">
        <v>601</v>
      </c>
      <c r="BA37" s="349"/>
      <c r="BB37" s="350"/>
      <c r="BC37" s="411"/>
      <c r="BD37" s="408"/>
      <c r="BE37" s="350"/>
      <c r="BF37" s="350"/>
      <c r="BG37" s="350"/>
    </row>
    <row r="38" hidden="1" s="348" customFormat="1">
      <c r="A38" s="333" t="s">
        <v>619</v>
      </c>
      <c r="B38" s="335" t="s">
        <v>597</v>
      </c>
      <c r="C38" s="334" t="s">
        <v>598</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758</v>
      </c>
      <c r="Z38" s="335"/>
      <c r="AA38" s="399"/>
      <c r="AB38" s="399"/>
      <c r="AC38" s="400"/>
      <c r="AD38" s="397" t="s">
        <v>637</v>
      </c>
      <c r="AE38" s="342" t="s">
        <v>598</v>
      </c>
      <c r="AF38" s="335">
        <v>2.45</v>
      </c>
      <c r="AG38" s="335">
        <v>17.8</v>
      </c>
      <c r="AH38" s="337">
        <v>0</v>
      </c>
      <c r="AI38" s="392"/>
      <c r="AJ38" s="381" t="s">
        <v>696</v>
      </c>
      <c r="AK38" s="403"/>
      <c r="AL38" s="334"/>
      <c r="AM38" s="335"/>
      <c r="AN38" s="335"/>
      <c r="AO38" s="335"/>
      <c r="AP38" s="409"/>
      <c r="AQ38" s="388"/>
      <c r="AR38" s="385"/>
      <c r="AS38" s="365"/>
      <c r="AT38" s="384" t="s">
        <v>682</v>
      </c>
      <c r="AU38" s="385" t="s">
        <v>620</v>
      </c>
      <c r="AV38" s="385" t="s">
        <v>743</v>
      </c>
      <c r="AW38" s="399" t="s">
        <v>759</v>
      </c>
      <c r="AX38" s="365"/>
      <c r="AY38" s="365"/>
      <c r="AZ38" s="385" t="s">
        <v>601</v>
      </c>
      <c r="BA38" s="349"/>
      <c r="BB38" s="350"/>
      <c r="BC38" s="411"/>
      <c r="BD38" s="408"/>
      <c r="BE38" s="350"/>
      <c r="BF38" s="350"/>
      <c r="BG38" s="350"/>
    </row>
    <row r="39" hidden="1" s="348" customFormat="1">
      <c r="A39" s="333" t="s">
        <v>619</v>
      </c>
      <c r="B39" s="335" t="s">
        <v>597</v>
      </c>
      <c r="C39" s="334" t="s">
        <v>608</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760</v>
      </c>
      <c r="Z39" s="335"/>
      <c r="AA39" s="333"/>
      <c r="AB39" s="333"/>
      <c r="AC39" s="400"/>
      <c r="AD39" s="380" t="s">
        <v>651</v>
      </c>
      <c r="AE39" s="342" t="s">
        <v>598</v>
      </c>
      <c r="AF39" s="335">
        <v>2.44</v>
      </c>
      <c r="AG39" s="335">
        <v>18.1</v>
      </c>
      <c r="AH39" s="337">
        <v>0</v>
      </c>
      <c r="AI39" s="392"/>
      <c r="AJ39" s="404" t="s">
        <v>443</v>
      </c>
      <c r="AK39" s="382"/>
      <c r="AL39" s="347"/>
      <c r="AM39" s="388"/>
      <c r="AN39" s="388"/>
      <c r="AO39" s="388"/>
      <c r="AP39" s="409"/>
      <c r="AQ39" s="388"/>
      <c r="AR39" s="385"/>
      <c r="AS39" s="365"/>
      <c r="AT39" s="384" t="s">
        <v>687</v>
      </c>
      <c r="AU39" s="383" t="s">
        <v>598</v>
      </c>
      <c r="AV39" s="383" t="s">
        <v>732</v>
      </c>
      <c r="AW39" s="399" t="s">
        <v>761</v>
      </c>
      <c r="AX39" s="365"/>
      <c r="AY39" s="365"/>
      <c r="AZ39" s="385" t="s">
        <v>601</v>
      </c>
      <c r="BA39" s="349"/>
      <c r="BB39" s="350"/>
      <c r="BC39" s="411"/>
      <c r="BD39" s="408"/>
      <c r="BE39" s="350"/>
      <c r="BF39" s="350"/>
      <c r="BG39" s="350"/>
    </row>
    <row r="40" hidden="1" s="348" customFormat="1">
      <c r="A40" s="333" t="s">
        <v>619</v>
      </c>
      <c r="B40" s="335" t="s">
        <v>597</v>
      </c>
      <c r="C40" s="334" t="s">
        <v>608</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443</v>
      </c>
      <c r="AE40" s="383" t="s">
        <v>178</v>
      </c>
      <c r="AF40" s="392">
        <v>1.35</v>
      </c>
      <c r="AG40" s="392">
        <v>18.4</v>
      </c>
      <c r="AH40" s="337">
        <v>0</v>
      </c>
      <c r="AI40" s="335"/>
      <c r="AJ40" s="381" t="s">
        <v>762</v>
      </c>
      <c r="AK40" s="382"/>
      <c r="AL40" s="347"/>
      <c r="AM40" s="388"/>
      <c r="AN40" s="388"/>
      <c r="AO40" s="388"/>
      <c r="AP40" s="409"/>
      <c r="AQ40" s="388"/>
      <c r="AR40" s="385"/>
      <c r="AS40" s="365"/>
      <c r="AT40" s="384" t="s">
        <v>687</v>
      </c>
      <c r="AU40" s="383" t="s">
        <v>608</v>
      </c>
      <c r="AV40" s="383" t="s">
        <v>723</v>
      </c>
      <c r="AW40" s="399" t="s">
        <v>763</v>
      </c>
      <c r="AX40" s="365"/>
      <c r="AY40" s="365"/>
      <c r="AZ40" s="385" t="s">
        <v>711</v>
      </c>
      <c r="BA40" s="349"/>
      <c r="BB40" s="350"/>
      <c r="BC40" s="411"/>
      <c r="BD40" s="408"/>
      <c r="BE40" s="350"/>
      <c r="BF40" s="350"/>
      <c r="BG40" s="350"/>
    </row>
    <row r="41" hidden="1" s="348" customFormat="1">
      <c r="A41" s="333" t="s">
        <v>619</v>
      </c>
      <c r="B41" s="335" t="s">
        <v>597</v>
      </c>
      <c r="C41" s="334" t="s">
        <v>608</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747</v>
      </c>
      <c r="AE41" s="383" t="s">
        <v>178</v>
      </c>
      <c r="AF41" s="392">
        <v>1.3</v>
      </c>
      <c r="AG41" s="392">
        <v>18</v>
      </c>
      <c r="AH41" s="337">
        <v>0</v>
      </c>
      <c r="AI41" s="335"/>
      <c r="AJ41" s="381" t="s">
        <v>764</v>
      </c>
      <c r="AK41" s="398"/>
      <c r="AL41" s="334"/>
      <c r="AM41" s="335"/>
      <c r="AN41" s="335"/>
      <c r="AO41" s="335"/>
      <c r="AP41" s="409"/>
      <c r="AQ41" s="388"/>
      <c r="AR41" s="385"/>
      <c r="AS41" s="365"/>
      <c r="AT41" s="384" t="s">
        <v>687</v>
      </c>
      <c r="AU41" s="385" t="s">
        <v>620</v>
      </c>
      <c r="AV41" s="385" t="s">
        <v>743</v>
      </c>
      <c r="AW41" s="399" t="s">
        <v>765</v>
      </c>
      <c r="AX41" s="365"/>
      <c r="AY41" s="365"/>
      <c r="AZ41" s="385" t="s">
        <v>711</v>
      </c>
      <c r="BA41" s="349"/>
      <c r="BB41" s="350"/>
      <c r="BC41" s="411"/>
      <c r="BD41" s="408"/>
      <c r="BE41" s="350"/>
      <c r="BF41" s="350"/>
      <c r="BG41" s="350"/>
    </row>
    <row r="42" hidden="1" s="348" customFormat="1">
      <c r="A42" s="333" t="s">
        <v>619</v>
      </c>
      <c r="B42" s="335" t="s">
        <v>597</v>
      </c>
      <c r="C42" s="334" t="s">
        <v>608</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619</v>
      </c>
      <c r="B43" s="335" t="s">
        <v>597</v>
      </c>
      <c r="C43" s="334" t="s">
        <v>620</v>
      </c>
      <c r="D43" s="383">
        <v>4</v>
      </c>
      <c r="E43" s="383"/>
      <c r="F43" s="554">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68"/>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619</v>
      </c>
      <c r="B44" s="335" t="s">
        <v>597</v>
      </c>
      <c r="C44" s="334" t="s">
        <v>620</v>
      </c>
      <c r="D44" s="383" t="s">
        <v>670</v>
      </c>
      <c r="E44" s="383"/>
      <c r="F44" s="554">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738</v>
      </c>
      <c r="AE44" s="342" t="s">
        <v>608</v>
      </c>
      <c r="AF44" s="392">
        <v>0.493</v>
      </c>
      <c r="AG44" s="392">
        <v>2</v>
      </c>
      <c r="AH44" s="414">
        <v>0</v>
      </c>
      <c r="AI44" s="385"/>
      <c r="AJ44" s="415" t="s">
        <v>709</v>
      </c>
      <c r="AK44" s="403"/>
      <c r="AL44" s="334"/>
      <c r="AM44" s="335"/>
      <c r="AN44" s="335"/>
      <c r="AO44" s="335"/>
      <c r="AP44" s="409"/>
      <c r="AQ44" s="388"/>
      <c r="AR44" s="385"/>
      <c r="AS44" s="365"/>
      <c r="AT44" s="384" t="s">
        <v>693</v>
      </c>
      <c r="AU44" s="383" t="s">
        <v>620</v>
      </c>
      <c r="AV44" s="383" t="s">
        <v>743</v>
      </c>
      <c r="AW44" s="399" t="s">
        <v>766</v>
      </c>
      <c r="AX44" s="365"/>
      <c r="AY44" s="365"/>
      <c r="AZ44" s="385" t="s">
        <v>711</v>
      </c>
      <c r="BB44" s="348"/>
      <c r="BC44" s="407"/>
      <c r="BE44" s="348"/>
      <c r="BF44" s="348"/>
      <c r="BG44" s="348"/>
    </row>
    <row r="45" hidden="1">
      <c r="A45" s="397" t="s">
        <v>619</v>
      </c>
      <c r="B45" s="335" t="s">
        <v>597</v>
      </c>
      <c r="C45" s="334" t="s">
        <v>620</v>
      </c>
      <c r="D45" s="383" t="s">
        <v>666</v>
      </c>
      <c r="E45" s="383"/>
      <c r="F45" s="554">
        <v>60</v>
      </c>
      <c r="G45" s="335">
        <f t="shared" si="7"/>
        <v>47.78</v>
      </c>
      <c r="H45" s="394"/>
      <c r="I45" s="335">
        <f t="shared" si="8"/>
        <v>0</v>
      </c>
      <c r="J45" s="394"/>
      <c r="K45" s="335">
        <f t="shared" si="9"/>
        <v>0</v>
      </c>
      <c r="L45" s="383"/>
      <c r="M45" s="335">
        <f t="shared" si="10"/>
        <v>0</v>
      </c>
      <c r="N45" s="555"/>
      <c r="O45" s="335">
        <f t="shared" si="11"/>
        <v>0</v>
      </c>
      <c r="P45" s="335"/>
      <c r="Q45" s="335"/>
      <c r="R45" s="335"/>
      <c r="S45" s="335"/>
      <c r="T45" s="335"/>
      <c r="U45" s="335"/>
      <c r="V45" s="335"/>
      <c r="W45" s="334"/>
      <c r="X45" s="378"/>
      <c r="Y45" s="413"/>
      <c r="Z45" s="413"/>
      <c r="AA45" s="397"/>
      <c r="AB45" s="397"/>
      <c r="AC45" s="400"/>
      <c r="AD45" s="384" t="s">
        <v>738</v>
      </c>
      <c r="AE45" s="383" t="s">
        <v>178</v>
      </c>
      <c r="AF45" s="392">
        <v>0.493</v>
      </c>
      <c r="AG45" s="392">
        <v>2</v>
      </c>
      <c r="AH45" s="337">
        <v>0</v>
      </c>
      <c r="AI45" s="335"/>
      <c r="AJ45" s="381" t="s">
        <v>714</v>
      </c>
      <c r="AK45" s="398"/>
      <c r="AL45" s="332"/>
      <c r="AM45" s="335"/>
      <c r="AN45" s="335"/>
      <c r="AO45" s="335"/>
      <c r="AP45" s="409"/>
      <c r="AQ45" s="388"/>
      <c r="AR45" s="385"/>
      <c r="AS45" s="365"/>
      <c r="AT45" s="384" t="s">
        <v>697</v>
      </c>
      <c r="AU45" s="383" t="s">
        <v>598</v>
      </c>
      <c r="AV45" s="383" t="s">
        <v>732</v>
      </c>
      <c r="AW45" s="399" t="s">
        <v>767</v>
      </c>
      <c r="AX45" s="365"/>
      <c r="AY45" s="365"/>
      <c r="AZ45" s="385" t="s">
        <v>711</v>
      </c>
      <c r="BB45" s="348"/>
      <c r="BC45" s="407"/>
      <c r="BE45" s="348"/>
      <c r="BF45" s="348"/>
      <c r="BG45" s="348"/>
    </row>
    <row r="46" hidden="1">
      <c r="A46" s="397" t="s">
        <v>619</v>
      </c>
      <c r="B46" s="335" t="s">
        <v>597</v>
      </c>
      <c r="C46" s="334" t="s">
        <v>620</v>
      </c>
      <c r="D46" s="383">
        <v>8</v>
      </c>
      <c r="E46" s="383"/>
      <c r="F46" s="554">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181</v>
      </c>
      <c r="AE46" s="342" t="s">
        <v>608</v>
      </c>
      <c r="AF46" s="335">
        <v>1.35</v>
      </c>
      <c r="AG46" s="335">
        <v>18</v>
      </c>
      <c r="AH46" s="337">
        <v>0</v>
      </c>
      <c r="AI46" s="335"/>
      <c r="AJ46" s="416" t="s">
        <v>718</v>
      </c>
      <c r="AK46" s="398"/>
      <c r="AL46" s="332"/>
      <c r="AM46" s="335"/>
      <c r="AN46" s="335"/>
      <c r="AO46" s="335"/>
      <c r="AP46" s="409"/>
      <c r="AQ46" s="388"/>
      <c r="AR46" s="385"/>
      <c r="AS46" s="365"/>
      <c r="AT46" s="384" t="s">
        <v>697</v>
      </c>
      <c r="AU46" s="383" t="s">
        <v>608</v>
      </c>
      <c r="AV46" s="383" t="s">
        <v>723</v>
      </c>
      <c r="AW46" s="399" t="s">
        <v>768</v>
      </c>
      <c r="AX46" s="365"/>
      <c r="AY46" s="365"/>
      <c r="AZ46" s="385" t="s">
        <v>711</v>
      </c>
      <c r="BB46" s="348"/>
      <c r="BC46" s="407"/>
      <c r="BE46" s="348"/>
      <c r="BF46" s="348"/>
      <c r="BG46" s="348"/>
    </row>
    <row r="47" hidden="1">
      <c r="A47" s="397" t="s">
        <v>625</v>
      </c>
      <c r="B47" s="335" t="s">
        <v>597</v>
      </c>
      <c r="C47" s="334" t="s">
        <v>620</v>
      </c>
      <c r="D47" s="383">
        <v>4</v>
      </c>
      <c r="E47" s="383"/>
      <c r="F47" s="554">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181</v>
      </c>
      <c r="AE47" s="383" t="s">
        <v>178</v>
      </c>
      <c r="AF47" s="335">
        <v>1.35</v>
      </c>
      <c r="AG47" s="335">
        <v>18</v>
      </c>
      <c r="AH47" s="337">
        <v>0</v>
      </c>
      <c r="AI47" s="335"/>
      <c r="AJ47" s="416" t="s">
        <v>769</v>
      </c>
      <c r="AK47" s="398"/>
      <c r="AL47" s="332"/>
      <c r="AM47" s="335"/>
      <c r="AN47" s="335"/>
      <c r="AO47" s="335"/>
      <c r="AP47" s="409"/>
      <c r="AQ47" s="388"/>
      <c r="AR47" s="385"/>
      <c r="AS47" s="365"/>
      <c r="AT47" s="399" t="s">
        <v>700</v>
      </c>
      <c r="AU47" s="383" t="s">
        <v>598</v>
      </c>
      <c r="AV47" s="383" t="s">
        <v>732</v>
      </c>
      <c r="AW47" s="399" t="s">
        <v>770</v>
      </c>
      <c r="AX47" s="365"/>
      <c r="AY47" s="365"/>
      <c r="AZ47" s="385" t="s">
        <v>711</v>
      </c>
      <c r="BB47" s="348"/>
      <c r="BC47" s="407"/>
      <c r="BE47" s="348"/>
      <c r="BF47" s="348"/>
      <c r="BG47" s="348"/>
    </row>
    <row r="48" hidden="1">
      <c r="A48" s="397" t="s">
        <v>625</v>
      </c>
      <c r="B48" s="335" t="s">
        <v>597</v>
      </c>
      <c r="C48" s="334" t="s">
        <v>620</v>
      </c>
      <c r="D48" s="383" t="s">
        <v>670</v>
      </c>
      <c r="E48" s="383"/>
      <c r="F48" s="554">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731</v>
      </c>
      <c r="AE48" s="342" t="s">
        <v>598</v>
      </c>
      <c r="AF48" s="335">
        <v>2.58</v>
      </c>
      <c r="AG48" s="335">
        <v>17.5</v>
      </c>
      <c r="AH48" s="337">
        <v>6</v>
      </c>
      <c r="AI48" s="335"/>
      <c r="AJ48" s="416" t="s">
        <v>771</v>
      </c>
      <c r="AK48" s="398"/>
      <c r="AL48" s="332"/>
      <c r="AM48" s="335"/>
      <c r="AN48" s="335"/>
      <c r="AO48" s="335"/>
      <c r="AP48" s="409"/>
      <c r="AQ48" s="388"/>
      <c r="AR48" s="385"/>
      <c r="AS48" s="365"/>
      <c r="AT48" s="399" t="s">
        <v>700</v>
      </c>
      <c r="AU48" s="383" t="s">
        <v>608</v>
      </c>
      <c r="AV48" s="383" t="s">
        <v>723</v>
      </c>
      <c r="AW48" s="384"/>
      <c r="AX48" s="365"/>
      <c r="AY48" s="365"/>
      <c r="AZ48" s="385"/>
      <c r="BB48" s="348"/>
      <c r="BC48" s="407"/>
      <c r="BE48" s="348"/>
      <c r="BF48" s="348"/>
      <c r="BG48" s="348"/>
    </row>
    <row r="49" hidden="1">
      <c r="A49" s="397" t="s">
        <v>625</v>
      </c>
      <c r="B49" s="335" t="s">
        <v>597</v>
      </c>
      <c r="C49" s="334" t="s">
        <v>620</v>
      </c>
      <c r="D49" s="383" t="s">
        <v>666</v>
      </c>
      <c r="E49" s="383"/>
      <c r="F49" s="554">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731</v>
      </c>
      <c r="AE49" s="342" t="s">
        <v>608</v>
      </c>
      <c r="AF49" s="335">
        <v>2.58</v>
      </c>
      <c r="AG49" s="335">
        <v>17.5</v>
      </c>
      <c r="AH49" s="337">
        <v>6</v>
      </c>
      <c r="AI49" s="335"/>
      <c r="AJ49" s="381" t="s">
        <v>772</v>
      </c>
      <c r="AK49" s="398"/>
      <c r="AL49" s="332"/>
      <c r="AM49" s="335"/>
      <c r="AN49" s="335"/>
      <c r="AO49" s="335"/>
      <c r="AP49" s="409"/>
      <c r="AQ49" s="388"/>
      <c r="AR49" s="385"/>
      <c r="AS49" s="365"/>
      <c r="AT49" s="399" t="s">
        <v>703</v>
      </c>
      <c r="AU49" s="383" t="s">
        <v>645</v>
      </c>
      <c r="AV49" s="383" t="s">
        <v>773</v>
      </c>
      <c r="AW49" s="399"/>
      <c r="AX49" s="365"/>
      <c r="AY49" s="365"/>
      <c r="AZ49" s="385"/>
      <c r="BB49" s="348"/>
      <c r="BC49" s="407"/>
      <c r="BE49" s="348"/>
      <c r="BF49" s="348"/>
      <c r="BG49" s="348"/>
    </row>
    <row r="50" hidden="1">
      <c r="A50" s="397" t="s">
        <v>625</v>
      </c>
      <c r="B50" s="335" t="s">
        <v>597</v>
      </c>
      <c r="C50" s="334" t="s">
        <v>620</v>
      </c>
      <c r="D50" s="383">
        <v>8</v>
      </c>
      <c r="E50" s="383"/>
      <c r="F50" s="554">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731</v>
      </c>
      <c r="AE50" s="385" t="s">
        <v>620</v>
      </c>
      <c r="AF50" s="335">
        <v>2.58</v>
      </c>
      <c r="AG50" s="335">
        <v>17.5</v>
      </c>
      <c r="AH50" s="337">
        <v>6</v>
      </c>
      <c r="AI50" s="335"/>
      <c r="AJ50" s="381" t="s">
        <v>735</v>
      </c>
      <c r="AK50" s="398"/>
      <c r="AL50" s="332"/>
      <c r="AM50" s="335"/>
      <c r="AN50" s="335"/>
      <c r="AO50" s="335"/>
      <c r="AP50" s="409"/>
      <c r="AQ50" s="388"/>
      <c r="AR50" s="385"/>
      <c r="AS50" s="365"/>
      <c r="AT50" s="399" t="s">
        <v>707</v>
      </c>
      <c r="AU50" s="385" t="s">
        <v>603</v>
      </c>
      <c r="AV50" s="383" t="s">
        <v>774</v>
      </c>
      <c r="AW50" s="399"/>
      <c r="AX50" s="365"/>
      <c r="AY50" s="365"/>
      <c r="AZ50" s="385"/>
      <c r="BB50" s="348"/>
      <c r="BC50" s="407"/>
      <c r="BE50" s="348"/>
      <c r="BF50" s="348"/>
      <c r="BG50" s="348"/>
    </row>
    <row r="51" hidden="1">
      <c r="A51" s="397" t="s">
        <v>629</v>
      </c>
      <c r="B51" s="335" t="s">
        <v>597</v>
      </c>
      <c r="C51" s="334" t="s">
        <v>620</v>
      </c>
      <c r="D51" s="383">
        <v>4</v>
      </c>
      <c r="E51" s="383"/>
      <c r="F51" s="554">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722</v>
      </c>
      <c r="AE51" s="342" t="s">
        <v>598</v>
      </c>
      <c r="AF51" s="335">
        <v>2.58</v>
      </c>
      <c r="AG51" s="335">
        <v>18</v>
      </c>
      <c r="AH51" s="337">
        <v>6</v>
      </c>
      <c r="AI51" s="335"/>
      <c r="AJ51" s="381" t="s">
        <v>741</v>
      </c>
      <c r="AK51" s="398"/>
      <c r="AL51" s="332"/>
      <c r="AM51" s="335"/>
      <c r="AN51" s="335"/>
      <c r="AO51" s="335"/>
      <c r="AP51" s="409"/>
      <c r="AQ51" s="388"/>
      <c r="AR51" s="385"/>
      <c r="AS51" s="365"/>
      <c r="AT51" s="399" t="s">
        <v>712</v>
      </c>
      <c r="AU51" s="383" t="s">
        <v>178</v>
      </c>
      <c r="AV51" s="383" t="s">
        <v>775</v>
      </c>
      <c r="AW51" s="399"/>
      <c r="AX51" s="365"/>
      <c r="AY51" s="365"/>
      <c r="AZ51" s="385"/>
      <c r="BB51" s="348"/>
      <c r="BC51" s="407"/>
      <c r="BE51" s="348"/>
      <c r="BF51" s="348"/>
      <c r="BG51" s="348"/>
    </row>
    <row r="52" hidden="1">
      <c r="A52" s="397" t="s">
        <v>629</v>
      </c>
      <c r="B52" s="335" t="s">
        <v>597</v>
      </c>
      <c r="C52" s="334" t="s">
        <v>620</v>
      </c>
      <c r="D52" s="383" t="s">
        <v>670</v>
      </c>
      <c r="E52" s="383"/>
      <c r="F52" s="554">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764</v>
      </c>
      <c r="AE52" s="383" t="s">
        <v>598</v>
      </c>
      <c r="AF52" s="335">
        <v>2.55</v>
      </c>
      <c r="AG52" s="335">
        <v>16.8</v>
      </c>
      <c r="AH52" s="337">
        <v>0</v>
      </c>
      <c r="AI52" s="335"/>
      <c r="AJ52" s="416" t="s">
        <v>730</v>
      </c>
      <c r="AK52" s="398"/>
      <c r="AL52" s="332"/>
      <c r="AM52" s="335"/>
      <c r="AN52" s="335"/>
      <c r="AO52" s="335"/>
      <c r="AP52" s="409"/>
      <c r="AQ52" s="388"/>
      <c r="AR52" s="385"/>
      <c r="AS52" s="365"/>
      <c r="AT52" s="399" t="s">
        <v>712</v>
      </c>
      <c r="AU52" s="383" t="s">
        <v>614</v>
      </c>
      <c r="AV52" s="383" t="s">
        <v>776</v>
      </c>
      <c r="AW52" s="399"/>
      <c r="AX52" s="365"/>
      <c r="AY52" s="365"/>
      <c r="AZ52" s="385"/>
      <c r="BB52" s="348"/>
      <c r="BC52" s="407"/>
      <c r="BE52" s="348"/>
      <c r="BF52" s="348"/>
      <c r="BG52" s="348"/>
      <c r="BH52" s="348"/>
      <c r="BI52" s="348"/>
      <c r="BJ52" s="348"/>
    </row>
    <row r="53" hidden="1">
      <c r="A53" s="397" t="s">
        <v>629</v>
      </c>
      <c r="B53" s="335" t="s">
        <v>597</v>
      </c>
      <c r="C53" s="334" t="s">
        <v>620</v>
      </c>
      <c r="D53" s="383" t="s">
        <v>666</v>
      </c>
      <c r="E53" s="383"/>
      <c r="F53" s="554">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764</v>
      </c>
      <c r="AE53" s="383" t="s">
        <v>608</v>
      </c>
      <c r="AF53" s="335">
        <v>2.55</v>
      </c>
      <c r="AG53" s="335">
        <v>16.8</v>
      </c>
      <c r="AH53" s="337">
        <v>0</v>
      </c>
      <c r="AI53" s="335"/>
      <c r="AJ53" s="416" t="s">
        <v>726</v>
      </c>
      <c r="AK53" s="398"/>
      <c r="AL53" s="332"/>
      <c r="AM53" s="335"/>
      <c r="AN53" s="335"/>
      <c r="AO53" s="335"/>
      <c r="AP53" s="409"/>
      <c r="AQ53" s="388"/>
      <c r="AR53" s="385"/>
      <c r="AS53" s="365"/>
      <c r="AT53" s="399" t="s">
        <v>716</v>
      </c>
      <c r="AU53" s="385" t="s">
        <v>608</v>
      </c>
      <c r="AV53" s="383" t="s">
        <v>774</v>
      </c>
      <c r="AW53" s="384"/>
      <c r="AX53" s="365"/>
      <c r="AY53" s="365"/>
      <c r="AZ53" s="385"/>
      <c r="BH53" s="348"/>
      <c r="BI53" s="348"/>
      <c r="BJ53" s="348"/>
    </row>
    <row r="54" hidden="1" s="348" customFormat="1">
      <c r="A54" s="397" t="s">
        <v>629</v>
      </c>
      <c r="B54" s="335" t="s">
        <v>597</v>
      </c>
      <c r="C54" s="334" t="s">
        <v>620</v>
      </c>
      <c r="D54" s="383">
        <v>8</v>
      </c>
      <c r="E54" s="383"/>
      <c r="F54" s="554">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764</v>
      </c>
      <c r="AE54" s="383" t="s">
        <v>178</v>
      </c>
      <c r="AF54" s="335">
        <v>2.55</v>
      </c>
      <c r="AG54" s="335">
        <v>17.5</v>
      </c>
      <c r="AH54" s="337">
        <v>0</v>
      </c>
      <c r="AI54" s="335"/>
      <c r="AJ54" s="416" t="s">
        <v>746</v>
      </c>
      <c r="AK54" s="398"/>
      <c r="AL54" s="332"/>
      <c r="AM54" s="335"/>
      <c r="AN54" s="335"/>
      <c r="AO54" s="335"/>
      <c r="AP54" s="409"/>
      <c r="AQ54" s="388"/>
      <c r="AR54" s="385"/>
      <c r="AS54" s="365"/>
      <c r="AT54" s="399" t="s">
        <v>716</v>
      </c>
      <c r="AU54" s="383" t="s">
        <v>598</v>
      </c>
      <c r="AV54" s="383" t="s">
        <v>776</v>
      </c>
      <c r="AW54" s="384"/>
      <c r="AX54" s="365"/>
      <c r="AY54" s="365"/>
      <c r="AZ54" s="385"/>
      <c r="BA54" s="349"/>
      <c r="BB54" s="350"/>
      <c r="BC54" s="411"/>
      <c r="BD54" s="408"/>
      <c r="BE54" s="350"/>
      <c r="BF54" s="350"/>
      <c r="BG54" s="350"/>
    </row>
    <row r="55" hidden="1" s="348" customFormat="1">
      <c r="A55" s="333" t="s">
        <v>635</v>
      </c>
      <c r="B55" s="335" t="s">
        <v>597</v>
      </c>
      <c r="C55" s="334" t="s">
        <v>598</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769</v>
      </c>
      <c r="AE55" s="383" t="s">
        <v>608</v>
      </c>
      <c r="AF55" s="335">
        <v>1.47</v>
      </c>
      <c r="AG55" s="335">
        <v>17.3</v>
      </c>
      <c r="AH55" s="337">
        <v>0</v>
      </c>
      <c r="AI55" s="335"/>
      <c r="AJ55" s="335"/>
      <c r="AK55" s="419"/>
      <c r="AL55" s="332"/>
      <c r="AM55" s="335"/>
      <c r="AN55" s="335"/>
      <c r="AO55" s="335"/>
      <c r="AP55" s="409"/>
      <c r="AQ55" s="388"/>
      <c r="AR55" s="385"/>
      <c r="AS55" s="365"/>
      <c r="AT55" s="399" t="s">
        <v>716</v>
      </c>
      <c r="AU55" s="383" t="s">
        <v>620</v>
      </c>
      <c r="AV55" s="383" t="s">
        <v>777</v>
      </c>
      <c r="AW55" s="384"/>
      <c r="AX55" s="365"/>
      <c r="AY55" s="365"/>
      <c r="AZ55" s="385"/>
      <c r="BA55" s="349"/>
      <c r="BB55" s="350"/>
      <c r="BC55" s="411"/>
      <c r="BD55" s="408"/>
      <c r="BE55" s="350"/>
      <c r="BF55" s="350"/>
      <c r="BG55" s="350"/>
    </row>
    <row r="56" hidden="1" s="348" customFormat="1">
      <c r="A56" s="333" t="s">
        <v>635</v>
      </c>
      <c r="B56" s="335" t="s">
        <v>597</v>
      </c>
      <c r="C56" s="334" t="s">
        <v>598</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769</v>
      </c>
      <c r="AE56" s="383" t="s">
        <v>178</v>
      </c>
      <c r="AF56" s="335">
        <v>1.47</v>
      </c>
      <c r="AG56" s="335">
        <v>17.7</v>
      </c>
      <c r="AH56" s="337">
        <v>0</v>
      </c>
      <c r="AI56" s="335"/>
      <c r="AJ56" s="335"/>
      <c r="AK56" s="419"/>
      <c r="AL56" s="332"/>
      <c r="AM56" s="335"/>
      <c r="AN56" s="335"/>
      <c r="AO56" s="335"/>
      <c r="AP56" s="409"/>
      <c r="AQ56" s="388"/>
      <c r="AR56" s="385"/>
      <c r="AS56" s="365"/>
      <c r="AT56" s="399" t="s">
        <v>720</v>
      </c>
      <c r="AU56" s="385" t="s">
        <v>608</v>
      </c>
      <c r="AV56" s="383" t="s">
        <v>774</v>
      </c>
      <c r="AW56" s="384"/>
      <c r="AX56" s="365"/>
      <c r="AY56" s="365"/>
      <c r="AZ56" s="385"/>
      <c r="BA56" s="349"/>
      <c r="BB56" s="350"/>
      <c r="BC56" s="411"/>
      <c r="BD56" s="408"/>
      <c r="BE56" s="350"/>
      <c r="BF56" s="350"/>
      <c r="BG56" s="350"/>
    </row>
    <row r="57" hidden="1" s="348" customFormat="1">
      <c r="A57" s="333" t="s">
        <v>635</v>
      </c>
      <c r="B57" s="335" t="s">
        <v>597</v>
      </c>
      <c r="C57" s="334" t="s">
        <v>608</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769</v>
      </c>
      <c r="AE57" s="383" t="s">
        <v>603</v>
      </c>
      <c r="AF57" s="335">
        <v>1.47</v>
      </c>
      <c r="AG57" s="335">
        <v>18</v>
      </c>
      <c r="AH57" s="337">
        <v>0</v>
      </c>
      <c r="AI57" s="335"/>
      <c r="AJ57" s="335"/>
      <c r="AK57" s="419"/>
      <c r="AL57" s="332"/>
      <c r="AM57" s="335"/>
      <c r="AN57" s="335"/>
      <c r="AO57" s="335"/>
      <c r="AP57" s="409"/>
      <c r="AQ57" s="388"/>
      <c r="AR57" s="385"/>
      <c r="AS57" s="365"/>
      <c r="AT57" s="399" t="s">
        <v>720</v>
      </c>
      <c r="AU57" s="383" t="s">
        <v>598</v>
      </c>
      <c r="AV57" s="383" t="s">
        <v>776</v>
      </c>
      <c r="AW57" s="384"/>
      <c r="AX57" s="365"/>
      <c r="AY57" s="365"/>
      <c r="AZ57" s="384"/>
      <c r="BA57" s="349"/>
      <c r="BB57" s="350"/>
      <c r="BC57" s="411"/>
      <c r="BD57" s="408"/>
      <c r="BE57" s="350"/>
      <c r="BF57" s="350"/>
      <c r="BG57" s="350"/>
    </row>
    <row r="58" hidden="1" s="348" customFormat="1">
      <c r="A58" s="333" t="s">
        <v>635</v>
      </c>
      <c r="B58" s="335" t="s">
        <v>597</v>
      </c>
      <c r="C58" s="334" t="s">
        <v>608</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650</v>
      </c>
      <c r="AE58" s="383" t="s">
        <v>614</v>
      </c>
      <c r="AF58" s="335">
        <v>1.31</v>
      </c>
      <c r="AG58" s="335">
        <v>18</v>
      </c>
      <c r="AH58" s="337">
        <v>0</v>
      </c>
      <c r="AI58" s="335"/>
      <c r="AJ58" s="335"/>
      <c r="AK58" s="419"/>
      <c r="AL58" s="332"/>
      <c r="AM58" s="335"/>
      <c r="AN58" s="335"/>
      <c r="AO58" s="335"/>
      <c r="AP58" s="409"/>
      <c r="AQ58" s="388"/>
      <c r="AR58" s="385"/>
      <c r="AS58" s="365"/>
      <c r="AT58" s="399" t="s">
        <v>720</v>
      </c>
      <c r="AU58" s="383" t="s">
        <v>620</v>
      </c>
      <c r="AV58" s="383" t="s">
        <v>777</v>
      </c>
      <c r="AW58" s="384"/>
      <c r="AX58" s="365"/>
      <c r="AY58" s="365"/>
      <c r="AZ58" s="384"/>
      <c r="BA58" s="349"/>
      <c r="BB58" s="350"/>
      <c r="BC58" s="411"/>
      <c r="BD58" s="408"/>
      <c r="BE58" s="350"/>
      <c r="BF58" s="350"/>
      <c r="BG58" s="350"/>
    </row>
    <row r="59" hidden="1" s="348" customFormat="1">
      <c r="A59" s="333" t="s">
        <v>635</v>
      </c>
      <c r="B59" s="335" t="s">
        <v>597</v>
      </c>
      <c r="C59" s="334" t="s">
        <v>620</v>
      </c>
      <c r="D59" s="412">
        <v>4</v>
      </c>
      <c r="E59" s="335"/>
      <c r="F59" s="554">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771</v>
      </c>
      <c r="AE59" s="383" t="s">
        <v>608</v>
      </c>
      <c r="AF59" s="335">
        <v>1.94</v>
      </c>
      <c r="AG59" s="335">
        <v>17.5</v>
      </c>
      <c r="AH59" s="337">
        <v>0</v>
      </c>
      <c r="AI59" s="335"/>
      <c r="AJ59" s="335"/>
      <c r="AK59" s="419"/>
      <c r="AL59" s="332"/>
      <c r="AM59" s="335"/>
      <c r="AN59" s="335"/>
      <c r="AO59" s="335"/>
      <c r="AP59" s="409"/>
      <c r="AQ59" s="388"/>
      <c r="AR59" s="385"/>
      <c r="AS59" s="365"/>
      <c r="AT59" s="399" t="s">
        <v>724</v>
      </c>
      <c r="AU59" s="385" t="s">
        <v>608</v>
      </c>
      <c r="AV59" s="383" t="s">
        <v>774</v>
      </c>
      <c r="AW59" s="384"/>
      <c r="AX59" s="365"/>
      <c r="AY59" s="365"/>
      <c r="AZ59" s="384"/>
      <c r="BA59" s="349"/>
      <c r="BB59" s="350"/>
      <c r="BC59" s="411"/>
      <c r="BD59" s="408"/>
      <c r="BE59" s="350"/>
      <c r="BF59" s="350"/>
      <c r="BG59" s="350"/>
    </row>
    <row r="60" hidden="1" s="348" customFormat="1">
      <c r="A60" s="399" t="s">
        <v>635</v>
      </c>
      <c r="B60" s="335" t="s">
        <v>597</v>
      </c>
      <c r="C60" s="334" t="s">
        <v>620</v>
      </c>
      <c r="D60" s="383" t="s">
        <v>670</v>
      </c>
      <c r="E60" s="399"/>
      <c r="F60" s="554">
        <v>60</v>
      </c>
      <c r="G60" s="335">
        <f t="shared" si="7"/>
        <v>47.78</v>
      </c>
      <c r="H60" s="558"/>
      <c r="I60" s="335">
        <f t="shared" si="8"/>
        <v>0</v>
      </c>
      <c r="J60" s="558"/>
      <c r="K60" s="335">
        <f t="shared" si="9"/>
        <v>0</v>
      </c>
      <c r="L60" s="399"/>
      <c r="M60" s="335">
        <f t="shared" si="10"/>
        <v>0</v>
      </c>
      <c r="N60" s="399"/>
      <c r="O60" s="335">
        <f t="shared" si="11"/>
        <v>0</v>
      </c>
      <c r="Y60" s="335"/>
      <c r="Z60" s="335"/>
      <c r="AA60" s="417"/>
      <c r="AB60" s="417"/>
      <c r="AC60" s="400"/>
      <c r="AD60" s="418" t="s">
        <v>771</v>
      </c>
      <c r="AE60" s="383" t="s">
        <v>178</v>
      </c>
      <c r="AF60" s="335">
        <v>1.94</v>
      </c>
      <c r="AG60" s="335">
        <v>17.6</v>
      </c>
      <c r="AH60" s="337">
        <v>0</v>
      </c>
      <c r="AI60" s="335"/>
      <c r="AJ60" s="335"/>
      <c r="AK60" s="419"/>
      <c r="AL60" s="332"/>
      <c r="AM60" s="335"/>
      <c r="AN60" s="335"/>
      <c r="AO60" s="335"/>
      <c r="AP60" s="409"/>
      <c r="AQ60" s="388"/>
      <c r="AR60" s="385"/>
      <c r="AS60" s="365"/>
      <c r="AT60" s="399" t="s">
        <v>724</v>
      </c>
      <c r="AU60" s="383" t="s">
        <v>598</v>
      </c>
      <c r="AV60" s="383" t="s">
        <v>776</v>
      </c>
      <c r="AW60" s="384"/>
      <c r="AX60" s="365"/>
      <c r="AY60" s="365"/>
      <c r="AZ60" s="384"/>
      <c r="BA60" s="349"/>
      <c r="BB60" s="350"/>
      <c r="BC60" s="411"/>
      <c r="BD60" s="408"/>
      <c r="BE60" s="350"/>
      <c r="BF60" s="350"/>
      <c r="BG60" s="350"/>
    </row>
    <row r="61" hidden="1" s="348" customFormat="1">
      <c r="A61" s="397" t="s">
        <v>635</v>
      </c>
      <c r="B61" s="335" t="s">
        <v>597</v>
      </c>
      <c r="C61" s="334" t="s">
        <v>620</v>
      </c>
      <c r="D61" s="383" t="s">
        <v>666</v>
      </c>
      <c r="E61" s="383"/>
      <c r="F61" s="554">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771</v>
      </c>
      <c r="AE61" s="383" t="s">
        <v>603</v>
      </c>
      <c r="AF61" s="335">
        <v>1.94</v>
      </c>
      <c r="AG61" s="335">
        <v>18</v>
      </c>
      <c r="AH61" s="337">
        <v>0</v>
      </c>
      <c r="AI61" s="420"/>
      <c r="AJ61" s="420"/>
      <c r="AK61" s="419"/>
      <c r="AL61" s="338"/>
      <c r="AM61" s="335"/>
      <c r="AN61" s="335"/>
      <c r="AO61" s="335"/>
      <c r="AP61" s="409"/>
      <c r="AQ61" s="388"/>
      <c r="AR61" s="385"/>
      <c r="AS61" s="365"/>
      <c r="AT61" s="399" t="s">
        <v>724</v>
      </c>
      <c r="AU61" s="383" t="s">
        <v>620</v>
      </c>
      <c r="AV61" s="383" t="s">
        <v>777</v>
      </c>
      <c r="AW61" s="384"/>
      <c r="AX61" s="365"/>
      <c r="AY61" s="365"/>
      <c r="AZ61" s="384"/>
      <c r="BA61" s="349"/>
      <c r="BB61" s="350"/>
      <c r="BC61" s="411"/>
      <c r="BD61" s="408"/>
      <c r="BE61" s="350"/>
      <c r="BF61" s="350"/>
      <c r="BG61" s="350"/>
      <c r="BH61" s="350"/>
      <c r="BI61" s="350"/>
      <c r="BJ61" s="350"/>
    </row>
    <row r="62" hidden="1" s="348" customFormat="1">
      <c r="A62" s="397" t="s">
        <v>635</v>
      </c>
      <c r="B62" s="335" t="s">
        <v>597</v>
      </c>
      <c r="C62" s="334" t="s">
        <v>620</v>
      </c>
      <c r="D62" s="383">
        <v>8</v>
      </c>
      <c r="E62" s="383"/>
      <c r="F62" s="554">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686</v>
      </c>
      <c r="AE62" s="409" t="s">
        <v>608</v>
      </c>
      <c r="AF62" s="422">
        <v>1.39</v>
      </c>
      <c r="AG62" s="422">
        <v>17.4</v>
      </c>
      <c r="AH62" s="423">
        <v>0</v>
      </c>
      <c r="AI62" s="420"/>
      <c r="AJ62" s="420"/>
      <c r="AK62" s="419"/>
      <c r="AL62" s="338"/>
      <c r="AM62" s="335"/>
      <c r="AN62" s="335"/>
      <c r="AO62" s="335"/>
      <c r="AP62" s="409"/>
      <c r="AQ62" s="388"/>
      <c r="AR62" s="385"/>
      <c r="AS62" s="365"/>
      <c r="AT62" s="399" t="s">
        <v>728</v>
      </c>
      <c r="AU62" s="385" t="s">
        <v>608</v>
      </c>
      <c r="AV62" s="383" t="s">
        <v>774</v>
      </c>
      <c r="AW62" s="384"/>
      <c r="AX62" s="365"/>
      <c r="AY62" s="365"/>
      <c r="AZ62" s="384"/>
      <c r="BA62" s="349"/>
      <c r="BB62" s="350"/>
      <c r="BC62" s="411"/>
      <c r="BD62" s="408"/>
      <c r="BE62" s="350"/>
      <c r="BF62" s="350"/>
      <c r="BG62" s="350"/>
      <c r="BH62" s="350"/>
      <c r="BI62" s="350"/>
      <c r="BJ62" s="350"/>
    </row>
    <row r="63" hidden="1">
      <c r="A63" s="397" t="s">
        <v>642</v>
      </c>
      <c r="B63" s="335" t="s">
        <v>597</v>
      </c>
      <c r="C63" s="334" t="s">
        <v>620</v>
      </c>
      <c r="D63" s="383">
        <v>4</v>
      </c>
      <c r="E63" s="383"/>
      <c r="F63" s="554">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686</v>
      </c>
      <c r="AE63" s="409" t="s">
        <v>178</v>
      </c>
      <c r="AF63" s="422">
        <v>1.39</v>
      </c>
      <c r="AG63" s="422">
        <v>17.9</v>
      </c>
      <c r="AH63" s="423">
        <v>0</v>
      </c>
      <c r="AI63" s="420"/>
      <c r="AJ63" s="420"/>
      <c r="AK63" s="419"/>
      <c r="AL63" s="338"/>
      <c r="AM63" s="335"/>
      <c r="AN63" s="335"/>
      <c r="AO63" s="335"/>
      <c r="AP63" s="409"/>
      <c r="AQ63" s="388"/>
      <c r="AR63" s="385"/>
      <c r="AS63" s="365"/>
      <c r="AT63" s="399" t="s">
        <v>728</v>
      </c>
      <c r="AU63" s="383" t="s">
        <v>598</v>
      </c>
      <c r="AV63" s="383" t="s">
        <v>776</v>
      </c>
      <c r="AW63" s="384"/>
      <c r="AX63" s="365"/>
      <c r="AY63" s="365"/>
      <c r="AZ63" s="384"/>
    </row>
    <row r="64" hidden="1">
      <c r="A64" s="397" t="s">
        <v>642</v>
      </c>
      <c r="B64" s="335" t="s">
        <v>597</v>
      </c>
      <c r="C64" s="334" t="s">
        <v>620</v>
      </c>
      <c r="D64" s="383" t="s">
        <v>670</v>
      </c>
      <c r="E64" s="383"/>
      <c r="F64" s="554">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681</v>
      </c>
      <c r="AE64" s="409" t="s">
        <v>608</v>
      </c>
      <c r="AF64" s="422">
        <v>1.39</v>
      </c>
      <c r="AG64" s="422">
        <v>19.3</v>
      </c>
      <c r="AH64" s="423">
        <v>0</v>
      </c>
      <c r="AI64" s="420"/>
      <c r="AJ64" s="420"/>
      <c r="AK64" s="419"/>
      <c r="AL64" s="338"/>
      <c r="AM64" s="335"/>
      <c r="AN64" s="335"/>
      <c r="AO64" s="335"/>
      <c r="AP64" s="409"/>
      <c r="AQ64" s="388"/>
      <c r="AR64" s="385"/>
      <c r="AS64" s="365"/>
      <c r="AT64" s="399" t="s">
        <v>728</v>
      </c>
      <c r="AU64" s="385" t="s">
        <v>620</v>
      </c>
      <c r="AV64" s="385" t="s">
        <v>777</v>
      </c>
      <c r="AW64" s="384"/>
      <c r="AX64" s="365"/>
      <c r="AY64" s="365"/>
      <c r="AZ64" s="384"/>
    </row>
    <row r="65" hidden="1">
      <c r="A65" s="397" t="s">
        <v>642</v>
      </c>
      <c r="B65" s="335" t="s">
        <v>597</v>
      </c>
      <c r="C65" s="334" t="s">
        <v>620</v>
      </c>
      <c r="D65" s="383" t="s">
        <v>666</v>
      </c>
      <c r="E65" s="383"/>
      <c r="F65" s="554">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681</v>
      </c>
      <c r="AE65" s="409" t="s">
        <v>178</v>
      </c>
      <c r="AF65" s="422">
        <v>1.39</v>
      </c>
      <c r="AG65" s="388">
        <v>19.9</v>
      </c>
      <c r="AH65" s="423">
        <v>0</v>
      </c>
      <c r="AI65" s="388"/>
      <c r="AJ65" s="388"/>
      <c r="AK65" s="382"/>
      <c r="AL65" s="341"/>
      <c r="AM65" s="388"/>
      <c r="AN65" s="388"/>
      <c r="AO65" s="388"/>
      <c r="AP65" s="409"/>
      <c r="AQ65" s="388"/>
      <c r="AR65" s="385"/>
      <c r="AS65" s="365"/>
      <c r="AT65" s="384" t="s">
        <v>733</v>
      </c>
      <c r="AU65" s="385" t="s">
        <v>608</v>
      </c>
      <c r="AV65" s="385" t="s">
        <v>774</v>
      </c>
      <c r="AW65" s="384"/>
      <c r="AX65" s="365"/>
      <c r="AY65" s="365"/>
      <c r="AZ65" s="384"/>
    </row>
    <row r="66" hidden="1">
      <c r="A66" s="397" t="s">
        <v>642</v>
      </c>
      <c r="B66" s="335" t="s">
        <v>597</v>
      </c>
      <c r="C66" s="334" t="s">
        <v>620</v>
      </c>
      <c r="D66" s="383">
        <v>8</v>
      </c>
      <c r="E66" s="383"/>
      <c r="F66" s="554">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677</v>
      </c>
      <c r="AE66" s="409" t="s">
        <v>608</v>
      </c>
      <c r="AF66" s="388">
        <v>1.6</v>
      </c>
      <c r="AG66" s="388">
        <v>20</v>
      </c>
      <c r="AH66" s="423">
        <v>0</v>
      </c>
      <c r="AI66" s="388"/>
      <c r="AJ66" s="388"/>
      <c r="AK66" s="382"/>
      <c r="AL66" s="341"/>
      <c r="AM66" s="388"/>
      <c r="AN66" s="388"/>
      <c r="AO66" s="388"/>
      <c r="AP66" s="409"/>
      <c r="AQ66" s="388"/>
      <c r="AR66" s="385"/>
      <c r="AS66" s="365"/>
      <c r="AT66" s="384" t="s">
        <v>733</v>
      </c>
      <c r="AU66" s="385" t="s">
        <v>598</v>
      </c>
      <c r="AV66" s="385" t="s">
        <v>776</v>
      </c>
      <c r="AW66" s="384"/>
      <c r="AX66" s="365"/>
      <c r="AY66" s="365"/>
      <c r="AZ66" s="384"/>
    </row>
    <row r="67" hidden="1">
      <c r="A67" s="333" t="s">
        <v>649</v>
      </c>
      <c r="B67" s="335" t="s">
        <v>597</v>
      </c>
      <c r="C67" s="334" t="s">
        <v>598</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677</v>
      </c>
      <c r="AE67" s="409" t="s">
        <v>178</v>
      </c>
      <c r="AF67" s="388">
        <v>1.6</v>
      </c>
      <c r="AG67" s="388">
        <v>21</v>
      </c>
      <c r="AH67" s="423">
        <v>0</v>
      </c>
      <c r="AI67" s="388"/>
      <c r="AJ67" s="388"/>
      <c r="AK67" s="382"/>
      <c r="AL67" s="341"/>
      <c r="AM67" s="388"/>
      <c r="AN67" s="388"/>
      <c r="AO67" s="388"/>
      <c r="AP67" s="409"/>
      <c r="AQ67" s="388"/>
      <c r="AR67" s="385"/>
      <c r="AS67" s="365"/>
      <c r="AT67" s="384" t="s">
        <v>733</v>
      </c>
      <c r="AU67" s="385" t="s">
        <v>620</v>
      </c>
      <c r="AV67" s="385" t="s">
        <v>777</v>
      </c>
      <c r="AW67" s="399"/>
      <c r="AX67" s="365"/>
      <c r="AY67" s="365"/>
      <c r="AZ67" s="384"/>
    </row>
    <row r="68" hidden="1">
      <c r="A68" s="333" t="s">
        <v>649</v>
      </c>
      <c r="B68" s="335" t="s">
        <v>597</v>
      </c>
      <c r="C68" s="334" t="s">
        <v>598</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706</v>
      </c>
      <c r="AE68" s="409" t="s">
        <v>614</v>
      </c>
      <c r="AF68" s="388">
        <v>1.5</v>
      </c>
      <c r="AG68" s="388">
        <v>14.7</v>
      </c>
      <c r="AH68" s="423">
        <v>0</v>
      </c>
      <c r="AI68" s="388"/>
      <c r="AJ68" s="388"/>
      <c r="AK68" s="382"/>
      <c r="AL68" s="341"/>
      <c r="AM68" s="388"/>
      <c r="AN68" s="388"/>
      <c r="AO68" s="388"/>
      <c r="AP68" s="409"/>
      <c r="AQ68" s="388"/>
      <c r="AR68" s="385"/>
      <c r="AS68" s="365"/>
      <c r="AT68" s="384" t="s">
        <v>736</v>
      </c>
      <c r="AU68" s="385" t="s">
        <v>608</v>
      </c>
      <c r="AV68" s="385" t="s">
        <v>774</v>
      </c>
      <c r="AW68" s="399"/>
      <c r="AX68" s="365"/>
      <c r="AY68" s="365"/>
      <c r="AZ68" s="385"/>
    </row>
    <row r="69" hidden="1">
      <c r="A69" s="333" t="s">
        <v>649</v>
      </c>
      <c r="B69" s="335" t="s">
        <v>597</v>
      </c>
      <c r="C69" s="334" t="s">
        <v>598</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706</v>
      </c>
      <c r="AE69" s="409" t="s">
        <v>608</v>
      </c>
      <c r="AF69" s="388">
        <v>1.5</v>
      </c>
      <c r="AG69" s="388">
        <v>16.8</v>
      </c>
      <c r="AH69" s="423">
        <v>0</v>
      </c>
      <c r="AI69" s="388"/>
      <c r="AJ69" s="388"/>
      <c r="AK69" s="382"/>
      <c r="AL69" s="341"/>
      <c r="AM69" s="388"/>
      <c r="AN69" s="388"/>
      <c r="AO69" s="388"/>
      <c r="AP69" s="409"/>
      <c r="AQ69" s="388"/>
      <c r="AR69" s="385"/>
      <c r="AS69" s="365"/>
      <c r="AT69" s="384" t="s">
        <v>736</v>
      </c>
      <c r="AU69" s="385" t="s">
        <v>598</v>
      </c>
      <c r="AV69" s="385" t="s">
        <v>776</v>
      </c>
      <c r="AW69" s="399"/>
      <c r="AX69" s="365"/>
      <c r="AY69" s="365"/>
      <c r="AZ69" s="385"/>
    </row>
    <row r="70" hidden="1">
      <c r="A70" s="333" t="s">
        <v>649</v>
      </c>
      <c r="B70" s="335" t="s">
        <v>597</v>
      </c>
      <c r="C70" s="334" t="s">
        <v>608</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706</v>
      </c>
      <c r="AE70" s="409" t="s">
        <v>178</v>
      </c>
      <c r="AF70" s="388">
        <v>1.5</v>
      </c>
      <c r="AG70" s="388">
        <v>17.2</v>
      </c>
      <c r="AH70" s="423">
        <v>0</v>
      </c>
      <c r="AI70" s="388"/>
      <c r="AJ70" s="388"/>
      <c r="AK70" s="382"/>
      <c r="AL70" s="341"/>
      <c r="AM70" s="388"/>
      <c r="AN70" s="388"/>
      <c r="AO70" s="388"/>
      <c r="AP70" s="409"/>
      <c r="AQ70" s="388"/>
      <c r="AR70" s="385"/>
      <c r="AS70" s="365"/>
      <c r="AT70" s="384" t="s">
        <v>739</v>
      </c>
      <c r="AU70" s="385" t="s">
        <v>608</v>
      </c>
      <c r="AV70" s="385" t="s">
        <v>774</v>
      </c>
      <c r="AW70" s="399"/>
      <c r="AX70" s="365"/>
      <c r="AY70" s="365"/>
      <c r="AZ70" s="385"/>
    </row>
    <row r="71" hidden="1">
      <c r="A71" s="333" t="s">
        <v>649</v>
      </c>
      <c r="B71" s="335" t="s">
        <v>597</v>
      </c>
      <c r="C71" s="334" t="s">
        <v>608</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762</v>
      </c>
      <c r="AE71" s="339" t="s">
        <v>614</v>
      </c>
      <c r="AF71" s="335">
        <v>2.4</v>
      </c>
      <c r="AG71" s="335">
        <v>16.9</v>
      </c>
      <c r="AH71" s="337">
        <v>0</v>
      </c>
      <c r="AI71" s="388"/>
      <c r="AJ71" s="388"/>
      <c r="AK71" s="382"/>
      <c r="AL71" s="341"/>
      <c r="AM71" s="388"/>
      <c r="AN71" s="388"/>
      <c r="AO71" s="388"/>
      <c r="AP71" s="409"/>
      <c r="AQ71" s="388"/>
      <c r="AR71" s="385"/>
      <c r="AS71" s="365"/>
      <c r="AT71" s="399" t="s">
        <v>739</v>
      </c>
      <c r="AU71" s="385" t="s">
        <v>598</v>
      </c>
      <c r="AV71" s="385" t="s">
        <v>776</v>
      </c>
      <c r="AW71" s="399"/>
      <c r="AX71" s="365"/>
      <c r="AY71" s="365"/>
      <c r="AZ71" s="385"/>
    </row>
    <row r="72" hidden="1">
      <c r="A72" s="333" t="s">
        <v>649</v>
      </c>
      <c r="B72" s="335" t="s">
        <v>597</v>
      </c>
      <c r="C72" s="334" t="s">
        <v>608</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778</v>
      </c>
      <c r="AE72" s="339" t="s">
        <v>614</v>
      </c>
      <c r="AF72" s="420">
        <v>2.58</v>
      </c>
      <c r="AG72" s="420">
        <v>17</v>
      </c>
      <c r="AH72" s="426">
        <v>0</v>
      </c>
      <c r="AI72" s="420"/>
      <c r="AJ72" s="420"/>
      <c r="AK72" s="398"/>
      <c r="AL72" s="338"/>
      <c r="AM72" s="335"/>
      <c r="AN72" s="335"/>
      <c r="AO72" s="335"/>
      <c r="AP72" s="409"/>
      <c r="AQ72" s="388"/>
      <c r="AR72" s="385"/>
      <c r="AS72" s="365"/>
      <c r="AT72" s="399" t="s">
        <v>744</v>
      </c>
      <c r="AU72" s="385" t="s">
        <v>178</v>
      </c>
      <c r="AV72" s="385" t="s">
        <v>779</v>
      </c>
      <c r="AW72" s="399"/>
      <c r="AX72" s="365"/>
      <c r="AY72" s="365"/>
      <c r="AZ72" s="384"/>
    </row>
    <row r="73" hidden="1">
      <c r="A73" s="397" t="s">
        <v>649</v>
      </c>
      <c r="B73" s="335" t="s">
        <v>597</v>
      </c>
      <c r="C73" s="334" t="s">
        <v>620</v>
      </c>
      <c r="D73" s="383">
        <v>4</v>
      </c>
      <c r="E73" s="383"/>
      <c r="F73" s="554">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778</v>
      </c>
      <c r="AE73" s="339" t="s">
        <v>603</v>
      </c>
      <c r="AF73" s="420">
        <v>2.58</v>
      </c>
      <c r="AG73" s="420">
        <v>17.8</v>
      </c>
      <c r="AH73" s="426">
        <v>0</v>
      </c>
      <c r="AI73" s="420"/>
      <c r="AJ73" s="420"/>
      <c r="AK73" s="398"/>
      <c r="AL73" s="338"/>
      <c r="AM73" s="335"/>
      <c r="AN73" s="335"/>
      <c r="AO73" s="335"/>
      <c r="AP73" s="409"/>
      <c r="AQ73" s="388"/>
      <c r="AR73" s="385"/>
      <c r="AS73" s="365"/>
      <c r="AT73" s="399" t="s">
        <v>748</v>
      </c>
      <c r="AU73" s="385" t="s">
        <v>598</v>
      </c>
      <c r="AV73" s="385" t="s">
        <v>780</v>
      </c>
      <c r="AW73" s="399"/>
      <c r="AX73" s="365"/>
      <c r="AY73" s="365"/>
      <c r="AZ73" s="384"/>
    </row>
    <row r="74" hidden="1">
      <c r="A74" s="397" t="s">
        <v>649</v>
      </c>
      <c r="B74" s="335" t="s">
        <v>597</v>
      </c>
      <c r="C74" s="334" t="s">
        <v>620</v>
      </c>
      <c r="D74" s="383" t="s">
        <v>670</v>
      </c>
      <c r="E74" s="383"/>
      <c r="F74" s="554">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691</v>
      </c>
      <c r="AE74" s="409" t="s">
        <v>598</v>
      </c>
      <c r="AF74" s="422">
        <v>1.41</v>
      </c>
      <c r="AG74" s="422">
        <v>14.3</v>
      </c>
      <c r="AH74" s="423">
        <v>0</v>
      </c>
      <c r="AI74" s="422"/>
      <c r="AJ74" s="422"/>
      <c r="AK74" s="382"/>
      <c r="AL74" s="341"/>
      <c r="AM74" s="388"/>
      <c r="AN74" s="388"/>
      <c r="AO74" s="388"/>
      <c r="AP74" s="409"/>
      <c r="AQ74" s="388"/>
      <c r="AR74" s="385"/>
      <c r="AS74" s="365"/>
      <c r="AT74" s="399" t="s">
        <v>750</v>
      </c>
      <c r="AU74" s="385" t="s">
        <v>598</v>
      </c>
      <c r="AV74" s="385" t="s">
        <v>780</v>
      </c>
      <c r="AW74" s="399"/>
      <c r="AX74" s="365"/>
      <c r="AY74" s="365"/>
      <c r="AZ74" s="384"/>
    </row>
    <row r="75" hidden="1">
      <c r="A75" s="397" t="s">
        <v>649</v>
      </c>
      <c r="B75" s="335" t="s">
        <v>597</v>
      </c>
      <c r="C75" s="334" t="s">
        <v>620</v>
      </c>
      <c r="D75" s="383" t="s">
        <v>666</v>
      </c>
      <c r="E75" s="383"/>
      <c r="F75" s="554">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691</v>
      </c>
      <c r="AE75" s="409" t="s">
        <v>608</v>
      </c>
      <c r="AF75" s="422">
        <v>1.41</v>
      </c>
      <c r="AG75" s="422">
        <v>17.1</v>
      </c>
      <c r="AH75" s="423">
        <v>0</v>
      </c>
      <c r="AI75" s="422"/>
      <c r="AJ75" s="422"/>
      <c r="AK75" s="382"/>
      <c r="AL75" s="341"/>
      <c r="AM75" s="388"/>
      <c r="AN75" s="388"/>
      <c r="AO75" s="388"/>
      <c r="AP75" s="409"/>
      <c r="AQ75" s="388"/>
      <c r="AR75" s="385"/>
      <c r="AS75" s="365"/>
      <c r="AT75" s="399" t="s">
        <v>753</v>
      </c>
      <c r="AU75" s="383" t="s">
        <v>598</v>
      </c>
      <c r="AV75" s="383" t="s">
        <v>780</v>
      </c>
      <c r="AW75" s="399"/>
      <c r="AX75" s="365"/>
      <c r="AY75" s="365"/>
      <c r="AZ75" s="385"/>
    </row>
    <row r="76" hidden="1">
      <c r="A76" s="397" t="s">
        <v>649</v>
      </c>
      <c r="B76" s="335" t="s">
        <v>597</v>
      </c>
      <c r="C76" s="334" t="s">
        <v>620</v>
      </c>
      <c r="D76" s="383">
        <v>8</v>
      </c>
      <c r="E76" s="383"/>
      <c r="F76" s="554">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691</v>
      </c>
      <c r="AE76" s="409" t="s">
        <v>598</v>
      </c>
      <c r="AF76" s="422">
        <v>1.41</v>
      </c>
      <c r="AG76" s="422">
        <v>17.5</v>
      </c>
      <c r="AH76" s="423">
        <v>0</v>
      </c>
      <c r="AI76" s="420"/>
      <c r="AJ76" s="420"/>
      <c r="AK76" s="419"/>
      <c r="AL76" s="338"/>
      <c r="AM76" s="335"/>
      <c r="AN76" s="335"/>
      <c r="AO76" s="335"/>
      <c r="AP76" s="409"/>
      <c r="AQ76" s="388"/>
      <c r="AR76" s="385"/>
      <c r="AS76" s="365"/>
      <c r="AT76" s="399" t="s">
        <v>755</v>
      </c>
      <c r="AU76" s="383" t="s">
        <v>598</v>
      </c>
      <c r="AV76" s="383" t="s">
        <v>780</v>
      </c>
      <c r="AW76" s="399"/>
      <c r="AX76" s="365"/>
      <c r="AY76" s="365"/>
      <c r="AZ76" s="385"/>
    </row>
    <row r="77" hidden="1">
      <c r="A77" s="397" t="s">
        <v>656</v>
      </c>
      <c r="B77" s="335" t="s">
        <v>597</v>
      </c>
      <c r="C77" s="334" t="s">
        <v>620</v>
      </c>
      <c r="D77" s="383">
        <v>4</v>
      </c>
      <c r="E77" s="383"/>
      <c r="F77" s="554">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752</v>
      </c>
      <c r="AE77" s="339" t="s">
        <v>608</v>
      </c>
      <c r="AF77" s="420">
        <v>1.43</v>
      </c>
      <c r="AG77" s="420">
        <v>17.3</v>
      </c>
      <c r="AH77" s="426">
        <v>0</v>
      </c>
      <c r="AI77" s="420"/>
      <c r="AJ77" s="420"/>
      <c r="AK77" s="419"/>
      <c r="AL77" s="384"/>
      <c r="AM77" s="428"/>
      <c r="AN77" s="428"/>
      <c r="AO77" s="335"/>
      <c r="AP77" s="409"/>
      <c r="AQ77" s="388"/>
      <c r="AR77" s="385"/>
      <c r="AS77" s="365"/>
      <c r="AT77" s="399" t="s">
        <v>757</v>
      </c>
      <c r="AU77" s="383" t="s">
        <v>598</v>
      </c>
      <c r="AV77" s="383" t="s">
        <v>780</v>
      </c>
      <c r="AW77" s="399"/>
      <c r="AX77" s="365"/>
      <c r="AY77" s="365"/>
      <c r="AZ77" s="385"/>
    </row>
    <row r="78" hidden="1">
      <c r="A78" s="397" t="s">
        <v>656</v>
      </c>
      <c r="B78" s="335" t="s">
        <v>597</v>
      </c>
      <c r="C78" s="334" t="s">
        <v>620</v>
      </c>
      <c r="D78" s="383" t="s">
        <v>670</v>
      </c>
      <c r="E78" s="383"/>
      <c r="F78" s="554">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752</v>
      </c>
      <c r="AE78" s="339" t="s">
        <v>178</v>
      </c>
      <c r="AF78" s="420">
        <v>1.43</v>
      </c>
      <c r="AG78" s="420">
        <v>17.7</v>
      </c>
      <c r="AH78" s="426">
        <v>0</v>
      </c>
      <c r="AI78" s="420"/>
      <c r="AJ78" s="420"/>
      <c r="AK78" s="419"/>
      <c r="AL78" s="338"/>
      <c r="AM78" s="335"/>
      <c r="AN78" s="335"/>
      <c r="AO78" s="335"/>
      <c r="AP78" s="409"/>
      <c r="AQ78" s="388"/>
      <c r="AR78" s="385"/>
      <c r="AS78" s="365"/>
      <c r="AT78" s="399" t="s">
        <v>759</v>
      </c>
      <c r="AU78" s="383" t="s">
        <v>598</v>
      </c>
      <c r="AV78" s="383" t="s">
        <v>780</v>
      </c>
      <c r="AW78" s="384"/>
      <c r="AX78" s="365"/>
      <c r="AY78" s="365"/>
      <c r="AZ78" s="385"/>
    </row>
    <row r="79" hidden="1">
      <c r="A79" s="397" t="s">
        <v>656</v>
      </c>
      <c r="B79" s="335" t="s">
        <v>597</v>
      </c>
      <c r="C79" s="334" t="s">
        <v>620</v>
      </c>
      <c r="D79" s="383" t="s">
        <v>666</v>
      </c>
      <c r="E79" s="383"/>
      <c r="F79" s="554">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702</v>
      </c>
      <c r="AE79" s="339" t="s">
        <v>608</v>
      </c>
      <c r="AF79" s="420">
        <v>1.365</v>
      </c>
      <c r="AG79" s="420">
        <v>17.4</v>
      </c>
      <c r="AH79" s="426">
        <v>0</v>
      </c>
      <c r="AI79" s="420"/>
      <c r="AJ79" s="420"/>
      <c r="AK79" s="419"/>
      <c r="AL79" s="338"/>
      <c r="AM79" s="335"/>
      <c r="AN79" s="335"/>
      <c r="AO79" s="335"/>
      <c r="AP79" s="409"/>
      <c r="AQ79" s="388"/>
      <c r="AR79" s="385"/>
      <c r="AS79" s="365"/>
      <c r="AT79" s="399" t="s">
        <v>761</v>
      </c>
      <c r="AU79" s="383" t="s">
        <v>598</v>
      </c>
      <c r="AV79" s="383" t="s">
        <v>780</v>
      </c>
      <c r="AW79" s="384"/>
      <c r="AX79" s="365"/>
      <c r="AY79" s="365"/>
      <c r="AZ79" s="385"/>
    </row>
    <row r="80" hidden="1">
      <c r="A80" s="397" t="s">
        <v>656</v>
      </c>
      <c r="B80" s="335" t="s">
        <v>597</v>
      </c>
      <c r="C80" s="334" t="s">
        <v>620</v>
      </c>
      <c r="D80" s="383">
        <v>8</v>
      </c>
      <c r="E80" s="383"/>
      <c r="F80" s="554">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702</v>
      </c>
      <c r="AE80" s="339" t="s">
        <v>178</v>
      </c>
      <c r="AF80" s="420">
        <v>1.365</v>
      </c>
      <c r="AG80" s="420">
        <v>17.9</v>
      </c>
      <c r="AH80" s="426">
        <v>0</v>
      </c>
      <c r="AI80" s="420"/>
      <c r="AJ80" s="420"/>
      <c r="AK80" s="419"/>
      <c r="AL80" s="338"/>
      <c r="AM80" s="335"/>
      <c r="AN80" s="335"/>
      <c r="AO80" s="335"/>
      <c r="AP80" s="409"/>
      <c r="AQ80" s="388"/>
      <c r="AR80" s="385"/>
      <c r="AS80" s="365"/>
      <c r="AT80" s="399" t="s">
        <v>763</v>
      </c>
      <c r="AU80" s="383" t="s">
        <v>603</v>
      </c>
      <c r="AV80" s="383" t="s">
        <v>781</v>
      </c>
      <c r="AW80" s="384"/>
      <c r="AX80" s="365"/>
      <c r="AY80" s="365"/>
      <c r="AZ80" s="385"/>
    </row>
    <row r="81" hidden="1">
      <c r="A81" s="397" t="s">
        <v>701</v>
      </c>
      <c r="B81" s="335" t="s">
        <v>597</v>
      </c>
      <c r="C81" s="334" t="s">
        <v>645</v>
      </c>
      <c r="D81" s="383" t="s">
        <v>666</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765</v>
      </c>
      <c r="AU81" s="383" t="s">
        <v>608</v>
      </c>
      <c r="AV81" s="383" t="s">
        <v>781</v>
      </c>
      <c r="AW81" s="384"/>
      <c r="AX81" s="365"/>
      <c r="AY81" s="365"/>
      <c r="AZ81" s="385"/>
    </row>
    <row r="82" hidden="1">
      <c r="A82" s="397" t="s">
        <v>701</v>
      </c>
      <c r="B82" s="335" t="s">
        <v>597</v>
      </c>
      <c r="C82" s="334" t="s">
        <v>645</v>
      </c>
      <c r="D82" s="383" t="s">
        <v>674</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782</v>
      </c>
      <c r="AU82" s="351" t="s">
        <v>608</v>
      </c>
      <c r="AV82" s="351" t="s">
        <v>781</v>
      </c>
      <c r="AW82" s="399"/>
      <c r="AX82" s="365"/>
      <c r="AY82" s="365"/>
      <c r="AZ82" s="385"/>
    </row>
    <row r="83" hidden="1">
      <c r="A83" s="391" t="s">
        <v>662</v>
      </c>
      <c r="B83" s="335" t="s">
        <v>597</v>
      </c>
      <c r="C83" s="334" t="s">
        <v>178</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783</v>
      </c>
      <c r="AU83" s="383" t="s">
        <v>608</v>
      </c>
      <c r="AV83" s="383" t="s">
        <v>781</v>
      </c>
      <c r="AW83" s="384"/>
      <c r="AX83" s="365"/>
      <c r="AY83" s="365"/>
      <c r="AZ83" s="385"/>
    </row>
    <row r="84" hidden="1">
      <c r="A84" s="399" t="s">
        <v>662</v>
      </c>
      <c r="B84" s="335" t="s">
        <v>597</v>
      </c>
      <c r="C84" s="334" t="s">
        <v>178</v>
      </c>
      <c r="D84" s="438">
        <v>2</v>
      </c>
      <c r="E84" s="335"/>
      <c r="F84" s="554">
        <v>40</v>
      </c>
      <c r="G84" s="345">
        <f t="shared" si="12"/>
        <v>46.02</v>
      </c>
      <c r="H84" s="554"/>
      <c r="I84" s="345">
        <f t="shared" si="13"/>
        <v>0</v>
      </c>
      <c r="J84" s="554"/>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766</v>
      </c>
      <c r="AU84" s="383" t="s">
        <v>608</v>
      </c>
      <c r="AV84" s="383" t="s">
        <v>781</v>
      </c>
      <c r="AW84" s="384"/>
      <c r="AX84" s="365"/>
      <c r="AY84" s="365"/>
      <c r="AZ84" s="385"/>
    </row>
    <row r="85" hidden="1">
      <c r="A85" s="399" t="s">
        <v>662</v>
      </c>
      <c r="B85" s="335" t="s">
        <v>597</v>
      </c>
      <c r="C85" s="334" t="s">
        <v>178</v>
      </c>
      <c r="D85" s="438">
        <v>3</v>
      </c>
      <c r="E85" s="335"/>
      <c r="F85" s="554">
        <v>60</v>
      </c>
      <c r="G85" s="345">
        <f t="shared" si="12"/>
        <v>47.78</v>
      </c>
      <c r="H85" s="554"/>
      <c r="I85" s="345">
        <f t="shared" si="13"/>
        <v>0</v>
      </c>
      <c r="J85" s="554"/>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767</v>
      </c>
      <c r="AU85" s="385" t="s">
        <v>608</v>
      </c>
      <c r="AV85" s="385" t="s">
        <v>781</v>
      </c>
      <c r="AW85" s="384"/>
      <c r="AX85" s="365"/>
      <c r="AY85" s="365"/>
      <c r="AZ85" s="385"/>
    </row>
    <row r="86" hidden="1">
      <c r="A86" s="399" t="s">
        <v>667</v>
      </c>
      <c r="B86" s="335" t="s">
        <v>597</v>
      </c>
      <c r="C86" s="334" t="s">
        <v>178</v>
      </c>
      <c r="D86" s="438">
        <v>1</v>
      </c>
      <c r="E86" s="335"/>
      <c r="F86" s="554">
        <v>20</v>
      </c>
      <c r="G86" s="345">
        <f t="shared" si="12"/>
        <v>43.01</v>
      </c>
      <c r="H86" s="554"/>
      <c r="I86" s="345">
        <f t="shared" si="13"/>
        <v>0</v>
      </c>
      <c r="J86" s="554"/>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768</v>
      </c>
      <c r="AU86" s="385" t="s">
        <v>608</v>
      </c>
      <c r="AV86" s="385" t="s">
        <v>781</v>
      </c>
      <c r="AW86" s="384"/>
      <c r="AX86" s="365"/>
      <c r="AY86" s="365"/>
      <c r="AZ86" s="385"/>
    </row>
    <row r="87" hidden="1">
      <c r="A87" s="399" t="s">
        <v>667</v>
      </c>
      <c r="B87" s="335" t="s">
        <v>597</v>
      </c>
      <c r="C87" s="334" t="s">
        <v>178</v>
      </c>
      <c r="D87" s="438">
        <v>2</v>
      </c>
      <c r="E87" s="335"/>
      <c r="F87" s="554">
        <v>40</v>
      </c>
      <c r="G87" s="345">
        <f t="shared" si="12"/>
        <v>46.02</v>
      </c>
      <c r="H87" s="554">
        <v>40</v>
      </c>
      <c r="I87" s="345">
        <f t="shared" si="13"/>
        <v>46.02</v>
      </c>
      <c r="J87" s="554"/>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770</v>
      </c>
      <c r="AU87" s="385" t="s">
        <v>608</v>
      </c>
      <c r="AV87" s="385" t="s">
        <v>781</v>
      </c>
      <c r="AW87" s="384"/>
      <c r="AX87" s="365"/>
      <c r="AY87" s="365"/>
      <c r="AZ87" s="385"/>
    </row>
    <row r="88" hidden="1">
      <c r="A88" s="399" t="s">
        <v>675</v>
      </c>
      <c r="B88" s="335" t="s">
        <v>597</v>
      </c>
      <c r="C88" s="334" t="s">
        <v>178</v>
      </c>
      <c r="D88" s="438">
        <v>1</v>
      </c>
      <c r="E88" s="335"/>
      <c r="F88" s="554">
        <v>20</v>
      </c>
      <c r="G88" s="345">
        <f t="shared" si="12"/>
        <v>43.01</v>
      </c>
      <c r="H88" s="554">
        <v>30</v>
      </c>
      <c r="I88" s="345">
        <f t="shared" si="13"/>
        <v>44.77</v>
      </c>
      <c r="J88" s="554"/>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675</v>
      </c>
      <c r="B89" s="335" t="s">
        <v>597</v>
      </c>
      <c r="C89" s="334" t="s">
        <v>178</v>
      </c>
      <c r="D89" s="438">
        <v>2</v>
      </c>
      <c r="E89" s="335"/>
      <c r="F89" s="554">
        <v>40</v>
      </c>
      <c r="G89" s="345">
        <f t="shared" si="12"/>
        <v>46.02</v>
      </c>
      <c r="H89" s="554">
        <v>60</v>
      </c>
      <c r="I89" s="345">
        <f t="shared" si="13"/>
        <v>47.78</v>
      </c>
      <c r="J89" s="554"/>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675</v>
      </c>
      <c r="B90" s="335" t="s">
        <v>597</v>
      </c>
      <c r="C90" s="334" t="s">
        <v>178</v>
      </c>
      <c r="D90" s="438">
        <v>3</v>
      </c>
      <c r="E90" s="335"/>
      <c r="F90" s="554">
        <v>60</v>
      </c>
      <c r="G90" s="345">
        <f t="shared" si="12"/>
        <v>47.78</v>
      </c>
      <c r="H90" s="394"/>
      <c r="I90" s="345">
        <f t="shared" si="13"/>
        <v>0</v>
      </c>
      <c r="J90" s="558"/>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684</v>
      </c>
      <c r="B91" s="335" t="s">
        <v>597</v>
      </c>
      <c r="C91" s="334" t="s">
        <v>598</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684</v>
      </c>
      <c r="B92" s="335" t="s">
        <v>597</v>
      </c>
      <c r="C92" s="334" t="s">
        <v>598</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684</v>
      </c>
      <c r="B93" s="335" t="s">
        <v>597</v>
      </c>
      <c r="C93" s="334" t="s">
        <v>598</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684</v>
      </c>
      <c r="B94" s="335" t="s">
        <v>597</v>
      </c>
      <c r="C94" s="334" t="s">
        <v>598</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684</v>
      </c>
      <c r="B95" s="335" t="s">
        <v>597</v>
      </c>
      <c r="C95" s="334" t="s">
        <v>608</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684</v>
      </c>
      <c r="B96" s="335" t="s">
        <v>597</v>
      </c>
      <c r="C96" s="334" t="s">
        <v>608</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684</v>
      </c>
      <c r="B97" s="335" t="s">
        <v>597</v>
      </c>
      <c r="C97" s="334" t="s">
        <v>608</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684</v>
      </c>
      <c r="B98" s="335" t="s">
        <v>597</v>
      </c>
      <c r="C98" s="334" t="s">
        <v>608</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684</v>
      </c>
      <c r="B99" s="335" t="s">
        <v>597</v>
      </c>
      <c r="C99" s="334" t="s">
        <v>178</v>
      </c>
      <c r="D99" s="412">
        <v>1</v>
      </c>
      <c r="E99" s="335"/>
      <c r="F99" s="554">
        <v>20</v>
      </c>
      <c r="G99" s="345">
        <f t="shared" si="12"/>
        <v>43.01</v>
      </c>
      <c r="H99" s="554">
        <v>30</v>
      </c>
      <c r="I99" s="345">
        <f t="shared" si="13"/>
        <v>44.77</v>
      </c>
      <c r="J99" s="554">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684</v>
      </c>
      <c r="B100" s="335" t="s">
        <v>597</v>
      </c>
      <c r="C100" s="334" t="s">
        <v>178</v>
      </c>
      <c r="D100" s="438">
        <v>2</v>
      </c>
      <c r="E100" s="335"/>
      <c r="F100" s="554">
        <v>40</v>
      </c>
      <c r="G100" s="345">
        <f t="shared" si="12"/>
        <v>46.02</v>
      </c>
      <c r="H100" s="554">
        <v>60</v>
      </c>
      <c r="I100" s="345">
        <f t="shared" si="13"/>
        <v>47.78</v>
      </c>
      <c r="J100" s="554">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684</v>
      </c>
      <c r="B101" s="335" t="s">
        <v>597</v>
      </c>
      <c r="C101" s="334" t="s">
        <v>178</v>
      </c>
      <c r="D101" s="412">
        <v>3</v>
      </c>
      <c r="E101" s="335"/>
      <c r="F101" s="554"/>
      <c r="G101" s="345">
        <f t="shared" si="12"/>
        <v>0</v>
      </c>
      <c r="H101" s="554">
        <v>80</v>
      </c>
      <c r="I101" s="345">
        <f t="shared" si="13"/>
        <v>49.03</v>
      </c>
      <c r="J101" s="554">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684</v>
      </c>
      <c r="B102" s="335" t="s">
        <v>597</v>
      </c>
      <c r="C102" s="334" t="s">
        <v>620</v>
      </c>
      <c r="D102" s="383">
        <v>4</v>
      </c>
      <c r="E102" s="383"/>
      <c r="F102" s="554">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684</v>
      </c>
      <c r="B103" s="335" t="s">
        <v>597</v>
      </c>
      <c r="C103" s="334" t="s">
        <v>620</v>
      </c>
      <c r="D103" s="383" t="s">
        <v>670</v>
      </c>
      <c r="E103" s="383"/>
      <c r="F103" s="554">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684</v>
      </c>
      <c r="B104" s="335" t="s">
        <v>597</v>
      </c>
      <c r="C104" s="334" t="s">
        <v>620</v>
      </c>
      <c r="D104" s="383" t="s">
        <v>666</v>
      </c>
      <c r="E104" s="383"/>
      <c r="F104" s="554">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684</v>
      </c>
      <c r="B105" s="335" t="s">
        <v>597</v>
      </c>
      <c r="C105" s="334" t="s">
        <v>620</v>
      </c>
      <c r="D105" s="383">
        <v>8</v>
      </c>
      <c r="E105" s="383"/>
      <c r="F105" s="554">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175</v>
      </c>
      <c r="B106" s="335" t="s">
        <v>597</v>
      </c>
      <c r="C106" s="334" t="s">
        <v>598</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175</v>
      </c>
      <c r="B107" s="335" t="s">
        <v>597</v>
      </c>
      <c r="C107" s="334" t="s">
        <v>598</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175</v>
      </c>
      <c r="B108" s="335" t="s">
        <v>597</v>
      </c>
      <c r="C108" s="334" t="s">
        <v>598</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175</v>
      </c>
      <c r="B109" s="335" t="s">
        <v>597</v>
      </c>
      <c r="C109" s="334" t="s">
        <v>608</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175</v>
      </c>
      <c r="B110" s="335" t="s">
        <v>597</v>
      </c>
      <c r="C110" s="334" t="s">
        <v>608</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175</v>
      </c>
      <c r="B111" s="335" t="s">
        <v>597</v>
      </c>
      <c r="C111" s="334" t="s">
        <v>178</v>
      </c>
      <c r="D111" s="438">
        <v>1</v>
      </c>
      <c r="E111" s="335"/>
      <c r="F111" s="394">
        <v>20</v>
      </c>
      <c r="G111" s="345">
        <f t="shared" si="17"/>
        <v>43.01</v>
      </c>
      <c r="H111" s="394">
        <v>30</v>
      </c>
      <c r="I111" s="345">
        <f t="shared" si="18"/>
        <v>44.77</v>
      </c>
      <c r="J111" s="558"/>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175</v>
      </c>
      <c r="B112" s="335" t="s">
        <v>597</v>
      </c>
      <c r="C112" s="334" t="s">
        <v>178</v>
      </c>
      <c r="D112" s="438">
        <v>2</v>
      </c>
      <c r="E112" s="468"/>
      <c r="F112" s="394">
        <v>40</v>
      </c>
      <c r="G112" s="345">
        <f t="shared" si="17"/>
        <v>46.02</v>
      </c>
      <c r="H112" s="394">
        <v>60</v>
      </c>
      <c r="I112" s="345">
        <f t="shared" si="18"/>
        <v>47.78</v>
      </c>
      <c r="J112" s="558"/>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175</v>
      </c>
      <c r="B113" s="335" t="s">
        <v>597</v>
      </c>
      <c r="C113" s="334" t="s">
        <v>178</v>
      </c>
      <c r="D113" s="412">
        <v>3</v>
      </c>
      <c r="E113" s="335"/>
      <c r="F113" s="554">
        <v>60</v>
      </c>
      <c r="G113" s="345">
        <f t="shared" si="17"/>
        <v>47.78</v>
      </c>
      <c r="H113" s="554">
        <v>80</v>
      </c>
      <c r="I113" s="345">
        <f t="shared" si="18"/>
        <v>49.03</v>
      </c>
      <c r="J113" s="554">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175</v>
      </c>
      <c r="B114" s="335" t="s">
        <v>597</v>
      </c>
      <c r="C114" s="334" t="s">
        <v>614</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784</v>
      </c>
      <c r="B115" s="383" t="s">
        <v>597</v>
      </c>
      <c r="C115" s="383" t="s">
        <v>603</v>
      </c>
      <c r="D115" s="383">
        <v>1</v>
      </c>
      <c r="E115" s="555"/>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785</v>
      </c>
      <c r="B116" s="383" t="s">
        <v>597</v>
      </c>
      <c r="C116" s="383" t="s">
        <v>603</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56" t="s">
        <v>786</v>
      </c>
      <c r="B117" s="335" t="s">
        <v>597</v>
      </c>
      <c r="C117" s="334" t="s">
        <v>608</v>
      </c>
      <c r="D117" s="557" t="s">
        <v>787</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56" t="s">
        <v>786</v>
      </c>
      <c r="B118" s="335" t="s">
        <v>597</v>
      </c>
      <c r="C118" s="334" t="s">
        <v>608</v>
      </c>
      <c r="D118" s="438">
        <v>4</v>
      </c>
      <c r="E118" s="335"/>
      <c r="F118" s="554"/>
      <c r="G118" s="335">
        <f t="shared" si="17"/>
        <v>0</v>
      </c>
      <c r="H118" s="554"/>
      <c r="I118" s="335">
        <f t="shared" si="18"/>
        <v>0</v>
      </c>
      <c r="J118" s="554"/>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742</v>
      </c>
      <c r="AE118" s="383" t="s">
        <v>178</v>
      </c>
      <c r="AF118" s="392">
        <v>1.3</v>
      </c>
      <c r="AG118" s="392">
        <v>18.1</v>
      </c>
      <c r="AH118" s="337">
        <v>0</v>
      </c>
      <c r="AI118" s="385"/>
      <c r="AJ118" s="381" t="s">
        <v>778</v>
      </c>
      <c r="AK118" s="398"/>
      <c r="AL118" s="334"/>
      <c r="AM118" s="335"/>
      <c r="AN118" s="335"/>
      <c r="AO118" s="335"/>
      <c r="AP118" s="409"/>
      <c r="AQ118" s="388"/>
      <c r="AR118" s="385"/>
      <c r="AS118" s="365"/>
      <c r="AT118" s="384" t="s">
        <v>693</v>
      </c>
      <c r="AU118" s="383" t="s">
        <v>598</v>
      </c>
      <c r="AV118" s="383" t="s">
        <v>732</v>
      </c>
      <c r="AW118" s="399" t="s">
        <v>782</v>
      </c>
      <c r="AX118" s="365"/>
      <c r="AY118" s="365"/>
      <c r="AZ118" s="385" t="s">
        <v>711</v>
      </c>
      <c r="BA118" s="349"/>
      <c r="BB118" s="350"/>
      <c r="BC118" s="411"/>
      <c r="BD118" s="408"/>
      <c r="BE118" s="350"/>
      <c r="BF118" s="350"/>
      <c r="BG118" s="350"/>
      <c r="BH118" s="350"/>
      <c r="BI118" s="350"/>
      <c r="BJ118" s="350"/>
    </row>
    <row r="119" hidden="1" s="348" customFormat="1">
      <c r="A119" s="556" t="s">
        <v>788</v>
      </c>
      <c r="B119" s="335" t="s">
        <v>597</v>
      </c>
      <c r="C119" s="334" t="s">
        <v>178</v>
      </c>
      <c r="D119" s="557" t="s">
        <v>789</v>
      </c>
      <c r="E119" s="335"/>
      <c r="F119" s="554"/>
      <c r="G119" s="335">
        <f t="shared" si="17"/>
        <v>0</v>
      </c>
      <c r="H119" s="554"/>
      <c r="I119" s="335">
        <f t="shared" si="18"/>
        <v>0</v>
      </c>
      <c r="J119" s="554"/>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738</v>
      </c>
      <c r="AE119" s="342" t="s">
        <v>598</v>
      </c>
      <c r="AF119" s="383">
        <v>0.493</v>
      </c>
      <c r="AG119" s="394">
        <v>2</v>
      </c>
      <c r="AH119" s="337">
        <v>0</v>
      </c>
      <c r="AI119" s="385"/>
      <c r="AJ119" s="415" t="s">
        <v>721</v>
      </c>
      <c r="AK119" s="403"/>
      <c r="AL119" s="334"/>
      <c r="AM119" s="335"/>
      <c r="AN119" s="335"/>
      <c r="AO119" s="335"/>
      <c r="AP119" s="409"/>
      <c r="AQ119" s="388"/>
      <c r="AR119" s="385"/>
      <c r="AS119" s="365"/>
      <c r="AT119" s="384" t="s">
        <v>693</v>
      </c>
      <c r="AU119" s="383" t="s">
        <v>608</v>
      </c>
      <c r="AV119" s="383" t="s">
        <v>723</v>
      </c>
      <c r="AW119" s="399" t="s">
        <v>783</v>
      </c>
      <c r="AX119" s="365"/>
      <c r="AY119" s="365"/>
      <c r="AZ119" s="385" t="s">
        <v>711</v>
      </c>
      <c r="BA119" s="349"/>
      <c r="BB119" s="350"/>
      <c r="BC119" s="411"/>
      <c r="BD119" s="408"/>
      <c r="BE119" s="350"/>
      <c r="BF119" s="350"/>
      <c r="BG119" s="350"/>
      <c r="BH119" s="350"/>
      <c r="BI119" s="350"/>
      <c r="BJ119" s="350"/>
    </row>
    <row r="120" hidden="1" s="348" customFormat="1">
      <c r="A120" s="556" t="s">
        <v>788</v>
      </c>
      <c r="B120" s="335" t="s">
        <v>597</v>
      </c>
      <c r="C120" s="334" t="s">
        <v>178</v>
      </c>
      <c r="D120" s="438">
        <v>1</v>
      </c>
      <c r="E120" s="335"/>
      <c r="F120" s="554"/>
      <c r="G120" s="345">
        <f t="shared" si="17"/>
        <v>0</v>
      </c>
      <c r="H120" s="554"/>
      <c r="I120" s="345">
        <f t="shared" si="18"/>
        <v>0</v>
      </c>
      <c r="J120" s="554"/>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704</v>
      </c>
      <c r="B121" s="335" t="s">
        <v>597</v>
      </c>
      <c r="C121" s="334" t="s">
        <v>598</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704</v>
      </c>
      <c r="B122" s="335" t="s">
        <v>597</v>
      </c>
      <c r="C122" s="334" t="s">
        <v>598</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704</v>
      </c>
      <c r="B123" s="335" t="s">
        <v>597</v>
      </c>
      <c r="C123" s="334" t="s">
        <v>608</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704</v>
      </c>
      <c r="B124" s="335" t="s">
        <v>597</v>
      </c>
      <c r="C124" s="334" t="s">
        <v>608</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704</v>
      </c>
      <c r="B125" s="335" t="s">
        <v>597</v>
      </c>
      <c r="C125" s="334" t="s">
        <v>620</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704</v>
      </c>
      <c r="B126" s="335" t="s">
        <v>597</v>
      </c>
      <c r="C126" s="334" t="s">
        <v>620</v>
      </c>
      <c r="D126" s="383" t="s">
        <v>790</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704</v>
      </c>
      <c r="B127" s="335" t="s">
        <v>597</v>
      </c>
      <c r="C127" s="334" t="s">
        <v>620</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708</v>
      </c>
      <c r="B128" s="335" t="s">
        <v>597</v>
      </c>
      <c r="C128" s="334" t="s">
        <v>598</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708</v>
      </c>
      <c r="B129" s="335" t="s">
        <v>597</v>
      </c>
      <c r="C129" s="334" t="s">
        <v>598</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708</v>
      </c>
      <c r="B130" s="335" t="s">
        <v>597</v>
      </c>
      <c r="C130" s="334" t="s">
        <v>598</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708</v>
      </c>
      <c r="B131" s="335" t="s">
        <v>597</v>
      </c>
      <c r="C131" s="334" t="s">
        <v>598</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708</v>
      </c>
      <c r="B132" s="335" t="s">
        <v>597</v>
      </c>
      <c r="C132" s="334" t="s">
        <v>608</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708</v>
      </c>
      <c r="B133" s="335" t="s">
        <v>597</v>
      </c>
      <c r="C133" s="334" t="s">
        <v>608</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708</v>
      </c>
      <c r="B134" s="335" t="s">
        <v>597</v>
      </c>
      <c r="C134" s="334" t="s">
        <v>608</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708</v>
      </c>
      <c r="B135" s="335" t="s">
        <v>597</v>
      </c>
      <c r="C135" s="334" t="s">
        <v>608</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708</v>
      </c>
      <c r="B136" s="335" t="s">
        <v>597</v>
      </c>
      <c r="C136" s="334" t="s">
        <v>620</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708</v>
      </c>
      <c r="B137" s="335" t="s">
        <v>597</v>
      </c>
      <c r="C137" s="334" t="s">
        <v>620</v>
      </c>
      <c r="D137" s="383" t="s">
        <v>670</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708</v>
      </c>
      <c r="B138" s="335" t="s">
        <v>597</v>
      </c>
      <c r="C138" s="334" t="s">
        <v>620</v>
      </c>
      <c r="D138" s="383" t="s">
        <v>666</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708</v>
      </c>
      <c r="B139" s="335" t="s">
        <v>597</v>
      </c>
      <c r="C139" s="334" t="s">
        <v>620</v>
      </c>
      <c r="D139" s="383" t="s">
        <v>790</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708</v>
      </c>
      <c r="B140" s="335" t="s">
        <v>597</v>
      </c>
      <c r="C140" s="334" t="s">
        <v>620</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713</v>
      </c>
      <c r="B141" s="335" t="s">
        <v>597</v>
      </c>
      <c r="C141" s="334" t="s">
        <v>598</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713</v>
      </c>
      <c r="B142" s="335" t="s">
        <v>597</v>
      </c>
      <c r="C142" s="334" t="s">
        <v>598</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713</v>
      </c>
      <c r="B143" s="335" t="s">
        <v>597</v>
      </c>
      <c r="C143" s="334" t="s">
        <v>598</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713</v>
      </c>
      <c r="B144" s="335" t="s">
        <v>597</v>
      </c>
      <c r="C144" s="334" t="s">
        <v>598</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713</v>
      </c>
      <c r="B145" s="335" t="s">
        <v>597</v>
      </c>
      <c r="C145" s="334" t="s">
        <v>608</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713</v>
      </c>
      <c r="B146" s="335" t="s">
        <v>597</v>
      </c>
      <c r="C146" s="334" t="s">
        <v>608</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713</v>
      </c>
      <c r="B147" s="335" t="s">
        <v>597</v>
      </c>
      <c r="C147" s="334" t="s">
        <v>608</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713</v>
      </c>
      <c r="B148" s="335" t="s">
        <v>597</v>
      </c>
      <c r="C148" s="334" t="s">
        <v>178</v>
      </c>
      <c r="D148" s="412">
        <v>1</v>
      </c>
      <c r="E148" s="335"/>
      <c r="F148" s="554">
        <v>20</v>
      </c>
      <c r="G148" s="345">
        <f t="shared" si="22"/>
        <v>43.01</v>
      </c>
      <c r="H148" s="554"/>
      <c r="I148" s="345">
        <f t="shared" si="23"/>
        <v>0</v>
      </c>
      <c r="J148" s="554">
        <v>20</v>
      </c>
      <c r="K148" s="345">
        <f t="shared" si="24"/>
        <v>43.01</v>
      </c>
      <c r="L148" s="335"/>
      <c r="M148" s="345">
        <f t="shared" si="25"/>
        <v>0</v>
      </c>
      <c r="N148" s="335"/>
      <c r="O148" s="345">
        <f t="shared" si="26"/>
        <v>0</v>
      </c>
    </row>
    <row r="149" hidden="1">
      <c r="A149" s="391" t="s">
        <v>713</v>
      </c>
      <c r="B149" s="335" t="s">
        <v>597</v>
      </c>
      <c r="C149" s="334" t="s">
        <v>178</v>
      </c>
      <c r="D149" s="438">
        <v>2</v>
      </c>
      <c r="E149" s="335"/>
      <c r="F149" s="554">
        <v>40</v>
      </c>
      <c r="G149" s="345">
        <f t="shared" si="22"/>
        <v>46.02</v>
      </c>
      <c r="H149" s="554"/>
      <c r="I149" s="345">
        <f t="shared" si="23"/>
        <v>0</v>
      </c>
      <c r="J149" s="554">
        <v>40</v>
      </c>
      <c r="K149" s="345">
        <f t="shared" si="24"/>
        <v>46.02</v>
      </c>
      <c r="L149" s="335"/>
      <c r="M149" s="345">
        <f t="shared" si="25"/>
        <v>0</v>
      </c>
      <c r="N149" s="335"/>
      <c r="O149" s="345">
        <f t="shared" si="26"/>
        <v>0</v>
      </c>
    </row>
    <row r="150" hidden="1">
      <c r="A150" s="397" t="s">
        <v>713</v>
      </c>
      <c r="B150" s="335" t="s">
        <v>597</v>
      </c>
      <c r="C150" s="334" t="s">
        <v>620</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713</v>
      </c>
      <c r="B151" s="335" t="s">
        <v>597</v>
      </c>
      <c r="C151" s="334" t="s">
        <v>620</v>
      </c>
      <c r="D151" s="383" t="s">
        <v>670</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713</v>
      </c>
      <c r="B152" s="335" t="s">
        <v>597</v>
      </c>
      <c r="C152" s="334" t="s">
        <v>620</v>
      </c>
      <c r="D152" s="383" t="s">
        <v>666</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713</v>
      </c>
      <c r="B153" s="335" t="s">
        <v>597</v>
      </c>
      <c r="C153" s="334" t="s">
        <v>620</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717</v>
      </c>
      <c r="B154" s="335" t="s">
        <v>597</v>
      </c>
      <c r="C154" s="334" t="s">
        <v>598</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717</v>
      </c>
      <c r="B155" s="335" t="s">
        <v>597</v>
      </c>
      <c r="C155" s="334" t="s">
        <v>598</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717</v>
      </c>
      <c r="B156" s="335" t="s">
        <v>597</v>
      </c>
      <c r="C156" s="334" t="s">
        <v>598</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717</v>
      </c>
      <c r="B157" s="335" t="s">
        <v>597</v>
      </c>
      <c r="C157" s="334" t="s">
        <v>598</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717</v>
      </c>
      <c r="B158" s="335" t="s">
        <v>597</v>
      </c>
      <c r="C158" s="334" t="s">
        <v>598</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717</v>
      </c>
      <c r="B159" s="335" t="s">
        <v>597</v>
      </c>
      <c r="C159" s="334" t="s">
        <v>608</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717</v>
      </c>
      <c r="B160" s="335" t="s">
        <v>597</v>
      </c>
      <c r="C160" s="334" t="s">
        <v>608</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717</v>
      </c>
      <c r="B161" s="335" t="s">
        <v>597</v>
      </c>
      <c r="C161" s="334" t="s">
        <v>608</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439</v>
      </c>
      <c r="B162" s="335" t="s">
        <v>597</v>
      </c>
      <c r="C162" s="334" t="s">
        <v>598</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439</v>
      </c>
      <c r="B163" s="335" t="s">
        <v>597</v>
      </c>
      <c r="C163" s="334" t="s">
        <v>598</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439</v>
      </c>
      <c r="B164" s="335" t="s">
        <v>597</v>
      </c>
      <c r="C164" s="334" t="s">
        <v>608</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439</v>
      </c>
      <c r="B165" s="335" t="s">
        <v>597</v>
      </c>
      <c r="C165" s="334" t="s">
        <v>608</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439</v>
      </c>
      <c r="B166" s="335" t="s">
        <v>597</v>
      </c>
      <c r="C166" s="334" t="s">
        <v>608</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439</v>
      </c>
      <c r="B167" s="335" t="s">
        <v>597</v>
      </c>
      <c r="C167" s="334" t="s">
        <v>178</v>
      </c>
      <c r="D167" s="438">
        <v>1</v>
      </c>
      <c r="E167" s="335"/>
      <c r="F167" s="554">
        <v>20</v>
      </c>
      <c r="G167" s="345">
        <f t="shared" si="22"/>
        <v>43.01</v>
      </c>
      <c r="H167" s="554"/>
      <c r="I167" s="345">
        <f t="shared" si="23"/>
        <v>0</v>
      </c>
      <c r="J167" s="554">
        <v>20</v>
      </c>
      <c r="K167" s="345">
        <f t="shared" si="24"/>
        <v>43.01</v>
      </c>
      <c r="L167" s="335">
        <v>30</v>
      </c>
      <c r="M167" s="345">
        <f t="shared" si="25"/>
        <v>44.77</v>
      </c>
      <c r="N167" s="335"/>
      <c r="O167" s="345">
        <f t="shared" si="26"/>
        <v>0</v>
      </c>
    </row>
    <row r="168" hidden="1">
      <c r="A168" s="391" t="s">
        <v>439</v>
      </c>
      <c r="B168" s="335" t="s">
        <v>597</v>
      </c>
      <c r="C168" s="334" t="s">
        <v>178</v>
      </c>
      <c r="D168" s="438">
        <v>2</v>
      </c>
      <c r="E168" s="335"/>
      <c r="F168" s="554">
        <v>40</v>
      </c>
      <c r="G168" s="345">
        <f t="shared" si="22"/>
        <v>46.02</v>
      </c>
      <c r="H168" s="554"/>
      <c r="I168" s="345">
        <f t="shared" si="23"/>
        <v>0</v>
      </c>
      <c r="J168" s="554">
        <v>40</v>
      </c>
      <c r="K168" s="345">
        <f t="shared" si="24"/>
        <v>46.02</v>
      </c>
      <c r="L168" s="335">
        <v>60</v>
      </c>
      <c r="M168" s="345">
        <f t="shared" si="25"/>
        <v>47.78</v>
      </c>
      <c r="N168" s="335"/>
      <c r="O168" s="345">
        <f t="shared" si="26"/>
        <v>0</v>
      </c>
    </row>
    <row r="169" hidden="1">
      <c r="A169" s="333" t="s">
        <v>737</v>
      </c>
      <c r="B169" s="335" t="s">
        <v>597</v>
      </c>
      <c r="C169" s="334" t="s">
        <v>598</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737</v>
      </c>
      <c r="B170" s="335" t="s">
        <v>597</v>
      </c>
      <c r="C170" s="334" t="s">
        <v>598</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737</v>
      </c>
      <c r="B171" s="335" t="s">
        <v>597</v>
      </c>
      <c r="C171" s="334" t="s">
        <v>598</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737</v>
      </c>
      <c r="B172" s="335" t="s">
        <v>597</v>
      </c>
      <c r="C172" s="334" t="s">
        <v>608</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737</v>
      </c>
      <c r="B173" s="335" t="s">
        <v>597</v>
      </c>
      <c r="C173" s="334" t="s">
        <v>608</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737</v>
      </c>
      <c r="B174" s="335" t="s">
        <v>597</v>
      </c>
      <c r="C174" s="334" t="s">
        <v>608</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737</v>
      </c>
      <c r="B175" s="335" t="s">
        <v>597</v>
      </c>
      <c r="C175" s="334" t="s">
        <v>620</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737</v>
      </c>
      <c r="B176" s="335" t="s">
        <v>597</v>
      </c>
      <c r="C176" s="334" t="s">
        <v>620</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737</v>
      </c>
      <c r="B177" s="335" t="s">
        <v>597</v>
      </c>
      <c r="C177" s="334" t="s">
        <v>620</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740</v>
      </c>
      <c r="B178" s="335" t="s">
        <v>597</v>
      </c>
      <c r="C178" s="334" t="s">
        <v>598</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740</v>
      </c>
      <c r="B179" s="335" t="s">
        <v>597</v>
      </c>
      <c r="C179" s="334" t="s">
        <v>598</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740</v>
      </c>
      <c r="B180" s="335" t="s">
        <v>597</v>
      </c>
      <c r="C180" s="334" t="s">
        <v>598</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740</v>
      </c>
      <c r="B181" s="335" t="s">
        <v>597</v>
      </c>
      <c r="C181" s="334" t="s">
        <v>598</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740</v>
      </c>
      <c r="B182" s="335" t="s">
        <v>597</v>
      </c>
      <c r="C182" s="334" t="s">
        <v>608</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740</v>
      </c>
      <c r="B183" s="335" t="s">
        <v>597</v>
      </c>
      <c r="C183" s="334" t="s">
        <v>608</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740</v>
      </c>
      <c r="B184" s="335" t="s">
        <v>597</v>
      </c>
      <c r="C184" s="334" t="s">
        <v>608</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740</v>
      </c>
      <c r="B185" s="335" t="s">
        <v>597</v>
      </c>
      <c r="C185" s="334" t="s">
        <v>608</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791</v>
      </c>
      <c r="B186" s="335" t="s">
        <v>597</v>
      </c>
      <c r="C186" s="334" t="s">
        <v>598</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791</v>
      </c>
      <c r="B187" s="335" t="s">
        <v>597</v>
      </c>
      <c r="C187" s="334" t="s">
        <v>598</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791</v>
      </c>
      <c r="B188" s="335" t="s">
        <v>597</v>
      </c>
      <c r="C188" s="334" t="s">
        <v>598</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791</v>
      </c>
      <c r="B189" s="335" t="s">
        <v>597</v>
      </c>
      <c r="C189" s="334" t="s">
        <v>608</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791</v>
      </c>
      <c r="B190" s="335" t="s">
        <v>597</v>
      </c>
      <c r="C190" s="334" t="s">
        <v>608</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69"/>
      <c r="Q190" s="469"/>
      <c r="R190" s="469"/>
      <c r="S190" s="469"/>
      <c r="T190" s="469"/>
      <c r="U190" s="469"/>
      <c r="V190" s="469"/>
      <c r="W190" s="469"/>
      <c r="X190" s="471"/>
      <c r="Y190" s="395"/>
      <c r="Z190" s="469"/>
      <c r="AA190" s="469"/>
      <c r="AB190" s="469"/>
      <c r="AC190" s="405"/>
      <c r="AD190" s="395"/>
      <c r="AE190" s="470"/>
      <c r="AF190" s="472"/>
      <c r="AG190" s="472"/>
      <c r="AH190" s="473"/>
      <c r="AI190" s="395"/>
      <c r="AK190" s="405"/>
      <c r="AL190" s="395"/>
      <c r="AM190" s="474"/>
      <c r="AN190" s="474"/>
      <c r="AO190" s="395"/>
      <c r="AP190" s="395"/>
      <c r="AQ190" s="395"/>
      <c r="AR190" s="395"/>
      <c r="AS190" s="405"/>
      <c r="AT190" s="395"/>
      <c r="AU190" s="470"/>
      <c r="AV190" s="470"/>
      <c r="AW190" s="395"/>
      <c r="AX190" s="405"/>
      <c r="AY190" s="405"/>
      <c r="AZ190" s="470"/>
    </row>
    <row r="191" hidden="1">
      <c r="A191" s="391" t="s">
        <v>791</v>
      </c>
      <c r="B191" s="335" t="s">
        <v>597</v>
      </c>
      <c r="C191" s="334" t="s">
        <v>608</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69"/>
      <c r="Q191" s="469"/>
      <c r="R191" s="469"/>
      <c r="S191" s="469"/>
      <c r="T191" s="469"/>
      <c r="U191" s="469"/>
      <c r="V191" s="469"/>
      <c r="W191" s="469"/>
      <c r="X191" s="471"/>
      <c r="Y191" s="395"/>
      <c r="Z191" s="469"/>
      <c r="AA191" s="469"/>
      <c r="AB191" s="469"/>
      <c r="AC191" s="405"/>
      <c r="AD191" s="395"/>
      <c r="AE191" s="470"/>
      <c r="AF191" s="472"/>
      <c r="AG191" s="472"/>
      <c r="AH191" s="473"/>
      <c r="AI191" s="395"/>
      <c r="AJ191" s="395"/>
      <c r="AK191" s="405"/>
      <c r="AL191" s="395"/>
      <c r="AM191" s="474"/>
      <c r="AN191" s="474"/>
      <c r="AO191" s="395"/>
      <c r="AP191" s="395"/>
      <c r="AQ191" s="395"/>
      <c r="AR191" s="395"/>
      <c r="AS191" s="405"/>
      <c r="AT191" s="395"/>
      <c r="AU191" s="470"/>
      <c r="AV191" s="470"/>
      <c r="AW191" s="395"/>
      <c r="AX191" s="405"/>
      <c r="AY191" s="405"/>
      <c r="AZ191" s="470"/>
    </row>
    <row r="192" hidden="1">
      <c r="A192" s="391" t="s">
        <v>792</v>
      </c>
      <c r="B192" s="335" t="s">
        <v>597</v>
      </c>
      <c r="C192" s="334" t="s">
        <v>598</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792</v>
      </c>
      <c r="B193" s="335" t="s">
        <v>597</v>
      </c>
      <c r="C193" s="334" t="s">
        <v>598</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792</v>
      </c>
      <c r="B194" s="335" t="s">
        <v>597</v>
      </c>
      <c r="C194" s="334" t="s">
        <v>598</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792</v>
      </c>
      <c r="B195" s="335" t="s">
        <v>597</v>
      </c>
      <c r="C195" s="334" t="s">
        <v>598</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792</v>
      </c>
      <c r="B196" s="335" t="s">
        <v>597</v>
      </c>
      <c r="C196" s="334" t="s">
        <v>598</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792</v>
      </c>
      <c r="B197" s="335" t="s">
        <v>597</v>
      </c>
      <c r="C197" s="334" t="s">
        <v>598</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792</v>
      </c>
      <c r="B198" s="335" t="s">
        <v>597</v>
      </c>
      <c r="C198" s="334" t="s">
        <v>608</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792</v>
      </c>
      <c r="B199" s="335" t="s">
        <v>597</v>
      </c>
      <c r="C199" s="334" t="s">
        <v>608</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792</v>
      </c>
      <c r="B200" s="335" t="s">
        <v>597</v>
      </c>
      <c r="C200" s="334" t="s">
        <v>608</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792</v>
      </c>
      <c r="B201" s="335" t="s">
        <v>597</v>
      </c>
      <c r="C201" s="334" t="s">
        <v>608</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792</v>
      </c>
      <c r="B202" s="335" t="s">
        <v>597</v>
      </c>
      <c r="C202" s="334" t="s">
        <v>608</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792</v>
      </c>
      <c r="B203" s="335" t="s">
        <v>597</v>
      </c>
      <c r="C203" s="334" t="s">
        <v>608</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793</v>
      </c>
      <c r="B204" s="383" t="s">
        <v>597</v>
      </c>
      <c r="C204" s="383" t="s">
        <v>603</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794</v>
      </c>
      <c r="B205" s="335" t="s">
        <v>597</v>
      </c>
      <c r="C205" s="334" t="s">
        <v>598</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794</v>
      </c>
      <c r="B206" s="335" t="s">
        <v>597</v>
      </c>
      <c r="C206" s="334" t="s">
        <v>598</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794</v>
      </c>
      <c r="B207" s="335" t="s">
        <v>597</v>
      </c>
      <c r="C207" s="334" t="s">
        <v>598</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794</v>
      </c>
      <c r="B208" s="335" t="s">
        <v>597</v>
      </c>
      <c r="C208" s="334" t="s">
        <v>598</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794</v>
      </c>
      <c r="B209" s="335" t="s">
        <v>597</v>
      </c>
      <c r="C209" s="334" t="s">
        <v>598</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794</v>
      </c>
      <c r="B210" s="335" t="s">
        <v>597</v>
      </c>
      <c r="C210" s="334" t="s">
        <v>598</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794</v>
      </c>
      <c r="B211" s="335" t="s">
        <v>597</v>
      </c>
      <c r="C211" s="334" t="s">
        <v>608</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794</v>
      </c>
      <c r="B212" s="335" t="s">
        <v>597</v>
      </c>
      <c r="C212" s="334" t="s">
        <v>608</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794</v>
      </c>
      <c r="B213" s="335" t="s">
        <v>597</v>
      </c>
      <c r="C213" s="334" t="s">
        <v>608</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794</v>
      </c>
      <c r="B214" s="335" t="s">
        <v>597</v>
      </c>
      <c r="C214" s="334" t="s">
        <v>608</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794</v>
      </c>
      <c r="B215" s="335" t="s">
        <v>597</v>
      </c>
      <c r="C215" s="334" t="s">
        <v>608</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794</v>
      </c>
      <c r="B216" s="335" t="s">
        <v>597</v>
      </c>
      <c r="C216" s="334" t="s">
        <v>608</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795</v>
      </c>
      <c r="B217" s="335" t="s">
        <v>597</v>
      </c>
      <c r="C217" s="334" t="s">
        <v>178</v>
      </c>
      <c r="D217" s="438">
        <v>1</v>
      </c>
      <c r="E217" s="335"/>
      <c r="F217" s="554">
        <v>20</v>
      </c>
      <c r="G217" s="447">
        <f t="shared" si="40"/>
        <v>43.01</v>
      </c>
      <c r="H217" s="554"/>
      <c r="I217" s="447">
        <f t="shared" si="41"/>
        <v>0</v>
      </c>
      <c r="J217" s="554">
        <v>20</v>
      </c>
      <c r="K217" s="447">
        <f t="shared" si="37"/>
        <v>43.01</v>
      </c>
      <c r="L217" s="335"/>
      <c r="M217" s="447">
        <f t="shared" si="38"/>
        <v>0</v>
      </c>
      <c r="N217" s="335"/>
      <c r="O217" s="447">
        <f t="shared" si="39"/>
        <v>0</v>
      </c>
    </row>
    <row r="218" hidden="1">
      <c r="A218" s="396" t="s">
        <v>795</v>
      </c>
      <c r="B218" s="335" t="s">
        <v>597</v>
      </c>
      <c r="C218" s="334" t="s">
        <v>178</v>
      </c>
      <c r="D218" s="438">
        <v>2</v>
      </c>
      <c r="E218" s="335"/>
      <c r="F218" s="554">
        <v>40</v>
      </c>
      <c r="G218" s="447">
        <f t="shared" si="40"/>
        <v>46.02</v>
      </c>
      <c r="H218" s="554"/>
      <c r="I218" s="447">
        <f t="shared" si="41"/>
        <v>0</v>
      </c>
      <c r="J218" s="554">
        <v>40</v>
      </c>
      <c r="K218" s="447">
        <f t="shared" si="37"/>
        <v>46.02</v>
      </c>
      <c r="L218" s="335"/>
      <c r="M218" s="447">
        <f t="shared" si="38"/>
        <v>0</v>
      </c>
      <c r="N218" s="335"/>
      <c r="O218" s="447">
        <f t="shared" si="39"/>
        <v>0</v>
      </c>
    </row>
    <row r="219" hidden="1">
      <c r="A219" s="397" t="s">
        <v>760</v>
      </c>
      <c r="B219" s="335" t="s">
        <v>597</v>
      </c>
      <c r="C219" s="334" t="s">
        <v>598</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796</v>
      </c>
      <c r="B220" s="335" t="s">
        <v>597</v>
      </c>
      <c r="C220" s="334" t="s">
        <v>614</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797</v>
      </c>
      <c r="B221" s="383" t="s">
        <v>597</v>
      </c>
      <c r="C221" s="383" t="s">
        <v>603</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798</v>
      </c>
      <c r="B222" s="383" t="s">
        <v>597</v>
      </c>
      <c r="C222" s="383" t="s">
        <v>603</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799</v>
      </c>
      <c r="B223" s="335" t="s">
        <v>597</v>
      </c>
      <c r="C223" s="334" t="s">
        <v>178</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799</v>
      </c>
      <c r="B224" s="335" t="s">
        <v>597</v>
      </c>
      <c r="C224" s="334" t="s">
        <v>178</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799</v>
      </c>
      <c r="B225" s="335" t="s">
        <v>597</v>
      </c>
      <c r="C225" s="334" t="s">
        <v>178</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800</v>
      </c>
      <c r="B226" s="335" t="s">
        <v>597</v>
      </c>
      <c r="C226" s="334" t="s">
        <v>178</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800</v>
      </c>
      <c r="B227" s="335" t="s">
        <v>597</v>
      </c>
      <c r="C227" s="334" t="s">
        <v>178</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800</v>
      </c>
      <c r="B228" s="335" t="s">
        <v>597</v>
      </c>
      <c r="C228" s="334" t="s">
        <v>178</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801</v>
      </c>
      <c r="B229" s="335" t="s">
        <v>597</v>
      </c>
      <c r="C229" s="334" t="s">
        <v>614</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751</v>
      </c>
      <c r="B230" s="335" t="s">
        <v>597</v>
      </c>
      <c r="C230" s="334" t="s">
        <v>598</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751</v>
      </c>
      <c r="B231" s="335" t="s">
        <v>597</v>
      </c>
      <c r="C231" s="334" t="s">
        <v>598</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751</v>
      </c>
      <c r="B232" s="335" t="s">
        <v>597</v>
      </c>
      <c r="C232" s="334" t="s">
        <v>598</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751</v>
      </c>
      <c r="B233" s="335" t="s">
        <v>597</v>
      </c>
      <c r="C233" s="334" t="s">
        <v>608</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751</v>
      </c>
      <c r="B234" s="335" t="s">
        <v>597</v>
      </c>
      <c r="C234" s="334" t="s">
        <v>608</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751</v>
      </c>
      <c r="B235" s="335" t="s">
        <v>597</v>
      </c>
      <c r="C235" s="334" t="s">
        <v>608</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751</v>
      </c>
      <c r="B236" s="335" t="s">
        <v>597</v>
      </c>
      <c r="C236" s="334" t="s">
        <v>608</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751</v>
      </c>
      <c r="B237" s="335" t="s">
        <v>597</v>
      </c>
      <c r="C237" s="334" t="s">
        <v>620</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751</v>
      </c>
      <c r="B238" s="335" t="s">
        <v>597</v>
      </c>
      <c r="C238" s="334" t="s">
        <v>620</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751</v>
      </c>
      <c r="B239" s="335" t="s">
        <v>597</v>
      </c>
      <c r="C239" s="334" t="s">
        <v>620</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751</v>
      </c>
      <c r="B240" s="335" t="s">
        <v>597</v>
      </c>
      <c r="C240" s="334" t="s">
        <v>620</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756</v>
      </c>
      <c r="B241" s="335" t="s">
        <v>597</v>
      </c>
      <c r="C241" s="334" t="s">
        <v>638</v>
      </c>
      <c r="D241" s="383" t="s">
        <v>666</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756</v>
      </c>
      <c r="B242" s="335" t="s">
        <v>597</v>
      </c>
      <c r="C242" s="334" t="s">
        <v>638</v>
      </c>
      <c r="D242" s="383" t="s">
        <v>674</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758</v>
      </c>
      <c r="B243" s="383" t="s">
        <v>597</v>
      </c>
      <c r="C243" s="383" t="s">
        <v>603</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754</v>
      </c>
      <c r="B244" s="335" t="s">
        <v>597</v>
      </c>
      <c r="C244" s="334" t="s">
        <v>178</v>
      </c>
      <c r="D244" s="438">
        <v>1</v>
      </c>
      <c r="E244" s="335"/>
      <c r="F244" s="554">
        <v>20</v>
      </c>
      <c r="G244" s="448">
        <f t="shared" si="40"/>
        <v>43.01</v>
      </c>
      <c r="H244" s="554"/>
      <c r="I244" s="448">
        <f t="shared" si="41"/>
        <v>0</v>
      </c>
      <c r="J244" s="554"/>
      <c r="K244" s="448">
        <f t="shared" si="37"/>
        <v>0</v>
      </c>
      <c r="L244" s="335"/>
      <c r="M244" s="448">
        <f t="shared" si="38"/>
        <v>0</v>
      </c>
      <c r="N244" s="335"/>
      <c r="O244" s="448">
        <f t="shared" si="39"/>
        <v>0</v>
      </c>
    </row>
    <row r="245" hidden="1">
      <c r="A245" s="396" t="s">
        <v>754</v>
      </c>
      <c r="B245" s="335" t="s">
        <v>597</v>
      </c>
      <c r="C245" s="334" t="s">
        <v>178</v>
      </c>
      <c r="D245" s="383">
        <v>2</v>
      </c>
      <c r="E245" s="383"/>
      <c r="F245" s="554">
        <v>40</v>
      </c>
      <c r="G245" s="448">
        <f t="shared" si="40"/>
        <v>46.02</v>
      </c>
      <c r="H245" s="554"/>
      <c r="I245" s="448">
        <f t="shared" si="41"/>
        <v>0</v>
      </c>
      <c r="J245" s="554"/>
      <c r="K245" s="448">
        <f t="shared" si="37"/>
        <v>0</v>
      </c>
      <c r="L245" s="335"/>
      <c r="M245" s="448">
        <f t="shared" si="38"/>
        <v>0</v>
      </c>
      <c r="N245" s="335"/>
      <c r="O245" s="448">
        <f t="shared" si="39"/>
        <v>0</v>
      </c>
    </row>
    <row r="246" hidden="1">
      <c r="A246" s="396" t="s">
        <v>754</v>
      </c>
      <c r="B246" s="335" t="s">
        <v>597</v>
      </c>
      <c r="C246" s="334" t="s">
        <v>178</v>
      </c>
      <c r="D246" s="383">
        <v>2</v>
      </c>
      <c r="E246" s="383"/>
      <c r="F246" s="554">
        <v>60</v>
      </c>
      <c r="G246" s="448">
        <f t="shared" si="40"/>
        <v>47.78</v>
      </c>
      <c r="H246" s="394"/>
      <c r="I246" s="448">
        <f t="shared" si="41"/>
        <v>0</v>
      </c>
      <c r="J246" s="394"/>
      <c r="K246" s="448">
        <f t="shared" si="37"/>
        <v>0</v>
      </c>
      <c r="L246" s="383"/>
      <c r="M246" s="448">
        <f t="shared" si="38"/>
        <v>0</v>
      </c>
      <c r="N246" s="383"/>
      <c r="O246" s="448">
        <f t="shared" si="39"/>
        <v>0</v>
      </c>
    </row>
    <row r="247" hidden="1">
      <c r="A247" s="391" t="s">
        <v>725</v>
      </c>
      <c r="B247" s="335" t="s">
        <v>597</v>
      </c>
      <c r="C247" s="334" t="s">
        <v>598</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hidden="1">
      <c r="A248" s="391" t="s">
        <v>725</v>
      </c>
      <c r="B248" s="335" t="s">
        <v>597</v>
      </c>
      <c r="C248" s="334" t="s">
        <v>598</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hidden="1">
      <c r="A249" s="391" t="s">
        <v>725</v>
      </c>
      <c r="B249" s="335" t="s">
        <v>597</v>
      </c>
      <c r="C249" s="334" t="s">
        <v>598</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hidden="1">
      <c r="A250" s="391" t="s">
        <v>725</v>
      </c>
      <c r="B250" s="335" t="s">
        <v>597</v>
      </c>
      <c r="C250" s="334" t="s">
        <v>608</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hidden="1">
      <c r="A251" s="391" t="s">
        <v>725</v>
      </c>
      <c r="B251" s="335" t="s">
        <v>597</v>
      </c>
      <c r="C251" s="334" t="s">
        <v>608</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hidden="1">
      <c r="A252" s="399" t="s">
        <v>725</v>
      </c>
      <c r="B252" s="335" t="s">
        <v>597</v>
      </c>
      <c r="C252" s="334" t="s">
        <v>178</v>
      </c>
      <c r="D252" s="438">
        <v>1</v>
      </c>
      <c r="E252" s="335"/>
      <c r="F252" s="554">
        <v>20</v>
      </c>
      <c r="G252" s="448">
        <f t="shared" si="40"/>
        <v>43.01</v>
      </c>
      <c r="H252" s="554"/>
      <c r="I252" s="448">
        <f t="shared" si="41"/>
        <v>0</v>
      </c>
      <c r="J252" s="554"/>
      <c r="K252" s="448">
        <f t="shared" si="37"/>
        <v>0</v>
      </c>
      <c r="L252" s="335">
        <v>40</v>
      </c>
      <c r="M252" s="448">
        <f t="shared" si="38"/>
        <v>46.02</v>
      </c>
      <c r="N252" s="335"/>
      <c r="O252" s="448">
        <f t="shared" si="39"/>
        <v>0</v>
      </c>
    </row>
    <row r="253" hidden="1">
      <c r="A253" s="399" t="s">
        <v>725</v>
      </c>
      <c r="B253" s="335" t="s">
        <v>597</v>
      </c>
      <c r="C253" s="334" t="s">
        <v>178</v>
      </c>
      <c r="D253" s="438">
        <v>2</v>
      </c>
      <c r="E253" s="335"/>
      <c r="F253" s="554">
        <v>40</v>
      </c>
      <c r="G253" s="448">
        <f t="shared" si="40"/>
        <v>46.02</v>
      </c>
      <c r="H253" s="554"/>
      <c r="I253" s="448">
        <f t="shared" si="41"/>
        <v>0</v>
      </c>
      <c r="J253" s="554"/>
      <c r="K253" s="448">
        <f t="shared" si="37"/>
        <v>0</v>
      </c>
      <c r="L253" s="335">
        <v>80</v>
      </c>
      <c r="M253" s="448">
        <f t="shared" si="38"/>
        <v>49.03</v>
      </c>
      <c r="N253" s="335"/>
      <c r="O253" s="448">
        <f t="shared" si="39"/>
        <v>0</v>
      </c>
    </row>
    <row r="254" hidden="1">
      <c r="A254" s="397" t="s">
        <v>725</v>
      </c>
      <c r="B254" s="335" t="s">
        <v>597</v>
      </c>
      <c r="C254" s="334" t="s">
        <v>620</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hidden="1">
      <c r="A255" s="397" t="s">
        <v>725</v>
      </c>
      <c r="B255" s="335" t="s">
        <v>597</v>
      </c>
      <c r="C255" s="334" t="s">
        <v>620</v>
      </c>
      <c r="D255" s="383" t="s">
        <v>670</v>
      </c>
      <c r="E255" s="383"/>
      <c r="F255" s="394"/>
      <c r="G255" s="448">
        <f t="shared" si="40"/>
        <v>0</v>
      </c>
      <c r="H255" s="394"/>
      <c r="I255" s="448">
        <f t="shared" si="41"/>
        <v>0</v>
      </c>
      <c r="J255" s="394"/>
      <c r="K255" s="448">
        <f t="shared" si="37"/>
        <v>0</v>
      </c>
      <c r="L255" s="383"/>
      <c r="M255" s="448">
        <f t="shared" si="38"/>
        <v>0</v>
      </c>
      <c r="N255" s="383"/>
      <c r="O255" s="448">
        <f t="shared" si="39"/>
        <v>0</v>
      </c>
    </row>
    <row r="256" hidden="1">
      <c r="A256" s="397" t="s">
        <v>725</v>
      </c>
      <c r="B256" s="335" t="s">
        <v>597</v>
      </c>
      <c r="C256" s="334" t="s">
        <v>620</v>
      </c>
      <c r="D256" s="383" t="s">
        <v>666</v>
      </c>
      <c r="E256" s="383"/>
      <c r="F256" s="394"/>
      <c r="G256" s="448">
        <f t="shared" si="40"/>
        <v>0</v>
      </c>
      <c r="H256" s="394"/>
      <c r="I256" s="448">
        <f t="shared" si="41"/>
        <v>0</v>
      </c>
      <c r="J256" s="394"/>
      <c r="K256" s="448">
        <f t="shared" si="37"/>
        <v>0</v>
      </c>
      <c r="L256" s="383"/>
      <c r="M256" s="448">
        <f t="shared" si="38"/>
        <v>0</v>
      </c>
      <c r="N256" s="383"/>
      <c r="O256" s="448">
        <f t="shared" si="39"/>
        <v>0</v>
      </c>
    </row>
    <row r="257" hidden="1">
      <c r="A257" s="397" t="s">
        <v>725</v>
      </c>
      <c r="B257" s="335" t="s">
        <v>597</v>
      </c>
      <c r="C257" s="334" t="s">
        <v>620</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729</v>
      </c>
      <c r="B258" s="335" t="s">
        <v>597</v>
      </c>
      <c r="C258" s="334" t="s">
        <v>598</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729</v>
      </c>
      <c r="B259" s="335" t="s">
        <v>597</v>
      </c>
      <c r="C259" s="334" t="s">
        <v>598</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729</v>
      </c>
      <c r="B260" s="335" t="s">
        <v>597</v>
      </c>
      <c r="C260" s="334" t="s">
        <v>598</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729</v>
      </c>
      <c r="B261" s="335" t="s">
        <v>597</v>
      </c>
      <c r="C261" s="334" t="s">
        <v>608</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729</v>
      </c>
      <c r="B262" s="335" t="s">
        <v>597</v>
      </c>
      <c r="C262" s="334" t="s">
        <v>608</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729</v>
      </c>
      <c r="B263" s="335" t="s">
        <v>597</v>
      </c>
      <c r="C263" s="334" t="s">
        <v>620</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729</v>
      </c>
      <c r="B264" s="335" t="s">
        <v>597</v>
      </c>
      <c r="C264" s="334" t="s">
        <v>620</v>
      </c>
      <c r="D264" s="383" t="s">
        <v>670</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729</v>
      </c>
      <c r="B265" s="335" t="s">
        <v>597</v>
      </c>
      <c r="C265" s="334" t="s">
        <v>620</v>
      </c>
      <c r="D265" s="383" t="s">
        <v>666</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729</v>
      </c>
      <c r="B266" s="335" t="s">
        <v>597</v>
      </c>
      <c r="C266" s="334" t="s">
        <v>620</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802</v>
      </c>
      <c r="B267" s="335" t="s">
        <v>597</v>
      </c>
      <c r="C267" s="334" t="s">
        <v>178</v>
      </c>
      <c r="D267" s="438">
        <v>3</v>
      </c>
      <c r="E267" s="335"/>
      <c r="F267" s="554">
        <v>60</v>
      </c>
      <c r="G267" s="448">
        <f t="shared" si="45"/>
        <v>47.78</v>
      </c>
      <c r="H267" s="554"/>
      <c r="I267" s="448">
        <f t="shared" si="46"/>
        <v>0</v>
      </c>
      <c r="J267" s="554"/>
      <c r="K267" s="448">
        <f t="shared" si="42"/>
        <v>0</v>
      </c>
      <c r="L267" s="335"/>
      <c r="M267" s="448">
        <f t="shared" si="43"/>
        <v>0</v>
      </c>
      <c r="N267" s="335"/>
      <c r="O267" s="448">
        <f t="shared" si="44"/>
        <v>0</v>
      </c>
    </row>
    <row r="268" hidden="1">
      <c r="A268" s="391" t="s">
        <v>734</v>
      </c>
      <c r="B268" s="335" t="s">
        <v>597</v>
      </c>
      <c r="C268" s="334" t="s">
        <v>598</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734</v>
      </c>
      <c r="B269" s="335" t="s">
        <v>597</v>
      </c>
      <c r="C269" s="334" t="s">
        <v>598</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734</v>
      </c>
      <c r="B270" s="335" t="s">
        <v>597</v>
      </c>
      <c r="C270" s="334" t="s">
        <v>598</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734</v>
      </c>
      <c r="B271" s="335" t="s">
        <v>597</v>
      </c>
      <c r="C271" s="334" t="s">
        <v>608</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734</v>
      </c>
      <c r="B272" s="335" t="s">
        <v>597</v>
      </c>
      <c r="C272" s="334" t="s">
        <v>608</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734</v>
      </c>
      <c r="B273" s="335" t="s">
        <v>597</v>
      </c>
      <c r="C273" s="334" t="s">
        <v>620</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734</v>
      </c>
      <c r="B274" s="335" t="s">
        <v>597</v>
      </c>
      <c r="C274" s="334" t="s">
        <v>620</v>
      </c>
      <c r="D274" s="383" t="s">
        <v>670</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734</v>
      </c>
      <c r="B275" s="335" t="s">
        <v>597</v>
      </c>
      <c r="C275" s="334" t="s">
        <v>620</v>
      </c>
      <c r="D275" s="383" t="s">
        <v>666</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734</v>
      </c>
      <c r="B276" s="335" t="s">
        <v>597</v>
      </c>
      <c r="C276" s="334" t="s">
        <v>620</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803</v>
      </c>
      <c r="B277" s="335" t="s">
        <v>597</v>
      </c>
      <c r="C277" s="334" t="s">
        <v>178</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804</v>
      </c>
      <c r="B278" s="335" t="s">
        <v>597</v>
      </c>
      <c r="C278" s="334" t="s">
        <v>178</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713</v>
      </c>
      <c r="B279" s="335" t="s">
        <v>597</v>
      </c>
      <c r="C279" s="334" t="s">
        <v>178</v>
      </c>
      <c r="D279" s="438">
        <v>3</v>
      </c>
      <c r="E279" s="335"/>
      <c r="F279" s="554"/>
      <c r="G279" s="448">
        <f t="shared" si="45"/>
        <v>0</v>
      </c>
      <c r="H279" s="554"/>
      <c r="I279" s="448">
        <f t="shared" si="46"/>
        <v>0</v>
      </c>
      <c r="J279" s="554">
        <v>60</v>
      </c>
      <c r="K279" s="448">
        <f t="shared" si="42"/>
        <v>47.78</v>
      </c>
      <c r="L279" s="383"/>
      <c r="M279" s="448">
        <f t="shared" si="43"/>
        <v>0</v>
      </c>
      <c r="N279" s="383"/>
      <c r="O279" s="448">
        <f t="shared" si="44"/>
        <v>0</v>
      </c>
    </row>
    <row r="280" hidden="1">
      <c r="A280" s="391" t="s">
        <v>713</v>
      </c>
      <c r="B280" s="335" t="s">
        <v>597</v>
      </c>
      <c r="C280" s="334" t="s">
        <v>178</v>
      </c>
      <c r="D280" s="438">
        <v>4</v>
      </c>
      <c r="E280" s="335"/>
      <c r="F280" s="554"/>
      <c r="G280" s="448">
        <f t="shared" si="45"/>
        <v>0</v>
      </c>
      <c r="H280" s="554"/>
      <c r="I280" s="448">
        <f t="shared" si="46"/>
        <v>0</v>
      </c>
      <c r="J280" s="554">
        <v>80</v>
      </c>
      <c r="K280" s="448">
        <f t="shared" si="42"/>
        <v>49.03</v>
      </c>
      <c r="L280" s="383"/>
      <c r="M280" s="448">
        <f t="shared" si="43"/>
        <v>0</v>
      </c>
      <c r="N280" s="383"/>
      <c r="O280" s="448">
        <f t="shared" si="44"/>
        <v>0</v>
      </c>
    </row>
    <row r="281" hidden="1">
      <c r="A281" s="391" t="s">
        <v>439</v>
      </c>
      <c r="B281" s="335" t="s">
        <v>597</v>
      </c>
      <c r="C281" s="334" t="s">
        <v>178</v>
      </c>
      <c r="D281" s="438">
        <v>3</v>
      </c>
      <c r="E281" s="335"/>
      <c r="F281" s="554"/>
      <c r="G281" s="448">
        <f t="shared" si="45"/>
        <v>0</v>
      </c>
      <c r="H281" s="554"/>
      <c r="I281" s="448">
        <f t="shared" si="46"/>
        <v>0</v>
      </c>
      <c r="J281" s="554">
        <v>60</v>
      </c>
      <c r="K281" s="448">
        <f t="shared" si="42"/>
        <v>47.78</v>
      </c>
      <c r="L281" s="383"/>
      <c r="M281" s="448">
        <f t="shared" si="43"/>
        <v>0</v>
      </c>
      <c r="N281" s="383"/>
      <c r="O281" s="448">
        <f t="shared" si="44"/>
        <v>0</v>
      </c>
    </row>
    <row r="282" hidden="1">
      <c r="A282" s="391" t="s">
        <v>439</v>
      </c>
      <c r="B282" s="335" t="s">
        <v>597</v>
      </c>
      <c r="C282" s="334" t="s">
        <v>178</v>
      </c>
      <c r="D282" s="438">
        <v>4</v>
      </c>
      <c r="E282" s="335"/>
      <c r="F282" s="554"/>
      <c r="G282" s="448">
        <f t="shared" si="45"/>
        <v>0</v>
      </c>
      <c r="H282" s="554"/>
      <c r="I282" s="448">
        <f t="shared" si="46"/>
        <v>0</v>
      </c>
      <c r="J282" s="554">
        <v>80</v>
      </c>
      <c r="K282" s="448">
        <f t="shared" si="42"/>
        <v>49.03</v>
      </c>
      <c r="L282" s="383"/>
      <c r="M282" s="448">
        <f t="shared" si="43"/>
        <v>0</v>
      </c>
      <c r="N282" s="383"/>
      <c r="O282" s="448">
        <f t="shared" si="44"/>
        <v>0</v>
      </c>
    </row>
    <row r="283" hidden="1">
      <c r="A283" s="397" t="s">
        <v>805</v>
      </c>
      <c r="B283" s="383" t="s">
        <v>597</v>
      </c>
      <c r="C283" s="383" t="s">
        <v>603</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806</v>
      </c>
      <c r="B284" s="383" t="s">
        <v>597</v>
      </c>
      <c r="C284" s="383" t="s">
        <v>178</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806</v>
      </c>
      <c r="B285" s="383" t="s">
        <v>597</v>
      </c>
      <c r="C285" s="383" t="s">
        <v>178</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806</v>
      </c>
      <c r="B286" s="383" t="s">
        <v>597</v>
      </c>
      <c r="C286" s="383" t="s">
        <v>178</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806</v>
      </c>
      <c r="B287" s="383" t="s">
        <v>597</v>
      </c>
      <c r="C287" s="383" t="s">
        <v>178</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737</v>
      </c>
      <c r="B288" s="448" t="s">
        <v>597</v>
      </c>
      <c r="C288" s="449" t="s">
        <v>620</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737</v>
      </c>
      <c r="B289" s="448" t="s">
        <v>597</v>
      </c>
      <c r="C289" s="449" t="s">
        <v>620</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756</v>
      </c>
      <c r="B290" s="448" t="s">
        <v>597</v>
      </c>
      <c r="C290" s="449" t="s">
        <v>638</v>
      </c>
      <c r="D290" s="451" t="s">
        <v>666</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756</v>
      </c>
      <c r="B291" s="448" t="s">
        <v>597</v>
      </c>
      <c r="C291" s="449" t="s">
        <v>638</v>
      </c>
      <c r="D291" s="451" t="s">
        <v>674</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689</v>
      </c>
      <c r="B292" s="448" t="s">
        <v>597</v>
      </c>
      <c r="C292" s="449" t="s">
        <v>645</v>
      </c>
      <c r="D292" s="451" t="s">
        <v>666</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689</v>
      </c>
      <c r="B293" s="448" t="s">
        <v>597</v>
      </c>
      <c r="C293" s="449" t="s">
        <v>645</v>
      </c>
      <c r="D293" s="451" t="s">
        <v>674</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695</v>
      </c>
      <c r="B294" s="448" t="s">
        <v>597</v>
      </c>
      <c r="C294" s="449" t="s">
        <v>645</v>
      </c>
      <c r="D294" s="451" t="s">
        <v>666</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695</v>
      </c>
      <c r="B295" s="448" t="s">
        <v>597</v>
      </c>
      <c r="C295" s="449" t="s">
        <v>645</v>
      </c>
      <c r="D295" s="451" t="s">
        <v>674</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698</v>
      </c>
      <c r="B296" s="448" t="s">
        <v>597</v>
      </c>
      <c r="C296" s="449" t="s">
        <v>645</v>
      </c>
      <c r="D296" s="451" t="s">
        <v>666</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698</v>
      </c>
      <c r="B297" s="448" t="s">
        <v>597</v>
      </c>
      <c r="C297" s="449" t="s">
        <v>645</v>
      </c>
      <c r="D297" s="451" t="s">
        <v>674</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701</v>
      </c>
      <c r="B298" s="448" t="s">
        <v>597</v>
      </c>
      <c r="C298" s="449" t="s">
        <v>645</v>
      </c>
      <c r="D298" s="451" t="s">
        <v>666</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701</v>
      </c>
      <c r="B299" s="448" t="s">
        <v>597</v>
      </c>
      <c r="C299" s="449" t="s">
        <v>645</v>
      </c>
      <c r="D299" s="451" t="s">
        <v>674</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807</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807</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807</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807</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807</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807</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807</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807</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807</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807</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807</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807</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807</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807</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807</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807</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807</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807</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807</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807</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807</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807</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807</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807</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807</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807</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807</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807</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807</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758</v>
      </c>
      <c r="B329" s="455" t="s">
        <v>597</v>
      </c>
      <c r="C329" s="456" t="s">
        <v>603</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760</v>
      </c>
      <c r="B330" s="455" t="s">
        <v>597</v>
      </c>
      <c r="C330" s="456" t="s">
        <v>603</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175</v>
      </c>
      <c r="B331" s="455" t="s">
        <v>597</v>
      </c>
      <c r="C331" s="456" t="s">
        <v>603</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808</v>
      </c>
      <c r="B332" s="455" t="s">
        <v>597</v>
      </c>
      <c r="C332" s="456" t="s">
        <v>603</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hidden="1">
      <c r="A335" s="454" t="s">
        <v>725</v>
      </c>
      <c r="B335" s="455"/>
      <c r="C335" s="456" t="s">
        <v>178</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hidden="1">
      <c r="A336" s="454" t="s">
        <v>725</v>
      </c>
      <c r="B336" s="455"/>
      <c r="C336" s="456" t="s">
        <v>614</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ERICSSON RBS 2116 &amp; ERICSSON RBS 6601"/>
        <filter val="ERICSSON RBS 6601"/>
        <filter val="ERICSSON RBS 6601 (RRU2219)"/>
        <filter val="ERICSSON RBS 6601 (RRUS32)"/>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F8DCD8D8-243F-4904-A994-D2A3D09B4983}"/>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384" width="9.140625" customWidth="1" style="212"/>
  </cols>
  <sheetData>
    <row r="1" s="314" customFormat="1">
      <c r="A1" s="497" t="s">
        <v>190</v>
      </c>
      <c r="B1" s="498" t="s">
        <v>222</v>
      </c>
      <c r="C1" s="497" t="s">
        <v>549</v>
      </c>
      <c r="D1" s="497" t="s">
        <v>550</v>
      </c>
      <c r="E1" s="497" t="s">
        <v>551</v>
      </c>
      <c r="F1" s="497" t="s">
        <v>552</v>
      </c>
      <c r="G1" s="497" t="s">
        <v>553</v>
      </c>
      <c r="H1" s="498" t="s">
        <v>554</v>
      </c>
      <c r="I1" s="497" t="s">
        <v>555</v>
      </c>
      <c r="J1" s="497" t="s">
        <v>556</v>
      </c>
      <c r="K1" s="497" t="s">
        <v>557</v>
      </c>
      <c r="L1" s="498" t="s">
        <v>191</v>
      </c>
      <c r="M1" s="498" t="s">
        <v>223</v>
      </c>
    </row>
    <row r="2" ht="66">
      <c r="A2" s="210" t="s">
        <v>165</v>
      </c>
      <c r="B2" s="477" t="str">
        <f>INDEX(ApplicantNameList,MATCH(A2,ApplicantIDList,0))</f>
        <v>TRUNG TÂM ĐO KIỂM VÀ SỬA CHỮA THIẾT BỊ VIỄN THÔNG MOBIFONE - CHI NHÁNH TỔNG CÔNG TY VIỄN THÔNG MOBIFONE</v>
      </c>
      <c r="C2" s="212" t="s">
        <v>558</v>
      </c>
      <c r="D2" s="213">
        <v>42902</v>
      </c>
      <c r="E2" s="212">
        <v>1</v>
      </c>
      <c r="F2" s="212">
        <v>1</v>
      </c>
      <c r="G2" s="213">
        <v>42906</v>
      </c>
      <c r="H2" s="478">
        <f>F2*2500000</f>
        <v>2500000</v>
      </c>
      <c r="I2" s="214" t="s">
        <v>559</v>
      </c>
      <c r="J2" s="213">
        <v>42911</v>
      </c>
      <c r="K2" s="213">
        <v>42916</v>
      </c>
      <c r="L2" s="479" t="str">
        <f>INDEX(Applicant!$H:$H,MATCH(A2,ApplicantIDList,0))</f>
        <v>MOBIFONE</v>
      </c>
      <c r="M2" s="480" t="str">
        <f>INDEX(OperatorNameList,MATCH(L2,OperatorIDList,0))</f>
        <v>TỔNG CÔNG TY VIỄN THÔNG MOBIFONE</v>
      </c>
    </row>
    <row r="3">
      <c r="A3" s="210"/>
    </row>
  </sheetData>
  <sheetProtection sheet="1" objects="1" scenarios="1" formatCells="0" formatColumns="0" formatRows="0" sort="0" autoFilter="0" pivotTables="0"/>
  <conditionalFormatting sqref="D2">
    <cfRule type="expression" dxfId="0" priority="8">
      <formula>NOT(isdate($D$2))</formula>
    </cfRule>
  </conditionalFormatting>
  <conditionalFormatting sqref="G2">
    <cfRule type="expression" dxfId="0" priority="7">
      <formula>NOT(isdate($G$2))</formula>
    </cfRule>
  </conditionalFormatting>
  <conditionalFormatting sqref="E2">
    <cfRule type="expression" dxfId="0" priority="4">
      <formula>NOT(ISNUMBER($E$2))</formula>
    </cfRule>
  </conditionalFormatting>
  <conditionalFormatting sqref="F2">
    <cfRule type="expression" dxfId="0" priority="3">
      <formula>NOT(ISNUMBER($F$2))</formula>
    </cfRule>
  </conditionalFormatting>
  <conditionalFormatting sqref="J2">
    <cfRule type="expression" dxfId="0" priority="2">
      <formula>NOT(isdate($G$2))</formula>
    </cfRule>
  </conditionalFormatting>
  <conditionalFormatting sqref="K2">
    <cfRule type="expression" dxfId="0" priority="1">
      <formula>NOT(isdate($G$2))</formula>
    </cfRule>
  </conditionalFormatting>
  <dataValidations count="1">
    <dataValidation type="list" allowBlank="1" showInputMessage="1" showErrorMessage="1" sqref="A2" xr:uid="{666B8ED9-3424-4A57-8319-D70E5EB1F675}">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0"/>
    <col min="3" max="3" bestFit="1" width="81.5703125" customWidth="1" style="218"/>
    <col min="4" max="4" width="14" customWidth="1" style="218"/>
    <col min="5" max="5" width="11.9111469813756" customWidth="1" style="690"/>
    <col min="6" max="6" width="9.85664585658482" customWidth="1" style="690"/>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499" t="s">
        <v>0</v>
      </c>
      <c r="B1" s="691" t="s">
        <v>192</v>
      </c>
      <c r="C1" s="500" t="s">
        <v>47</v>
      </c>
      <c r="D1" s="500" t="s">
        <v>193</v>
      </c>
      <c r="E1" s="691" t="s">
        <v>194</v>
      </c>
      <c r="F1" s="691" t="s">
        <v>195</v>
      </c>
      <c r="G1" s="500" t="s">
        <v>208</v>
      </c>
      <c r="H1" s="501" t="s">
        <v>228</v>
      </c>
      <c r="I1" s="216"/>
      <c r="J1" s="216"/>
    </row>
    <row r="2" ht="16.5">
      <c r="A2" s="217">
        <v>1</v>
      </c>
      <c r="B2" s="692">
        <v>359018</v>
      </c>
      <c r="C2" s="217" t="s">
        <v>545</v>
      </c>
      <c r="D2" s="210" t="s">
        <v>26</v>
      </c>
      <c r="E2" s="692">
        <v>106.698889</v>
      </c>
      <c r="F2" s="692">
        <v>10.759444</v>
      </c>
      <c r="G2" s="217">
        <v>1</v>
      </c>
      <c r="H2" s="481" t="str">
        <f>INDEX(CityIDList,MATCH(D2,CityNameList,0))</f>
        <v>HCM</v>
      </c>
    </row>
    <row r="3" ht="16.5">
      <c r="A3" s="217">
        <v>2</v>
      </c>
      <c r="B3" s="692">
        <v>359184</v>
      </c>
      <c r="C3" s="217" t="s">
        <v>546</v>
      </c>
      <c r="D3" s="210" t="s">
        <v>26</v>
      </c>
      <c r="E3" s="692">
        <v>106.6932</v>
      </c>
      <c r="F3" s="692">
        <v>10.77212</v>
      </c>
      <c r="G3" s="217">
        <v>1</v>
      </c>
      <c r="H3" s="208" t="str">
        <f>INDEX(CityIDList,MATCH(D3,CityNameList,0))</f>
        <v>HCM</v>
      </c>
    </row>
    <row r="4" ht="16.5">
      <c r="A4" s="217">
        <v>3</v>
      </c>
      <c r="B4" s="692">
        <v>359356</v>
      </c>
      <c r="C4" s="217" t="s">
        <v>547</v>
      </c>
      <c r="D4" s="210" t="s">
        <v>26</v>
      </c>
      <c r="E4" s="692">
        <v>106.68681</v>
      </c>
      <c r="F4" s="692">
        <v>10.76398</v>
      </c>
      <c r="G4" s="217">
        <v>1</v>
      </c>
      <c r="H4" s="208" t="str">
        <f>INDEX(CityIDList,MATCH(D4,CityNameList,0))</f>
        <v>HCM</v>
      </c>
    </row>
    <row r="5" ht="16.5">
      <c r="A5" s="217">
        <v>4</v>
      </c>
      <c r="B5" s="692">
        <v>359389</v>
      </c>
      <c r="C5" s="217" t="s">
        <v>548</v>
      </c>
      <c r="D5" s="210" t="s">
        <v>26</v>
      </c>
      <c r="E5" s="692">
        <v>106.702</v>
      </c>
      <c r="F5" s="692">
        <v>10.7772</v>
      </c>
      <c r="G5" s="217">
        <v>1</v>
      </c>
      <c r="H5" s="208" t="str">
        <f>INDEX(CityIDList,MATCH(D5,CityNameList,0))</f>
        <v>HCM</v>
      </c>
    </row>
    <row r="6" ht="16.5">
      <c r="B6" s="692"/>
      <c r="C6" s="217"/>
      <c r="D6" s="210"/>
      <c r="E6" s="692"/>
      <c r="F6" s="692"/>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2"/>
  <sheetViews>
    <sheetView topLeftCell="C2" zoomScale="190" zoomScaleNormal="190" workbookViewId="0">
      <selection activeCell="E7" sqref="E7"/>
    </sheetView>
  </sheetViews>
  <sheetFormatPr defaultColWidth="9.140625" defaultRowHeight="12.75"/>
  <cols>
    <col min="1" max="1" bestFit="1" width="5" customWidth="1" style="317"/>
    <col min="2" max="2" width="19" customWidth="1" style="320"/>
    <col min="3" max="3" width="16.5703125" customWidth="1" style="317"/>
    <col min="4" max="4" width="9.140625" customWidth="1" style="693"/>
    <col min="5" max="5" width="54.140625" customWidth="1" style="317"/>
    <col min="6" max="6" width="16.5703125" customWidth="1" style="317"/>
    <col min="7" max="7" bestFit="1" width="9.140625" customWidth="1" style="693"/>
    <col min="8" max="8" bestFit="1" width="9.140625" customWidth="1" style="698"/>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19.140625" customWidth="1" style="319"/>
    <col min="20" max="20" width="14.28515625" customWidth="1" style="319"/>
    <col min="21" max="21" width="21.42578125" customWidth="1" style="319"/>
    <col min="22" max="22" width="20.42578125" customWidth="1" style="319"/>
    <col min="23" max="23" width="16.42578125" customWidth="1" style="319"/>
    <col min="24" max="24" width="18.7109375" customWidth="1" style="319"/>
    <col min="25" max="25" width="9.140625" customWidth="1" style="698"/>
    <col min="26" max="26" width="13" customWidth="1" style="319"/>
    <col min="27" max="27" width="9.140625" customWidth="1" style="698"/>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698"/>
    <col min="35" max="35" width="9.140625" customWidth="1" style="698"/>
    <col min="36" max="16384" width="9.140625" customWidth="1" style="319"/>
  </cols>
  <sheetData>
    <row r="1" ht="42.75" s="317" customFormat="1">
      <c r="A1" s="502" t="s">
        <v>0</v>
      </c>
      <c r="B1" s="502" t="s">
        <v>190</v>
      </c>
      <c r="C1" s="502" t="s">
        <v>191</v>
      </c>
      <c r="D1" s="694" t="s">
        <v>192</v>
      </c>
      <c r="E1" s="503" t="s">
        <v>47</v>
      </c>
      <c r="F1" s="503" t="s">
        <v>193</v>
      </c>
      <c r="G1" s="696" t="s">
        <v>194</v>
      </c>
      <c r="H1" s="696" t="s">
        <v>195</v>
      </c>
      <c r="I1" s="504" t="s">
        <v>196</v>
      </c>
      <c r="J1" s="504" t="s">
        <v>197</v>
      </c>
      <c r="K1" s="504" t="s">
        <v>198</v>
      </c>
      <c r="L1" s="504" t="s">
        <v>199</v>
      </c>
      <c r="M1" s="504" t="s">
        <v>200</v>
      </c>
      <c r="N1" s="504" t="s">
        <v>201</v>
      </c>
      <c r="O1" s="504" t="s">
        <v>202</v>
      </c>
      <c r="P1" s="504" t="s">
        <v>203</v>
      </c>
      <c r="Q1" s="504" t="s">
        <v>204</v>
      </c>
      <c r="R1" s="504" t="s">
        <v>205</v>
      </c>
      <c r="S1" s="504" t="s">
        <v>206</v>
      </c>
      <c r="T1" s="504" t="s">
        <v>207</v>
      </c>
      <c r="U1" s="504" t="s">
        <v>208</v>
      </c>
      <c r="V1" s="504" t="s">
        <v>209</v>
      </c>
      <c r="W1" s="505" t="s">
        <v>210</v>
      </c>
      <c r="X1" s="505" t="s">
        <v>211</v>
      </c>
      <c r="Y1" s="699" t="s">
        <v>212</v>
      </c>
      <c r="Z1" s="505" t="s">
        <v>213</v>
      </c>
      <c r="AA1" s="699" t="s">
        <v>214</v>
      </c>
      <c r="AB1" s="505" t="s">
        <v>215</v>
      </c>
      <c r="AC1" s="505" t="s">
        <v>216</v>
      </c>
      <c r="AD1" s="506" t="s">
        <v>217</v>
      </c>
      <c r="AE1" s="503" t="s">
        <v>218</v>
      </c>
      <c r="AF1" s="503" t="s">
        <v>219</v>
      </c>
      <c r="AG1" s="503" t="s">
        <v>220</v>
      </c>
      <c r="AH1" s="694" t="s">
        <v>418</v>
      </c>
      <c r="AI1" s="694" t="s">
        <v>419</v>
      </c>
    </row>
    <row r="2" ht="75" s="318" customFormat="1">
      <c r="A2" s="310">
        <v>1</v>
      </c>
      <c r="B2" s="464" t="s">
        <v>165</v>
      </c>
      <c r="C2" s="310" t="s">
        <v>166</v>
      </c>
      <c r="D2" s="695" t="str">
        <f> Check!D2</f>
        <v>H02086</v>
      </c>
      <c r="E2" s="541" t="s">
        <v>168</v>
      </c>
      <c r="F2" s="542" t="s">
        <v>26</v>
      </c>
      <c r="G2" s="697" t="s">
        <v>169</v>
      </c>
      <c r="H2" s="697" t="s">
        <v>170</v>
      </c>
      <c r="I2" s="553">
        <v>1</v>
      </c>
      <c r="J2" s="542" t="s">
        <v>171</v>
      </c>
      <c r="K2" s="543">
        <v>42919</v>
      </c>
      <c r="L2" s="543">
        <v>42915</v>
      </c>
      <c r="M2" s="475" t="s">
        <v>174</v>
      </c>
      <c r="N2" s="544" t="s">
        <v>167</v>
      </c>
      <c r="O2" s="544" t="s">
        <v>175</v>
      </c>
      <c r="P2" s="545">
        <v>3</v>
      </c>
      <c r="Q2" s="544" t="s">
        <v>176</v>
      </c>
      <c r="R2" s="544" t="s">
        <v>177</v>
      </c>
      <c r="S2" s="544" t="s">
        <v>178</v>
      </c>
      <c r="T2" s="544" t="s">
        <v>179</v>
      </c>
      <c r="U2" s="475" t="s">
        <v>180</v>
      </c>
      <c r="V2" s="475" t="s">
        <v>181</v>
      </c>
      <c r="W2" s="546" t="b">
        <v>0</v>
      </c>
      <c r="X2" s="546" t="b">
        <v>0</v>
      </c>
      <c r="Y2" s="697">
        <v>0</v>
      </c>
      <c r="Z2" s="541" t="b">
        <v>1</v>
      </c>
      <c r="AA2" s="697">
        <v>20</v>
      </c>
      <c r="AB2" s="546" t="b">
        <v>0</v>
      </c>
      <c r="AC2" s="541" t="b">
        <v>1</v>
      </c>
      <c r="AD2" s="547"/>
      <c r="AE2" s="311"/>
      <c r="AF2" s="311" t="s">
        <v>50</v>
      </c>
      <c r="AG2" s="482"/>
      <c r="AH2" s="700">
        <f>Input!HW2</f>
        <v>0</v>
      </c>
      <c r="AI2" s="700">
        <f>Input!HX2</f>
        <v>0</v>
      </c>
    </row>
  </sheetData>
  <sheetProtection sheet="1" objects="1" scenarios="1" formatCells="0" formatColumns="0" formatRows="0" sort="0" autoFilter="0" pivotTables="0"/>
  <autoFilter ref="A1:AI2"/>
  <conditionalFormatting sqref="W1 Z1 AB1:AC1 AB3:AC1048576 Z3:Z1048576 W3:W1048576">
    <cfRule type="expression" dxfId="0" priority="16">
      <formula>AND(W1&lt;&gt; TRUE, W1&lt;&gt; FALSE)</formula>
    </cfRule>
  </conditionalFormatting>
  <conditionalFormatting sqref="X1 X3:X1048576">
    <cfRule type="expression" dxfId="0" priority="11">
      <formula>AND(X1=TRUE,W1=FALSE)</formula>
    </cfRule>
    <cfRule type="expression" dxfId="0" priority="15">
      <formula>AND(X1&lt;&gt; TRUE, X1&lt;&gt; FALSE)</formula>
    </cfRule>
  </conditionalFormatting>
  <conditionalFormatting sqref="Y1 AA1 AA3:AA1048576 Y3:Y1048576">
    <cfRule type="expression" dxfId="0" priority="10">
      <formula>AND(X1=FALSE,Y1&gt;0)</formula>
    </cfRule>
  </conditionalFormatting>
  <conditionalFormatting sqref="W2 AC2 Y2:AA2">
    <cfRule type="containsText" dxfId="0" priority="8" operator="containsText" text="no">
      <formula>NOT(ISERROR(SEARCH("no",W2)))</formula>
    </cfRule>
  </conditionalFormatting>
  <conditionalFormatting sqref="X2">
    <cfRule type="containsText" dxfId="0" priority="2" operator="containsText" text="no">
      <formula>NOT(ISERROR(SEARCH("no",X2)))</formula>
    </cfRule>
  </conditionalFormatting>
  <conditionalFormatting sqref="AB2">
    <cfRule type="containsText" dxfId="0" priority="1" operator="containsText" text="no">
      <formula>NOT(ISERROR(SEARCH("no",AB2)))</formula>
    </cfRule>
  </conditionalFormatting>
  <dataValidations count="1">
    <dataValidation type="list" allowBlank="1" showInputMessage="1" showErrorMessage="1" sqref="AF2:AF1048576" xr:uid="{F060C1BF-33A9-428B-BAF5-5B5C9E4E6789}">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2"/>
  <sheetViews>
    <sheetView zoomScale="85" zoomScaleNormal="85" workbookViewId="0">
      <selection activeCell="B2" sqref="B2:HY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1"/>
    <col min="5" max="5" width="54.140625" customWidth="1" style="322"/>
    <col min="6" max="6" width="16.5703125" customWidth="1" style="322"/>
    <col min="7" max="7" bestFit="1" width="9.140625" customWidth="1" style="701"/>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07" t="s">
        <v>0</v>
      </c>
      <c r="B1" s="507" t="s">
        <v>190</v>
      </c>
      <c r="C1" s="507" t="s">
        <v>191</v>
      </c>
      <c r="D1" s="702" t="s">
        <v>192</v>
      </c>
      <c r="E1" s="507" t="s">
        <v>47</v>
      </c>
      <c r="F1" s="507" t="s">
        <v>193</v>
      </c>
      <c r="G1" s="702" t="s">
        <v>194</v>
      </c>
      <c r="H1" s="702" t="s">
        <v>195</v>
      </c>
      <c r="I1" s="508" t="s">
        <v>196</v>
      </c>
      <c r="J1" s="508" t="s">
        <v>197</v>
      </c>
      <c r="K1" s="509" t="s">
        <v>198</v>
      </c>
      <c r="L1" s="509" t="s">
        <v>199</v>
      </c>
      <c r="M1" s="508" t="s">
        <v>200</v>
      </c>
      <c r="N1" s="508" t="s">
        <v>201</v>
      </c>
      <c r="O1" s="508" t="s">
        <v>202</v>
      </c>
      <c r="P1" s="508" t="s">
        <v>203</v>
      </c>
      <c r="Q1" s="508" t="s">
        <v>204</v>
      </c>
      <c r="R1" s="508" t="s">
        <v>205</v>
      </c>
      <c r="S1" s="508" t="s">
        <v>206</v>
      </c>
      <c r="T1" s="508" t="s">
        <v>207</v>
      </c>
      <c r="U1" s="508" t="s">
        <v>208</v>
      </c>
      <c r="V1" s="508" t="s">
        <v>209</v>
      </c>
      <c r="W1" s="505" t="s">
        <v>210</v>
      </c>
      <c r="X1" s="505" t="s">
        <v>211</v>
      </c>
      <c r="Y1" s="699" t="s">
        <v>212</v>
      </c>
      <c r="Z1" s="505" t="s">
        <v>213</v>
      </c>
      <c r="AA1" s="699" t="s">
        <v>214</v>
      </c>
      <c r="AB1" s="505" t="s">
        <v>215</v>
      </c>
      <c r="AC1" s="505" t="s">
        <v>216</v>
      </c>
      <c r="AD1" s="510" t="s">
        <v>217</v>
      </c>
      <c r="AE1" s="507" t="s">
        <v>218</v>
      </c>
      <c r="AF1" s="507" t="s">
        <v>219</v>
      </c>
      <c r="AG1" s="507" t="s">
        <v>220</v>
      </c>
      <c r="AH1" s="511" t="s">
        <v>221</v>
      </c>
      <c r="AI1" s="512" t="s">
        <v>222</v>
      </c>
      <c r="AJ1" s="512" t="s">
        <v>223</v>
      </c>
      <c r="AK1" s="512" t="s">
        <v>224</v>
      </c>
      <c r="AL1" s="513" t="s">
        <v>225</v>
      </c>
      <c r="AM1" s="513" t="s">
        <v>226</v>
      </c>
      <c r="AN1" s="513" t="s">
        <v>227</v>
      </c>
      <c r="AO1" s="514" t="s">
        <v>228</v>
      </c>
      <c r="AP1" s="515" t="s">
        <v>229</v>
      </c>
      <c r="AQ1" s="515" t="s">
        <v>230</v>
      </c>
      <c r="AR1" s="515" t="s">
        <v>231</v>
      </c>
      <c r="AS1" s="515" t="s">
        <v>232</v>
      </c>
      <c r="AT1" s="515" t="s">
        <v>233</v>
      </c>
      <c r="AU1" s="515" t="s">
        <v>234</v>
      </c>
      <c r="AV1" s="514" t="s">
        <v>235</v>
      </c>
      <c r="AW1" s="514" t="s">
        <v>236</v>
      </c>
      <c r="AX1" s="514" t="s">
        <v>237</v>
      </c>
      <c r="AY1" s="514" t="s">
        <v>238</v>
      </c>
      <c r="AZ1" s="514" t="s">
        <v>239</v>
      </c>
      <c r="BA1" s="514" t="s">
        <v>240</v>
      </c>
      <c r="BB1" s="515" t="s">
        <v>241</v>
      </c>
      <c r="BC1" s="514" t="s">
        <v>242</v>
      </c>
      <c r="BD1" s="514" t="s">
        <v>243</v>
      </c>
      <c r="BE1" s="514" t="s">
        <v>244</v>
      </c>
      <c r="BF1" s="514" t="s">
        <v>245</v>
      </c>
      <c r="BG1" s="514" t="s">
        <v>246</v>
      </c>
      <c r="BH1" s="514" t="s">
        <v>247</v>
      </c>
      <c r="BI1" s="515" t="s">
        <v>248</v>
      </c>
      <c r="BJ1" s="515" t="s">
        <v>249</v>
      </c>
      <c r="BK1" s="515" t="s">
        <v>250</v>
      </c>
      <c r="BL1" s="515" t="s">
        <v>251</v>
      </c>
      <c r="BM1" s="515" t="s">
        <v>252</v>
      </c>
      <c r="BN1" s="515" t="s">
        <v>253</v>
      </c>
      <c r="BO1" s="514" t="s">
        <v>254</v>
      </c>
      <c r="BP1" s="514" t="s">
        <v>255</v>
      </c>
      <c r="BQ1" s="514" t="s">
        <v>256</v>
      </c>
      <c r="BR1" s="514" t="s">
        <v>257</v>
      </c>
      <c r="BS1" s="514" t="s">
        <v>258</v>
      </c>
      <c r="BT1" s="514" t="s">
        <v>259</v>
      </c>
      <c r="BU1" s="515" t="s">
        <v>260</v>
      </c>
      <c r="BV1" s="514" t="s">
        <v>261</v>
      </c>
      <c r="BW1" s="514" t="s">
        <v>262</v>
      </c>
      <c r="BX1" s="514" t="s">
        <v>263</v>
      </c>
      <c r="BY1" s="514" t="s">
        <v>264</v>
      </c>
      <c r="BZ1" s="514" t="s">
        <v>265</v>
      </c>
      <c r="CA1" s="514" t="s">
        <v>266</v>
      </c>
      <c r="CB1" s="515" t="s">
        <v>267</v>
      </c>
      <c r="CC1" s="514" t="s">
        <v>268</v>
      </c>
      <c r="CD1" s="514" t="s">
        <v>269</v>
      </c>
      <c r="CE1" s="514" t="s">
        <v>270</v>
      </c>
      <c r="CF1" s="514" t="s">
        <v>271</v>
      </c>
      <c r="CG1" s="514" t="s">
        <v>272</v>
      </c>
      <c r="CH1" s="514" t="s">
        <v>273</v>
      </c>
      <c r="CI1" s="515" t="s">
        <v>274</v>
      </c>
      <c r="CJ1" s="514" t="s">
        <v>275</v>
      </c>
      <c r="CK1" s="514" t="s">
        <v>276</v>
      </c>
      <c r="CL1" s="514" t="s">
        <v>277</v>
      </c>
      <c r="CM1" s="514" t="s">
        <v>278</v>
      </c>
      <c r="CN1" s="514" t="s">
        <v>279</v>
      </c>
      <c r="CO1" s="514" t="s">
        <v>280</v>
      </c>
      <c r="CP1" s="515" t="s">
        <v>281</v>
      </c>
      <c r="CQ1" s="514" t="s">
        <v>282</v>
      </c>
      <c r="CR1" s="514" t="s">
        <v>283</v>
      </c>
      <c r="CS1" s="514" t="s">
        <v>284</v>
      </c>
      <c r="CT1" s="514" t="s">
        <v>285</v>
      </c>
      <c r="CU1" s="514" t="s">
        <v>286</v>
      </c>
      <c r="CV1" s="514" t="s">
        <v>287</v>
      </c>
      <c r="CW1" s="515" t="s">
        <v>288</v>
      </c>
      <c r="CX1" s="514" t="s">
        <v>289</v>
      </c>
      <c r="CY1" s="514" t="s">
        <v>290</v>
      </c>
      <c r="CZ1" s="514" t="s">
        <v>291</v>
      </c>
      <c r="DA1" s="514" t="s">
        <v>292</v>
      </c>
      <c r="DB1" s="514" t="s">
        <v>293</v>
      </c>
      <c r="DC1" s="514" t="s">
        <v>294</v>
      </c>
      <c r="DD1" s="515" t="s">
        <v>295</v>
      </c>
      <c r="DE1" s="514" t="s">
        <v>296</v>
      </c>
      <c r="DF1" s="514" t="s">
        <v>297</v>
      </c>
      <c r="DG1" s="514" t="s">
        <v>298</v>
      </c>
      <c r="DH1" s="514" t="s">
        <v>299</v>
      </c>
      <c r="DI1" s="514" t="s">
        <v>300</v>
      </c>
      <c r="DJ1" s="514" t="s">
        <v>301</v>
      </c>
      <c r="DK1" s="515" t="s">
        <v>302</v>
      </c>
      <c r="DL1" s="514" t="s">
        <v>303</v>
      </c>
      <c r="DM1" s="514" t="s">
        <v>304</v>
      </c>
      <c r="DN1" s="514" t="s">
        <v>305</v>
      </c>
      <c r="DO1" s="514" t="s">
        <v>306</v>
      </c>
      <c r="DP1" s="514" t="s">
        <v>307</v>
      </c>
      <c r="DQ1" s="514" t="s">
        <v>308</v>
      </c>
      <c r="DR1" s="516" t="s">
        <v>309</v>
      </c>
      <c r="DS1" s="516" t="s">
        <v>310</v>
      </c>
      <c r="DT1" s="515" t="s">
        <v>311</v>
      </c>
      <c r="DU1" s="514" t="s">
        <v>312</v>
      </c>
      <c r="DV1" s="514" t="s">
        <v>313</v>
      </c>
      <c r="DW1" s="514" t="s">
        <v>314</v>
      </c>
      <c r="DX1" s="514" t="s">
        <v>315</v>
      </c>
      <c r="DY1" s="514" t="s">
        <v>316</v>
      </c>
      <c r="DZ1" s="514" t="s">
        <v>317</v>
      </c>
      <c r="EA1" s="516" t="s">
        <v>318</v>
      </c>
      <c r="EB1" s="516" t="s">
        <v>319</v>
      </c>
      <c r="EC1" s="515" t="s">
        <v>320</v>
      </c>
      <c r="ED1" s="514" t="s">
        <v>321</v>
      </c>
      <c r="EE1" s="514" t="s">
        <v>322</v>
      </c>
      <c r="EF1" s="514" t="s">
        <v>323</v>
      </c>
      <c r="EG1" s="514" t="s">
        <v>324</v>
      </c>
      <c r="EH1" s="514" t="s">
        <v>325</v>
      </c>
      <c r="EI1" s="514" t="s">
        <v>326</v>
      </c>
      <c r="EJ1" s="516" t="s">
        <v>327</v>
      </c>
      <c r="EK1" s="516" t="s">
        <v>328</v>
      </c>
      <c r="EL1" s="515" t="s">
        <v>329</v>
      </c>
      <c r="EM1" s="514" t="s">
        <v>330</v>
      </c>
      <c r="EN1" s="514" t="s">
        <v>331</v>
      </c>
      <c r="EO1" s="514" t="s">
        <v>332</v>
      </c>
      <c r="EP1" s="514" t="s">
        <v>333</v>
      </c>
      <c r="EQ1" s="514" t="s">
        <v>334</v>
      </c>
      <c r="ER1" s="514" t="s">
        <v>335</v>
      </c>
      <c r="ES1" s="516" t="s">
        <v>336</v>
      </c>
      <c r="ET1" s="516" t="s">
        <v>337</v>
      </c>
      <c r="EU1" s="515" t="s">
        <v>338</v>
      </c>
      <c r="EV1" s="514" t="s">
        <v>339</v>
      </c>
      <c r="EW1" s="514" t="s">
        <v>340</v>
      </c>
      <c r="EX1" s="514" t="s">
        <v>341</v>
      </c>
      <c r="EY1" s="514" t="s">
        <v>342</v>
      </c>
      <c r="EZ1" s="514" t="s">
        <v>343</v>
      </c>
      <c r="FA1" s="514" t="s">
        <v>344</v>
      </c>
      <c r="FB1" s="516" t="s">
        <v>345</v>
      </c>
      <c r="FC1" s="516" t="s">
        <v>346</v>
      </c>
      <c r="FD1" s="515" t="s">
        <v>347</v>
      </c>
      <c r="FE1" s="514" t="s">
        <v>348</v>
      </c>
      <c r="FF1" s="514" t="s">
        <v>349</v>
      </c>
      <c r="FG1" s="514" t="s">
        <v>350</v>
      </c>
      <c r="FH1" s="514" t="s">
        <v>351</v>
      </c>
      <c r="FI1" s="514" t="s">
        <v>352</v>
      </c>
      <c r="FJ1" s="514" t="s">
        <v>353</v>
      </c>
      <c r="FK1" s="516" t="s">
        <v>354</v>
      </c>
      <c r="FL1" s="516" t="s">
        <v>355</v>
      </c>
      <c r="FM1" s="516" t="s">
        <v>356</v>
      </c>
      <c r="FN1" s="517" t="s">
        <v>357</v>
      </c>
      <c r="FO1" s="517" t="s">
        <v>358</v>
      </c>
      <c r="FP1" s="517" t="s">
        <v>359</v>
      </c>
      <c r="FQ1" s="517" t="s">
        <v>360</v>
      </c>
      <c r="FR1" s="517" t="s">
        <v>361</v>
      </c>
      <c r="FS1" s="517" t="s">
        <v>362</v>
      </c>
      <c r="FT1" s="515" t="s">
        <v>363</v>
      </c>
      <c r="FU1" s="514" t="s">
        <v>364</v>
      </c>
      <c r="FV1" s="514" t="s">
        <v>365</v>
      </c>
      <c r="FW1" s="514" t="s">
        <v>366</v>
      </c>
      <c r="FX1" s="514" t="s">
        <v>367</v>
      </c>
      <c r="FY1" s="514" t="s">
        <v>368</v>
      </c>
      <c r="FZ1" s="514" t="s">
        <v>369</v>
      </c>
      <c r="GA1" s="516" t="s">
        <v>370</v>
      </c>
      <c r="GB1" s="515" t="s">
        <v>371</v>
      </c>
      <c r="GC1" s="514" t="s">
        <v>372</v>
      </c>
      <c r="GD1" s="514" t="s">
        <v>373</v>
      </c>
      <c r="GE1" s="514" t="s">
        <v>374</v>
      </c>
      <c r="GF1" s="514" t="s">
        <v>375</v>
      </c>
      <c r="GG1" s="514" t="s">
        <v>376</v>
      </c>
      <c r="GH1" s="514" t="s">
        <v>377</v>
      </c>
      <c r="GI1" s="516" t="s">
        <v>378</v>
      </c>
      <c r="GJ1" s="515" t="s">
        <v>379</v>
      </c>
      <c r="GK1" s="514" t="s">
        <v>380</v>
      </c>
      <c r="GL1" s="514" t="s">
        <v>381</v>
      </c>
      <c r="GM1" s="514" t="s">
        <v>382</v>
      </c>
      <c r="GN1" s="514" t="s">
        <v>383</v>
      </c>
      <c r="GO1" s="514" t="s">
        <v>384</v>
      </c>
      <c r="GP1" s="514" t="s">
        <v>385</v>
      </c>
      <c r="GQ1" s="516" t="s">
        <v>386</v>
      </c>
      <c r="GR1" s="515" t="s">
        <v>387</v>
      </c>
      <c r="GS1" s="514" t="s">
        <v>388</v>
      </c>
      <c r="GT1" s="514" t="s">
        <v>389</v>
      </c>
      <c r="GU1" s="514" t="s">
        <v>390</v>
      </c>
      <c r="GV1" s="514" t="s">
        <v>391</v>
      </c>
      <c r="GW1" s="514" t="s">
        <v>392</v>
      </c>
      <c r="GX1" s="514" t="s">
        <v>393</v>
      </c>
      <c r="GY1" s="516" t="s">
        <v>394</v>
      </c>
      <c r="GZ1" s="515" t="s">
        <v>395</v>
      </c>
      <c r="HA1" s="514" t="s">
        <v>396</v>
      </c>
      <c r="HB1" s="514" t="s">
        <v>397</v>
      </c>
      <c r="HC1" s="514" t="s">
        <v>398</v>
      </c>
      <c r="HD1" s="514" t="s">
        <v>399</v>
      </c>
      <c r="HE1" s="514" t="s">
        <v>400</v>
      </c>
      <c r="HF1" s="514" t="s">
        <v>401</v>
      </c>
      <c r="HG1" s="516" t="s">
        <v>402</v>
      </c>
      <c r="HH1" s="515" t="s">
        <v>403</v>
      </c>
      <c r="HI1" s="514" t="s">
        <v>404</v>
      </c>
      <c r="HJ1" s="514" t="s">
        <v>405</v>
      </c>
      <c r="HK1" s="514" t="s">
        <v>406</v>
      </c>
      <c r="HL1" s="514" t="s">
        <v>407</v>
      </c>
      <c r="HM1" s="514" t="s">
        <v>408</v>
      </c>
      <c r="HN1" s="514" t="s">
        <v>409</v>
      </c>
      <c r="HO1" s="516" t="s">
        <v>410</v>
      </c>
      <c r="HP1" s="515" t="s">
        <v>411</v>
      </c>
      <c r="HQ1" s="518" t="s">
        <v>412</v>
      </c>
      <c r="HR1" s="518" t="s">
        <v>413</v>
      </c>
      <c r="HS1" s="518" t="s">
        <v>414</v>
      </c>
      <c r="HT1" s="518" t="s">
        <v>415</v>
      </c>
      <c r="HU1" s="518" t="s">
        <v>416</v>
      </c>
      <c r="HV1" s="518" t="s">
        <v>417</v>
      </c>
      <c r="HW1" s="704" t="s">
        <v>418</v>
      </c>
      <c r="HX1" s="704" t="s">
        <v>419</v>
      </c>
      <c r="HY1" s="519" t="s">
        <v>420</v>
      </c>
    </row>
    <row r="2" ht="191.25" s="323" customFormat="1">
      <c r="A2" s="483">
        <f>Input!A2</f>
        <v>1</v>
      </c>
      <c r="B2" s="483" t="str">
        <f>Input!B2</f>
        <v>MBF-HCM</v>
      </c>
      <c r="C2" s="483" t="str">
        <f>Input!C2</f>
        <v>MOBIFONE</v>
      </c>
      <c r="D2" s="703" t="str">
        <f>BC2</f>
        <v>H02086</v>
      </c>
      <c r="E2" s="483" t="str">
        <f>Input!E2</f>
        <v>Số 5, đường Dương Văn An, khu phố 5, phường An Phú, quận 2, thành phố Hồ Chí Minh.</v>
      </c>
      <c r="F2" s="483" t="str">
        <f>Input!F2</f>
        <v>Hồ Chí Minh</v>
      </c>
      <c r="G2" s="703" t="str">
        <f>Input!G2</f>
        <v>106,74398</v>
      </c>
      <c r="H2" s="703" t="str">
        <f>Input!H2</f>
        <v> 10,79946</v>
      </c>
      <c r="I2" s="483">
        <f>Input!I2</f>
        <v>1</v>
      </c>
      <c r="J2" s="483" t="str">
        <f>Input!J2</f>
        <v>1700733/17/TG/TT2</v>
      </c>
      <c r="K2" s="484" t="str">
        <f>TEXT(Input!K2,"dd/mm/yyyy")</f>
        <v>03/07/2017</v>
      </c>
      <c r="L2" s="484" t="str">
        <f>TEXT(Input!L2,"dd/mm/yyyy")</f>
        <v>29/06/2017</v>
      </c>
      <c r="M2" s="483" t="str">
        <f>Input!M2</f>
        <v>TỔNG CÔNG TY VIỄN THÔNG MOBIFONE</v>
      </c>
      <c r="N2" s="483" t="str">
        <f>Input!N2</f>
        <v>H02086</v>
      </c>
      <c r="O2" s="483" t="str">
        <f>Input!O2</f>
        <v>ERICSSON RBS 6601</v>
      </c>
      <c r="P2" s="483">
        <f>Input!P2</f>
        <v>3</v>
      </c>
      <c r="Q2" s="483" t="str">
        <f>Input!Q2</f>
        <v>3/3/3</v>
      </c>
      <c r="R2" s="483" t="str">
        <f>Input!R2</f>
        <v>60W/60W/60W</v>
      </c>
      <c r="S2" s="483" t="str">
        <f>Input!S2</f>
        <v>U2100</v>
      </c>
      <c r="T2" s="483" t="str">
        <f>Input!T2</f>
        <v>24m/ 24m/ 24m</v>
      </c>
      <c r="U2" s="483" t="str">
        <f>Input!U2</f>
        <v>Số 5, đường Dương Văn An, khu phố 5, phường An Phú, quận 2, thành phố Hồ Chí Minh</v>
      </c>
      <c r="V2" s="483" t="str">
        <f>Input!V2</f>
        <v>S-Wave U-65-18DV10</v>
      </c>
      <c r="W2" s="483" t="b">
        <f>IF(OR(Input!W2,Input!W2="TRUE"),TRUE,IF(OR(Input!W2 = 0,Input!W2="FALSE"),FALSE,Input!W2))</f>
        <v>0</v>
      </c>
      <c r="X2" s="483" t="b">
        <f>IF(OR(Input!X2,Input!X2="TRUE"),TRUE,IF(OR(Input!X2 = 0,Input!X2="FALSE"),FALSE,Input!X2))</f>
        <v>0</v>
      </c>
      <c r="Y2" s="703">
        <f>VALUE(Input!Y2)</f>
        <v>0</v>
      </c>
      <c r="Z2" s="483" t="b">
        <f>IF(OR(Input!Z2,Input!Z2="TRUE"),TRUE,IF(OR(Input!Z2 = 0,Input!Z2="FALSE"),FALSE,Input!Z2))</f>
        <v>1</v>
      </c>
      <c r="AA2" s="703">
        <f>VALUE(Input!AA2)</f>
        <v>20</v>
      </c>
      <c r="AB2" s="483" t="b">
        <f>IF(OR(Input!AB2,Input!AB2="TRUE"),TRUE,IF(OR(Input!AB2 = 0,Input!AB2="FALSE"),FALSE,Input!AB2))</f>
        <v>0</v>
      </c>
      <c r="AC2" s="483" t="b">
        <f>IF(OR(Input!AC2,Input!AC2="TRUE"),TRUE,IF(OR(Input!AC2 = 0,Input!AC2="FALSE"),FALSE,Input!AC2))</f>
        <v>1</v>
      </c>
      <c r="AD2" s="483">
        <f>Input!AD2</f>
        <v>0</v>
      </c>
      <c r="AE2" s="483">
        <f>Input!AE2</f>
        <v>0</v>
      </c>
      <c r="AF2" s="483" t="str">
        <f>Input!AF2</f>
        <v>VCC2</v>
      </c>
      <c r="AG2" s="483">
        <f>Input!AG2</f>
        <v>0</v>
      </c>
      <c r="AH2" s="223"/>
      <c r="AI2" s="485" t="str">
        <f>INDEX(ApplicantNameList,MATCH(B2,ApplicantIDList,0))</f>
        <v>TRUNG TÂM ĐO KIỂM VÀ SỬA CHỮA THIẾT BỊ VIỄN THÔNG MOBIFONE - CHI NHÁNH TỔNG CÔNG TY VIỄN THÔNG MOBIFONE</v>
      </c>
      <c r="AJ2" s="485" t="str">
        <f>INDEX(OperatorNameList,MATCH(C2,OperatorIDList,0))</f>
        <v>TỔNG CÔNG TY VIỄN THÔNG MOBIFONE</v>
      </c>
      <c r="AK2" s="483">
        <f>LEN(E2)-LEN(SUBSTITUTE(E2,",",""))</f>
        <v>5</v>
      </c>
      <c r="AL2" s="486" t="str">
        <f>TRIM(IF(AK2&gt;=2,MID(E2,FIND("~",SUBSTITUTE(E2,",","~", AK2))+1,IFERROR(FIND("~",SUBSTITUTE(E2,",","~", AK2+1))-1,LEN(E2))- FIND("~",SUBSTITUTE(E2,",","~", AK2))),""))</f>
        <v>thành phố Hồ Chí Minh.</v>
      </c>
      <c r="AM2" s="486" t="str">
        <f>TRIM(IF(AK2&gt;=2,MID(E2,FIND("~",SUBSTITUTE(E2,",","~", AK2-1))+1,IFERROR(FIND("~",SUBSTITUTE(E2,",","~", AK2-0))-1,LEN(E2))- FIND("~",SUBSTITUTE(E2,",","~", AK2-1))),""))</f>
        <v>quận 2</v>
      </c>
      <c r="AN2" s="486" t="str">
        <f>TRIM(IF(AK2&gt;=3,MID(E2,FIND("~",SUBSTITUTE(E2,",","~", AK2-2))+1,IFERROR(FIND("~",SUBSTITUTE(E2,",","~", AK2-1))-1,LEN(E2))- FIND("~",SUBSTITUTE(E2,",","~", AK2-2))),""))</f>
        <v>phường An Phú</v>
      </c>
      <c r="AO2" s="483" t="str">
        <f>INDEX(CityIDList,MATCH(F2,CityNameList,0))</f>
        <v>HCM</v>
      </c>
      <c r="AP2" s="485" t="str">
        <f>TRIM(IF(I2&gt;=1,MID(M2,1,IFERROR(FIND("~",SUBSTITUTE(M2,";","~",1))-1,LEN(M2))),""))</f>
        <v>TỔNG CÔNG TY VIỄN THÔNG MOBIFONE</v>
      </c>
      <c r="AQ2" s="485" t="str">
        <f>TRIM(IF(I2&gt;=2,MID(M2,FIND("~",SUBSTITUTE(M2,";","~",1))+1,IFERROR(FIND("~",SUBSTITUTE(M2,";","~",2))-1,LEN(M2))- FIND("~",SUBSTITUTE(M2,";","~",1))),""))</f>
      </c>
      <c r="AR2" s="485" t="str">
        <f>TRIM(IF(I2&gt;=3,MID(M2,FIND("~",SUBSTITUTE(M2,";","~",2))+1,IFERROR(FIND("~",SUBSTITUTE(M2,";","~",3))-1,LEN(M2))- FIND("~",SUBSTITUTE(M2,";","~",2))),""))</f>
      </c>
      <c r="AS2" s="485" t="str">
        <f>TRIM(IF(I2&gt;=4,MID(M2,FIND("~",SUBSTITUTE(M2,";","~",3))+1,IFERROR(FIND("~",SUBSTITUTE(M2,";","~",4))-1,LEN(M2))- FIND("~",SUBSTITUTE(M2,";","~",3))),""))</f>
      </c>
      <c r="AT2" s="485" t="str">
        <f>TRIM(IF(I2&gt;=5,MID(M2,FIND("~",SUBSTITUTE(M2,";","~",4))+1,IFERROR(FIND("~",SUBSTITUTE(M2,";","~",5))-1,LEN(M2))- FIND("~",SUBSTITUTE(M2,";","~",4))),""))</f>
      </c>
      <c r="AU2" s="485" t="str">
        <f>TRIM(IF(I2&gt;=6,MID(M2,FIND("~",SUBSTITUTE(M2,";","~",5))+1,IFERROR(FIND("~",SUBSTITUTE(M2,";","~",6))-1,LEN(M2))- FIND("~",SUBSTITUTE(M2,";","~",5))),""))</f>
      </c>
      <c r="AV2" s="485" t="str">
        <f>IF(I2&gt;=1,INDEX(OperatorIDList,MATCH(AP2,OperatorNameList,0)),"")</f>
        <v>MOBIFONE</v>
      </c>
      <c r="AW2" s="485" t="str">
        <f>IF(I2&gt;=2,INDEX(OperatorIDList,MATCH(AQ2,OperatorNameList,0)),"")</f>
      </c>
      <c r="AX2" s="485" t="str">
        <f>IF(I2&gt;=3,INDEX(OperatorIDList,MATCH(AR2,OperatorNameList,0)),"")</f>
      </c>
      <c r="AY2" s="485" t="str">
        <f>IF(I2&gt;=4,INDEX(OperatorIDList,MATCH(AS2,OperatorNameList,0)),"")</f>
      </c>
      <c r="AZ2" s="485" t="str">
        <f>IF(I2&gt;=5,INDEX(OperatorIDList,MATCH(AT2,OperatorNameList,0)),"")</f>
      </c>
      <c r="BA2" s="485" t="str">
        <f>IF(I2&gt;=6,INDEX(OperatorIDList,MATCH(AU2,OperatorNameList,0)),"")</f>
      </c>
      <c r="BB2" s="485" t="str">
        <f>ConcateMultiple(AV2:BA2,";",I2)</f>
        <v>MOBIFONE</v>
      </c>
      <c r="BC2" s="485" t="str">
        <f>IF(I2&gt;=1,MID(N2,1,IFERROR(FIND("~",SUBSTITUTE(N2,";","~",1))-1,LEN(N2))),"")</f>
        <v>H02086</v>
      </c>
      <c r="BD2" s="485" t="str">
        <f>IF(I2&gt;=2,MID(N2,FIND("~",SUBSTITUTE(N2,";","~",1))+1,IFERROR(FIND("~",SUBSTITUTE(N2,";","~",2))-1,LEN(N2))- FIND("~",SUBSTITUTE(N2,";","~",1))),"")</f>
      </c>
      <c r="BE2" s="485" t="str">
        <f>IF(I2&gt;=3,MID(N2,FIND("~",SUBSTITUTE(N2,";","~",2))+1,IFERROR(FIND("~",SUBSTITUTE(N2,";","~",3))-1,LEN(N2))- FIND("~",SUBSTITUTE(N2,";","~",2))),"")</f>
      </c>
      <c r="BF2" s="485" t="str">
        <f>IF(I2&gt;=4,MID(N2,FIND("~",SUBSTITUTE(N2,";","~",3))+1,IFERROR(FIND("~",SUBSTITUTE(N2,";","~",4))-1,LEN(N2))- FIND("~",SUBSTITUTE(N2,";","~",3))),"")</f>
      </c>
      <c r="BG2" s="485" t="str">
        <f>IF(I2&gt;=5,MID(N2,FIND("~",SUBSTITUTE(N2,";","~",4))+1,IFERROR(FIND("~",SUBSTITUTE(N2,";","~",5))-1,LEN(N2))- FIND("~",SUBSTITUTE(N2,";","~",4))),"")</f>
      </c>
      <c r="BH2" s="485" t="str">
        <f>IF(I2&gt;=6,MID(N2,FIND("~",SUBSTITUTE(N2,";","~",5))+1,IFERROR(FIND("~",SUBSTITUTE(N2,";","~",6))-1,LEN(N2))- FIND("~",SUBSTITUTE(N2,";","~",5))),"")</f>
      </c>
      <c r="BI2" s="485" t="str">
        <f>IF(I2&gt;=1,MID(O2,1,IFERROR(FIND("~",SUBSTITUTE(O2,";","~",1))-1,LEN(O2))),"")</f>
        <v>ERICSSON RBS 6601</v>
      </c>
      <c r="BJ2" s="485" t="str">
        <f>IF(I2&gt;=2,MID(O2,FIND("~",SUBSTITUTE(O2,";","~",1))+1,IFERROR(FIND("~",SUBSTITUTE(O2,";","~",2))-1,LEN(O2))- FIND("~",SUBSTITUTE(O2,";","~",1))),"")</f>
      </c>
      <c r="BK2" s="485" t="str">
        <f>IF(I2&gt;=3,MID(O2,FIND("~",SUBSTITUTE(O2,";","~",2))+1,IFERROR(FIND("~",SUBSTITUTE(O2,";","~",3))-1,LEN(O2))- FIND("~",SUBSTITUTE(O2,";","~",2))),"")</f>
      </c>
      <c r="BL2" s="485" t="str">
        <f>IF(I2&gt;=4,MID(O2,FIND("~",SUBSTITUTE(O2,";","~",3))+1,IFERROR(FIND("~",SUBSTITUTE(O2,";","~",4))-1,LEN(O2))- FIND("~",SUBSTITUTE(O2,";","~",3))),"")</f>
      </c>
      <c r="BM2" s="485" t="str">
        <f>IF(I2&gt;=5,MID(O2,FIND("~",SUBSTITUTE(O2,";","~",4))+1,IFERROR(FIND("~",SUBSTITUTE(O2,";","~",5))-1,LEN(O2))- FIND("~",SUBSTITUTE(O2,";","~",4))),"")</f>
      </c>
      <c r="BN2" s="485" t="str">
        <f>IF(I2&gt;=6,MID(O2,FIND("~",SUBSTITUTE(O2,";","~",5))+1,IFERROR(FIND("~",SUBSTITUTE(O2,";","~",6))-1,LEN(O2))- FIND("~",SUBSTITUTE(O2,";","~",5))),"")</f>
      </c>
      <c r="BO2" s="485">
        <f>IF(I2&gt;=1,MID(P2,1,IFERROR(FIND("~",SUBSTITUTE(P2,";","~",1))-1,LEN(P2))),"0")*1</f>
        <v>3</v>
      </c>
      <c r="BP2" s="485">
        <f>IF(I2&gt;=2,MID(P2,FIND("~",SUBSTITUTE(P2,";","~",1))+1,IFERROR(FIND("~",SUBSTITUTE(P2,";","~",2))-1,LEN(P2))- FIND("~",SUBSTITUTE(P2,";","~",1))),"0")*1</f>
        <v>0</v>
      </c>
      <c r="BQ2" s="485">
        <f>IF(I2&gt;=3,MID(P2,FIND("~",SUBSTITUTE(P2,";","~",2))+1,IFERROR(FIND("~",SUBSTITUTE(P2,";","~",3))-1,LEN(P2))- FIND("~",SUBSTITUTE(P2,";","~",2))),"0")*1</f>
        <v>0</v>
      </c>
      <c r="BR2" s="485">
        <f>IF(I2&gt;=4,MID(P2,FIND("~",SUBSTITUTE(P2,";","~",3))+1,IFERROR(FIND("~",SUBSTITUTE(P2,";","~",4))-1,LEN(P2))- FIND("~",SUBSTITUTE(P2,";","~",3))),"0")*1</f>
        <v>0</v>
      </c>
      <c r="BS2" s="485">
        <f>IF(I2&gt;=5,MID(P2,FIND("~",SUBSTITUTE(P2,";","~",4))+1,IFERROR(FIND("~",SUBSTITUTE(P2,";","~",5))-1,LEN(P2))- FIND("~",SUBSTITUTE(P2,";","~",4))),"0")*1</f>
        <v>0</v>
      </c>
      <c r="BT2" s="485">
        <f>IF(I2&gt;=6,MID(P2,FIND("~",SUBSTITUTE(P2,";","~",5))+1,IFERROR(FIND("~",SUBSTITUTE(P2,";","~",6))-1,LEN(P2))- FIND("~",SUBSTITUTE(P2,";","~",5))),"0")*1</f>
        <v>0</v>
      </c>
      <c r="BU2" s="485" t="str">
        <f>IF(I2&gt;=1,MID(Q2,1,IFERROR(FIND("~",SUBSTITUTE(Q2,";","~",1))-1,LEN(Q2))),"")</f>
        <v>3/3/3</v>
      </c>
      <c r="BV2" s="485">
        <f>IF(BO2&gt;=1,MID(BU2,1,IFERROR(FIND("~",SUBSTITUTE(BU2,"/","~",1))-1,LEN(BU2))),"0")*1</f>
        <v>3</v>
      </c>
      <c r="BW2" s="485">
        <f>IF(BO2&gt;=2,MID(BU2,FIND("~",SUBSTITUTE(BU2,"/","~",1))+1,IFERROR(FIND("~",SUBSTITUTE(BU2,"/","~",2))-1,LEN(BU2))- FIND("~",SUBSTITUTE(BU2,"/","~",1))),"0")*1</f>
        <v>3</v>
      </c>
      <c r="BX2" s="485">
        <f>IF(BO2&gt;=3,MID(BU2,FIND("~",SUBSTITUTE(BU2,"/","~",2))+1,IFERROR(FIND("~",SUBSTITUTE(BU2,"/","~",3))-1,LEN(BU2))- FIND("~",SUBSTITUTE(BU2,"/","~",2))),"0")*1</f>
        <v>3</v>
      </c>
      <c r="BY2" s="485">
        <f>IF(BO2&gt;=4,MID(BU2,FIND("~",SUBSTITUTE(BU2,"/","~",3))+1,IFERROR(FIND("~",SUBSTITUTE(BU2,"/","~",4))-1,LEN(BU2))- FIND("~",SUBSTITUTE(BU2,"/","~",3))),"0")*1</f>
        <v>0</v>
      </c>
      <c r="BZ2" s="485">
        <f>IF(BO2&gt;=5,MID(BU2,FIND("~",SUBSTITUTE(BU2,"/","~",4))+1,IFERROR(FIND("~",SUBSTITUTE(BU2,"/","~",5))-1,LEN(BU2))- FIND("~",SUBSTITUTE(BU2,"/","~",4))),"0")*1</f>
        <v>0</v>
      </c>
      <c r="CA2" s="485">
        <f>IF(BO2&gt;=6,MID(BU2,FIND("~",SUBSTITUTE(BU2,"/","~",5))+1,IFERROR(FIND("~",SUBSTITUTE(BU2,"/","~",6))-1,LEN(BU2))- FIND("~",SUBSTITUTE(BU2,"/","~",5))),"0")*1</f>
        <v>0</v>
      </c>
      <c r="CB2" s="485" t="str">
        <f>IF(I2&gt;=2,MID(Q2,FIND("~",SUBSTITUTE(Q2,";","~",1))+1,IFERROR(FIND("~",SUBSTITUTE(Q2,";","~",2))-1,LEN(Q2))- FIND("~",SUBSTITUTE(Q2,";","~",1))),"")</f>
      </c>
      <c r="CC2" s="485">
        <f>IF(BP2&gt;=1,MID(CB2,1,IFERROR(FIND("~",SUBSTITUTE(CB2,"/","~",1))-1,LEN(CB2))),"0")*1</f>
        <v>0</v>
      </c>
      <c r="CD2" s="485">
        <f>IF(BP2&gt;=2,MID(CB2,FIND("~",SUBSTITUTE(CB2,"/","~",1))+1,IFERROR(FIND("~",SUBSTITUTE(CB2,"/","~",2))-1,LEN(CB2))- FIND("~",SUBSTITUTE(CB2,"/","~",1))),"0")*1</f>
        <v>0</v>
      </c>
      <c r="CE2" s="485">
        <f>IF(BP2&gt;=3,MID(CB2,FIND("~",SUBSTITUTE(CB2,"/","~",2))+1,IFERROR(FIND("~",SUBSTITUTE(CB2,"/","~",3))-1,LEN(CB2))- FIND("~",SUBSTITUTE(CB2,"/","~",2))),"0")*1</f>
        <v>0</v>
      </c>
      <c r="CF2" s="485">
        <f>IF(BP2&gt;=4,MID(CB2,FIND("~",SUBSTITUTE(CB2,"/","~",3))+1,IFERROR(FIND("~",SUBSTITUTE(CB2,"/","~",4))-1,LEN(CB2))- FIND("~",SUBSTITUTE(CB2,"/","~",3))),"0")*1</f>
        <v>0</v>
      </c>
      <c r="CG2" s="485">
        <f>IF(BP2&gt;=5,MID(CB2,FIND("~",SUBSTITUTE(CB2,"/","~",4))+1,IFERROR(FIND("~",SUBSTITUTE(CB2,"/","~",5))-1,LEN(CB2))- FIND("~",SUBSTITUTE(CB2,"/","~",4))),"0")*1</f>
        <v>0</v>
      </c>
      <c r="CH2" s="485">
        <f>IF(BP2&gt;=6,MID(CB2,FIND("~",SUBSTITUTE(CB2,"/","~",5))+1,IFERROR(FIND("~",SUBSTITUTE(CB2,"/","~",6))-1,LEN(CB2))- FIND("~",SUBSTITUTE(CB2,"/","~",5))),"0")*1</f>
        <v>0</v>
      </c>
      <c r="CI2" s="485" t="str">
        <f>IF(I2&gt;=3,MID(Q2,FIND("~",SUBSTITUTE(Q2,";","~",2))+1,IFERROR(FIND("~",SUBSTITUTE(Q2,";","~",3))-1,LEN(Q2))- FIND("~",SUBSTITUTE(Q2,";","~",2))),"")</f>
      </c>
      <c r="CJ2" s="485">
        <f>IF(BQ2&gt;=1,MID(CI2,1,IFERROR(FIND("~",SUBSTITUTE(CI2,"/","~",1))-1,LEN(CI2))),"0")*1</f>
        <v>0</v>
      </c>
      <c r="CK2" s="485">
        <f>IF(BQ2&gt;=2,MID(CI2,FIND("~",SUBSTITUTE(CI2,"/","~",1))+1,IFERROR(FIND("~",SUBSTITUTE(CI2,"/","~",2))-1,LEN(CI2))- FIND("~",SUBSTITUTE(CI2,"/","~",1))),"0")*1</f>
        <v>0</v>
      </c>
      <c r="CL2" s="485">
        <f>IF(BQ2&gt;=3,MID(CI2,FIND("~",SUBSTITUTE(CI2,"/","~",2))+1,IFERROR(FIND("~",SUBSTITUTE(CI2,"/","~",3))-1,LEN(CI2))- FIND("~",SUBSTITUTE(CI2,"/","~",2))),"0")*1</f>
        <v>0</v>
      </c>
      <c r="CM2" s="485">
        <f>IF(BQ2&gt;=4,MID(CI2,FIND("~",SUBSTITUTE(CI2,"/","~",3))+1,IFERROR(FIND("~",SUBSTITUTE(CI2,"/","~",4))-1,LEN(CI2))- FIND("~",SUBSTITUTE(CI2,"/","~",3))),"0")*1</f>
        <v>0</v>
      </c>
      <c r="CN2" s="485">
        <f>IF(BQ2&gt;=5,MID(CI2,FIND("~",SUBSTITUTE(CI2,"/","~",4))+1,IFERROR(FIND("~",SUBSTITUTE(CI2,"/","~",5))-1,LEN(CI2))- FIND("~",SUBSTITUTE(CI2,"/","~",4))),"0")*1</f>
        <v>0</v>
      </c>
      <c r="CO2" s="485">
        <f>IF(BQ2&gt;=6,MID(CI2,FIND("~",SUBSTITUTE(CI2,"/","~",5))+1,IFERROR(FIND("~",SUBSTITUTE(CI2,"/","~",6))-1,LEN(CI2))- FIND("~",SUBSTITUTE(CI2,"/","~",5))),"0")*1</f>
        <v>0</v>
      </c>
      <c r="CP2" s="485" t="str">
        <f>IF(I2&gt;=4,MID(Q2,FIND("~",SUBSTITUTE(Q2,";","~",3))+1,IFERROR(FIND("~",SUBSTITUTE(Q2,";","~",4))-1,LEN(Q2))- FIND("~",SUBSTITUTE(Q2,";","~",3))),"")</f>
      </c>
      <c r="CQ2" s="485">
        <f>IF(BR2&gt;=1,MID(CP2,1,IFERROR(FIND("~",SUBSTITUTE(CP2,"/","~",1))-1,LEN(CP2))),"0")*1</f>
        <v>0</v>
      </c>
      <c r="CR2" s="485">
        <f>IF(BR2&gt;=2,MID(CP2,FIND("~",SUBSTITUTE(CP2,"/","~",1))+1,IFERROR(FIND("~",SUBSTITUTE(CP2,"/","~",2))-1,LEN(CP2))- FIND("~",SUBSTITUTE(CP2,"/","~",1))),"0")*1</f>
        <v>0</v>
      </c>
      <c r="CS2" s="485">
        <f>IF(BR2&gt;=3,MID(CP2,FIND("~",SUBSTITUTE(CP2,"/","~",2))+1,IFERROR(FIND("~",SUBSTITUTE(CP2,"/","~",3))-1,LEN(CP2))- FIND("~",SUBSTITUTE(CP2,"/","~",2))),"0")*1</f>
        <v>0</v>
      </c>
      <c r="CT2" s="485">
        <f>IF(BR2&gt;=4,MID(CP2,FIND("~",SUBSTITUTE(CP2,"/","~",3))+1,IFERROR(FIND("~",SUBSTITUTE(CP2,"/","~",4))-1,LEN(CP2))- FIND("~",SUBSTITUTE(CP2,"/","~",3))),"0")*1</f>
        <v>0</v>
      </c>
      <c r="CU2" s="485">
        <f>IF(BR2&gt;=5,MID(CP2,FIND("~",SUBSTITUTE(CP2,"/","~",4))+1,IFERROR(FIND("~",SUBSTITUTE(CP2,"/","~",5))-1,LEN(CP2))- FIND("~",SUBSTITUTE(CP2,"/","~",4))),"0")*1</f>
        <v>0</v>
      </c>
      <c r="CV2" s="485">
        <f>IF(BR2&gt;=6,MID(CP2,FIND("~",SUBSTITUTE(CP2,"/","~",5))+1,IFERROR(FIND("~",SUBSTITUTE(CP2,"/","~",6))-1,LEN(CP2))- FIND("~",SUBSTITUTE(CP2,"/","~",5))),"0")*1</f>
        <v>0</v>
      </c>
      <c r="CW2" s="485" t="str">
        <f>IF(I2&gt;=5,MID(Q2,FIND("~",SUBSTITUTE(Q2,";","~",4))+1,IFERROR(FIND("~",SUBSTITUTE(Q2,";","~",5))-1,LEN(Q2))- FIND("~",SUBSTITUTE(Q2,";","~",4))),"")</f>
      </c>
      <c r="CX2" s="485">
        <f>IF(BS2&gt;=1,MID(CW2,1,IFERROR(FIND("~",SUBSTITUTE(CW2,"/","~",1))-1,LEN(CW2))),"0")*1</f>
        <v>0</v>
      </c>
      <c r="CY2" s="485">
        <f>IF(BS2&gt;=2,MID(CW2,FIND("~",SUBSTITUTE(CW2,"/","~",1))+1,IFERROR(FIND("~",SUBSTITUTE(CW2,"/","~",2))-1,LEN(CW2))- FIND("~",SUBSTITUTE(CW2,"/","~",1))),"0")*1</f>
        <v>0</v>
      </c>
      <c r="CZ2" s="485">
        <f>IF(BS2&gt;=3,MID(CW2,FIND("~",SUBSTITUTE(CW2,"/","~",2))+1,IFERROR(FIND("~",SUBSTITUTE(CW2,"/","~",3))-1,LEN(CW2))- FIND("~",SUBSTITUTE(CW2,"/","~",2))),"0")*1</f>
        <v>0</v>
      </c>
      <c r="DA2" s="485">
        <f>IF(BS2&gt;=4,MID(CW2,FIND("~",SUBSTITUTE(CW2,"/","~",3))+1,IFERROR(FIND("~",SUBSTITUTE(CW2,"/","~",4))-1,LEN(CW2))- FIND("~",SUBSTITUTE(CW2,"/","~",3))),"0")*1</f>
        <v>0</v>
      </c>
      <c r="DB2" s="485">
        <f>IF(BS2&gt;=5,MID(CW2,FIND("~",SUBSTITUTE(CW2,"/","~",4))+1,IFERROR(FIND("~",SUBSTITUTE(CW2,"/","~",5))-1,LEN(CW2))- FIND("~",SUBSTITUTE(CW2,"/","~",4))),"0")*1</f>
        <v>0</v>
      </c>
      <c r="DC2" s="485">
        <f>IF(BS2&gt;=6,MID(CW2,FIND("~",SUBSTITUTE(CW2,"/","~",5))+1,IFERROR(FIND("~",SUBSTITUTE(CW2,"/","~",6))-1,LEN(CW2))- FIND("~",SUBSTITUTE(CW2,"/","~",5))),"0")*1</f>
        <v>0</v>
      </c>
      <c r="DD2" s="485" t="str">
        <f>IF(I2&gt;=6,MID(Q2,FIND("~",SUBSTITUTE(Q2,";","~",5))+1,IFERROR(FIND("~",SUBSTITUTE(Q2,";","~",6))-1,LEN(Q2))- FIND("~",SUBSTITUTE(Q2,";","~",5))),"")</f>
      </c>
      <c r="DE2" s="485">
        <f>IF(BT2&gt;=1,MID(DD2,1,IFERROR(FIND("~",SUBSTITUTE(DD2,"/","~",1))-1,LEN(DD2))),"0")*1</f>
        <v>0</v>
      </c>
      <c r="DF2" s="485">
        <f>IF(BT2&gt;=2,MID(DD2,FIND("~",SUBSTITUTE(DD2,"/","~",1))+1,IFERROR(FIND("~",SUBSTITUTE(DD2,"/","~",2))-1,LEN(DD2))- FIND("~",SUBSTITUTE(DD2,"/","~",1))),"0")*1</f>
        <v>0</v>
      </c>
      <c r="DG2" s="485">
        <f>IF(BT2&gt;=3,MID(DD2,FIND("~",SUBSTITUTE(DD2,"/","~",2))+1,IFERROR(FIND("~",SUBSTITUTE(DD2,"/","~",3))-1,LEN(DD2))- FIND("~",SUBSTITUTE(DD2,"/","~",2))),"0")*1</f>
        <v>0</v>
      </c>
      <c r="DH2" s="485">
        <f>IF(BT2&gt;=4,MID(DD2,FIND("~",SUBSTITUTE(DD2,"/","~",3))+1,IFERROR(FIND("~",SUBSTITUTE(DD2,"/","~",4))-1,LEN(DD2))- FIND("~",SUBSTITUTE(DD2,"/","~",3))),"0")*1</f>
        <v>0</v>
      </c>
      <c r="DI2" s="485">
        <f>IF(BT2&gt;=5,MID(DD2,FIND("~",SUBSTITUTE(DD2,"/","~",4))+1,IFERROR(FIND("~",SUBSTITUTE(DD2,"/","~",5))-1,LEN(DD2))- FIND("~",SUBSTITUTE(DD2,"/","~",4))),"0")*1</f>
        <v>0</v>
      </c>
      <c r="DJ2" s="485">
        <f>IF(BT2&gt;=6,MID(DD2,FIND("~",SUBSTITUTE(DD2,"/","~",5))+1,IFERROR(FIND("~",SUBSTITUTE(DD2,"/","~",6))-1,LEN(DD2))- FIND("~",SUBSTITUTE(DD2,"/","~",5))),"0")*1</f>
        <v>0</v>
      </c>
      <c r="DK2" s="485" t="str">
        <f>IF(I2&gt;=1,MID(R2,1,IFERROR(FIND("~",SUBSTITUTE(R2,";","~",1))-1,LEN(R2))),"")</f>
        <v>60W/60W/60W</v>
      </c>
      <c r="DL2" s="485">
        <f>SUBSTITUTE(IF(BO2&gt;=1,MID(DK2,1,IFERROR(FIND("~",SUBSTITUTE(DK2,"/","~",1))-1,LEN(DK2))),"0"),"W","")*1</f>
        <v>60</v>
      </c>
      <c r="DM2" s="485">
        <f>SUBSTITUTE(IF(BO2&gt;=2,MID(DK2,FIND("~",SUBSTITUTE(DK2,"/","~",1))+1,IFERROR(FIND("~",SUBSTITUTE(DK2,"/","~",2))-1,LEN(DK2))- FIND("~",SUBSTITUTE(DK2,"/","~",1))),"0"),"W","")*1</f>
        <v>60</v>
      </c>
      <c r="DN2" s="485">
        <f>SUBSTITUTE(IF(BO2&gt;=3,MID(DK2,FIND("~",SUBSTITUTE(DK2,"/","~",2))+1,IFERROR(FIND("~",SUBSTITUTE(DK2,"/","~",3))-1,LEN(DK2))- FIND("~",SUBSTITUTE(DK2,"/","~",2))),"0"),"W","")*1</f>
        <v>60</v>
      </c>
      <c r="DO2" s="485">
        <f>SUBSTITUTE(IF(BO2&gt;=4,MID(DK2,FIND("~",SUBSTITUTE(DK2,"/","~",3))+1,IFERROR(FIND("~",SUBSTITUTE(DK2,"/","~",4))-1,LEN(DK2))- FIND("~",SUBSTITUTE(DK2,"/","~",3))),"0"),"W","")*1</f>
        <v>0</v>
      </c>
      <c r="DP2" s="485">
        <f>SUBSTITUTE(IF(BO2&gt;=5,MID(DK2,FIND("~",SUBSTITUTE(DK2,"/","~",4))+1,IFERROR(FIND("~",SUBSTITUTE(DK2,"/","~",5))-1,LEN(DK2))- FIND("~",SUBSTITUTE(DK2,"/","~",4))),"0"),"W","")*1</f>
        <v>0</v>
      </c>
      <c r="DQ2" s="485">
        <f>SUBSTITUTE(IF(BO2&gt;=6,MID(DK2,FIND("~",SUBSTITUTE(DK2,"/","~",5))+1,IFERROR(FIND("~",SUBSTITUTE(DK2,"/","~",6))-1,LEN(DK2))- FIND("~",SUBSTITUTE(DK2,"/","~",5))),"0"),"W","")*1</f>
        <v>0</v>
      </c>
      <c r="DR2" s="485" t="str">
        <f>ConcateMultiple(DL2:DQ2,"W/ ",BO2)</f>
        <v>60W/ 60W/ 60W</v>
      </c>
      <c r="DS2" s="485">
        <f>MAX(DL2:DO2)</f>
        <v>60</v>
      </c>
      <c r="DT2" s="485" t="str">
        <f>IF(I2&gt;=2,MID(R2,FIND("~",SUBSTITUTE(R2,";","~",1))+1,IFERROR(FIND("~",SUBSTITUTE(R2,";","~",2))-1,LEN(R2))- FIND("~",SUBSTITUTE(R2,";","~",1))),"")</f>
      </c>
      <c r="DU2" s="485">
        <f>SUBSTITUTE(IF(BP2&gt;=1,MID(DT2,1,IFERROR(FIND("~",SUBSTITUTE(DT2,"/","~",1))-1,LEN(DT2))),"0"),"W","")*1</f>
        <v>0</v>
      </c>
      <c r="DV2" s="485">
        <f>SUBSTITUTE(IF(BP2&gt;=2,MID(DT2,FIND("~",SUBSTITUTE(DT2,"/","~",1))+1,IFERROR(FIND("~",SUBSTITUTE(DT2,"/","~",2))-1,LEN(DT2))- FIND("~",SUBSTITUTE(DT2,"/","~",1))),"0"),"W","")*1</f>
        <v>0</v>
      </c>
      <c r="DW2" s="485">
        <f>SUBSTITUTE(IF(BP2&gt;=3,MID(DT2,FIND("~",SUBSTITUTE(DT2,"/","~",2))+1,IFERROR(FIND("~",SUBSTITUTE(DT2,"/","~",3))-1,LEN(DT2))- FIND("~",SUBSTITUTE(DT2,"/","~",2))),"0"),"W","")*1</f>
        <v>0</v>
      </c>
      <c r="DX2" s="485">
        <f>SUBSTITUTE(IF(BP2&gt;=4,MID(DT2,FIND("~",SUBSTITUTE(DT2,"/","~",3))+1,IFERROR(FIND("~",SUBSTITUTE(DT2,"/","~",4))-1,LEN(DT2))- FIND("~",SUBSTITUTE(DT2,"/","~",3))),"0"),"W","")*1</f>
        <v>0</v>
      </c>
      <c r="DY2" s="485">
        <f>SUBSTITUTE(IF(BP2&gt;=5,MID(DT2,FIND("~",SUBSTITUTE(DT2,"/","~",4))+1,IFERROR(FIND("~",SUBSTITUTE(DT2,"/","~",5))-1,LEN(DT2))- FIND("~",SUBSTITUTE(DT2,"/","~",4))),"0"),"W","")*1</f>
        <v>0</v>
      </c>
      <c r="DZ2" s="485">
        <f>SUBSTITUTE(IF(BP2&gt;=6,MID(DT2,FIND("~",SUBSTITUTE(DT2,"/","~",5))+1,IFERROR(FIND("~",SUBSTITUTE(DT2,"/","~",6))-1,LEN(DT2))- FIND("~",SUBSTITUTE(DT2,"/","~",5))),"0"),"W","")*1</f>
        <v>0</v>
      </c>
      <c r="EA2" s="485" t="str">
        <f>ConcateMultiple(DU2:DZ2,"W/ ",BP2)</f>
      </c>
      <c r="EB2" s="485">
        <f>MAX(DU2:DX2)</f>
        <v>0</v>
      </c>
      <c r="EC2" s="485" t="str">
        <f>IF(I2&gt;=3,MID(R2,FIND("~",SUBSTITUTE(R2,";","~",2))+1,IFERROR(FIND("~",SUBSTITUTE(R2,";","~",3))-1,LEN(R2))- FIND("~",SUBSTITUTE(R2,";","~",2))),"")</f>
      </c>
      <c r="ED2" s="485">
        <f>SUBSTITUTE(IF(BQ2&gt;=1,MID(EC2,1,IFERROR(FIND("~",SUBSTITUTE(EC2,"/","~",1))-1,LEN(EC2))),"0"),"W","")*1</f>
        <v>0</v>
      </c>
      <c r="EE2" s="485">
        <f>SUBSTITUTE(IF(BQ2&gt;=2,MID(EC2,FIND("~",SUBSTITUTE(EC2,"/","~",1))+1,IFERROR(FIND("~",SUBSTITUTE(EC2,"/","~",2))-1,LEN(EC2))- FIND("~",SUBSTITUTE(EC2,"/","~",1))),"0"),"W","")*1</f>
        <v>0</v>
      </c>
      <c r="EF2" s="485">
        <f>SUBSTITUTE(IF(BQ2&gt;=3,MID(EC2,FIND("~",SUBSTITUTE(EC2,"/","~",2))+1,IFERROR(FIND("~",SUBSTITUTE(EC2,"/","~",3))-1,LEN(EC2))- FIND("~",SUBSTITUTE(EC2,"/","~",2))),"0"),"W","")*1</f>
        <v>0</v>
      </c>
      <c r="EG2" s="485">
        <f>SUBSTITUTE(IF(BQ2&gt;=4,MID(EC2,FIND("~",SUBSTITUTE(EC2,"/","~",3))+1,IFERROR(FIND("~",SUBSTITUTE(EC2,"/","~",4))-1,LEN(EC2))- FIND("~",SUBSTITUTE(EC2,"/","~",3))),"0"),"W","")*1</f>
        <v>0</v>
      </c>
      <c r="EH2" s="485">
        <f>SUBSTITUTE(IF(BQ2&gt;=5,MID(EC2,FIND("~",SUBSTITUTE(EC2,"/","~",4))+1,IFERROR(FIND("~",SUBSTITUTE(EC2,"/","~",5))-1,LEN(EC2))- FIND("~",SUBSTITUTE(EC2,"/","~",4))),"0"),"W","")*1</f>
        <v>0</v>
      </c>
      <c r="EI2" s="485">
        <f>SUBSTITUTE(IF(BQ2&gt;=6,MID(EC2,FIND("~",SUBSTITUTE(EC2,"/","~",5))+1,IFERROR(FIND("~",SUBSTITUTE(EC2,"/","~",6))-1,LEN(EC2))- FIND("~",SUBSTITUTE(EC2,"/","~",5))),"0"),"W","")*1</f>
        <v>0</v>
      </c>
      <c r="EJ2" s="485" t="str">
        <f>ConcateMultiple(ED2:EI2,"W/ ",BQ2)</f>
      </c>
      <c r="EK2" s="485">
        <f>MAX(ED2:EG2)</f>
        <v>0</v>
      </c>
      <c r="EL2" s="485" t="str">
        <f>IF(I2&gt;=4,MID(R2,FIND("~",SUBSTITUTE(R2,";","~",3))+1,IFERROR(FIND("~",SUBSTITUTE(R2,";","~",4))-1,LEN(R2))- FIND("~",SUBSTITUTE(R2,";","~",3))),"")</f>
      </c>
      <c r="EM2" s="485">
        <f>SUBSTITUTE(IF(BR2&gt;=1,MID(EL2,1,IFERROR(FIND("~",SUBSTITUTE(EL2,"/","~",1))-1,LEN(EL2))),"0"),"W","")*1</f>
        <v>0</v>
      </c>
      <c r="EN2" s="485">
        <f>SUBSTITUTE(IF(BR2&gt;=2,MID(EL2,FIND("~",SUBSTITUTE(EL2,"/","~",1))+1,IFERROR(FIND("~",SUBSTITUTE(EL2,"/","~",2))-1,LEN(EL2))- FIND("~",SUBSTITUTE(EL2,"/","~",1))),"0"),"W","")*1</f>
        <v>0</v>
      </c>
      <c r="EO2" s="485">
        <f>SUBSTITUTE(IF(BR2&gt;=3,MID(EL2,FIND("~",SUBSTITUTE(EL2,"/","~",2))+1,IFERROR(FIND("~",SUBSTITUTE(EL2,"/","~",3))-1,LEN(EL2))- FIND("~",SUBSTITUTE(EL2,"/","~",2))),"0"),"W","")*1</f>
        <v>0</v>
      </c>
      <c r="EP2" s="485">
        <f>SUBSTITUTE(IF(BR2&gt;=4,MID(EL2,FIND("~",SUBSTITUTE(EL2,"/","~",3))+1,IFERROR(FIND("~",SUBSTITUTE(EL2,"/","~",4))-1,LEN(EL2))- FIND("~",SUBSTITUTE(EL2,"/","~",3))),"0"),"W","")*1</f>
        <v>0</v>
      </c>
      <c r="EQ2" s="485">
        <f>SUBSTITUTE(IF(BR2&gt;=5,MID(EL2,FIND("~",SUBSTITUTE(EL2,"/","~",4))+1,IFERROR(FIND("~",SUBSTITUTE(EL2,"/","~",5))-1,LEN(EL2))- FIND("~",SUBSTITUTE(EL2,"/","~",4))),"0"),"W","")*1</f>
        <v>0</v>
      </c>
      <c r="ER2" s="485">
        <f>SUBSTITUTE(IF(BR2&gt;=6,MID(EL2,FIND("~",SUBSTITUTE(EL2,"/","~",5))+1,IFERROR(FIND("~",SUBSTITUTE(EL2,"/","~",6))-1,LEN(EL2))- FIND("~",SUBSTITUTE(EL2,"/","~",5))),"0"),"W","")*1</f>
        <v>0</v>
      </c>
      <c r="ES2" s="485" t="str">
        <f>ConcateMultiple(EM2:ER2,"W/ ",BR2)</f>
      </c>
      <c r="ET2" s="485">
        <f>MAX(EM2:EP2)</f>
        <v>0</v>
      </c>
      <c r="EU2" s="485" t="str">
        <f>IF(I2&gt;=5,MID(R2,FIND("~",SUBSTITUTE(R2,";","~",4))+1,IFERROR(FIND("~",SUBSTITUTE(R2,";","~",5))-1,LEN(R2))- FIND("~",SUBSTITUTE(R2,";","~",4))),"")</f>
      </c>
      <c r="EV2" s="485">
        <f>SUBSTITUTE(IF(BS2&gt;=1,MID(EU2,1,IFERROR(FIND("~",SUBSTITUTE(EU2,"/","~",1))-1,LEN(EU2))),"0"),"W","")*1</f>
        <v>0</v>
      </c>
      <c r="EW2" s="485">
        <f>SUBSTITUTE(IF(BS2&gt;=2,MID(EU2,FIND("~",SUBSTITUTE(EU2,"/","~",1))+1,IFERROR(FIND("~",SUBSTITUTE(EU2,"/","~",2))-1,LEN(EU2))- FIND("~",SUBSTITUTE(EU2,"/","~",1))),"0"),"W","")*1</f>
        <v>0</v>
      </c>
      <c r="EX2" s="485">
        <f>SUBSTITUTE(IF(BS2&gt;=3,MID(EU2,FIND("~",SUBSTITUTE(EU2,"/","~",2))+1,IFERROR(FIND("~",SUBSTITUTE(EU2,"/","~",3))-1,LEN(EU2))- FIND("~",SUBSTITUTE(EU2,"/","~",2))),"0"),"W","")*1</f>
        <v>0</v>
      </c>
      <c r="EY2" s="485">
        <f>SUBSTITUTE(IF(BS2&gt;=4,MID(EU2,FIND("~",SUBSTITUTE(EU2,"/","~",3))+1,IFERROR(FIND("~",SUBSTITUTE(EU2,"/","~",4))-1,LEN(EU2))- FIND("~",SUBSTITUTE(EU2,"/","~",3))),"0"),"W","")*1</f>
        <v>0</v>
      </c>
      <c r="EZ2" s="485">
        <f>SUBSTITUTE(IF(BS2&gt;=5,MID(EU2,FIND("~",SUBSTITUTE(EU2,"/","~",4))+1,IFERROR(FIND("~",SUBSTITUTE(EU2,"/","~",5))-1,LEN(EU2))- FIND("~",SUBSTITUTE(EU2,"/","~",4))),"0"),"W","")*1</f>
        <v>0</v>
      </c>
      <c r="FA2" s="485">
        <f>SUBSTITUTE(IF(BS2&gt;=6,MID(EU2,FIND("~",SUBSTITUTE(EU2,"/","~",5))+1,IFERROR(FIND("~",SUBSTITUTE(EU2,"/","~",6))-1,LEN(EU2))- FIND("~",SUBSTITUTE(EU2,"/","~",5))),"0"),"W","")*1</f>
        <v>0</v>
      </c>
      <c r="FB2" s="485" t="str">
        <f>ConcateMultiple(EV2:FA2,"W/ ",BS2)</f>
      </c>
      <c r="FC2" s="485">
        <f>MAX(EV2:EY2)</f>
        <v>0</v>
      </c>
      <c r="FD2" s="485" t="str">
        <f>IF(I2&gt;=6,MID(R2,FIND("~",SUBSTITUTE(R2,";","~",5))+1,IFERROR(FIND("~",SUBSTITUTE(R2,";","~",6))-1,LEN(R2))- FIND("~",SUBSTITUTE(R2,";","~",5))),"")</f>
      </c>
      <c r="FE2" s="485">
        <f>SUBSTITUTE(IF(BT2&gt;=1,MID(FD2,1,IFERROR(FIND("~",SUBSTITUTE(FD2,"/","~",1))-1,LEN(FD2))),"0"),"W","")*1</f>
        <v>0</v>
      </c>
      <c r="FF2" s="485">
        <f>SUBSTITUTE(IF(BT2&gt;=2,MID(FD2,FIND("~",SUBSTITUTE(FD2,"/","~",1))+1,IFERROR(FIND("~",SUBSTITUTE(FD2,"/","~",2))-1,LEN(FD2))- FIND("~",SUBSTITUTE(FD2,"/","~",1))),"0"),"W","")*1</f>
        <v>0</v>
      </c>
      <c r="FG2" s="485">
        <f>SUBSTITUTE(IF(BT2&gt;=3,MID(FD2,FIND("~",SUBSTITUTE(FD2,"/","~",2))+1,IFERROR(FIND("~",SUBSTITUTE(FD2,"/","~",3))-1,LEN(FD2))- FIND("~",SUBSTITUTE(FD2,"/","~",2))),"0"),"W","")*1</f>
        <v>0</v>
      </c>
      <c r="FH2" s="485">
        <f>SUBSTITUTE(IF(BT2&gt;=4,MID(FD2,FIND("~",SUBSTITUTE(FD2,"/","~",3))+1,IFERROR(FIND("~",SUBSTITUTE(FD2,"/","~",4))-1,LEN(FD2))- FIND("~",SUBSTITUTE(FD2,"/","~",3))),"0"),"W","")*1</f>
        <v>0</v>
      </c>
      <c r="FI2" s="485">
        <f>SUBSTITUTE(IF(BT2&gt;=5,MID(FD2,FIND("~",SUBSTITUTE(FD2,"/","~",4))+1,IFERROR(FIND("~",SUBSTITUTE(FD2,"/","~",5))-1,LEN(FD2))- FIND("~",SUBSTITUTE(FD2,"/","~",4))),"0"),"W","")*1</f>
        <v>0</v>
      </c>
      <c r="FJ2" s="485">
        <f>SUBSTITUTE(IF(BT2&gt;=6,MID(FD2,FIND("~",SUBSTITUTE(FD2,"/","~",5))+1,IFERROR(FIND("~",SUBSTITUTE(FD2,"/","~",6))-1,LEN(FD2))- FIND("~",SUBSTITUTE(FD2,"/","~",5))),"0"),"W","")*1</f>
        <v>0</v>
      </c>
      <c r="FK2" s="485" t="str">
        <f>ConcateMultiple(FE2:FJ2,"W/ ",BT2)</f>
      </c>
      <c r="FL2" s="485">
        <f>MAX(FE2:FH2)</f>
        <v>0</v>
      </c>
      <c r="FM2" s="485">
        <f>MAX(DS2,EB2,EK2,ET2,FC2,FL2)</f>
        <v>60</v>
      </c>
      <c r="FN2" s="485" t="str">
        <f>TRIM(IF(I2&gt;=1,MID(S2,1,IFERROR(FIND("~",SUBSTITUTE(S2,";","~",1))-1,LEN(S2))),""))</f>
        <v>U2100</v>
      </c>
      <c r="FO2" s="485" t="str">
        <f>TRIM(IF(I2&gt;=2,MID(S2,FIND("~",SUBSTITUTE(S2,";","~",1))+1,IFERROR(FIND("~",SUBSTITUTE(S2,";","~",2))-1,LEN(S2))- FIND("~",SUBSTITUTE(S2,";","~",1))),""))</f>
      </c>
      <c r="FP2" s="485" t="str">
        <f>TRIM(IF(I2&gt;=3,MID(S2,FIND("~",SUBSTITUTE(S2,";","~",2))+1,IFERROR(FIND("~",SUBSTITUTE(S2,";","~",3))-1,LEN(S2))- FIND("~",SUBSTITUTE(S2,";","~",2))),""))</f>
      </c>
      <c r="FQ2" s="485" t="str">
        <f>TRIM(IF(I2&gt;=4,MID(S2,FIND("~",SUBSTITUTE(S2,";","~",3))+1,IFERROR(FIND("~",SUBSTITUTE(S2,";","~",4))-1,LEN(S2))- FIND("~",SUBSTITUTE(S2,";","~",3))),""))</f>
      </c>
      <c r="FR2" s="485" t="str">
        <f>TRIM(IF(I2&gt;=5,MID(S2,FIND("~",SUBSTITUTE(S2,";","~",4))+1,IFERROR(FIND("~",SUBSTITUTE(S2,";","~",5))-1,LEN(S2))- FIND("~",SUBSTITUTE(S2,";","~",4))),""))</f>
      </c>
      <c r="FS2" s="485" t="str">
        <f>TRIM(IF(I2&gt;=6,MID(S2,FIND("~",SUBSTITUTE(S2,";","~",5))+1,IFERROR(FIND("~",SUBSTITUTE(S2,";","~",6))-1,LEN(S2))- FIND("~",SUBSTITUTE(S2,";","~",5))),""))</f>
      </c>
      <c r="FT2" s="485" t="str">
        <f>TRIM(IF(I2&gt;=1,MID(T2,1,IFERROR(FIND("~",SUBSTITUTE(T2,";","~",1))-1,LEN(T2))),""))</f>
        <v>24m/ 24m/ 24m</v>
      </c>
      <c r="FU2" s="485">
        <f>SUBSTITUTE(IF(BO2&gt;=1,MID(FT2,1,IFERROR(FIND("~",SUBSTITUTE(FT2,"/","~",1))-1,LEN(FT2))),"0"),"m","")*1</f>
        <v>24</v>
      </c>
      <c r="FV2" s="485">
        <f>SUBSTITUTE(TRIM(IF(BO2&gt;=2,MID(FT2,FIND("~",SUBSTITUTE(FT2,"/","~",1))+1,IFERROR(FIND("~",SUBSTITUTE(FT2,"/","~",2))-1,LEN(FT2))- FIND("~",SUBSTITUTE(FT2,"/","~",1))),"0")),"m","")*1</f>
        <v>24</v>
      </c>
      <c r="FW2" s="485">
        <f>SUBSTITUTE(TRIM(IF(BO2&gt;=3,MID(FT2,FIND("~",SUBSTITUTE(FT2,"/","~",2))+1,IFERROR(FIND("~",SUBSTITUTE(FT2,"/","~",3))-1,LEN(FT2))- FIND("~",SUBSTITUTE(FT2,"/","~",2))),"0")),"m","")*1</f>
        <v>24</v>
      </c>
      <c r="FX2" s="485">
        <f>SUBSTITUTE(TRIM(IF(BO2&gt;=4,MID(FT2,FIND("~",SUBSTITUTE(FT2,"/","~",3))+1,IFERROR(FIND("~",SUBSTITUTE(FT2,"/","~",4))-1,LEN(FT2))- FIND("~",SUBSTITUTE(FT2,"/","~",3))),"0")),"m","")*1</f>
        <v>0</v>
      </c>
      <c r="FY2" s="485">
        <f>SUBSTITUTE(TRIM(IF(BO2&gt;=5,MID(FT2,FIND("~",SUBSTITUTE(FT2,"/","~",4))+1,IFERROR(FIND("~",SUBSTITUTE(FT2,"/","~",5))-1,LEN(FT2))- FIND("~",SUBSTITUTE(FT2,"/","~",4))),"0")),"m","")*1</f>
        <v>0</v>
      </c>
      <c r="FZ2" s="485">
        <f>SUBSTITUTE(TRIM(IF(BO2&gt;=6,MID(FT2,FIND("~",SUBSTITUTE(FT2,"/","~",5))+1,IFERROR(FIND("~",SUBSTITUTE(FT2,"/","~",6))-1,LEN(FT2))- FIND("~",SUBSTITUTE(FT2,"/","~",5))),"0")),"m","")*1</f>
        <v>0</v>
      </c>
      <c r="GA2" s="485" t="str">
        <f>ConcateMultiple(FU2:FZ2,"m/ ",BO2)</f>
        <v>24m/ 24m/ 24m</v>
      </c>
      <c r="GB2" s="485" t="str">
        <f>TRIM(IF(I2&gt;=2,MID(T2,FIND("~",SUBSTITUTE(T2,";","~",1))+1,IFERROR(FIND("~",SUBSTITUTE(T2,";","~",2))-1,LEN(T2))- FIND("~",SUBSTITUTE(T2,";","~",1))),""))</f>
      </c>
      <c r="GC2" s="485">
        <f>SUBSTITUTE(IF(BP2&gt;=1,MID(GB2,1,IFERROR(FIND("~",SUBSTITUTE(GB2,"/","~",1))-1,LEN(GB2))),"0"),"m","")*1</f>
        <v>0</v>
      </c>
      <c r="GD2" s="485">
        <f>SUBSTITUTE(TRIM(IF(BP2&gt;=2,MID(GB2,FIND("~",SUBSTITUTE(GB2,"/","~",1))+1,IFERROR(FIND("~",SUBSTITUTE(GB2,"/","~",2))-1,LEN(GB2))- FIND("~",SUBSTITUTE(GB2,"/","~",1))),"0")),"m","")*1</f>
        <v>0</v>
      </c>
      <c r="GE2" s="485">
        <f>SUBSTITUTE(TRIM(IF(BP2&gt;=3,MID(GB2,FIND("~",SUBSTITUTE(GB2,"/","~",2))+1,IFERROR(FIND("~",SUBSTITUTE(GB2,"/","~",3))-1,LEN(GB2))- FIND("~",SUBSTITUTE(GB2,"/","~",2))),"0")),"m","")*1</f>
        <v>0</v>
      </c>
      <c r="GF2" s="485">
        <f>SUBSTITUTE(TRIM(IF(BP2&gt;=4,MID(GB2,FIND("~",SUBSTITUTE(GB2,"/","~",3))+1,IFERROR(FIND("~",SUBSTITUTE(GB2,"/","~",4))-1,LEN(GB2))- FIND("~",SUBSTITUTE(GB2,"/","~",3))),"0")),"m","")*1</f>
        <v>0</v>
      </c>
      <c r="GG2" s="485">
        <f>SUBSTITUTE(TRIM(IF(BP2&gt;=5,MID(GB2,FIND("~",SUBSTITUTE(GB2,"/","~",4))+1,IFERROR(FIND("~",SUBSTITUTE(GB2,"/","~",5))-1,LEN(GB2))- FIND("~",SUBSTITUTE(GB2,"/","~",4))),"0")),"m","")*1</f>
        <v>0</v>
      </c>
      <c r="GH2" s="485">
        <f>SUBSTITUTE(TRIM(IF(BP2&gt;=6,MID(GB2,FIND("~",SUBSTITUTE(GB2,"/","~",5))+1,IFERROR(FIND("~",SUBSTITUTE(GB2,"/","~",6))-1,LEN(GB2))- FIND("~",SUBSTITUTE(GB2,"/","~",5))),"0")),"m","")*1</f>
        <v>0</v>
      </c>
      <c r="GI2" s="485" t="str">
        <f>ConcateMultiple(GC2:GH2,"m/ ",BP2)</f>
      </c>
      <c r="GJ2" s="485" t="str">
        <f>TRIM(IF(I2&gt;=3,MID(T2,FIND("~",SUBSTITUTE(T2,";","~",2))+1,IFERROR(FIND("~",SUBSTITUTE(T2,";","~",3))-1,LEN(T2))- FIND("~",SUBSTITUTE(T2,";","~",2))),""))</f>
      </c>
      <c r="GK2" s="485">
        <f>SUBSTITUTE(IF(BQ2&gt;=1,MID(GJ2,1,IFERROR(FIND("~",SUBSTITUTE(GJ2,"/","~",1))-1,LEN(GJ2))),"0"),"m","")*1</f>
        <v>0</v>
      </c>
      <c r="GL2" s="485">
        <f>SUBSTITUTE(TRIM(IF(BQ2&gt;=2,MID(GJ2,FIND("~",SUBSTITUTE(GJ2,"/","~",1))+1,IFERROR(FIND("~",SUBSTITUTE(GJ2,"/","~",2))-1,LEN(GJ2))- FIND("~",SUBSTITUTE(GJ2,"/","~",1))),"0")),"m","")*1</f>
        <v>0</v>
      </c>
      <c r="GM2" s="485">
        <f>SUBSTITUTE(TRIM(IF(BQ2&gt;=3,MID(GJ2,FIND("~",SUBSTITUTE(GJ2,"/","~",2))+1,IFERROR(FIND("~",SUBSTITUTE(GJ2,"/","~",3))-1,LEN(GJ2))- FIND("~",SUBSTITUTE(GJ2,"/","~",2))),"0")),"m","")*1</f>
        <v>0</v>
      </c>
      <c r="GN2" s="485">
        <f>SUBSTITUTE(TRIM(IF(BQ2&gt;=4,MID(GJ2,FIND("~",SUBSTITUTE(GJ2,"/","~",3))+1,IFERROR(FIND("~",SUBSTITUTE(GJ2,"/","~",4))-1,LEN(GJ2))- FIND("~",SUBSTITUTE(GJ2,"/","~",3))),"0")),"m","")*1</f>
        <v>0</v>
      </c>
      <c r="GO2" s="485">
        <f>SUBSTITUTE(TRIM(IF(BQ2&gt;=5,MID(GJ2,FIND("~",SUBSTITUTE(GJ2,"/","~",4))+1,IFERROR(FIND("~",SUBSTITUTE(GJ2,"/","~",5))-1,LEN(GJ2))- FIND("~",SUBSTITUTE(GJ2,"/","~",4))),"0")),"m","")*1</f>
        <v>0</v>
      </c>
      <c r="GP2" s="485">
        <f>SUBSTITUTE(TRIM(IF(BQ2&gt;=6,MID(GJ2,FIND("~",SUBSTITUTE(GJ2,"/","~",5))+1,IFERROR(FIND("~",SUBSTITUTE(GJ2,"/","~",6))-1,LEN(GJ2))- FIND("~",SUBSTITUTE(GJ2,"/","~",5))),"0")),"m","")*1</f>
        <v>0</v>
      </c>
      <c r="GQ2" s="485" t="str">
        <f>ConcateMultiple(GK2:GP2,"m/ ",BQ2)</f>
      </c>
      <c r="GR2" s="485" t="str">
        <f>TRIM(IF(I2&gt;=4,MID(T2,FIND("~",SUBSTITUTE(T2,";","~",3))+1,IFERROR(FIND("~",SUBSTITUTE(T2,";","~",4))-1,LEN(T2))- FIND("~",SUBSTITUTE(T2,";","~",3))),""))</f>
      </c>
      <c r="GS2" s="485">
        <f>SUBSTITUTE(IF(BR2&gt;=1,MID(GR2,1,IFERROR(FIND("~",SUBSTITUTE(GR2,"/","~",1))-1,LEN(GR2))),"0"),"m","")*1</f>
        <v>0</v>
      </c>
      <c r="GT2" s="485">
        <f>SUBSTITUTE(TRIM(IF(BR2&gt;=2,MID(GR2,FIND("~",SUBSTITUTE(GR2,"/","~",1))+1,IFERROR(FIND("~",SUBSTITUTE(GR2,"/","~",2))-1,LEN(GR2))- FIND("~",SUBSTITUTE(GR2,"/","~",1))),"0")),"m","")*1</f>
        <v>0</v>
      </c>
      <c r="GU2" s="485">
        <f>SUBSTITUTE(TRIM(IF(BR2&gt;=3,MID(GR2,FIND("~",SUBSTITUTE(GR2,"/","~",2))+1,IFERROR(FIND("~",SUBSTITUTE(GR2,"/","~",3))-1,LEN(GR2))- FIND("~",SUBSTITUTE(GR2,"/","~",2))),"0")),"m","")*1</f>
        <v>0</v>
      </c>
      <c r="GV2" s="485">
        <f>SUBSTITUTE(TRIM(IF(BR2&gt;=4,MID(GR2,FIND("~",SUBSTITUTE(GR2,"/","~",3))+1,IFERROR(FIND("~",SUBSTITUTE(GR2,"/","~",4))-1,LEN(GR2))- FIND("~",SUBSTITUTE(GR2,"/","~",3))),"0")),"m","")*1</f>
        <v>0</v>
      </c>
      <c r="GW2" s="485">
        <f>SUBSTITUTE(TRIM(IF(BR2&gt;=5,MID(GR2,FIND("~",SUBSTITUTE(GR2,"/","~",4))+1,IFERROR(FIND("~",SUBSTITUTE(GR2,"/","~",5))-1,LEN(GR2))- FIND("~",SUBSTITUTE(GR2,"/","~",4))),"0")),"m","")*1</f>
        <v>0</v>
      </c>
      <c r="GX2" s="485">
        <f>SUBSTITUTE(TRIM(IF(BR2&gt;=6,MID(GR2,FIND("~",SUBSTITUTE(GR2,"/","~",5))+1,IFERROR(FIND("~",SUBSTITUTE(GR2,"/","~",6))-1,LEN(GR2))- FIND("~",SUBSTITUTE(GR2,"/","~",5))),"0")),"m","")*1</f>
        <v>0</v>
      </c>
      <c r="GY2" s="485" t="str">
        <f>ConcateMultiple(GS2:GX2,"m/ ",BR2)</f>
      </c>
      <c r="GZ2" s="485" t="str">
        <f>TRIM(IF(I2&gt;=5,MID(T2,FIND("~",SUBSTITUTE(T2,";","~",4))+1,IFERROR(FIND("~",SUBSTITUTE(T2,";","~",5))-1,LEN(T2))- FIND("~",SUBSTITUTE(T2,";","~",4))),""))</f>
      </c>
      <c r="HA2" s="485">
        <f>SUBSTITUTE(IF(BS2&gt;=1,MID(GZ2,1,IFERROR(FIND("~",SUBSTITUTE(GZ2,"/","~",1))-1,LEN(GZ2))),"0"),"m","")*1</f>
        <v>0</v>
      </c>
      <c r="HB2" s="485">
        <f>SUBSTITUTE(TRIM(IF(BS2&gt;=2,MID(GZ2,FIND("~",SUBSTITUTE(GZ2,"/","~",1))+1,IFERROR(FIND("~",SUBSTITUTE(GZ2,"/","~",2))-1,LEN(GZ2))- FIND("~",SUBSTITUTE(GZ2,"/","~",1))),"0")),"m","")*1</f>
        <v>0</v>
      </c>
      <c r="HC2" s="485">
        <f>SUBSTITUTE(TRIM(IF(BS2&gt;=3,MID(GZ2,FIND("~",SUBSTITUTE(GZ2,"/","~",2))+1,IFERROR(FIND("~",SUBSTITUTE(GZ2,"/","~",3))-1,LEN(GZ2))- FIND("~",SUBSTITUTE(GZ2,"/","~",2))),"0")),"m","")*1</f>
        <v>0</v>
      </c>
      <c r="HD2" s="485">
        <f>SUBSTITUTE(TRIM(IF(BS2&gt;=4,MID(GZ2,FIND("~",SUBSTITUTE(GZ2,"/","~",3))+1,IFERROR(FIND("~",SUBSTITUTE(GZ2,"/","~",4))-1,LEN(GZ2))- FIND("~",SUBSTITUTE(GZ2,"/","~",3))),"0")),"m","")*1</f>
        <v>0</v>
      </c>
      <c r="HE2" s="485">
        <f>SUBSTITUTE(TRIM(IF(BS2&gt;=5,MID(GZ2,FIND("~",SUBSTITUTE(GZ2,"/","~",4))+1,IFERROR(FIND("~",SUBSTITUTE(GZ2,"/","~",5))-1,LEN(GZ2))- FIND("~",SUBSTITUTE(GZ2,"/","~",4))),"0")),"m","")*1</f>
        <v>0</v>
      </c>
      <c r="HF2" s="485">
        <f>SUBSTITUTE(TRIM(IF(BS2&gt;=6,MID(GZ2,FIND("~",SUBSTITUTE(GZ2,"/","~",5))+1,IFERROR(FIND("~",SUBSTITUTE(GZ2,"/","~",6))-1,LEN(GZ2))- FIND("~",SUBSTITUTE(GZ2,"/","~",5))),"0")),"m","")*1</f>
        <v>0</v>
      </c>
      <c r="HG2" s="485" t="str">
        <f>ConcateMultiple(HA2:HF2,"m/ ",BS2)</f>
      </c>
      <c r="HH2" s="485" t="str">
        <f>TRIM(IF(I2&gt;=6,MID(T2,FIND("~",SUBSTITUTE(T2,";","~",5))+1,IFERROR(FIND("~",SUBSTITUTE(T2,";","~",6))-1,LEN(T2))- FIND("~",SUBSTITUTE(T2,";","~",5))),""))</f>
      </c>
      <c r="HI2" s="485">
        <f>SUBSTITUTE(IF(BT2&gt;=1,MID(HH2,1,IFERROR(FIND("~",SUBSTITUTE(HH2,"/","~",1))-1,LEN(HH2))),"0"),"m","")*1</f>
        <v>0</v>
      </c>
      <c r="HJ2" s="485">
        <f>SUBSTITUTE(TRIM(IF(BT2&gt;=2,MID(HH2,FIND("~",SUBSTITUTE(HH2,"/","~",1))+1,IFERROR(FIND("~",SUBSTITUTE(HH2,"/","~",2))-1,LEN(HH2))- FIND("~",SUBSTITUTE(HH2,"/","~",1))),"0")),"m","")*1</f>
        <v>0</v>
      </c>
      <c r="HK2" s="485">
        <f>SUBSTITUTE(TRIM(IF(BT2&gt;=3,MID(HH2,FIND("~",SUBSTITUTE(HH2,"/","~",2))+1,IFERROR(FIND("~",SUBSTITUTE(HH2,"/","~",3))-1,LEN(HH2))- FIND("~",SUBSTITUTE(HH2,"/","~",2))),"0")),"m","")*1</f>
        <v>0</v>
      </c>
      <c r="HL2" s="485">
        <f>SUBSTITUTE(TRIM(IF(BT2&gt;=4,MID(HH2,FIND("~",SUBSTITUTE(HH2,"/","~",3))+1,IFERROR(FIND("~",SUBSTITUTE(HH2,"/","~",4))-1,LEN(HH2))- FIND("~",SUBSTITUTE(HH2,"/","~",3))),"0")),"m","")*1</f>
        <v>0</v>
      </c>
      <c r="HM2" s="485">
        <f>SUBSTITUTE(TRIM(IF(BT2&gt;=5,MID(HH2,FIND("~",SUBSTITUTE(HH2,"/","~",4))+1,IFERROR(FIND("~",SUBSTITUTE(HH2,"/","~",5))-1,LEN(HH2))- FIND("~",SUBSTITUTE(HH2,"/","~",4))),"0")),"m","")*1</f>
        <v>0</v>
      </c>
      <c r="HN2" s="485">
        <f>SUBSTITUTE(TRIM(IF(BT2&gt;=6,MID(HH2,FIND("~",SUBSTITUTE(HH2,"/","~",5))+1,IFERROR(FIND("~",SUBSTITUTE(HH2,"/","~",6))-1,LEN(HH2))- FIND("~",SUBSTITUTE(HH2,"/","~",5))),"0")),"m","")*1</f>
        <v>0</v>
      </c>
      <c r="HO2" s="485" t="str">
        <f>ConcateMultiple(HI2:HN2,"m/ ",BT2)</f>
      </c>
      <c r="HP2" s="485" t="str">
        <f>INDEX(LabNameList,MATCH(AF2,LabIDList,0))</f>
        <v>Trung tâm Kiểm định và Chứng nhận 2</v>
      </c>
      <c r="HQ2" s="485">
        <f>MinMultiple(FU2:FX2,BO2)</f>
        <v>24</v>
      </c>
      <c r="HR2" s="485">
        <f>MinMultiple(GC2:GF2,BP2)</f>
        <v>0</v>
      </c>
      <c r="HS2" s="485">
        <f>MinMultiple(GK2:GN2,BQ2)</f>
        <v>0</v>
      </c>
      <c r="HT2" s="485">
        <f>MinMultiple(GS2:GV2,BR2)</f>
        <v>0</v>
      </c>
      <c r="HU2" s="485">
        <f>MinMultiple(HA2:HD2,BS2)</f>
        <v>0</v>
      </c>
      <c r="HV2" s="485">
        <f>MinMultiple(HI2:HL2,BT2)</f>
        <v>0</v>
      </c>
      <c r="HW2" s="703">
        <f>MinMultiple(HQ2:HV2,I2)</f>
        <v>24</v>
      </c>
      <c r="HX2" s="703">
        <f>HW2-AA2</f>
        <v>4</v>
      </c>
      <c r="HY2" s="223">
        <v>1</v>
      </c>
    </row>
  </sheetData>
  <sheetProtection sheet="1" objects="1" scenarios="1"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2"/>
  <sheetViews>
    <sheetView tabSelected="1" zoomScaleNormal="100" workbookViewId="0">
      <selection activeCell="B2" sqref="B2:HY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1"/>
    <col min="5" max="5" width="54.140625" customWidth="1" style="322"/>
    <col min="6" max="6" width="16.5703125" customWidth="1" style="322"/>
    <col min="7" max="7" bestFit="1" width="9.140625" customWidth="1" style="701"/>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16384" width="9.140625" customWidth="1" style="312"/>
  </cols>
  <sheetData>
    <row r="1" ht="63" s="322" customFormat="1">
      <c r="A1" s="507" t="str">
        <f>Check!A1</f>
        <v>No</v>
      </c>
      <c r="B1" s="507" t="str">
        <f>Check!B1</f>
        <v>ApplicantID</v>
      </c>
      <c r="C1" s="507" t="str">
        <f>Check!C1</f>
        <v>OperatorID</v>
      </c>
      <c r="D1" s="702" t="str">
        <f>Check!D1</f>
        <v>BtsCode</v>
      </c>
      <c r="E1" s="507" t="str">
        <f>Check!E1</f>
        <v>Address</v>
      </c>
      <c r="F1" s="507" t="str">
        <f>Check!F1</f>
        <v>CityName</v>
      </c>
      <c r="G1" s="702" t="str">
        <f>Check!G1</f>
        <v>Longtitude</v>
      </c>
      <c r="H1" s="702" t="str">
        <f>Check!H1</f>
        <v>Latitude</v>
      </c>
      <c r="I1" s="508" t="str">
        <f>Check!I1</f>
        <v>SubBTSQuantity</v>
      </c>
      <c r="J1" s="508" t="str">
        <f>Check!J1</f>
        <v>TestReportNo</v>
      </c>
      <c r="K1" s="509" t="str">
        <f>Check!K1</f>
        <v>TestReportDate</v>
      </c>
      <c r="L1" s="509" t="str">
        <f>Check!L1</f>
        <v>VerifyDate</v>
      </c>
      <c r="M1" s="508" t="str">
        <f>Check!M1</f>
        <v>SubBtsOperatorNames</v>
      </c>
      <c r="N1" s="508" t="str">
        <f>Check!N1</f>
        <v>SubBtsCodes</v>
      </c>
      <c r="O1" s="508" t="str">
        <f>Check!O1</f>
        <v>SubBtsEquipments</v>
      </c>
      <c r="P1" s="508" t="str">
        <f>Check!P1</f>
        <v>SubBtsAntenNums</v>
      </c>
      <c r="Q1" s="508" t="str">
        <f>Check!Q1</f>
        <v>SubBtsConfigurations</v>
      </c>
      <c r="R1" s="508" t="str">
        <f>Check!R1</f>
        <v>SubBtsPowerSums</v>
      </c>
      <c r="S1" s="508" t="str">
        <f>Check!S1</f>
        <v>SubBtsBands</v>
      </c>
      <c r="T1" s="508" t="str">
        <f>Check!T1</f>
        <v>SubBtsAntenHeights</v>
      </c>
      <c r="U1" s="508" t="str">
        <f>Check!U1</f>
        <v>InCaseOfID</v>
      </c>
      <c r="V1" s="508" t="str">
        <f>Check!V1</f>
        <v>SubAntenTypes</v>
      </c>
      <c r="W1" s="505" t="str">
        <f>Check!W1</f>
        <v>IsPoleOnGround</v>
      </c>
      <c r="X1" s="505" t="str">
        <f>Check!X1</f>
        <v>IsSafeLimit</v>
      </c>
      <c r="Y1" s="699" t="str">
        <f>Check!Y1</f>
        <v>SafeLimitHeight</v>
      </c>
      <c r="Z1" s="505" t="str">
        <f>Check!Z1</f>
        <v>IsHouseIn100m</v>
      </c>
      <c r="AA1" s="699" t="str">
        <f>Check!AA1</f>
        <v>MaxHeightIn100m</v>
      </c>
      <c r="AB1" s="505" t="str">
        <f>Check!AB1</f>
        <v>IsMeasuringExposure</v>
      </c>
      <c r="AC1" s="505" t="str">
        <f>Check!AC1</f>
        <v>IssueCertificate</v>
      </c>
      <c r="AD1" s="510" t="str">
        <f>Check!AD1</f>
        <v>Note</v>
      </c>
      <c r="AE1" s="507" t="str">
        <f>Check!AE1</f>
        <v>SharedAntens</v>
      </c>
      <c r="AF1" s="507" t="str">
        <f>Check!AF1</f>
        <v>LabID</v>
      </c>
      <c r="AG1" s="507" t="str">
        <f>Check!AG1</f>
        <v>ReasonNoCertificate</v>
      </c>
      <c r="AH1" s="511" t="str">
        <f>Check!AH1</f>
        <v>Line1</v>
      </c>
      <c r="AI1" s="512" t="str">
        <f>Check!AI1</f>
        <v>ApplicantName</v>
      </c>
      <c r="AJ1" s="512" t="str">
        <f>Check!AJ1</f>
        <v>OperatorName</v>
      </c>
      <c r="AK1" s="512" t="str">
        <f>Check!AK1</f>
        <v>NumOfComma</v>
      </c>
      <c r="AL1" s="513" t="str">
        <f>Check!AL1</f>
        <v>Province</v>
      </c>
      <c r="AM1" s="513" t="str">
        <f>Check!AM1</f>
        <v>District</v>
      </c>
      <c r="AN1" s="513" t="str">
        <f>Check!AN1</f>
        <v>Ward</v>
      </c>
      <c r="AO1" s="514" t="str">
        <f>Check!AO1</f>
        <v>CityID</v>
      </c>
      <c r="AP1" s="515" t="str">
        <f>Check!AP1</f>
        <v>SubBtsOperatorName_1</v>
      </c>
      <c r="AQ1" s="515" t="str">
        <f>Check!AQ1</f>
        <v>SubBtsOperatorName_2</v>
      </c>
      <c r="AR1" s="515" t="str">
        <f>Check!AR1</f>
        <v>SubBtsOperatorName_3</v>
      </c>
      <c r="AS1" s="515" t="str">
        <f>Check!AS1</f>
        <v>SubBtsOperatorName_4</v>
      </c>
      <c r="AT1" s="515" t="str">
        <f>Check!AT1</f>
        <v>SubBtsOperatorName_5</v>
      </c>
      <c r="AU1" s="515" t="str">
        <f>Check!AU1</f>
        <v>SubBtsOperatorName_6</v>
      </c>
      <c r="AV1" s="514" t="str">
        <f>Check!AV1</f>
        <v>SubBtsOperatorID_1</v>
      </c>
      <c r="AW1" s="514" t="str">
        <f>Check!AW1</f>
        <v>SubBtsOperatorID_2</v>
      </c>
      <c r="AX1" s="514" t="str">
        <f>Check!AX1</f>
        <v>SubBtsOperatorID_3</v>
      </c>
      <c r="AY1" s="514" t="str">
        <f>Check!AY1</f>
        <v>SubBtsOperatorID_4</v>
      </c>
      <c r="AZ1" s="514" t="str">
        <f>Check!AZ1</f>
        <v>SubBtsOperatorID_5</v>
      </c>
      <c r="BA1" s="514" t="str">
        <f>Check!BA1</f>
        <v>SubBtsOperatorID_6</v>
      </c>
      <c r="BB1" s="515" t="str">
        <f>Check!BB1</f>
        <v>SubBtsOperatorIDs</v>
      </c>
      <c r="BC1" s="514" t="str">
        <f>Check!BC1</f>
        <v>SubBtsCode_1</v>
      </c>
      <c r="BD1" s="514" t="str">
        <f>Check!BD1</f>
        <v>SubBtsCode_2</v>
      </c>
      <c r="BE1" s="514" t="str">
        <f>Check!BE1</f>
        <v>SubBtsCode_3</v>
      </c>
      <c r="BF1" s="514" t="str">
        <f>Check!BF1</f>
        <v>SubBtsCode_4</v>
      </c>
      <c r="BG1" s="514" t="str">
        <f>Check!BG1</f>
        <v>SubBtsCode_5</v>
      </c>
      <c r="BH1" s="514" t="str">
        <f>Check!BH1</f>
        <v>SubBtsCode_6</v>
      </c>
      <c r="BI1" s="515" t="str">
        <f>Check!BI1</f>
        <v>SubBtsEquipment_1</v>
      </c>
      <c r="BJ1" s="515" t="str">
        <f>Check!BJ1</f>
        <v>SubBtsEquipment_2</v>
      </c>
      <c r="BK1" s="515" t="str">
        <f>Check!BK1</f>
        <v>SubBtsEquipment_3</v>
      </c>
      <c r="BL1" s="515" t="str">
        <f>Check!BL1</f>
        <v>SubBtsEquipment_4</v>
      </c>
      <c r="BM1" s="515" t="str">
        <f>Check!BM1</f>
        <v>SubBtsEquipment_5</v>
      </c>
      <c r="BN1" s="515" t="str">
        <f>Check!BN1</f>
        <v>SubBtsEquipment_6</v>
      </c>
      <c r="BO1" s="514" t="str">
        <f>Check!BO1</f>
        <v>SubBtsAntenNum_1</v>
      </c>
      <c r="BP1" s="514" t="str">
        <f>Check!BP1</f>
        <v>SubBtsAntenNum_2</v>
      </c>
      <c r="BQ1" s="514" t="str">
        <f>Check!BQ1</f>
        <v>SubBtsAntenNum_3</v>
      </c>
      <c r="BR1" s="514" t="str">
        <f>Check!BR1</f>
        <v>SubBtsAntenNum_4</v>
      </c>
      <c r="BS1" s="514" t="str">
        <f>Check!BS1</f>
        <v>SubBtsAntenNum_5</v>
      </c>
      <c r="BT1" s="514" t="str">
        <f>Check!BT1</f>
        <v>SubBtsAntenNum_6</v>
      </c>
      <c r="BU1" s="515" t="str">
        <f>Check!BU1</f>
        <v>SubBtsConfiguration_1</v>
      </c>
      <c r="BV1" s="514" t="str">
        <f>Check!BV1</f>
        <v>SubBtsConfiguration_1.1</v>
      </c>
      <c r="BW1" s="514" t="str">
        <f>Check!BW1</f>
        <v>SubBtsConfiguration_1.2</v>
      </c>
      <c r="BX1" s="514" t="str">
        <f>Check!BX1</f>
        <v>SubBtsConfiguration_1.3</v>
      </c>
      <c r="BY1" s="514" t="str">
        <f>Check!BY1</f>
        <v>SubBtsConfiguration_1.4</v>
      </c>
      <c r="BZ1" s="514" t="str">
        <f>Check!BZ1</f>
        <v>SubBtsConfiguration_1.5</v>
      </c>
      <c r="CA1" s="514" t="str">
        <f>Check!CA1</f>
        <v>SubBtsConfiguration_1.6</v>
      </c>
      <c r="CB1" s="515" t="str">
        <f>Check!CB1</f>
        <v>SubBtsConfiguration_2</v>
      </c>
      <c r="CC1" s="514" t="str">
        <f>Check!CC1</f>
        <v>SubBtsConfiguration_2.1</v>
      </c>
      <c r="CD1" s="514" t="str">
        <f>Check!CD1</f>
        <v>SubBtsConfiguration_2.2</v>
      </c>
      <c r="CE1" s="514" t="str">
        <f>Check!CE1</f>
        <v>SubBtsConfiguration_2.3</v>
      </c>
      <c r="CF1" s="514" t="str">
        <f>Check!CF1</f>
        <v>SubBtsConfiguration_2.4</v>
      </c>
      <c r="CG1" s="514" t="str">
        <f>Check!CG1</f>
        <v>SubBtsConfiguration_2.5</v>
      </c>
      <c r="CH1" s="514" t="str">
        <f>Check!CH1</f>
        <v>SubBtsConfiguration_2.6</v>
      </c>
      <c r="CI1" s="515" t="str">
        <f>Check!CI1</f>
        <v>SubBtsConfiguration_3</v>
      </c>
      <c r="CJ1" s="514" t="str">
        <f>Check!CJ1</f>
        <v>SubBtsConfiguration_3.1</v>
      </c>
      <c r="CK1" s="514" t="str">
        <f>Check!CK1</f>
        <v>SubBtsConfiguration_3.2</v>
      </c>
      <c r="CL1" s="514" t="str">
        <f>Check!CL1</f>
        <v>SubBtsConfiguration_3.3</v>
      </c>
      <c r="CM1" s="514" t="str">
        <f>Check!CM1</f>
        <v>SubBtsConfiguration_3.4</v>
      </c>
      <c r="CN1" s="514" t="str">
        <f>Check!CN1</f>
        <v>SubBtsConfiguration_3.5</v>
      </c>
      <c r="CO1" s="514" t="str">
        <f>Check!CO1</f>
        <v>SubBtsConfiguration_3.6</v>
      </c>
      <c r="CP1" s="515" t="str">
        <f>Check!CP1</f>
        <v>SubBtsConfiguration_4</v>
      </c>
      <c r="CQ1" s="514" t="str">
        <f>Check!CQ1</f>
        <v>SubBtsConfiguration_4.1</v>
      </c>
      <c r="CR1" s="514" t="str">
        <f>Check!CR1</f>
        <v>SubBtsConfiguration_4.2</v>
      </c>
      <c r="CS1" s="514" t="str">
        <f>Check!CS1</f>
        <v>SubBtsConfiguration_4.3</v>
      </c>
      <c r="CT1" s="514" t="str">
        <f>Check!CT1</f>
        <v>SubBtsConfiguration_4.4</v>
      </c>
      <c r="CU1" s="514" t="str">
        <f>Check!CU1</f>
        <v>SubBtsConfiguration_4.5</v>
      </c>
      <c r="CV1" s="514" t="str">
        <f>Check!CV1</f>
        <v>SubBtsConfiguration_4.6</v>
      </c>
      <c r="CW1" s="515" t="str">
        <f>Check!CW1</f>
        <v>SubBtsConfiguration_5</v>
      </c>
      <c r="CX1" s="514" t="str">
        <f>Check!CX1</f>
        <v>SubBtsConfiguration_5.1</v>
      </c>
      <c r="CY1" s="514" t="str">
        <f>Check!CY1</f>
        <v>SubBtsConfiguration_5.2</v>
      </c>
      <c r="CZ1" s="514" t="str">
        <f>Check!CZ1</f>
        <v>SubBtsConfiguration_5.3</v>
      </c>
      <c r="DA1" s="514" t="str">
        <f>Check!DA1</f>
        <v>SubBtsConfiguration_5.4</v>
      </c>
      <c r="DB1" s="514" t="str">
        <f>Check!DB1</f>
        <v>SubBtsConfiguration_5.5</v>
      </c>
      <c r="DC1" s="514" t="str">
        <f>Check!DC1</f>
        <v>SubBtsConfiguration_5.6</v>
      </c>
      <c r="DD1" s="515" t="str">
        <f>Check!DD1</f>
        <v>SubBtsConfiguration_6</v>
      </c>
      <c r="DE1" s="514" t="str">
        <f>Check!DE1</f>
        <v>SubBtsConfiguration_6.1</v>
      </c>
      <c r="DF1" s="514" t="str">
        <f>Check!DF1</f>
        <v>SubBtsConfiguration_6.2</v>
      </c>
      <c r="DG1" s="514" t="str">
        <f>Check!DG1</f>
        <v>SubBtsConfiguration_6.3</v>
      </c>
      <c r="DH1" s="514" t="str">
        <f>Check!DH1</f>
        <v>SubBtsConfiguration_6.4</v>
      </c>
      <c r="DI1" s="514" t="str">
        <f>Check!DI1</f>
        <v>SubBtsConfiguration_6.5</v>
      </c>
      <c r="DJ1" s="514" t="str">
        <f>Check!DJ1</f>
        <v>SubBtsConfiguration_6.6</v>
      </c>
      <c r="DK1" s="515" t="str">
        <f>Check!DK1</f>
        <v>SubBtsPowerSum_1_Input</v>
      </c>
      <c r="DL1" s="514" t="str">
        <f>Check!DL1</f>
        <v>SubBtsPowerSum_1.1</v>
      </c>
      <c r="DM1" s="514" t="str">
        <f>Check!DM1</f>
        <v>SubBtsPowerSum_1.2</v>
      </c>
      <c r="DN1" s="514" t="str">
        <f>Check!DN1</f>
        <v>SubBtsPowerSum_1.3</v>
      </c>
      <c r="DO1" s="514" t="str">
        <f>Check!DO1</f>
        <v>SubBtsPowerSum_1.4</v>
      </c>
      <c r="DP1" s="514" t="str">
        <f>Check!DP1</f>
        <v>SubBtsPowerSum_1.5</v>
      </c>
      <c r="DQ1" s="514" t="str">
        <f>Check!DQ1</f>
        <v>SubBtsPowerSum_1.6</v>
      </c>
      <c r="DR1" s="516" t="str">
        <f>Check!DR1</f>
        <v>SubBtsPowerSum_1</v>
      </c>
      <c r="DS1" s="516" t="str">
        <f>Check!DS1</f>
        <v>MaxPowerSum_1</v>
      </c>
      <c r="DT1" s="515" t="str">
        <f>Check!DT1</f>
        <v>SubBtsPowerSum_2_Input</v>
      </c>
      <c r="DU1" s="514" t="str">
        <f>Check!DU1</f>
        <v>SubBtsPowerSum_2.1</v>
      </c>
      <c r="DV1" s="514" t="str">
        <f>Check!DV1</f>
        <v>SubBtsPowerSum_2.2</v>
      </c>
      <c r="DW1" s="514" t="str">
        <f>Check!DW1</f>
        <v>SubBtsPowerSum_2.3</v>
      </c>
      <c r="DX1" s="514" t="str">
        <f>Check!DX1</f>
        <v>SubBtsPowerSum_2.4</v>
      </c>
      <c r="DY1" s="514" t="str">
        <f>Check!DY1</f>
        <v>SubBtsPowerSum_2.5</v>
      </c>
      <c r="DZ1" s="514" t="str">
        <f>Check!DZ1</f>
        <v>SubBtsPowerSum_2.6</v>
      </c>
      <c r="EA1" s="516" t="str">
        <f>Check!EA1</f>
        <v>SubBtsPowerSum_2</v>
      </c>
      <c r="EB1" s="516" t="str">
        <f>Check!EB1</f>
        <v>MaxPowerSum_2</v>
      </c>
      <c r="EC1" s="515" t="str">
        <f>Check!EC1</f>
        <v>SubBtsPowerSum_3_Input</v>
      </c>
      <c r="ED1" s="514" t="str">
        <f>Check!ED1</f>
        <v>SubBtsPowerSum_3.1</v>
      </c>
      <c r="EE1" s="514" t="str">
        <f>Check!EE1</f>
        <v>SubBtsPowerSum_3.2</v>
      </c>
      <c r="EF1" s="514" t="str">
        <f>Check!EF1</f>
        <v>SubBtsPowerSum_3.3</v>
      </c>
      <c r="EG1" s="514" t="str">
        <f>Check!EG1</f>
        <v>SubBtsPowerSum_3.4</v>
      </c>
      <c r="EH1" s="514" t="str">
        <f>Check!EH1</f>
        <v>SubBtsPowerSum_3.5</v>
      </c>
      <c r="EI1" s="514" t="str">
        <f>Check!EI1</f>
        <v>SubBtsPowerSum_3.6</v>
      </c>
      <c r="EJ1" s="516" t="str">
        <f>Check!EJ1</f>
        <v>SubBtsPowerSum_3</v>
      </c>
      <c r="EK1" s="516" t="str">
        <f>Check!EK1</f>
        <v>MaxPowerSum_3</v>
      </c>
      <c r="EL1" s="515" t="str">
        <f>Check!EL1</f>
        <v>SubBtsPowerSum_4_Input</v>
      </c>
      <c r="EM1" s="514" t="str">
        <f>Check!EM1</f>
        <v>SubBtsPowerSum_4.1</v>
      </c>
      <c r="EN1" s="514" t="str">
        <f>Check!EN1</f>
        <v>SubBtsPowerSum_4.2</v>
      </c>
      <c r="EO1" s="514" t="str">
        <f>Check!EO1</f>
        <v>SubBtsPowerSum_4.3</v>
      </c>
      <c r="EP1" s="514" t="str">
        <f>Check!EP1</f>
        <v>SubBtsPowerSum_4.4</v>
      </c>
      <c r="EQ1" s="514" t="str">
        <f>Check!EQ1</f>
        <v>SubBtsPowerSum_4.5</v>
      </c>
      <c r="ER1" s="514" t="str">
        <f>Check!ER1</f>
        <v>SubBtsPowerSum_4.6</v>
      </c>
      <c r="ES1" s="516" t="str">
        <f>Check!ES1</f>
        <v>SubBtsPowerSum_4</v>
      </c>
      <c r="ET1" s="516" t="str">
        <f>Check!ET1</f>
        <v>MaxPowerSum_4</v>
      </c>
      <c r="EU1" s="515" t="str">
        <f>Check!EU1</f>
        <v>SubBtsPowerSum_5_Input</v>
      </c>
      <c r="EV1" s="514" t="str">
        <f>Check!EV1</f>
        <v>SubBtsPowerSum_5.1</v>
      </c>
      <c r="EW1" s="514" t="str">
        <f>Check!EW1</f>
        <v>SubBtsPowerSum_5.2</v>
      </c>
      <c r="EX1" s="514" t="str">
        <f>Check!EX1</f>
        <v>SubBtsPowerSum_5.3</v>
      </c>
      <c r="EY1" s="514" t="str">
        <f>Check!EY1</f>
        <v>SubBtsPowerSum_5.4</v>
      </c>
      <c r="EZ1" s="514" t="str">
        <f>Check!EZ1</f>
        <v>SubBtsPowerSum_5.5</v>
      </c>
      <c r="FA1" s="514" t="str">
        <f>Check!FA1</f>
        <v>SubBtsPowerSum_5.6</v>
      </c>
      <c r="FB1" s="516" t="str">
        <f>Check!FB1</f>
        <v>SubBtsPowerSum_5</v>
      </c>
      <c r="FC1" s="516" t="str">
        <f>Check!FC1</f>
        <v>MaxPowerSum_5</v>
      </c>
      <c r="FD1" s="515" t="str">
        <f>Check!FD1</f>
        <v>SubBtsPowerSum_6_Input</v>
      </c>
      <c r="FE1" s="514" t="str">
        <f>Check!FE1</f>
        <v>SubBtsPowerSum_6.1</v>
      </c>
      <c r="FF1" s="514" t="str">
        <f>Check!FF1</f>
        <v>SubBtsPowerSum_6.2</v>
      </c>
      <c r="FG1" s="514" t="str">
        <f>Check!FG1</f>
        <v>SubBtsPowerSum_6.3</v>
      </c>
      <c r="FH1" s="514" t="str">
        <f>Check!FH1</f>
        <v>SubBtsPowerSum_6.4</v>
      </c>
      <c r="FI1" s="514" t="str">
        <f>Check!FI1</f>
        <v>SubBtsPowerSum_6.5</v>
      </c>
      <c r="FJ1" s="514" t="str">
        <f>Check!FJ1</f>
        <v>SubBtsPowerSum_6.6</v>
      </c>
      <c r="FK1" s="516" t="str">
        <f>Check!FK1</f>
        <v>SubBtsPowerSum_6</v>
      </c>
      <c r="FL1" s="516" t="str">
        <f>Check!FL1</f>
        <v>MaxPowerSum_6</v>
      </c>
      <c r="FM1" s="516" t="str">
        <f>Check!FM1</f>
        <v>MaxPowerSum</v>
      </c>
      <c r="FN1" s="517" t="str">
        <f>Check!FN1</f>
        <v>SubBtsBand_1</v>
      </c>
      <c r="FO1" s="517" t="str">
        <f>Check!FO1</f>
        <v>SubBtsBand_2</v>
      </c>
      <c r="FP1" s="517" t="str">
        <f>Check!FP1</f>
        <v>SubBtsBand_3</v>
      </c>
      <c r="FQ1" s="517" t="str">
        <f>Check!FQ1</f>
        <v>SubBtsBand_4</v>
      </c>
      <c r="FR1" s="517" t="str">
        <f>Check!FR1</f>
        <v>SubBtsBand_5</v>
      </c>
      <c r="FS1" s="517" t="str">
        <f>Check!FS1</f>
        <v>SubBtsBand_6</v>
      </c>
      <c r="FT1" s="515" t="str">
        <f>Check!FT1</f>
        <v>SubBtsAntenHeight_1_Input</v>
      </c>
      <c r="FU1" s="514" t="str">
        <f>Check!FU1</f>
        <v>SubBtsAntenHeight_1.1</v>
      </c>
      <c r="FV1" s="514" t="str">
        <f>Check!FV1</f>
        <v>SubBtsAntenHeight_1.2</v>
      </c>
      <c r="FW1" s="514" t="str">
        <f>Check!FW1</f>
        <v>SubBtsAntenHeight_1.3</v>
      </c>
      <c r="FX1" s="514" t="str">
        <f>Check!FX1</f>
        <v>SubBtsAntenHeight_1.4</v>
      </c>
      <c r="FY1" s="514" t="str">
        <f>Check!FY1</f>
        <v>SubBtsAntenHeight_1.5</v>
      </c>
      <c r="FZ1" s="514" t="str">
        <f>Check!FZ1</f>
        <v>SubBtsAntenHeight_1.6</v>
      </c>
      <c r="GA1" s="516" t="str">
        <f>Check!GA1</f>
        <v>SubBtsAntenHeight_1</v>
      </c>
      <c r="GB1" s="515" t="str">
        <f>Check!GB1</f>
        <v>SubBtsAntenHeight_2_Input</v>
      </c>
      <c r="GC1" s="514" t="str">
        <f>Check!GC1</f>
        <v>SubBtsAntenHeight_2.1</v>
      </c>
      <c r="GD1" s="514" t="str">
        <f>Check!GD1</f>
        <v>SubBtsAntenHeight_2.2</v>
      </c>
      <c r="GE1" s="514" t="str">
        <f>Check!GE1</f>
        <v>SubBtsAntenHeight_2.3</v>
      </c>
      <c r="GF1" s="514" t="str">
        <f>Check!GF1</f>
        <v>SubBtsAntenHeight_2.4</v>
      </c>
      <c r="GG1" s="514" t="str">
        <f>Check!GG1</f>
        <v>SubBtsAntenHeight_2.5</v>
      </c>
      <c r="GH1" s="514" t="str">
        <f>Check!GH1</f>
        <v>SubBtsAntenHeight_2.6</v>
      </c>
      <c r="GI1" s="516" t="str">
        <f>Check!GI1</f>
        <v>SubBtsAntenHeight_2</v>
      </c>
      <c r="GJ1" s="515" t="str">
        <f>Check!GJ1</f>
        <v>SubBtsAntenHeight_3_Input</v>
      </c>
      <c r="GK1" s="514" t="str">
        <f>Check!GK1</f>
        <v>SubBtsAntenHeight_3.1</v>
      </c>
      <c r="GL1" s="514" t="str">
        <f>Check!GL1</f>
        <v>SubBtsAntenHeight_3.2</v>
      </c>
      <c r="GM1" s="514" t="str">
        <f>Check!GM1</f>
        <v>SubBtsAntenHeight_3.3</v>
      </c>
      <c r="GN1" s="514" t="str">
        <f>Check!GN1</f>
        <v>SubBtsAntenHeight_3.4</v>
      </c>
      <c r="GO1" s="514" t="str">
        <f>Check!GO1</f>
        <v>SubBtsAntenHeight_3.5</v>
      </c>
      <c r="GP1" s="514" t="str">
        <f>Check!GP1</f>
        <v>SubBtsAntenHeight_3.6</v>
      </c>
      <c r="GQ1" s="516" t="str">
        <f>Check!GQ1</f>
        <v>SubBtsAntenHeight_3</v>
      </c>
      <c r="GR1" s="515" t="str">
        <f>Check!GR1</f>
        <v>SubBtsAntenHeight_4_Input</v>
      </c>
      <c r="GS1" s="514" t="str">
        <f>Check!GS1</f>
        <v>SubBtsAntenHeight_4.1</v>
      </c>
      <c r="GT1" s="514" t="str">
        <f>Check!GT1</f>
        <v>SubBtsAntenHeight_4.2</v>
      </c>
      <c r="GU1" s="514" t="str">
        <f>Check!GU1</f>
        <v>SubBtsAntenHeight_4.3</v>
      </c>
      <c r="GV1" s="514" t="str">
        <f>Check!GV1</f>
        <v>SubBtsAntenHeight_4.4</v>
      </c>
      <c r="GW1" s="514" t="str">
        <f>Check!GW1</f>
        <v>SubBtsAntenHeight_4.5</v>
      </c>
      <c r="GX1" s="514" t="str">
        <f>Check!GX1</f>
        <v>SubBtsAntenHeight_4.6</v>
      </c>
      <c r="GY1" s="516" t="str">
        <f>Check!GY1</f>
        <v>SubBtsAntenHeight_4</v>
      </c>
      <c r="GZ1" s="515" t="str">
        <f>Check!GZ1</f>
        <v>SubBtsAntenHeight_5_Input</v>
      </c>
      <c r="HA1" s="514" t="str">
        <f>Check!HA1</f>
        <v>SubBtsAntenHeight_5.1</v>
      </c>
      <c r="HB1" s="514" t="str">
        <f>Check!HB1</f>
        <v>SubBtsAntenHeight_5.2</v>
      </c>
      <c r="HC1" s="514" t="str">
        <f>Check!HC1</f>
        <v>SubBtsAntenHeight_5.3</v>
      </c>
      <c r="HD1" s="514" t="str">
        <f>Check!HD1</f>
        <v>SubBtsAntenHeight_5.4</v>
      </c>
      <c r="HE1" s="514" t="str">
        <f>Check!HE1</f>
        <v>SubBtsAntenHeight_5.5</v>
      </c>
      <c r="HF1" s="514" t="str">
        <f>Check!HF1</f>
        <v>SubBtsAntenHeight_5.6</v>
      </c>
      <c r="HG1" s="516" t="str">
        <f>Check!HG1</f>
        <v>SubBtsAntenHeight_5</v>
      </c>
      <c r="HH1" s="515" t="str">
        <f>Check!HH1</f>
        <v>SubBtsAntenHeight_6_Input</v>
      </c>
      <c r="HI1" s="514" t="str">
        <f>Check!HI1</f>
        <v>SubBtsAntenHeight_6.1</v>
      </c>
      <c r="HJ1" s="514" t="str">
        <f>Check!HJ1</f>
        <v>SubBtsAntenHeight_6.2</v>
      </c>
      <c r="HK1" s="514" t="str">
        <f>Check!HK1</f>
        <v>SubBtsAntenHeight_6.3</v>
      </c>
      <c r="HL1" s="514" t="str">
        <f>Check!HL1</f>
        <v>SubBtsAntenHeight_6.4</v>
      </c>
      <c r="HM1" s="514" t="str">
        <f>Check!HM1</f>
        <v>SubBtsAntenHeight_6.5</v>
      </c>
      <c r="HN1" s="514" t="str">
        <f>Check!HN1</f>
        <v>SubBtsAntenHeight_6.6</v>
      </c>
      <c r="HO1" s="516" t="str">
        <f>Check!HO1</f>
        <v>SubBtsAntenHeight_6</v>
      </c>
      <c r="HP1" s="515" t="str">
        <f>Check!HP1</f>
        <v>LabName</v>
      </c>
      <c r="HQ1" s="518" t="str">
        <f>Check!HQ1</f>
        <v>SubBtsMinAntenHeight_1</v>
      </c>
      <c r="HR1" s="518" t="str">
        <f>Check!HR1</f>
        <v>SubBtsMinAntenHeight_2</v>
      </c>
      <c r="HS1" s="518" t="str">
        <f>Check!HS1</f>
        <v>SubBtsMinAntenHeight_3</v>
      </c>
      <c r="HT1" s="518" t="str">
        <f>Check!HT1</f>
        <v>SubBtsMinAntenHeight_4</v>
      </c>
      <c r="HU1" s="518" t="str">
        <f>Check!HU1</f>
        <v>SubBtsMinAntenHeight_5</v>
      </c>
      <c r="HV1" s="518" t="str">
        <f>Check!HV1</f>
        <v>SubBtsMinAntenHeight_6</v>
      </c>
      <c r="HW1" s="704" t="str">
        <f>Check!HW1</f>
        <v>MinAntenHeight</v>
      </c>
      <c r="HX1" s="704" t="str">
        <f>Check!HX1</f>
        <v>OffsetHeight</v>
      </c>
      <c r="HY1" s="519" t="str">
        <f>Check!HY1</f>
        <v>TotalBtsNum</v>
      </c>
      <c r="HZ1" s="520" t="s">
        <v>143</v>
      </c>
      <c r="IA1" s="520" t="s">
        <v>144</v>
      </c>
      <c r="IB1" s="520" t="s">
        <v>145</v>
      </c>
      <c r="IC1" s="520" t="s">
        <v>146</v>
      </c>
      <c r="ID1" s="520" t="s">
        <v>147</v>
      </c>
      <c r="IE1" s="521" t="s">
        <v>148</v>
      </c>
      <c r="IF1" s="520" t="s">
        <v>149</v>
      </c>
      <c r="IG1" s="520" t="s">
        <v>150</v>
      </c>
      <c r="IH1" s="520" t="s">
        <v>151</v>
      </c>
      <c r="II1" s="520" t="s">
        <v>152</v>
      </c>
      <c r="IJ1" s="520" t="s">
        <v>153</v>
      </c>
      <c r="IK1" s="522" t="s">
        <v>154</v>
      </c>
      <c r="IL1" s="522" t="s">
        <v>155</v>
      </c>
      <c r="IM1" s="522" t="s">
        <v>156</v>
      </c>
      <c r="IN1" s="522" t="s">
        <v>157</v>
      </c>
      <c r="IO1" s="522" t="s">
        <v>158</v>
      </c>
      <c r="IP1" s="522" t="s">
        <v>159</v>
      </c>
      <c r="IQ1" s="522" t="s">
        <v>160</v>
      </c>
      <c r="IR1" s="522" t="s">
        <v>161</v>
      </c>
      <c r="IS1" s="522" t="s">
        <v>162</v>
      </c>
      <c r="IT1" s="522" t="s">
        <v>163</v>
      </c>
      <c r="IU1" s="522" t="s">
        <v>164</v>
      </c>
    </row>
    <row r="2" ht="191.25" s="327" customFormat="1">
      <c r="A2" s="222">
        <v>1</v>
      </c>
      <c r="B2" s="483" t="s">
        <v>165</v>
      </c>
      <c r="C2" s="483" t="s">
        <v>166</v>
      </c>
      <c r="D2" s="703" t="s">
        <v>167</v>
      </c>
      <c r="E2" s="483" t="s">
        <v>168</v>
      </c>
      <c r="F2" s="483" t="s">
        <v>26</v>
      </c>
      <c r="G2" s="703" t="s">
        <v>169</v>
      </c>
      <c r="H2" s="703" t="s">
        <v>170</v>
      </c>
      <c r="I2" s="483">
        <v>1</v>
      </c>
      <c r="J2" s="483" t="s">
        <v>171</v>
      </c>
      <c r="K2" s="484" t="s">
        <v>172</v>
      </c>
      <c r="L2" s="484" t="s">
        <v>173</v>
      </c>
      <c r="M2" s="483" t="s">
        <v>174</v>
      </c>
      <c r="N2" s="483" t="s">
        <v>167</v>
      </c>
      <c r="O2" s="483" t="s">
        <v>175</v>
      </c>
      <c r="P2" s="483">
        <v>3</v>
      </c>
      <c r="Q2" s="483" t="s">
        <v>176</v>
      </c>
      <c r="R2" s="483" t="s">
        <v>177</v>
      </c>
      <c r="S2" s="483" t="s">
        <v>178</v>
      </c>
      <c r="T2" s="483" t="s">
        <v>179</v>
      </c>
      <c r="U2" s="483" t="s">
        <v>180</v>
      </c>
      <c r="V2" s="483" t="s">
        <v>181</v>
      </c>
      <c r="W2" s="483" t="b">
        <v>0</v>
      </c>
      <c r="X2" s="483" t="b">
        <v>0</v>
      </c>
      <c r="Y2" s="703">
        <v>0</v>
      </c>
      <c r="Z2" s="483" t="b">
        <v>1</v>
      </c>
      <c r="AA2" s="703">
        <v>20</v>
      </c>
      <c r="AB2" s="483" t="b">
        <v>0</v>
      </c>
      <c r="AC2" s="483" t="b">
        <v>1</v>
      </c>
      <c r="AD2" s="483">
        <v>0</v>
      </c>
      <c r="AE2" s="483">
        <v>0</v>
      </c>
      <c r="AF2" s="483" t="s">
        <v>50</v>
      </c>
      <c r="AG2" s="483">
        <v>0</v>
      </c>
      <c r="AH2" s="223"/>
      <c r="AI2" s="485" t="s">
        <v>182</v>
      </c>
      <c r="AJ2" s="485" t="s">
        <v>174</v>
      </c>
      <c r="AK2" s="483">
        <v>5</v>
      </c>
      <c r="AL2" s="486" t="s">
        <v>183</v>
      </c>
      <c r="AM2" s="486" t="s">
        <v>184</v>
      </c>
      <c r="AN2" s="486" t="s">
        <v>185</v>
      </c>
      <c r="AO2" s="483" t="s">
        <v>25</v>
      </c>
      <c r="AP2" s="485" t="s">
        <v>174</v>
      </c>
      <c r="AQ2" s="485" t="s">
        <v>186</v>
      </c>
      <c r="AR2" s="485" t="s">
        <v>186</v>
      </c>
      <c r="AS2" s="485" t="s">
        <v>186</v>
      </c>
      <c r="AT2" s="485" t="s">
        <v>186</v>
      </c>
      <c r="AU2" s="485" t="s">
        <v>186</v>
      </c>
      <c r="AV2" s="485" t="s">
        <v>166</v>
      </c>
      <c r="AW2" s="485" t="s">
        <v>186</v>
      </c>
      <c r="AX2" s="485" t="s">
        <v>186</v>
      </c>
      <c r="AY2" s="485" t="s">
        <v>186</v>
      </c>
      <c r="AZ2" s="485" t="s">
        <v>186</v>
      </c>
      <c r="BA2" s="485" t="s">
        <v>186</v>
      </c>
      <c r="BB2" s="485" t="s">
        <v>166</v>
      </c>
      <c r="BC2" s="485" t="s">
        <v>167</v>
      </c>
      <c r="BD2" s="485" t="s">
        <v>186</v>
      </c>
      <c r="BE2" s="485" t="s">
        <v>186</v>
      </c>
      <c r="BF2" s="485" t="s">
        <v>186</v>
      </c>
      <c r="BG2" s="485" t="s">
        <v>186</v>
      </c>
      <c r="BH2" s="485" t="s">
        <v>186</v>
      </c>
      <c r="BI2" s="485" t="s">
        <v>175</v>
      </c>
      <c r="BJ2" s="485" t="s">
        <v>186</v>
      </c>
      <c r="BK2" s="485" t="s">
        <v>186</v>
      </c>
      <c r="BL2" s="485" t="s">
        <v>186</v>
      </c>
      <c r="BM2" s="485" t="s">
        <v>186</v>
      </c>
      <c r="BN2" s="485" t="s">
        <v>186</v>
      </c>
      <c r="BO2" s="485">
        <v>3</v>
      </c>
      <c r="BP2" s="485">
        <v>0</v>
      </c>
      <c r="BQ2" s="485">
        <v>0</v>
      </c>
      <c r="BR2" s="485">
        <v>0</v>
      </c>
      <c r="BS2" s="485">
        <v>0</v>
      </c>
      <c r="BT2" s="485">
        <v>0</v>
      </c>
      <c r="BU2" s="485" t="s">
        <v>176</v>
      </c>
      <c r="BV2" s="485">
        <v>3</v>
      </c>
      <c r="BW2" s="485">
        <v>3</v>
      </c>
      <c r="BX2" s="485">
        <v>3</v>
      </c>
      <c r="BY2" s="485">
        <v>0</v>
      </c>
      <c r="BZ2" s="485">
        <v>0</v>
      </c>
      <c r="CA2" s="485">
        <v>0</v>
      </c>
      <c r="CB2" s="485" t="s">
        <v>186</v>
      </c>
      <c r="CC2" s="485">
        <v>0</v>
      </c>
      <c r="CD2" s="485">
        <v>0</v>
      </c>
      <c r="CE2" s="485">
        <v>0</v>
      </c>
      <c r="CF2" s="485">
        <v>0</v>
      </c>
      <c r="CG2" s="485">
        <v>0</v>
      </c>
      <c r="CH2" s="485">
        <v>0</v>
      </c>
      <c r="CI2" s="485" t="s">
        <v>186</v>
      </c>
      <c r="CJ2" s="485">
        <v>0</v>
      </c>
      <c r="CK2" s="485">
        <v>0</v>
      </c>
      <c r="CL2" s="485">
        <v>0</v>
      </c>
      <c r="CM2" s="485">
        <v>0</v>
      </c>
      <c r="CN2" s="485">
        <v>0</v>
      </c>
      <c r="CO2" s="485">
        <v>0</v>
      </c>
      <c r="CP2" s="485" t="s">
        <v>186</v>
      </c>
      <c r="CQ2" s="485">
        <v>0</v>
      </c>
      <c r="CR2" s="485">
        <v>0</v>
      </c>
      <c r="CS2" s="485">
        <v>0</v>
      </c>
      <c r="CT2" s="485">
        <v>0</v>
      </c>
      <c r="CU2" s="485">
        <v>0</v>
      </c>
      <c r="CV2" s="485">
        <v>0</v>
      </c>
      <c r="CW2" s="485" t="s">
        <v>186</v>
      </c>
      <c r="CX2" s="485">
        <v>0</v>
      </c>
      <c r="CY2" s="485">
        <v>0</v>
      </c>
      <c r="CZ2" s="485">
        <v>0</v>
      </c>
      <c r="DA2" s="485">
        <v>0</v>
      </c>
      <c r="DB2" s="485">
        <v>0</v>
      </c>
      <c r="DC2" s="485">
        <v>0</v>
      </c>
      <c r="DD2" s="485" t="s">
        <v>186</v>
      </c>
      <c r="DE2" s="485">
        <v>0</v>
      </c>
      <c r="DF2" s="485">
        <v>0</v>
      </c>
      <c r="DG2" s="485">
        <v>0</v>
      </c>
      <c r="DH2" s="485">
        <v>0</v>
      </c>
      <c r="DI2" s="485">
        <v>0</v>
      </c>
      <c r="DJ2" s="485">
        <v>0</v>
      </c>
      <c r="DK2" s="485" t="s">
        <v>177</v>
      </c>
      <c r="DL2" s="485">
        <v>60</v>
      </c>
      <c r="DM2" s="485">
        <v>60</v>
      </c>
      <c r="DN2" s="485">
        <v>60</v>
      </c>
      <c r="DO2" s="485">
        <v>0</v>
      </c>
      <c r="DP2" s="485">
        <v>0</v>
      </c>
      <c r="DQ2" s="485">
        <v>0</v>
      </c>
      <c r="DR2" s="485" t="s">
        <v>187</v>
      </c>
      <c r="DS2" s="485">
        <v>60</v>
      </c>
      <c r="DT2" s="485" t="s">
        <v>186</v>
      </c>
      <c r="DU2" s="485">
        <v>0</v>
      </c>
      <c r="DV2" s="485">
        <v>0</v>
      </c>
      <c r="DW2" s="485">
        <v>0</v>
      </c>
      <c r="DX2" s="485">
        <v>0</v>
      </c>
      <c r="DY2" s="485">
        <v>0</v>
      </c>
      <c r="DZ2" s="485">
        <v>0</v>
      </c>
      <c r="EA2" s="485" t="s">
        <v>186</v>
      </c>
      <c r="EB2" s="485">
        <v>0</v>
      </c>
      <c r="EC2" s="485" t="s">
        <v>186</v>
      </c>
      <c r="ED2" s="485">
        <v>0</v>
      </c>
      <c r="EE2" s="485">
        <v>0</v>
      </c>
      <c r="EF2" s="485">
        <v>0</v>
      </c>
      <c r="EG2" s="485">
        <v>0</v>
      </c>
      <c r="EH2" s="485">
        <v>0</v>
      </c>
      <c r="EI2" s="485">
        <v>0</v>
      </c>
      <c r="EJ2" s="485" t="s">
        <v>186</v>
      </c>
      <c r="EK2" s="485">
        <v>0</v>
      </c>
      <c r="EL2" s="485" t="s">
        <v>186</v>
      </c>
      <c r="EM2" s="485">
        <v>0</v>
      </c>
      <c r="EN2" s="485">
        <v>0</v>
      </c>
      <c r="EO2" s="485">
        <v>0</v>
      </c>
      <c r="EP2" s="485">
        <v>0</v>
      </c>
      <c r="EQ2" s="485">
        <v>0</v>
      </c>
      <c r="ER2" s="485">
        <v>0</v>
      </c>
      <c r="ES2" s="485" t="s">
        <v>186</v>
      </c>
      <c r="ET2" s="485">
        <v>0</v>
      </c>
      <c r="EU2" s="485" t="s">
        <v>186</v>
      </c>
      <c r="EV2" s="485">
        <v>0</v>
      </c>
      <c r="EW2" s="485">
        <v>0</v>
      </c>
      <c r="EX2" s="485">
        <v>0</v>
      </c>
      <c r="EY2" s="485">
        <v>0</v>
      </c>
      <c r="EZ2" s="485">
        <v>0</v>
      </c>
      <c r="FA2" s="485">
        <v>0</v>
      </c>
      <c r="FB2" s="485" t="s">
        <v>186</v>
      </c>
      <c r="FC2" s="485">
        <v>0</v>
      </c>
      <c r="FD2" s="485" t="s">
        <v>186</v>
      </c>
      <c r="FE2" s="485">
        <v>0</v>
      </c>
      <c r="FF2" s="485">
        <v>0</v>
      </c>
      <c r="FG2" s="485">
        <v>0</v>
      </c>
      <c r="FH2" s="485">
        <v>0</v>
      </c>
      <c r="FI2" s="485">
        <v>0</v>
      </c>
      <c r="FJ2" s="485">
        <v>0</v>
      </c>
      <c r="FK2" s="485" t="s">
        <v>186</v>
      </c>
      <c r="FL2" s="485">
        <v>0</v>
      </c>
      <c r="FM2" s="485">
        <v>60</v>
      </c>
      <c r="FN2" s="485" t="s">
        <v>178</v>
      </c>
      <c r="FO2" s="485" t="s">
        <v>186</v>
      </c>
      <c r="FP2" s="485" t="s">
        <v>186</v>
      </c>
      <c r="FQ2" s="485" t="s">
        <v>186</v>
      </c>
      <c r="FR2" s="485" t="s">
        <v>186</v>
      </c>
      <c r="FS2" s="485" t="s">
        <v>186</v>
      </c>
      <c r="FT2" s="485" t="s">
        <v>179</v>
      </c>
      <c r="FU2" s="485">
        <v>24</v>
      </c>
      <c r="FV2" s="485">
        <v>24</v>
      </c>
      <c r="FW2" s="485">
        <v>24</v>
      </c>
      <c r="FX2" s="485">
        <v>0</v>
      </c>
      <c r="FY2" s="485">
        <v>0</v>
      </c>
      <c r="FZ2" s="485">
        <v>0</v>
      </c>
      <c r="GA2" s="485" t="s">
        <v>179</v>
      </c>
      <c r="GB2" s="485" t="s">
        <v>186</v>
      </c>
      <c r="GC2" s="485">
        <v>0</v>
      </c>
      <c r="GD2" s="485">
        <v>0</v>
      </c>
      <c r="GE2" s="485">
        <v>0</v>
      </c>
      <c r="GF2" s="485">
        <v>0</v>
      </c>
      <c r="GG2" s="485">
        <v>0</v>
      </c>
      <c r="GH2" s="485">
        <v>0</v>
      </c>
      <c r="GI2" s="485" t="s">
        <v>186</v>
      </c>
      <c r="GJ2" s="485" t="s">
        <v>186</v>
      </c>
      <c r="GK2" s="485">
        <v>0</v>
      </c>
      <c r="GL2" s="485">
        <v>0</v>
      </c>
      <c r="GM2" s="485">
        <v>0</v>
      </c>
      <c r="GN2" s="485">
        <v>0</v>
      </c>
      <c r="GO2" s="485">
        <v>0</v>
      </c>
      <c r="GP2" s="485">
        <v>0</v>
      </c>
      <c r="GQ2" s="485" t="s">
        <v>186</v>
      </c>
      <c r="GR2" s="485" t="s">
        <v>186</v>
      </c>
      <c r="GS2" s="485">
        <v>0</v>
      </c>
      <c r="GT2" s="485">
        <v>0</v>
      </c>
      <c r="GU2" s="485">
        <v>0</v>
      </c>
      <c r="GV2" s="485">
        <v>0</v>
      </c>
      <c r="GW2" s="485">
        <v>0</v>
      </c>
      <c r="GX2" s="485">
        <v>0</v>
      </c>
      <c r="GY2" s="485" t="s">
        <v>186</v>
      </c>
      <c r="GZ2" s="485" t="s">
        <v>186</v>
      </c>
      <c r="HA2" s="485">
        <v>0</v>
      </c>
      <c r="HB2" s="485">
        <v>0</v>
      </c>
      <c r="HC2" s="485">
        <v>0</v>
      </c>
      <c r="HD2" s="485">
        <v>0</v>
      </c>
      <c r="HE2" s="485">
        <v>0</v>
      </c>
      <c r="HF2" s="485">
        <v>0</v>
      </c>
      <c r="HG2" s="485" t="s">
        <v>186</v>
      </c>
      <c r="HH2" s="485" t="s">
        <v>186</v>
      </c>
      <c r="HI2" s="485">
        <v>0</v>
      </c>
      <c r="HJ2" s="485">
        <v>0</v>
      </c>
      <c r="HK2" s="485">
        <v>0</v>
      </c>
      <c r="HL2" s="485">
        <v>0</v>
      </c>
      <c r="HM2" s="485">
        <v>0</v>
      </c>
      <c r="HN2" s="485">
        <v>0</v>
      </c>
      <c r="HO2" s="485" t="s">
        <v>186</v>
      </c>
      <c r="HP2" s="485" t="s">
        <v>51</v>
      </c>
      <c r="HQ2" s="485">
        <v>24</v>
      </c>
      <c r="HR2" s="485">
        <v>0</v>
      </c>
      <c r="HS2" s="485">
        <v>0</v>
      </c>
      <c r="HT2" s="485">
        <v>0</v>
      </c>
      <c r="HU2" s="485">
        <v>0</v>
      </c>
      <c r="HV2" s="485">
        <v>0</v>
      </c>
      <c r="HW2" s="703">
        <v>24</v>
      </c>
      <c r="HX2" s="703">
        <v>4</v>
      </c>
      <c r="HY2" s="223">
        <v>1</v>
      </c>
      <c r="HZ2" s="223">
        <v>1</v>
      </c>
      <c r="IA2" s="223"/>
      <c r="IB2" s="223"/>
      <c r="IC2" s="491" t="str">
        <f>IF(LEN(ID2)=4,"B0"&amp;ID2&amp;IE2&amp;IF2,IF(LEN(ID2)=3,"B00"&amp;ID2&amp;IE2&amp;IF2,IF(LEN(ID2)=2,"B000"&amp;ID2&amp;IE2&amp;IF2,IF(LEN(ID2)=1,"B0000"&amp;ID2&amp;IE2&amp;IF2,"B"&amp;ID2&amp;IE2&amp;IF2))))</f>
        <v>B00001300320TG05</v>
      </c>
      <c r="ID2" s="226">
        <v>1</v>
      </c>
      <c r="IE2" s="487" t="str">
        <f>TEXT(II2,"ddmmyy")</f>
        <v>300320</v>
      </c>
      <c r="IF2" s="225" t="s">
        <v>188</v>
      </c>
      <c r="IG2" s="487" t="str">
        <f ref="IG2:IH2" t="shared" si="1">TEXT(II2,"dd/mm/yyyy")</f>
        <v>30/03/2020</v>
      </c>
      <c r="IH2" s="487" t="str">
        <f t="shared" si="1"/>
        <v>30/03/2025</v>
      </c>
      <c r="II2" s="227" t="s">
        <v>189</v>
      </c>
      <c r="IJ2" s="487">
        <f>DATE(YEAR(II2) + 5,MONTH(II2),DAY(II2))</f>
        <v>45746</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conditionalFormatting sqref="F2">
    <cfRule type="expression" dxfId="0" priority="64">
      <formula>F2&lt;&gt;RIGHT(SUBSTITUTE(E2,".",""),LEN(F2))</formula>
    </cfRule>
  </conditionalFormatting>
  <conditionalFormatting sqref="X2">
    <cfRule type="expression" dxfId="0" priority="7">
      <formula xml:space="preserve"> NOT(ISLOGICAL($X$2))</formula>
    </cfRule>
    <cfRule type="expression" dxfId="0" priority="63">
      <formula>AND(X2=TRUE,W2=FALSE)</formula>
    </cfRule>
  </conditionalFormatting>
  <conditionalFormatting sqref="Y2">
    <cfRule type="expression" dxfId="0" priority="62">
      <formula>OR(AND(X2=FALSE,Y2&gt;0),AND(X2=TRUE,Y2&lt;=0))</formula>
    </cfRule>
  </conditionalFormatting>
  <conditionalFormatting sqref="AA2">
    <cfRule type="expression" dxfId="0" priority="61">
      <formula>AND(Z2=FALSE,AA2&gt;0)</formula>
    </cfRule>
  </conditionalFormatting>
  <conditionalFormatting sqref="DL2">
    <cfRule type="expression" dxfId="8" priority="59">
      <formula>AND(BO2&gt;=1,DL2&lt;&gt;0, GetEquPower(C2,BI2, BV2, FN2)=0)</formula>
    </cfRule>
    <cfRule type="expression" dxfId="7" priority="60">
      <formula>AND(BO2&gt;=1,DL2&lt;&gt;GetEquPower(C2,BI2, BV2, FN2))</formula>
    </cfRule>
  </conditionalFormatting>
  <conditionalFormatting sqref="DM2">
    <cfRule type="expression" dxfId="8" priority="57">
      <formula>AND(BO2&gt;=2,DM2&lt;&gt;0, GetEquPower(C2,BI2, BW2, FN2)=0)</formula>
    </cfRule>
    <cfRule type="expression" dxfId="7" priority="58">
      <formula>AND(BO2&gt;=2,DM2&lt;&gt;GetEquPower(C2,BI2, BW2, FN2))</formula>
    </cfRule>
  </conditionalFormatting>
  <conditionalFormatting sqref="DN2">
    <cfRule type="expression" dxfId="8" priority="55">
      <formula>AND(BO2&gt;=3,DN2&lt;&gt;0, GetEquPower(C2,BI2, BX2, FN2)=0)</formula>
    </cfRule>
    <cfRule type="expression" dxfId="7" priority="56">
      <formula>AND(BO2&gt;=3,DN2&lt;&gt;GetEquPower(C2,BI2, BX2, FN2))</formula>
    </cfRule>
  </conditionalFormatting>
  <conditionalFormatting sqref="DU2">
    <cfRule type="expression" dxfId="8" priority="53">
      <formula>AND(BP2&gt;=1,DU2&lt;&gt;0, GetEquPower(C2,BJ2, CC2, FO2)=0)</formula>
    </cfRule>
    <cfRule type="expression" dxfId="7" priority="54">
      <formula>AND(BP2&gt;=1,DU2&lt;&gt;GetEquPower(C2,BJ2, CC2, FO2))</formula>
    </cfRule>
  </conditionalFormatting>
  <conditionalFormatting sqref="DV2">
    <cfRule type="expression" dxfId="8" priority="51">
      <formula>AND(BP2&gt;=2,DV2&lt;&gt;0, GetEquPower(C2,BJ2, CD2, FO2)=0)</formula>
    </cfRule>
    <cfRule type="expression" dxfId="7" priority="52">
      <formula>AND(BP2&gt;=2,DV2&lt;&gt;GetEquPower(C2,BJ2, CD2, FO2))</formula>
    </cfRule>
  </conditionalFormatting>
  <conditionalFormatting sqref="DW2">
    <cfRule type="expression" dxfId="8" priority="49">
      <formula>AND(BP2&gt;=3,DW2&lt;&gt;0, GetEquPower(C2,BJ2, CE2, FO2)=0)</formula>
    </cfRule>
    <cfRule type="expression" dxfId="7" priority="50">
      <formula>AND(BP2&gt;=3,DW2&lt;&gt;GetEquPower(C2,BJ2, CE2, FO2))</formula>
    </cfRule>
  </conditionalFormatting>
  <conditionalFormatting sqref="ED2">
    <cfRule type="expression" dxfId="8" priority="47">
      <formula>AND(BQ2&gt;=1,ED2&lt;&gt;0, GetEquPower(C2,BK2, CJ2, FP2)=0)</formula>
    </cfRule>
    <cfRule type="expression" dxfId="7" priority="48">
      <formula>AND(BQ2&gt;=1,ED2&lt;&gt;GetEquPower(C2,BK2, CJ2, FP2))</formula>
    </cfRule>
  </conditionalFormatting>
  <conditionalFormatting sqref="EE2">
    <cfRule type="expression" dxfId="8" priority="45">
      <formula>AND(BQ2&gt;=2,EE2&lt;&gt;0, GetEquPower(C2,BK2, CK2, FP2)=0)</formula>
    </cfRule>
    <cfRule type="expression" dxfId="7" priority="46">
      <formula xml:space="preserve"> AND(BQ2&gt;=2,EE2&lt;&gt;GetEquPower(C2,BK2, CK2, FP2))</formula>
    </cfRule>
  </conditionalFormatting>
  <conditionalFormatting sqref="EF2">
    <cfRule type="expression" dxfId="8" priority="43">
      <formula>AND(BQ2&gt;=3,EF2&lt;&gt;0, GetEquPower(C2,BK2, CL2, FP2)=0)</formula>
    </cfRule>
    <cfRule type="expression" dxfId="7" priority="44">
      <formula xml:space="preserve"> AND(BQ2&gt;=3,EF2&lt;&gt;GetEquPower(C2,BK2, CL2, FP2))</formula>
    </cfRule>
  </conditionalFormatting>
  <conditionalFormatting sqref="EM2">
    <cfRule type="expression" dxfId="8" priority="41">
      <formula>AND(BR2&gt;=1,EM2&lt;&gt;0, GetEquPower(C2,BL2, CQ2, FQ2)=0)</formula>
    </cfRule>
    <cfRule type="expression" dxfId="7" priority="42">
      <formula>AND(BR2&gt;=1,EM2&lt;&gt;GetEquPower(C2,BL2, CQ2, FQ2))</formula>
    </cfRule>
  </conditionalFormatting>
  <conditionalFormatting sqref="EN2">
    <cfRule type="expression" dxfId="8" priority="39">
      <formula>AND(BR2&gt;=2,EN2&lt;&gt;0, GetEquPower(C2,BL2, CR2, FQ2)=0)</formula>
    </cfRule>
    <cfRule type="expression" dxfId="7" priority="40">
      <formula>AND(BR2&gt;=2,EN2&lt;&gt;GetEquPower(C2,BL2, CR2, FQ2))</formula>
    </cfRule>
  </conditionalFormatting>
  <conditionalFormatting sqref="EO2">
    <cfRule type="expression" dxfId="8" priority="37">
      <formula>AND(BR2&gt;=3,EO2&lt;&gt;0, GetEquPower(C2,BL2, CS2, FQ2)=0)</formula>
    </cfRule>
    <cfRule type="expression" dxfId="7" priority="38">
      <formula>AND(BR2&gt;=3,EO2&lt;&gt;GetEquPower(C2,BL2, CS2, FQ2))</formula>
    </cfRule>
  </conditionalFormatting>
  <conditionalFormatting sqref="EV2">
    <cfRule type="expression" dxfId="8" priority="35">
      <formula>AND(BS2&gt;=1,EV2&lt;&gt;0, GetEquPower(C2,BM2, CX2, FR2)=0)</formula>
    </cfRule>
    <cfRule type="expression" dxfId="7" priority="36">
      <formula>AND(BS2&gt;=1,EV2&lt;&gt;GetEquPower(C2,BM2, CX2, FR2))</formula>
    </cfRule>
  </conditionalFormatting>
  <conditionalFormatting sqref="EW2">
    <cfRule type="expression" dxfId="8" priority="33">
      <formula>AND(BS2&gt;=2,EW2&lt;&gt;0, GetEquPower(C2,BM2, CY2, FR2)=0)</formula>
    </cfRule>
    <cfRule type="expression" dxfId="7" priority="34">
      <formula>AND(BS2&gt;=2,EW2&lt;&gt;GetEquPower(C2,BM2, CY2, FR2))</formula>
    </cfRule>
  </conditionalFormatting>
  <conditionalFormatting sqref="EX2">
    <cfRule type="expression" dxfId="8" priority="31">
      <formula>AND(BS2&gt;=3,EX2&lt;&gt;0, GetEquPower(C2,BM2, CZ2, FR2)=0)</formula>
    </cfRule>
    <cfRule type="expression" dxfId="7" priority="32">
      <formula>AND(BS2&gt;=3,EX2&lt;&gt;GetEquPower(C2,BM2, CZ2, FR2))</formula>
    </cfRule>
  </conditionalFormatting>
  <conditionalFormatting sqref="FE2">
    <cfRule type="expression" dxfId="8" priority="29">
      <formula>AND(BT2&gt;=1,FE2&lt;&gt;0, GetEquPower(C2,BN2, DE2, FS2)=0)</formula>
    </cfRule>
    <cfRule type="expression" dxfId="7" priority="30">
      <formula>AND(BT2&gt;=1,FE2&lt;&gt;GetEquPower(C2,BN2, DE2, FS2))</formula>
    </cfRule>
  </conditionalFormatting>
  <conditionalFormatting sqref="FF2">
    <cfRule type="expression" dxfId="8" priority="27">
      <formula>AND(BT2&gt;=2,FF2&lt;&gt;0, GetEquPower(C2,BN2, DF2, FS2)=0)</formula>
    </cfRule>
    <cfRule type="expression" dxfId="7" priority="28">
      <formula>AND(BT2&gt;=2,FF2&lt;&gt;GetEquPower(C2,BN2, DF2, FS2))</formula>
    </cfRule>
  </conditionalFormatting>
  <conditionalFormatting sqref="FG2">
    <cfRule type="expression" dxfId="8" priority="25">
      <formula>AND(BT2&gt;=3,FG2&lt;&gt;0, GetEquPower(C2,BN2, DG2, FS2)=0)</formula>
    </cfRule>
    <cfRule type="expression" dxfId="7" priority="26">
      <formula>AND(BT2&gt;=3,FG2&lt;&gt;GetEquPower(C2,BN2, DG2, FS2))</formula>
    </cfRule>
  </conditionalFormatting>
  <conditionalFormatting sqref="DO2">
    <cfRule type="expression" dxfId="8" priority="73">
      <formula>AND(BO2&gt;=4,DO2&lt;&gt;0, GetEquPower(C2,BI2, BY2, FN2)=0)</formula>
    </cfRule>
    <cfRule type="expression" dxfId="7" priority="74">
      <formula>AND(BO2&gt;=4, DO2&lt;&gt;GetEquPower(C2,BI2, BY2, FN2))</formula>
    </cfRule>
  </conditionalFormatting>
  <conditionalFormatting sqref="DX2">
    <cfRule type="expression" dxfId="8" priority="71">
      <formula>AND(BP2&gt;=4,DX2&lt;&gt;0, GetEquPower(C2,BJ2, CF2, FO2)=0)</formula>
    </cfRule>
    <cfRule type="expression" dxfId="7" priority="72">
      <formula>AND(BP2&gt;=4,DX2&lt;&gt;GetEquPower(C2,BJ2, CF2, FO2))</formula>
    </cfRule>
  </conditionalFormatting>
  <conditionalFormatting sqref="EG2">
    <cfRule type="expression" dxfId="8" priority="69">
      <formula>AND(BQ2&gt;=4,EG2&lt;&gt;0, GetEquPower(C2,BK2, CM2, FP2)=0)</formula>
    </cfRule>
    <cfRule type="expression" dxfId="7" priority="70">
      <formula xml:space="preserve"> AND(BQ2&gt;=4,EG2&lt;&gt;GetEquPower(C2,BK2, CM2, FP2))</formula>
    </cfRule>
  </conditionalFormatting>
  <conditionalFormatting sqref="EP2">
    <cfRule type="expression" dxfId="8" priority="67">
      <formula>AND(BR2&gt;=4,EP2&lt;&gt;0, GetEquPower(C2,BL2, CT2, FQ2)=0)</formula>
    </cfRule>
    <cfRule type="expression" dxfId="7" priority="68">
      <formula>AND(BR2&gt;=4,EP2&lt;&gt;GetEquPower(C2,BL2, CT2, FQ2))</formula>
    </cfRule>
  </conditionalFormatting>
  <conditionalFormatting sqref="EY2">
    <cfRule type="expression" dxfId="8" priority="65">
      <formula>AND(BS2&gt;=4,EY2&lt;&gt;0, GetEquPower(C2,BM2, DA2, FR2)=0)</formula>
    </cfRule>
    <cfRule type="expression" dxfId="7" priority="66">
      <formula>AND(BS2&gt;=4,EY2&lt;&gt;GetEquPower(C2,BM2, DA2, FR2))</formula>
    </cfRule>
  </conditionalFormatting>
  <conditionalFormatting sqref="FH2">
    <cfRule type="expression" dxfId="8" priority="23">
      <formula>AND(BT2&gt;=4,FH2&lt;&gt;0, GetEquPower(C2,BN2, DH2, FS2)=0)</formula>
    </cfRule>
    <cfRule type="expression" dxfId="7" priority="24">
      <formula>AND(BT2&gt;=4,FH2&lt;&gt;GetEquPower(C2,BN2, DH2, FS2))</formula>
    </cfRule>
  </conditionalFormatting>
  <conditionalFormatting sqref="DP2">
    <cfRule type="expression" dxfId="8" priority="83">
      <formula>AND(BO2&gt;=5,DP2&lt;&gt;0, GetEquPower(C2,BI2, BZ2, FN2)=0)</formula>
    </cfRule>
    <cfRule type="expression" dxfId="7" priority="84">
      <formula>AND(BO2&gt;=5, DP2&lt;&gt;GetEquPower(C2,BI2, BZ2, FN2))</formula>
    </cfRule>
  </conditionalFormatting>
  <conditionalFormatting sqref="DQ2">
    <cfRule type="expression" dxfId="8" priority="19">
      <formula>AND(BO2&gt;=6,DQ2&lt;&gt;0, GetEquPower(C2,BI2, CA2, FN2)=0)</formula>
    </cfRule>
    <cfRule type="expression" dxfId="7" priority="20">
      <formula>AND(BO2&gt;=6, DQ2&lt;&gt;GetEquPower(C2,BI2, CA2, FN2))</formula>
    </cfRule>
  </conditionalFormatting>
  <conditionalFormatting sqref="DY2">
    <cfRule type="expression" dxfId="8" priority="81">
      <formula>AND(BP2&gt;=5,DY2&lt;&gt;0, GetEquPower(C2,BJ2, CG2, FO2)=0)</formula>
    </cfRule>
    <cfRule type="expression" dxfId="7" priority="82">
      <formula>AND(BP2&gt;=5,DY2&lt;&gt;GetEquPower(C2,BJ2, CG2, FO2))</formula>
    </cfRule>
  </conditionalFormatting>
  <conditionalFormatting sqref="DZ2">
    <cfRule type="expression" dxfId="8" priority="17">
      <formula>AND(BP2&gt;=6,DZ2&lt;&gt;0, GetEquPower(C2,BJ2, CH2, FO2)=0)</formula>
    </cfRule>
    <cfRule type="expression" dxfId="7" priority="18">
      <formula>AND(BP2&gt;=6,DZ2&lt;&gt;GetEquPower(C2,BJ2, CH2, FO2))</formula>
    </cfRule>
  </conditionalFormatting>
  <conditionalFormatting sqref="EH2">
    <cfRule type="expression" dxfId="8" priority="79">
      <formula>AND(BQ2&gt;=5,EH2&lt;&gt;0, GetEquPower(C2,BK2, CN2, FP2)=0)</formula>
    </cfRule>
    <cfRule type="expression" dxfId="7" priority="80">
      <formula xml:space="preserve"> AND(BQ2&gt;=5,EH2&lt;&gt;GetEquPower(C2,BK2, CN2, FP2))</formula>
    </cfRule>
  </conditionalFormatting>
  <conditionalFormatting sqref="EI2">
    <cfRule type="expression" dxfId="8" priority="15">
      <formula>AND(BQ2&gt;=6,EI2&lt;&gt;0, GetEquPower(C2,BK2, CO2, FP2)=0)</formula>
    </cfRule>
    <cfRule type="expression" dxfId="7" priority="16">
      <formula xml:space="preserve"> AND(BQ2&gt;=6,EI2&lt;&gt;GetEquPower(C2,BK2, CO2, FP2))</formula>
    </cfRule>
  </conditionalFormatting>
  <conditionalFormatting sqref="EQ2">
    <cfRule type="expression" dxfId="8" priority="77">
      <formula>AND(BR2&gt;=5,EQ2&lt;&gt;0, GetEquPower(C2,BL2, CU2, FQ2)=0)</formula>
    </cfRule>
    <cfRule type="expression" dxfId="7" priority="78">
      <formula>AND(BR2&gt;=5,EQ2&lt;&gt;GetEquPower(C2,BL2, CU2, FQ2))</formula>
    </cfRule>
  </conditionalFormatting>
  <conditionalFormatting sqref="ER2">
    <cfRule type="expression" dxfId="8" priority="13">
      <formula>AND(BR2&gt;=6,ER2&lt;&gt;0, GetEquPower(C2,BL2, CV2, FQ2)=0)</formula>
    </cfRule>
    <cfRule type="expression" dxfId="7" priority="14">
      <formula>AND(BR2&gt;=6,ER2&lt;&gt;GetEquPower(C2,BL2, CV2, FQ2))</formula>
    </cfRule>
  </conditionalFormatting>
  <conditionalFormatting sqref="EZ2">
    <cfRule type="expression" dxfId="8" priority="75">
      <formula>AND(BS2&gt;=5,EZ2&lt;&gt;0, GetEquPower(C2,BM2, DB2, FR2)=0)</formula>
    </cfRule>
    <cfRule type="expression" dxfId="7" priority="76">
      <formula>AND(BS2&gt;=5,EZ2&lt;&gt;GetEquPower(C2,BM2, DB2, FR2))</formula>
    </cfRule>
  </conditionalFormatting>
  <conditionalFormatting sqref="FA2">
    <cfRule type="expression" dxfId="8" priority="11">
      <formula>AND(BS2&gt;=6,FA2&lt;&gt;0, GetEquPower(C2,BM2, DC2, FR2)=0)</formula>
    </cfRule>
    <cfRule type="expression" dxfId="7" priority="12">
      <formula>AND(BS2&gt;=6,FA2&lt;&gt;GetEquPower(C2,BM2, DC2, FR2))</formula>
    </cfRule>
  </conditionalFormatting>
  <conditionalFormatting sqref="FI2">
    <cfRule type="expression" dxfId="8" priority="21">
      <formula>AND(BT2&gt;=5,FI2&lt;&gt;0, GetEquPower(C2,BN2, DI2, FS2)=0)</formula>
    </cfRule>
    <cfRule type="expression" dxfId="7" priority="22">
      <formula>AND(BT2&gt;=5,FI2&lt;&gt;GetEquPower(C2,BN2, DI2, FS2))</formula>
    </cfRule>
  </conditionalFormatting>
  <conditionalFormatting sqref="FJ2">
    <cfRule type="expression" dxfId="8" priority="9">
      <formula>AND(BT2&gt;=6,FJ2&lt;&gt;0, GetEquPower(C2,BN2, DJ2, FS2)=0)</formula>
    </cfRule>
    <cfRule type="expression" dxfId="7" priority="10">
      <formula>AND(BT2&gt;=6,FJ2&lt;&gt;GetEquPower(C2,BN2, DJ2, FS2))</formula>
    </cfRule>
  </conditionalFormatting>
  <conditionalFormatting sqref="W2">
    <cfRule type="expression" dxfId="0" priority="8">
      <formula xml:space="preserve"> NOT(ISLOGICAL(W2))</formula>
    </cfRule>
  </conditionalFormatting>
  <conditionalFormatting sqref="Z2">
    <cfRule type="expression" dxfId="0" priority="6">
      <formula>NOT(ISLOGICAL($Z$2))</formula>
    </cfRule>
  </conditionalFormatting>
  <conditionalFormatting sqref="AB2">
    <cfRule type="expression" dxfId="0" priority="5">
      <formula>NOT(ISLOGICAL($AB$2))</formula>
    </cfRule>
  </conditionalFormatting>
  <conditionalFormatting sqref="AC2">
    <cfRule type="expression" dxfId="0" priority="4">
      <formula>NOT(ISLOGICAL($AC$2))</formula>
    </cfRule>
  </conditionalFormatting>
  <conditionalFormatting sqref="B2:HY2">
    <cfRule type="containsErrors" dxfId="0" priority="3">
      <formula>ISERROR(B2)</formula>
    </cfRule>
  </conditionalFormatting>
  <conditionalFormatting sqref="I2">
    <cfRule type="expression" dxfId="0" priority="2">
      <formula>NOT(ISNUMBER($I$2))</formula>
    </cfRule>
  </conditionalFormatting>
  <conditionalFormatting sqref="D2">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3"/>
  <sheetViews>
    <sheetView workbookViewId="0">
      <selection activeCell="J8" sqref="J8"/>
    </sheetView>
  </sheetViews>
  <sheetFormatPr defaultRowHeight="15"/>
  <cols>
    <col min="3" max="3" width="14" customWidth="1"/>
    <col min="4" max="4" width="50.7109375" customWidth="1"/>
    <col min="5" max="5" hidden="1" width="19" customWidth="1"/>
    <col min="6" max="6" hidden="1" width="0" customWidth="1"/>
    <col min="7" max="7" hidden="1" width="12.85546875" customWidth="1"/>
    <col min="8" max="8" hidden="1" width="0" customWidth="1"/>
    <col min="9" max="9" width="27.85546875" customWidth="1"/>
  </cols>
  <sheetData>
    <row r="1" ht="28.5">
      <c r="A1" s="563" t="s">
        <v>421</v>
      </c>
      <c r="B1" s="563" t="s">
        <v>422</v>
      </c>
      <c r="C1" s="563" t="s">
        <v>94</v>
      </c>
      <c r="D1" s="563" t="s">
        <v>92</v>
      </c>
      <c r="E1" s="563" t="s">
        <v>423</v>
      </c>
      <c r="F1" s="559" t="s">
        <v>424</v>
      </c>
      <c r="G1" s="559" t="s">
        <v>425</v>
      </c>
      <c r="H1" s="563" t="s">
        <v>426</v>
      </c>
      <c r="I1" s="563" t="s">
        <v>427</v>
      </c>
    </row>
    <row r="2" ht="34.5" customHeight="1">
      <c r="A2" s="564"/>
      <c r="B2" s="564"/>
      <c r="C2" s="564"/>
      <c r="D2" s="564"/>
      <c r="E2" s="564"/>
      <c r="F2" s="560">
        <v>-1</v>
      </c>
      <c r="G2" s="560">
        <v>-2</v>
      </c>
      <c r="H2" s="564"/>
      <c r="I2" s="564"/>
    </row>
    <row r="3" ht="42.75" customHeight="1">
      <c r="A3" s="0">
        <f>Certificate!A2</f>
        <v>1</v>
      </c>
      <c r="B3" s="0">
        <v>1801181</v>
      </c>
      <c r="C3" s="0" t="str">
        <f>Certificate!D2</f>
        <v>H02086</v>
      </c>
      <c r="D3" s="561" t="str">
        <f>Certificate!E2</f>
        <v>Số 5, đường Dương Văn An, khu phố 5, phường An Phú, quận 2, thành phố Hồ Chí Minh.</v>
      </c>
      <c r="E3" s="0" t="str">
        <f>Certificate!J2</f>
        <v>1700733/17/TG/TT2</v>
      </c>
      <c r="F3" s="0" t="b">
        <f>Certificate!AB2</f>
        <v>0</v>
      </c>
      <c r="G3" s="0" t="b">
        <f>Certificate!X2</f>
        <v>0</v>
      </c>
      <c r="I3" s="0" t="str">
        <f>Certificate!IC2</f>
        <v>B00001300320TG05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1"/>
    <col min="5" max="5" width="54.140625" customWidth="1" style="322"/>
    <col min="6" max="6" width="16.5703125" customWidth="1" style="322"/>
    <col min="7" max="7" bestFit="1" width="9.140625" customWidth="1" style="701"/>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07" t="str">
        <f>Check!A1</f>
        <v>No</v>
      </c>
      <c r="B1" s="507" t="str">
        <f>Check!B1</f>
        <v>ApplicantID</v>
      </c>
      <c r="C1" s="507" t="str">
        <f>Check!C1</f>
        <v>OperatorID</v>
      </c>
      <c r="D1" s="702" t="str">
        <f>Check!D1</f>
        <v>BtsCode</v>
      </c>
      <c r="E1" s="507" t="str">
        <f>Check!E1</f>
        <v>Address</v>
      </c>
      <c r="F1" s="507" t="str">
        <f>Check!F1</f>
        <v>CityName</v>
      </c>
      <c r="G1" s="702" t="str">
        <f>Check!G1</f>
        <v>Longtitude</v>
      </c>
      <c r="H1" s="702" t="str">
        <f>Check!H1</f>
        <v>Latitude</v>
      </c>
      <c r="I1" s="508" t="str">
        <f>Check!I1</f>
        <v>SubBTSQuantity</v>
      </c>
      <c r="J1" s="508" t="str">
        <f>Check!J1</f>
        <v>TestReportNo</v>
      </c>
      <c r="K1" s="509" t="str">
        <f>Check!K1</f>
        <v>TestReportDate</v>
      </c>
      <c r="L1" s="509" t="str">
        <f>Check!L1</f>
        <v>VerifyDate</v>
      </c>
      <c r="M1" s="508" t="str">
        <f>Check!M1</f>
        <v>SubBtsOperatorNames</v>
      </c>
      <c r="N1" s="508" t="str">
        <f>Check!N1</f>
        <v>SubBtsCodes</v>
      </c>
      <c r="O1" s="508" t="str">
        <f>Check!O1</f>
        <v>SubBtsEquipments</v>
      </c>
      <c r="P1" s="508" t="str">
        <f>Check!P1</f>
        <v>SubBtsAntenNums</v>
      </c>
      <c r="Q1" s="508" t="str">
        <f>Check!Q1</f>
        <v>SubBtsConfigurations</v>
      </c>
      <c r="R1" s="508" t="str">
        <f>Check!R1</f>
        <v>SubBtsPowerSums</v>
      </c>
      <c r="S1" s="508" t="str">
        <f>Check!S1</f>
        <v>SubBtsBands</v>
      </c>
      <c r="T1" s="508" t="str">
        <f>Check!T1</f>
        <v>SubBtsAntenHeights</v>
      </c>
      <c r="U1" s="508" t="str">
        <f>Check!U1</f>
        <v>InCaseOfID</v>
      </c>
      <c r="V1" s="508" t="str">
        <f>Check!V1</f>
        <v>SubAntenTypes</v>
      </c>
      <c r="W1" s="505" t="str">
        <f>Check!W1</f>
        <v>IsPoleOnGround</v>
      </c>
      <c r="X1" s="505" t="str">
        <f>Check!X1</f>
        <v>IsSafeLimit</v>
      </c>
      <c r="Y1" s="699" t="str">
        <f>Check!Y1</f>
        <v>SafeLimitHeight</v>
      </c>
      <c r="Z1" s="505" t="str">
        <f>Check!Z1</f>
        <v>IsHouseIn100m</v>
      </c>
      <c r="AA1" s="699" t="str">
        <f>Check!AA1</f>
        <v>MaxHeightIn100m</v>
      </c>
      <c r="AB1" s="505" t="str">
        <f>Check!AB1</f>
        <v>IsMeasuringExposure</v>
      </c>
      <c r="AC1" s="505" t="str">
        <f>Check!AC1</f>
        <v>IssueCertificate</v>
      </c>
      <c r="AD1" s="510" t="str">
        <f>Check!AD1</f>
        <v>Note</v>
      </c>
      <c r="AE1" s="507" t="str">
        <f>Check!AE1</f>
        <v>SharedAntens</v>
      </c>
      <c r="AF1" s="507" t="str">
        <f>Check!AF1</f>
        <v>LabID</v>
      </c>
      <c r="AG1" s="507" t="str">
        <f>Check!AG1</f>
        <v>ReasonNoCertificate</v>
      </c>
      <c r="AH1" s="511" t="str">
        <f>Check!AH1</f>
        <v>Line1</v>
      </c>
      <c r="AI1" s="512" t="str">
        <f>Check!AI1</f>
        <v>ApplicantName</v>
      </c>
      <c r="AJ1" s="512" t="str">
        <f>Check!AJ1</f>
        <v>OperatorName</v>
      </c>
      <c r="AK1" s="512" t="str">
        <f>Check!AK1</f>
        <v>NumOfComma</v>
      </c>
      <c r="AL1" s="513" t="str">
        <f>Check!AL1</f>
        <v>Province</v>
      </c>
      <c r="AM1" s="513" t="str">
        <f>Check!AM1</f>
        <v>District</v>
      </c>
      <c r="AN1" s="513" t="str">
        <f>Check!AN1</f>
        <v>Ward</v>
      </c>
      <c r="AO1" s="514" t="str">
        <f>Check!AO1</f>
        <v>CityID</v>
      </c>
      <c r="AP1" s="515" t="str">
        <f>Check!AP1</f>
        <v>SubBtsOperatorName_1</v>
      </c>
      <c r="AQ1" s="515" t="str">
        <f>Check!AQ1</f>
        <v>SubBtsOperatorName_2</v>
      </c>
      <c r="AR1" s="515" t="str">
        <f>Check!AR1</f>
        <v>SubBtsOperatorName_3</v>
      </c>
      <c r="AS1" s="515" t="str">
        <f>Check!AS1</f>
        <v>SubBtsOperatorName_4</v>
      </c>
      <c r="AT1" s="515" t="str">
        <f>Check!AT1</f>
        <v>SubBtsOperatorName_5</v>
      </c>
      <c r="AU1" s="515" t="str">
        <f>Check!AU1</f>
        <v>SubBtsOperatorName_6</v>
      </c>
      <c r="AV1" s="514" t="str">
        <f>Check!AV1</f>
        <v>SubBtsOperatorID_1</v>
      </c>
      <c r="AW1" s="514" t="str">
        <f>Check!AW1</f>
        <v>SubBtsOperatorID_2</v>
      </c>
      <c r="AX1" s="514" t="str">
        <f>Check!AX1</f>
        <v>SubBtsOperatorID_3</v>
      </c>
      <c r="AY1" s="514" t="str">
        <f>Check!AY1</f>
        <v>SubBtsOperatorID_4</v>
      </c>
      <c r="AZ1" s="514" t="str">
        <f>Check!AZ1</f>
        <v>SubBtsOperatorID_5</v>
      </c>
      <c r="BA1" s="514" t="str">
        <f>Check!BA1</f>
        <v>SubBtsOperatorID_6</v>
      </c>
      <c r="BB1" s="515" t="str">
        <f>Check!BB1</f>
        <v>SubBtsOperatorIDs</v>
      </c>
      <c r="BC1" s="514" t="str">
        <f>Check!BC1</f>
        <v>SubBtsCode_1</v>
      </c>
      <c r="BD1" s="514" t="str">
        <f>Check!BD1</f>
        <v>SubBtsCode_2</v>
      </c>
      <c r="BE1" s="514" t="str">
        <f>Check!BE1</f>
        <v>SubBtsCode_3</v>
      </c>
      <c r="BF1" s="514" t="str">
        <f>Check!BF1</f>
        <v>SubBtsCode_4</v>
      </c>
      <c r="BG1" s="514" t="str">
        <f>Check!BG1</f>
        <v>SubBtsCode_5</v>
      </c>
      <c r="BH1" s="514" t="str">
        <f>Check!BH1</f>
        <v>SubBtsCode_6</v>
      </c>
      <c r="BI1" s="515" t="str">
        <f>Check!BI1</f>
        <v>SubBtsEquipment_1</v>
      </c>
      <c r="BJ1" s="515" t="str">
        <f>Check!BJ1</f>
        <v>SubBtsEquipment_2</v>
      </c>
      <c r="BK1" s="515" t="str">
        <f>Check!BK1</f>
        <v>SubBtsEquipment_3</v>
      </c>
      <c r="BL1" s="515" t="str">
        <f>Check!BL1</f>
        <v>SubBtsEquipment_4</v>
      </c>
      <c r="BM1" s="515" t="str">
        <f>Check!BM1</f>
        <v>SubBtsEquipment_5</v>
      </c>
      <c r="BN1" s="515" t="str">
        <f>Check!BN1</f>
        <v>SubBtsEquipment_6</v>
      </c>
      <c r="BO1" s="514" t="str">
        <f>Check!BO1</f>
        <v>SubBtsAntenNum_1</v>
      </c>
      <c r="BP1" s="514" t="str">
        <f>Check!BP1</f>
        <v>SubBtsAntenNum_2</v>
      </c>
      <c r="BQ1" s="514" t="str">
        <f>Check!BQ1</f>
        <v>SubBtsAntenNum_3</v>
      </c>
      <c r="BR1" s="514" t="str">
        <f>Check!BR1</f>
        <v>SubBtsAntenNum_4</v>
      </c>
      <c r="BS1" s="514" t="str">
        <f>Check!BS1</f>
        <v>SubBtsAntenNum_5</v>
      </c>
      <c r="BT1" s="514" t="str">
        <f>Check!BT1</f>
        <v>SubBtsAntenNum_6</v>
      </c>
      <c r="BU1" s="515" t="str">
        <f>Check!BU1</f>
        <v>SubBtsConfiguration_1</v>
      </c>
      <c r="BV1" s="514" t="str">
        <f>Check!BV1</f>
        <v>SubBtsConfiguration_1.1</v>
      </c>
      <c r="BW1" s="514" t="str">
        <f>Check!BW1</f>
        <v>SubBtsConfiguration_1.2</v>
      </c>
      <c r="BX1" s="514" t="str">
        <f>Check!BX1</f>
        <v>SubBtsConfiguration_1.3</v>
      </c>
      <c r="BY1" s="514" t="str">
        <f>Check!BY1</f>
        <v>SubBtsConfiguration_1.4</v>
      </c>
      <c r="BZ1" s="514" t="str">
        <f>Check!BZ1</f>
        <v>SubBtsConfiguration_1.5</v>
      </c>
      <c r="CA1" s="514" t="str">
        <f>Check!CA1</f>
        <v>SubBtsConfiguration_1.6</v>
      </c>
      <c r="CB1" s="515" t="str">
        <f>Check!CB1</f>
        <v>SubBtsConfiguration_2</v>
      </c>
      <c r="CC1" s="514" t="str">
        <f>Check!CC1</f>
        <v>SubBtsConfiguration_2.1</v>
      </c>
      <c r="CD1" s="514" t="str">
        <f>Check!CD1</f>
        <v>SubBtsConfiguration_2.2</v>
      </c>
      <c r="CE1" s="514" t="str">
        <f>Check!CE1</f>
        <v>SubBtsConfiguration_2.3</v>
      </c>
      <c r="CF1" s="514" t="str">
        <f>Check!CF1</f>
        <v>SubBtsConfiguration_2.4</v>
      </c>
      <c r="CG1" s="514" t="str">
        <f>Check!CG1</f>
        <v>SubBtsConfiguration_2.5</v>
      </c>
      <c r="CH1" s="514" t="str">
        <f>Check!CH1</f>
        <v>SubBtsConfiguration_2.6</v>
      </c>
      <c r="CI1" s="515" t="str">
        <f>Check!CI1</f>
        <v>SubBtsConfiguration_3</v>
      </c>
      <c r="CJ1" s="514" t="str">
        <f>Check!CJ1</f>
        <v>SubBtsConfiguration_3.1</v>
      </c>
      <c r="CK1" s="514" t="str">
        <f>Check!CK1</f>
        <v>SubBtsConfiguration_3.2</v>
      </c>
      <c r="CL1" s="514" t="str">
        <f>Check!CL1</f>
        <v>SubBtsConfiguration_3.3</v>
      </c>
      <c r="CM1" s="514" t="str">
        <f>Check!CM1</f>
        <v>SubBtsConfiguration_3.4</v>
      </c>
      <c r="CN1" s="514" t="str">
        <f>Check!CN1</f>
        <v>SubBtsConfiguration_3.5</v>
      </c>
      <c r="CO1" s="514" t="str">
        <f>Check!CO1</f>
        <v>SubBtsConfiguration_3.6</v>
      </c>
      <c r="CP1" s="515" t="str">
        <f>Check!CP1</f>
        <v>SubBtsConfiguration_4</v>
      </c>
      <c r="CQ1" s="514" t="str">
        <f>Check!CQ1</f>
        <v>SubBtsConfiguration_4.1</v>
      </c>
      <c r="CR1" s="514" t="str">
        <f>Check!CR1</f>
        <v>SubBtsConfiguration_4.2</v>
      </c>
      <c r="CS1" s="514" t="str">
        <f>Check!CS1</f>
        <v>SubBtsConfiguration_4.3</v>
      </c>
      <c r="CT1" s="514" t="str">
        <f>Check!CT1</f>
        <v>SubBtsConfiguration_4.4</v>
      </c>
      <c r="CU1" s="514" t="str">
        <f>Check!CU1</f>
        <v>SubBtsConfiguration_4.5</v>
      </c>
      <c r="CV1" s="514" t="str">
        <f>Check!CV1</f>
        <v>SubBtsConfiguration_4.6</v>
      </c>
      <c r="CW1" s="515" t="str">
        <f>Check!CW1</f>
        <v>SubBtsConfiguration_5</v>
      </c>
      <c r="CX1" s="514" t="str">
        <f>Check!CX1</f>
        <v>SubBtsConfiguration_5.1</v>
      </c>
      <c r="CY1" s="514" t="str">
        <f>Check!CY1</f>
        <v>SubBtsConfiguration_5.2</v>
      </c>
      <c r="CZ1" s="514" t="str">
        <f>Check!CZ1</f>
        <v>SubBtsConfiguration_5.3</v>
      </c>
      <c r="DA1" s="514" t="str">
        <f>Check!DA1</f>
        <v>SubBtsConfiguration_5.4</v>
      </c>
      <c r="DB1" s="514" t="str">
        <f>Check!DB1</f>
        <v>SubBtsConfiguration_5.5</v>
      </c>
      <c r="DC1" s="514" t="str">
        <f>Check!DC1</f>
        <v>SubBtsConfiguration_5.6</v>
      </c>
      <c r="DD1" s="515" t="str">
        <f>Check!DD1</f>
        <v>SubBtsConfiguration_6</v>
      </c>
      <c r="DE1" s="514" t="str">
        <f>Check!DE1</f>
        <v>SubBtsConfiguration_6.1</v>
      </c>
      <c r="DF1" s="514" t="str">
        <f>Check!DF1</f>
        <v>SubBtsConfiguration_6.2</v>
      </c>
      <c r="DG1" s="514" t="str">
        <f>Check!DG1</f>
        <v>SubBtsConfiguration_6.3</v>
      </c>
      <c r="DH1" s="514" t="str">
        <f>Check!DH1</f>
        <v>SubBtsConfiguration_6.4</v>
      </c>
      <c r="DI1" s="514" t="str">
        <f>Check!DI1</f>
        <v>SubBtsConfiguration_6.5</v>
      </c>
      <c r="DJ1" s="514" t="str">
        <f>Check!DJ1</f>
        <v>SubBtsConfiguration_6.6</v>
      </c>
      <c r="DK1" s="515" t="str">
        <f>Check!DK1</f>
        <v>SubBtsPowerSum_1_Input</v>
      </c>
      <c r="DL1" s="514" t="str">
        <f>Check!DL1</f>
        <v>SubBtsPowerSum_1.1</v>
      </c>
      <c r="DM1" s="514" t="str">
        <f>Check!DM1</f>
        <v>SubBtsPowerSum_1.2</v>
      </c>
      <c r="DN1" s="514" t="str">
        <f>Check!DN1</f>
        <v>SubBtsPowerSum_1.3</v>
      </c>
      <c r="DO1" s="514" t="str">
        <f>Check!DO1</f>
        <v>SubBtsPowerSum_1.4</v>
      </c>
      <c r="DP1" s="514" t="str">
        <f>Check!DP1</f>
        <v>SubBtsPowerSum_1.5</v>
      </c>
      <c r="DQ1" s="514" t="str">
        <f>Check!DQ1</f>
        <v>SubBtsPowerSum_1.6</v>
      </c>
      <c r="DR1" s="516" t="str">
        <f>Check!DR1</f>
        <v>SubBtsPowerSum_1</v>
      </c>
      <c r="DS1" s="516" t="str">
        <f>Check!DS1</f>
        <v>MaxPowerSum_1</v>
      </c>
      <c r="DT1" s="515" t="str">
        <f>Check!DT1</f>
        <v>SubBtsPowerSum_2_Input</v>
      </c>
      <c r="DU1" s="514" t="str">
        <f>Check!DU1</f>
        <v>SubBtsPowerSum_2.1</v>
      </c>
      <c r="DV1" s="514" t="str">
        <f>Check!DV1</f>
        <v>SubBtsPowerSum_2.2</v>
      </c>
      <c r="DW1" s="514" t="str">
        <f>Check!DW1</f>
        <v>SubBtsPowerSum_2.3</v>
      </c>
      <c r="DX1" s="514" t="str">
        <f>Check!DX1</f>
        <v>SubBtsPowerSum_2.4</v>
      </c>
      <c r="DY1" s="514" t="str">
        <f>Check!DY1</f>
        <v>SubBtsPowerSum_2.5</v>
      </c>
      <c r="DZ1" s="514" t="str">
        <f>Check!DZ1</f>
        <v>SubBtsPowerSum_2.6</v>
      </c>
      <c r="EA1" s="516" t="str">
        <f>Check!EA1</f>
        <v>SubBtsPowerSum_2</v>
      </c>
      <c r="EB1" s="516" t="str">
        <f>Check!EB1</f>
        <v>MaxPowerSum_2</v>
      </c>
      <c r="EC1" s="515" t="str">
        <f>Check!EC1</f>
        <v>SubBtsPowerSum_3_Input</v>
      </c>
      <c r="ED1" s="514" t="str">
        <f>Check!ED1</f>
        <v>SubBtsPowerSum_3.1</v>
      </c>
      <c r="EE1" s="514" t="str">
        <f>Check!EE1</f>
        <v>SubBtsPowerSum_3.2</v>
      </c>
      <c r="EF1" s="514" t="str">
        <f>Check!EF1</f>
        <v>SubBtsPowerSum_3.3</v>
      </c>
      <c r="EG1" s="514" t="str">
        <f>Check!EG1</f>
        <v>SubBtsPowerSum_3.4</v>
      </c>
      <c r="EH1" s="514" t="str">
        <f>Check!EH1</f>
        <v>SubBtsPowerSum_3.5</v>
      </c>
      <c r="EI1" s="514" t="str">
        <f>Check!EI1</f>
        <v>SubBtsPowerSum_3.6</v>
      </c>
      <c r="EJ1" s="516" t="str">
        <f>Check!EJ1</f>
        <v>SubBtsPowerSum_3</v>
      </c>
      <c r="EK1" s="516" t="str">
        <f>Check!EK1</f>
        <v>MaxPowerSum_3</v>
      </c>
      <c r="EL1" s="515" t="str">
        <f>Check!EL1</f>
        <v>SubBtsPowerSum_4_Input</v>
      </c>
      <c r="EM1" s="514" t="str">
        <f>Check!EM1</f>
        <v>SubBtsPowerSum_4.1</v>
      </c>
      <c r="EN1" s="514" t="str">
        <f>Check!EN1</f>
        <v>SubBtsPowerSum_4.2</v>
      </c>
      <c r="EO1" s="514" t="str">
        <f>Check!EO1</f>
        <v>SubBtsPowerSum_4.3</v>
      </c>
      <c r="EP1" s="514" t="str">
        <f>Check!EP1</f>
        <v>SubBtsPowerSum_4.4</v>
      </c>
      <c r="EQ1" s="514" t="str">
        <f>Check!EQ1</f>
        <v>SubBtsPowerSum_4.5</v>
      </c>
      <c r="ER1" s="514" t="str">
        <f>Check!ER1</f>
        <v>SubBtsPowerSum_4.6</v>
      </c>
      <c r="ES1" s="516" t="str">
        <f>Check!ES1</f>
        <v>SubBtsPowerSum_4</v>
      </c>
      <c r="ET1" s="516" t="str">
        <f>Check!ET1</f>
        <v>MaxPowerSum_4</v>
      </c>
      <c r="EU1" s="515" t="str">
        <f>Check!EU1</f>
        <v>SubBtsPowerSum_5_Input</v>
      </c>
      <c r="EV1" s="514" t="str">
        <f>Check!EV1</f>
        <v>SubBtsPowerSum_5.1</v>
      </c>
      <c r="EW1" s="514" t="str">
        <f>Check!EW1</f>
        <v>SubBtsPowerSum_5.2</v>
      </c>
      <c r="EX1" s="514" t="str">
        <f>Check!EX1</f>
        <v>SubBtsPowerSum_5.3</v>
      </c>
      <c r="EY1" s="514" t="str">
        <f>Check!EY1</f>
        <v>SubBtsPowerSum_5.4</v>
      </c>
      <c r="EZ1" s="514" t="str">
        <f>Check!EZ1</f>
        <v>SubBtsPowerSum_5.5</v>
      </c>
      <c r="FA1" s="514" t="str">
        <f>Check!FA1</f>
        <v>SubBtsPowerSum_5.6</v>
      </c>
      <c r="FB1" s="516" t="str">
        <f>Check!FB1</f>
        <v>SubBtsPowerSum_5</v>
      </c>
      <c r="FC1" s="516" t="str">
        <f>Check!FC1</f>
        <v>MaxPowerSum_5</v>
      </c>
      <c r="FD1" s="515" t="str">
        <f>Check!FD1</f>
        <v>SubBtsPowerSum_6_Input</v>
      </c>
      <c r="FE1" s="514" t="str">
        <f>Check!FE1</f>
        <v>SubBtsPowerSum_6.1</v>
      </c>
      <c r="FF1" s="514" t="str">
        <f>Check!FF1</f>
        <v>SubBtsPowerSum_6.2</v>
      </c>
      <c r="FG1" s="514" t="str">
        <f>Check!FG1</f>
        <v>SubBtsPowerSum_6.3</v>
      </c>
      <c r="FH1" s="514" t="str">
        <f>Check!FH1</f>
        <v>SubBtsPowerSum_6.4</v>
      </c>
      <c r="FI1" s="514" t="str">
        <f>Check!FI1</f>
        <v>SubBtsPowerSum_6.5</v>
      </c>
      <c r="FJ1" s="514" t="str">
        <f>Check!FJ1</f>
        <v>SubBtsPowerSum_6.6</v>
      </c>
      <c r="FK1" s="516" t="str">
        <f>Check!FK1</f>
        <v>SubBtsPowerSum_6</v>
      </c>
      <c r="FL1" s="516" t="str">
        <f>Check!FL1</f>
        <v>MaxPowerSum_6</v>
      </c>
      <c r="FM1" s="516" t="str">
        <f>Check!FM1</f>
        <v>MaxPowerSum</v>
      </c>
      <c r="FN1" s="517" t="str">
        <f>Check!FN1</f>
        <v>SubBtsBand_1</v>
      </c>
      <c r="FO1" s="517" t="str">
        <f>Check!FO1</f>
        <v>SubBtsBand_2</v>
      </c>
      <c r="FP1" s="517" t="str">
        <f>Check!FP1</f>
        <v>SubBtsBand_3</v>
      </c>
      <c r="FQ1" s="517" t="str">
        <f>Check!FQ1</f>
        <v>SubBtsBand_4</v>
      </c>
      <c r="FR1" s="517" t="str">
        <f>Check!FR1</f>
        <v>SubBtsBand_5</v>
      </c>
      <c r="FS1" s="517" t="str">
        <f>Check!FS1</f>
        <v>SubBtsBand_6</v>
      </c>
      <c r="FT1" s="515" t="str">
        <f>Check!FT1</f>
        <v>SubBtsAntenHeight_1_Input</v>
      </c>
      <c r="FU1" s="514" t="str">
        <f>Check!FU1</f>
        <v>SubBtsAntenHeight_1.1</v>
      </c>
      <c r="FV1" s="514" t="str">
        <f>Check!FV1</f>
        <v>SubBtsAntenHeight_1.2</v>
      </c>
      <c r="FW1" s="514" t="str">
        <f>Check!FW1</f>
        <v>SubBtsAntenHeight_1.3</v>
      </c>
      <c r="FX1" s="514" t="str">
        <f>Check!FX1</f>
        <v>SubBtsAntenHeight_1.4</v>
      </c>
      <c r="FY1" s="514" t="str">
        <f>Check!FY1</f>
        <v>SubBtsAntenHeight_1.5</v>
      </c>
      <c r="FZ1" s="514" t="str">
        <f>Check!FZ1</f>
        <v>SubBtsAntenHeight_1.6</v>
      </c>
      <c r="GA1" s="516" t="str">
        <f>Check!GA1</f>
        <v>SubBtsAntenHeight_1</v>
      </c>
      <c r="GB1" s="515" t="str">
        <f>Check!GB1</f>
        <v>SubBtsAntenHeight_2_Input</v>
      </c>
      <c r="GC1" s="514" t="str">
        <f>Check!GC1</f>
        <v>SubBtsAntenHeight_2.1</v>
      </c>
      <c r="GD1" s="514" t="str">
        <f>Check!GD1</f>
        <v>SubBtsAntenHeight_2.2</v>
      </c>
      <c r="GE1" s="514" t="str">
        <f>Check!GE1</f>
        <v>SubBtsAntenHeight_2.3</v>
      </c>
      <c r="GF1" s="514" t="str">
        <f>Check!GF1</f>
        <v>SubBtsAntenHeight_2.4</v>
      </c>
      <c r="GG1" s="514" t="str">
        <f>Check!GG1</f>
        <v>SubBtsAntenHeight_2.5</v>
      </c>
      <c r="GH1" s="514" t="str">
        <f>Check!GH1</f>
        <v>SubBtsAntenHeight_2.6</v>
      </c>
      <c r="GI1" s="516" t="str">
        <f>Check!GI1</f>
        <v>SubBtsAntenHeight_2</v>
      </c>
      <c r="GJ1" s="515" t="str">
        <f>Check!GJ1</f>
        <v>SubBtsAntenHeight_3_Input</v>
      </c>
      <c r="GK1" s="514" t="str">
        <f>Check!GK1</f>
        <v>SubBtsAntenHeight_3.1</v>
      </c>
      <c r="GL1" s="514" t="str">
        <f>Check!GL1</f>
        <v>SubBtsAntenHeight_3.2</v>
      </c>
      <c r="GM1" s="514" t="str">
        <f>Check!GM1</f>
        <v>SubBtsAntenHeight_3.3</v>
      </c>
      <c r="GN1" s="514" t="str">
        <f>Check!GN1</f>
        <v>SubBtsAntenHeight_3.4</v>
      </c>
      <c r="GO1" s="514" t="str">
        <f>Check!GO1</f>
        <v>SubBtsAntenHeight_3.5</v>
      </c>
      <c r="GP1" s="514" t="str">
        <f>Check!GP1</f>
        <v>SubBtsAntenHeight_3.6</v>
      </c>
      <c r="GQ1" s="516" t="str">
        <f>Check!GQ1</f>
        <v>SubBtsAntenHeight_3</v>
      </c>
      <c r="GR1" s="515" t="str">
        <f>Check!GR1</f>
        <v>SubBtsAntenHeight_4_Input</v>
      </c>
      <c r="GS1" s="514" t="str">
        <f>Check!GS1</f>
        <v>SubBtsAntenHeight_4.1</v>
      </c>
      <c r="GT1" s="514" t="str">
        <f>Check!GT1</f>
        <v>SubBtsAntenHeight_4.2</v>
      </c>
      <c r="GU1" s="514" t="str">
        <f>Check!GU1</f>
        <v>SubBtsAntenHeight_4.3</v>
      </c>
      <c r="GV1" s="514" t="str">
        <f>Check!GV1</f>
        <v>SubBtsAntenHeight_4.4</v>
      </c>
      <c r="GW1" s="514" t="str">
        <f>Check!GW1</f>
        <v>SubBtsAntenHeight_4.5</v>
      </c>
      <c r="GX1" s="514" t="str">
        <f>Check!GX1</f>
        <v>SubBtsAntenHeight_4.6</v>
      </c>
      <c r="GY1" s="516" t="str">
        <f>Check!GY1</f>
        <v>SubBtsAntenHeight_4</v>
      </c>
      <c r="GZ1" s="515" t="str">
        <f>Check!GZ1</f>
        <v>SubBtsAntenHeight_5_Input</v>
      </c>
      <c r="HA1" s="514" t="str">
        <f>Check!HA1</f>
        <v>SubBtsAntenHeight_5.1</v>
      </c>
      <c r="HB1" s="514" t="str">
        <f>Check!HB1</f>
        <v>SubBtsAntenHeight_5.2</v>
      </c>
      <c r="HC1" s="514" t="str">
        <f>Check!HC1</f>
        <v>SubBtsAntenHeight_5.3</v>
      </c>
      <c r="HD1" s="514" t="str">
        <f>Check!HD1</f>
        <v>SubBtsAntenHeight_5.4</v>
      </c>
      <c r="HE1" s="514" t="str">
        <f>Check!HE1</f>
        <v>SubBtsAntenHeight_5.5</v>
      </c>
      <c r="HF1" s="514" t="str">
        <f>Check!HF1</f>
        <v>SubBtsAntenHeight_5.6</v>
      </c>
      <c r="HG1" s="516" t="str">
        <f>Check!HG1</f>
        <v>SubBtsAntenHeight_5</v>
      </c>
      <c r="HH1" s="515" t="str">
        <f>Check!HH1</f>
        <v>SubBtsAntenHeight_6_Input</v>
      </c>
      <c r="HI1" s="514" t="str">
        <f>Check!HI1</f>
        <v>SubBtsAntenHeight_6.1</v>
      </c>
      <c r="HJ1" s="514" t="str">
        <f>Check!HJ1</f>
        <v>SubBtsAntenHeight_6.2</v>
      </c>
      <c r="HK1" s="514" t="str">
        <f>Check!HK1</f>
        <v>SubBtsAntenHeight_6.3</v>
      </c>
      <c r="HL1" s="514" t="str">
        <f>Check!HL1</f>
        <v>SubBtsAntenHeight_6.4</v>
      </c>
      <c r="HM1" s="514" t="str">
        <f>Check!HM1</f>
        <v>SubBtsAntenHeight_6.5</v>
      </c>
      <c r="HN1" s="514" t="str">
        <f>Check!HN1</f>
        <v>SubBtsAntenHeight_6.6</v>
      </c>
      <c r="HO1" s="516" t="str">
        <f>Check!HO1</f>
        <v>SubBtsAntenHeight_6</v>
      </c>
      <c r="HP1" s="515" t="str">
        <f>Check!HP1</f>
        <v>LabName</v>
      </c>
      <c r="HQ1" s="518" t="str">
        <f>Check!HQ1</f>
        <v>SubBtsMinAntenHeight_1</v>
      </c>
      <c r="HR1" s="518" t="str">
        <f>Check!HR1</f>
        <v>SubBtsMinAntenHeight_2</v>
      </c>
      <c r="HS1" s="518" t="str">
        <f>Check!HS1</f>
        <v>SubBtsMinAntenHeight_3</v>
      </c>
      <c r="HT1" s="518" t="str">
        <f>Check!HT1</f>
        <v>SubBtsMinAntenHeight_4</v>
      </c>
      <c r="HU1" s="518" t="str">
        <f>Check!HU1</f>
        <v>SubBtsMinAntenHeight_5</v>
      </c>
      <c r="HV1" s="518" t="str">
        <f>Check!HV1</f>
        <v>SubBtsMinAntenHeight_6</v>
      </c>
      <c r="HW1" s="704" t="str">
        <f>Check!HW1</f>
        <v>MinAntenHeight</v>
      </c>
      <c r="HX1" s="704" t="str">
        <f>Check!HX1</f>
        <v>OffsetHeight</v>
      </c>
      <c r="HY1" s="519" t="str">
        <f>Check!HY1</f>
        <v>TotalBtsNum</v>
      </c>
      <c r="HZ1" s="520" t="s">
        <v>428</v>
      </c>
      <c r="IA1" s="520" t="s">
        <v>144</v>
      </c>
      <c r="IB1" s="520" t="s">
        <v>145</v>
      </c>
      <c r="IC1" s="520" t="s">
        <v>146</v>
      </c>
      <c r="ID1" s="520" t="s">
        <v>147</v>
      </c>
      <c r="IE1" s="521" t="s">
        <v>148</v>
      </c>
      <c r="IF1" s="520" t="s">
        <v>149</v>
      </c>
      <c r="IG1" s="520" t="s">
        <v>150</v>
      </c>
      <c r="IH1" s="520" t="s">
        <v>151</v>
      </c>
      <c r="II1" s="520" t="s">
        <v>152</v>
      </c>
      <c r="IJ1" s="520" t="s">
        <v>153</v>
      </c>
      <c r="IK1" s="522" t="s">
        <v>154</v>
      </c>
      <c r="IL1" s="522" t="s">
        <v>155</v>
      </c>
      <c r="IM1" s="522" t="s">
        <v>156</v>
      </c>
      <c r="IN1" s="522" t="s">
        <v>157</v>
      </c>
      <c r="IO1" s="522" t="s">
        <v>158</v>
      </c>
      <c r="IP1" s="522" t="s">
        <v>159</v>
      </c>
      <c r="IQ1" s="522" t="s">
        <v>160</v>
      </c>
      <c r="IR1" s="522" t="s">
        <v>161</v>
      </c>
      <c r="IS1" s="522" t="s">
        <v>162</v>
      </c>
      <c r="IT1" s="522" t="s">
        <v>163</v>
      </c>
      <c r="IU1" s="522" t="s">
        <v>164</v>
      </c>
    </row>
    <row r="2" ht="102" s="327" customFormat="1">
      <c r="A2" s="222">
        <v>1</v>
      </c>
      <c r="B2" s="222" t="s">
        <v>429</v>
      </c>
      <c r="C2" s="222" t="s">
        <v>430</v>
      </c>
      <c r="D2" s="705" t="s">
        <v>431</v>
      </c>
      <c r="E2" s="222" t="s">
        <v>432</v>
      </c>
      <c r="F2" s="222" t="s">
        <v>26</v>
      </c>
      <c r="G2" s="705" t="s">
        <v>433</v>
      </c>
      <c r="H2" s="705" t="s">
        <v>434</v>
      </c>
      <c r="I2" s="222">
        <v>1</v>
      </c>
      <c r="J2" s="222" t="s">
        <v>435</v>
      </c>
      <c r="K2" s="224" t="s">
        <v>436</v>
      </c>
      <c r="L2" s="224" t="s">
        <v>437</v>
      </c>
      <c r="M2" s="222" t="s">
        <v>438</v>
      </c>
      <c r="N2" s="222" t="s">
        <v>431</v>
      </c>
      <c r="O2" s="222" t="s">
        <v>439</v>
      </c>
      <c r="P2" s="222">
        <v>1</v>
      </c>
      <c r="Q2" s="222" t="s">
        <v>440</v>
      </c>
      <c r="R2" s="222" t="s">
        <v>441</v>
      </c>
      <c r="S2" s="222" t="s">
        <v>178</v>
      </c>
      <c r="T2" s="222" t="s">
        <v>442</v>
      </c>
      <c r="U2" s="222">
        <v>1</v>
      </c>
      <c r="V2" s="222" t="s">
        <v>443</v>
      </c>
      <c r="W2" s="222" t="s">
        <v>186</v>
      </c>
      <c r="X2" s="222" t="s">
        <v>444</v>
      </c>
      <c r="Y2" s="705" t="s">
        <v>186</v>
      </c>
      <c r="Z2" s="222" t="s">
        <v>445</v>
      </c>
      <c r="AA2" s="705" t="s">
        <v>446</v>
      </c>
      <c r="AB2" s="222" t="s">
        <v>444</v>
      </c>
      <c r="AC2" s="222" t="b">
        <v>1</v>
      </c>
      <c r="AD2" s="222" t="s">
        <v>186</v>
      </c>
      <c r="AE2" s="222">
        <v>0</v>
      </c>
      <c r="AF2" s="222" t="s">
        <v>50</v>
      </c>
      <c r="AG2" s="222">
        <v>0</v>
      </c>
      <c r="AH2" s="223"/>
      <c r="AI2" s="223" t="s">
        <v>447</v>
      </c>
      <c r="AJ2" s="223" t="s">
        <v>438</v>
      </c>
      <c r="AK2" s="222">
        <v>4</v>
      </c>
      <c r="AL2" s="466" t="s">
        <v>183</v>
      </c>
      <c r="AM2" s="476" t="s">
        <v>448</v>
      </c>
      <c r="AN2" s="476" t="s">
        <v>449</v>
      </c>
      <c r="AO2" s="222" t="s">
        <v>25</v>
      </c>
      <c r="AP2" s="223" t="s">
        <v>438</v>
      </c>
      <c r="AQ2" s="223" t="s">
        <v>186</v>
      </c>
      <c r="AR2" s="223" t="s">
        <v>186</v>
      </c>
      <c r="AS2" s="223" t="s">
        <v>186</v>
      </c>
      <c r="AT2" s="223" t="s">
        <v>186</v>
      </c>
      <c r="AU2" s="223" t="s">
        <v>186</v>
      </c>
      <c r="AV2" s="223" t="s">
        <v>430</v>
      </c>
      <c r="AW2" s="223" t="s">
        <v>186</v>
      </c>
      <c r="AX2" s="223" t="s">
        <v>186</v>
      </c>
      <c r="AY2" s="223" t="s">
        <v>186</v>
      </c>
      <c r="AZ2" s="223" t="s">
        <v>186</v>
      </c>
      <c r="BA2" s="223" t="s">
        <v>186</v>
      </c>
      <c r="BB2" s="223" t="s">
        <v>450</v>
      </c>
      <c r="BC2" s="223" t="s">
        <v>431</v>
      </c>
      <c r="BD2" s="223" t="s">
        <v>186</v>
      </c>
      <c r="BE2" s="223" t="s">
        <v>186</v>
      </c>
      <c r="BF2" s="223" t="s">
        <v>186</v>
      </c>
      <c r="BG2" s="223" t="s">
        <v>186</v>
      </c>
      <c r="BH2" s="223" t="s">
        <v>186</v>
      </c>
      <c r="BI2" s="223" t="s">
        <v>439</v>
      </c>
      <c r="BJ2" s="223" t="s">
        <v>186</v>
      </c>
      <c r="BK2" s="223" t="s">
        <v>186</v>
      </c>
      <c r="BL2" s="223" t="s">
        <v>186</v>
      </c>
      <c r="BM2" s="223" t="s">
        <v>186</v>
      </c>
      <c r="BN2" s="223" t="s">
        <v>186</v>
      </c>
      <c r="BO2" s="223">
        <v>1</v>
      </c>
      <c r="BP2" s="223">
        <v>0</v>
      </c>
      <c r="BQ2" s="223">
        <v>0</v>
      </c>
      <c r="BR2" s="223">
        <v>0</v>
      </c>
      <c r="BS2" s="223">
        <v>0</v>
      </c>
      <c r="BT2" s="223">
        <v>0</v>
      </c>
      <c r="BU2" s="223" t="s">
        <v>440</v>
      </c>
      <c r="BV2" s="223">
        <v>2</v>
      </c>
      <c r="BW2" s="223">
        <v>0</v>
      </c>
      <c r="BX2" s="223">
        <v>0</v>
      </c>
      <c r="BY2" s="223">
        <v>0</v>
      </c>
      <c r="BZ2" s="223">
        <v>0</v>
      </c>
      <c r="CA2" s="223">
        <v>0</v>
      </c>
      <c r="CB2" s="223" t="s">
        <v>186</v>
      </c>
      <c r="CC2" s="223">
        <v>0</v>
      </c>
      <c r="CD2" s="223">
        <v>0</v>
      </c>
      <c r="CE2" s="223">
        <v>0</v>
      </c>
      <c r="CF2" s="223">
        <v>0</v>
      </c>
      <c r="CG2" s="223">
        <v>0</v>
      </c>
      <c r="CH2" s="223">
        <v>0</v>
      </c>
      <c r="CI2" s="223" t="s">
        <v>186</v>
      </c>
      <c r="CJ2" s="223">
        <v>0</v>
      </c>
      <c r="CK2" s="223">
        <v>0</v>
      </c>
      <c r="CL2" s="223">
        <v>0</v>
      </c>
      <c r="CM2" s="223">
        <v>0</v>
      </c>
      <c r="CN2" s="223">
        <v>0</v>
      </c>
      <c r="CO2" s="223">
        <v>0</v>
      </c>
      <c r="CP2" s="223" t="s">
        <v>186</v>
      </c>
      <c r="CQ2" s="223">
        <v>0</v>
      </c>
      <c r="CR2" s="223">
        <v>0</v>
      </c>
      <c r="CS2" s="223">
        <v>0</v>
      </c>
      <c r="CT2" s="223">
        <v>0</v>
      </c>
      <c r="CU2" s="223">
        <v>0</v>
      </c>
      <c r="CV2" s="223">
        <v>0</v>
      </c>
      <c r="CW2" s="223" t="s">
        <v>186</v>
      </c>
      <c r="CX2" s="223">
        <v>0</v>
      </c>
      <c r="CY2" s="223">
        <v>0</v>
      </c>
      <c r="CZ2" s="223">
        <v>0</v>
      </c>
      <c r="DA2" s="223">
        <v>0</v>
      </c>
      <c r="DB2" s="223">
        <v>0</v>
      </c>
      <c r="DC2" s="223">
        <v>0</v>
      </c>
      <c r="DD2" s="223" t="s">
        <v>186</v>
      </c>
      <c r="DE2" s="223">
        <v>0</v>
      </c>
      <c r="DF2" s="223">
        <v>0</v>
      </c>
      <c r="DG2" s="223">
        <v>0</v>
      </c>
      <c r="DH2" s="223">
        <v>0</v>
      </c>
      <c r="DI2" s="223">
        <v>0</v>
      </c>
      <c r="DJ2" s="223">
        <v>0</v>
      </c>
      <c r="DK2" s="223" t="s">
        <v>441</v>
      </c>
      <c r="DL2" s="223">
        <v>40</v>
      </c>
      <c r="DM2" s="223">
        <v>0</v>
      </c>
      <c r="DN2" s="223">
        <v>0</v>
      </c>
      <c r="DO2" s="223">
        <v>0</v>
      </c>
      <c r="DP2" s="223">
        <v>0</v>
      </c>
      <c r="DQ2" s="223">
        <v>0</v>
      </c>
      <c r="DR2" s="223" t="s">
        <v>441</v>
      </c>
      <c r="DS2" s="223">
        <v>40</v>
      </c>
      <c r="DT2" s="223" t="s">
        <v>186</v>
      </c>
      <c r="DU2" s="223">
        <v>0</v>
      </c>
      <c r="DV2" s="223">
        <v>0</v>
      </c>
      <c r="DW2" s="223">
        <v>0</v>
      </c>
      <c r="DX2" s="223">
        <v>0</v>
      </c>
      <c r="DY2" s="223">
        <v>0</v>
      </c>
      <c r="DZ2" s="223">
        <v>0</v>
      </c>
      <c r="EA2" s="223" t="s">
        <v>186</v>
      </c>
      <c r="EB2" s="223">
        <v>0</v>
      </c>
      <c r="EC2" s="223" t="s">
        <v>186</v>
      </c>
      <c r="ED2" s="223">
        <v>0</v>
      </c>
      <c r="EE2" s="223">
        <v>0</v>
      </c>
      <c r="EF2" s="223">
        <v>0</v>
      </c>
      <c r="EG2" s="223">
        <v>0</v>
      </c>
      <c r="EH2" s="223">
        <v>0</v>
      </c>
      <c r="EI2" s="223">
        <v>0</v>
      </c>
      <c r="EJ2" s="223" t="s">
        <v>186</v>
      </c>
      <c r="EK2" s="223">
        <v>0</v>
      </c>
      <c r="EL2" s="223" t="s">
        <v>186</v>
      </c>
      <c r="EM2" s="223">
        <v>0</v>
      </c>
      <c r="EN2" s="223">
        <v>0</v>
      </c>
      <c r="EO2" s="223">
        <v>0</v>
      </c>
      <c r="EP2" s="223">
        <v>0</v>
      </c>
      <c r="EQ2" s="223">
        <v>0</v>
      </c>
      <c r="ER2" s="223">
        <v>0</v>
      </c>
      <c r="ES2" s="223" t="s">
        <v>186</v>
      </c>
      <c r="ET2" s="223">
        <v>0</v>
      </c>
      <c r="EU2" s="223" t="s">
        <v>186</v>
      </c>
      <c r="EV2" s="223">
        <v>0</v>
      </c>
      <c r="EW2" s="223">
        <v>0</v>
      </c>
      <c r="EX2" s="223">
        <v>0</v>
      </c>
      <c r="EY2" s="223">
        <v>0</v>
      </c>
      <c r="EZ2" s="223">
        <v>0</v>
      </c>
      <c r="FA2" s="223">
        <v>0</v>
      </c>
      <c r="FB2" s="223" t="s">
        <v>186</v>
      </c>
      <c r="FC2" s="223">
        <v>0</v>
      </c>
      <c r="FD2" s="223" t="s">
        <v>186</v>
      </c>
      <c r="FE2" s="223">
        <v>0</v>
      </c>
      <c r="FF2" s="223">
        <v>0</v>
      </c>
      <c r="FG2" s="223">
        <v>0</v>
      </c>
      <c r="FH2" s="223">
        <v>0</v>
      </c>
      <c r="FI2" s="223">
        <v>0</v>
      </c>
      <c r="FJ2" s="223">
        <v>0</v>
      </c>
      <c r="FK2" s="223" t="s">
        <v>186</v>
      </c>
      <c r="FL2" s="223">
        <v>0</v>
      </c>
      <c r="FM2" s="223">
        <v>40</v>
      </c>
      <c r="FN2" s="223" t="s">
        <v>178</v>
      </c>
      <c r="FO2" s="223" t="s">
        <v>186</v>
      </c>
      <c r="FP2" s="223" t="s">
        <v>186</v>
      </c>
      <c r="FQ2" s="223" t="s">
        <v>186</v>
      </c>
      <c r="FR2" s="223" t="s">
        <v>186</v>
      </c>
      <c r="FS2" s="223" t="s">
        <v>186</v>
      </c>
      <c r="FT2" s="223" t="s">
        <v>442</v>
      </c>
      <c r="FU2" s="223">
        <v>47</v>
      </c>
      <c r="FV2" s="223">
        <v>0</v>
      </c>
      <c r="FW2" s="223">
        <v>0</v>
      </c>
      <c r="FX2" s="223">
        <v>0</v>
      </c>
      <c r="FY2" s="223">
        <v>0</v>
      </c>
      <c r="FZ2" s="223">
        <v>0</v>
      </c>
      <c r="GA2" s="223" t="s">
        <v>442</v>
      </c>
      <c r="GB2" s="223" t="s">
        <v>186</v>
      </c>
      <c r="GC2" s="223">
        <v>0</v>
      </c>
      <c r="GD2" s="223">
        <v>0</v>
      </c>
      <c r="GE2" s="223">
        <v>0</v>
      </c>
      <c r="GF2" s="223">
        <v>0</v>
      </c>
      <c r="GG2" s="223">
        <v>0</v>
      </c>
      <c r="GH2" s="223">
        <v>0</v>
      </c>
      <c r="GI2" s="223" t="s">
        <v>186</v>
      </c>
      <c r="GJ2" s="223" t="s">
        <v>186</v>
      </c>
      <c r="GK2" s="223">
        <v>0</v>
      </c>
      <c r="GL2" s="223">
        <v>0</v>
      </c>
      <c r="GM2" s="223">
        <v>0</v>
      </c>
      <c r="GN2" s="223">
        <v>0</v>
      </c>
      <c r="GO2" s="223">
        <v>0</v>
      </c>
      <c r="GP2" s="223">
        <v>0</v>
      </c>
      <c r="GQ2" s="223" t="s">
        <v>186</v>
      </c>
      <c r="GR2" s="223" t="s">
        <v>186</v>
      </c>
      <c r="GS2" s="223">
        <v>0</v>
      </c>
      <c r="GT2" s="223">
        <v>0</v>
      </c>
      <c r="GU2" s="223">
        <v>0</v>
      </c>
      <c r="GV2" s="223">
        <v>0</v>
      </c>
      <c r="GW2" s="223">
        <v>0</v>
      </c>
      <c r="GX2" s="223">
        <v>0</v>
      </c>
      <c r="GY2" s="222" t="s">
        <v>186</v>
      </c>
      <c r="GZ2" s="222" t="s">
        <v>186</v>
      </c>
      <c r="HA2" s="223">
        <v>0</v>
      </c>
      <c r="HB2" s="223">
        <v>0</v>
      </c>
      <c r="HC2" s="223">
        <v>0</v>
      </c>
      <c r="HD2" s="223">
        <v>0</v>
      </c>
      <c r="HE2" s="223">
        <v>0</v>
      </c>
      <c r="HF2" s="223">
        <v>0</v>
      </c>
      <c r="HG2" s="223" t="s">
        <v>186</v>
      </c>
      <c r="HH2" s="223" t="s">
        <v>186</v>
      </c>
      <c r="HI2" s="223">
        <v>0</v>
      </c>
      <c r="HJ2" s="223">
        <v>0</v>
      </c>
      <c r="HK2" s="223">
        <v>0</v>
      </c>
      <c r="HL2" s="223">
        <v>0</v>
      </c>
      <c r="HM2" s="223">
        <v>0</v>
      </c>
      <c r="HN2" s="223">
        <v>0</v>
      </c>
      <c r="HO2" s="223" t="s">
        <v>186</v>
      </c>
      <c r="HP2" s="223" t="s">
        <v>51</v>
      </c>
      <c r="HQ2" s="223">
        <v>47</v>
      </c>
      <c r="HR2" s="223">
        <v>0</v>
      </c>
      <c r="HS2" s="223">
        <v>0</v>
      </c>
      <c r="HT2" s="223">
        <v>0</v>
      </c>
      <c r="HU2" s="223">
        <v>0</v>
      </c>
      <c r="HV2" s="223">
        <v>0</v>
      </c>
      <c r="HW2" s="706">
        <v>47</v>
      </c>
      <c r="HX2" s="706">
        <v>12</v>
      </c>
      <c r="HY2" s="223">
        <v>1</v>
      </c>
      <c r="HZ2" s="223">
        <v>0</v>
      </c>
      <c r="IA2" s="223"/>
      <c r="IB2" s="223"/>
      <c r="IC2" s="491" t="str">
        <f>IF(LEN(ID2)=4,"B0"&amp;ID2&amp;IE2&amp;IF2,IF(LEN(ID2)=3,"B00"&amp;ID2&amp;IE2&amp;IF2,IF(LEN(ID2)=2,"B000"&amp;ID2&amp;IE2&amp;IF2,IF(LEN(ID2)=1,"B0000"&amp;ID2&amp;IE2&amp;IF2,"B"&amp;ID2&amp;IE2&amp;IF2))))</f>
        <v>B00001030319TG05</v>
      </c>
      <c r="ID2" s="226">
        <v>1</v>
      </c>
      <c r="IE2" s="487" t="str">
        <f>TEXT(II2,"ddmmyy")</f>
        <v>030319</v>
      </c>
      <c r="IF2" s="225" t="s">
        <v>188</v>
      </c>
      <c r="IG2" s="487" t="str">
        <f ref="IG2:IH2" t="shared" si="1">TEXT(II2,"dd/mm/yyyy")</f>
        <v>03/03/2019</v>
      </c>
      <c r="IH2" s="487" t="str">
        <f t="shared" si="1"/>
        <v>03/03/2024</v>
      </c>
      <c r="II2" s="227" t="s">
        <v>451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3" t="s">
        <v>452</v>
      </c>
      <c r="B1" s="523" t="s">
        <v>453</v>
      </c>
      <c r="C1" s="523" t="s">
        <v>454</v>
      </c>
      <c r="D1" s="523" t="s">
        <v>455</v>
      </c>
    </row>
    <row r="2">
      <c r="A2" s="228">
        <v>1</v>
      </c>
      <c r="B2" s="228">
        <v>1</v>
      </c>
      <c r="C2" s="552" t="s">
        <v>456</v>
      </c>
      <c r="D2" s="552"/>
    </row>
    <row r="3">
      <c r="A3" s="228">
        <v>2</v>
      </c>
      <c r="B3" s="228">
        <v>2</v>
      </c>
      <c r="C3" s="552" t="s">
        <v>457</v>
      </c>
      <c r="D3" s="552"/>
    </row>
    <row r="4">
      <c r="A4" s="228">
        <v>3</v>
      </c>
      <c r="B4" s="228">
        <v>3</v>
      </c>
      <c r="C4" s="552" t="s">
        <v>458</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65" t="s">
        <v>459</v>
      </c>
      <c r="B1" s="565"/>
      <c r="C1" s="565"/>
      <c r="D1" s="565"/>
      <c r="E1" s="565"/>
      <c r="F1" s="565"/>
      <c r="G1" s="565"/>
      <c r="H1" s="565"/>
      <c r="I1" s="565"/>
      <c r="J1" s="565"/>
      <c r="N1" s="566" t="s">
        <v>84</v>
      </c>
      <c r="O1" s="566"/>
      <c r="P1" s="566"/>
      <c r="Q1" s="566"/>
      <c r="R1" s="566"/>
      <c r="S1" s="566"/>
      <c r="T1" s="566"/>
      <c r="U1" s="566"/>
      <c r="V1" s="566"/>
      <c r="W1" s="566"/>
      <c r="X1" s="566"/>
      <c r="Y1" s="566"/>
      <c r="Z1" s="566"/>
      <c r="AA1" s="230"/>
    </row>
    <row r="2" ht="16.5" customHeight="1">
      <c r="A2" s="566" t="s">
        <v>83</v>
      </c>
      <c r="B2" s="566"/>
      <c r="C2" s="566"/>
      <c r="D2" s="566"/>
      <c r="E2" s="566"/>
      <c r="F2" s="566"/>
      <c r="G2" s="566"/>
      <c r="H2" s="566"/>
      <c r="I2" s="566"/>
      <c r="J2" s="566"/>
      <c r="N2" s="592" t="s">
        <v>86</v>
      </c>
      <c r="O2" s="592"/>
      <c r="P2" s="592"/>
      <c r="Q2" s="592"/>
      <c r="R2" s="592"/>
      <c r="S2" s="592"/>
      <c r="T2" s="592"/>
      <c r="U2" s="592"/>
      <c r="V2" s="592"/>
      <c r="W2" s="592"/>
      <c r="X2" s="592"/>
      <c r="Y2" s="592"/>
      <c r="Z2" s="592"/>
    </row>
    <row r="3" ht="16.5">
      <c r="A3" s="566" t="s">
        <v>85</v>
      </c>
      <c r="B3" s="566"/>
      <c r="C3" s="566"/>
      <c r="D3" s="566"/>
      <c r="E3" s="566"/>
      <c r="F3" s="566"/>
      <c r="G3" s="566"/>
      <c r="H3" s="566"/>
      <c r="I3" s="566"/>
      <c r="J3" s="566"/>
      <c r="O3" s="231"/>
      <c r="P3" s="231"/>
      <c r="Q3" s="231"/>
      <c r="R3" s="231"/>
      <c r="S3" s="231"/>
      <c r="T3" s="231"/>
      <c r="U3" s="231"/>
      <c r="V3" s="231"/>
      <c r="W3" s="231"/>
    </row>
    <row r="4" ht="21.75" customHeight="1">
      <c r="C4" s="569" t="str">
        <f>IF(LEN(AD4)=1,"Số: 0"&amp;AD4&amp;"/LPKĐ-TT2","Số: "&amp;AD4&amp;"/LPKĐ-TT2")</f>
        <v>Số: 02/LPKĐ-TT2</v>
      </c>
      <c r="D4" s="569"/>
      <c r="E4" s="569"/>
      <c r="F4" s="569"/>
      <c r="G4" s="569"/>
      <c r="H4" s="569"/>
      <c r="N4" s="572" t="str">
        <f>"TP. Hồ Chí Minh, ngày "&amp;AF4&amp;" tháng "&amp;AG4&amp;" năm "&amp;AH4</f>
        <v>TP. Hồ Chí Minh, ngày 27 tháng 2 năm 2019</v>
      </c>
      <c r="O4" s="572"/>
      <c r="P4" s="572"/>
      <c r="Q4" s="572"/>
      <c r="R4" s="572"/>
      <c r="S4" s="572"/>
      <c r="T4" s="572"/>
      <c r="U4" s="572"/>
      <c r="V4" s="572"/>
      <c r="W4" s="572"/>
      <c r="X4" s="572"/>
      <c r="Y4" s="572"/>
      <c r="Z4" s="572"/>
      <c r="AD4" s="232">
        <v>2</v>
      </c>
      <c r="AE4" s="233" t="s">
        <v>460</v>
      </c>
      <c r="AF4" s="229">
        <f>DAY(AE4)</f>
        <v>27</v>
      </c>
      <c r="AG4" s="229">
        <f>MONTH(AE4)</f>
        <v>2</v>
      </c>
      <c r="AH4" s="229">
        <f>YEAR(AE4)</f>
        <v>2019</v>
      </c>
    </row>
    <row r="6" ht="8.25" customHeight="1">
      <c r="O6" s="230"/>
    </row>
    <row r="7" ht="18.75">
      <c r="C7" s="571" t="s">
        <v>461</v>
      </c>
      <c r="D7" s="571"/>
      <c r="E7" s="571"/>
      <c r="F7" s="571"/>
      <c r="G7" s="571"/>
      <c r="H7" s="571"/>
      <c r="I7" s="571"/>
      <c r="J7" s="571"/>
      <c r="K7" s="571"/>
      <c r="L7" s="571"/>
      <c r="M7" s="571"/>
      <c r="N7" s="571"/>
      <c r="O7" s="571"/>
      <c r="P7" s="571"/>
      <c r="Q7" s="571"/>
      <c r="R7" s="571"/>
      <c r="S7" s="571"/>
      <c r="T7" s="571"/>
      <c r="U7" s="571"/>
      <c r="V7" s="571"/>
      <c r="W7" s="571"/>
      <c r="X7" s="571"/>
    </row>
    <row r="8" ht="18.75">
      <c r="C8" s="571" t="s">
        <v>88</v>
      </c>
      <c r="D8" s="571"/>
      <c r="E8" s="571"/>
      <c r="F8" s="571"/>
      <c r="G8" s="571"/>
      <c r="H8" s="571"/>
      <c r="I8" s="571"/>
      <c r="J8" s="571"/>
      <c r="K8" s="571"/>
      <c r="L8" s="571"/>
      <c r="M8" s="571"/>
      <c r="N8" s="571"/>
      <c r="O8" s="571"/>
      <c r="P8" s="571"/>
      <c r="Q8" s="571"/>
      <c r="R8" s="571"/>
      <c r="S8" s="571"/>
      <c r="T8" s="571"/>
      <c r="U8" s="571"/>
      <c r="V8" s="571"/>
      <c r="W8" s="571"/>
      <c r="X8" s="571"/>
    </row>
    <row r="10" ht="16.5">
      <c r="D10" s="565" t="str">
        <f>"Kính gửi: "&amp;AD10</f>
        <v>Kính gửi: Trung tâm Thông tin di động khu vực II</v>
      </c>
      <c r="E10" s="565"/>
      <c r="F10" s="565"/>
      <c r="G10" s="565"/>
      <c r="H10" s="565"/>
      <c r="I10" s="565"/>
      <c r="J10" s="565"/>
      <c r="K10" s="565"/>
      <c r="L10" s="565"/>
      <c r="M10" s="565"/>
      <c r="N10" s="565"/>
      <c r="O10" s="565"/>
      <c r="P10" s="565"/>
      <c r="Q10" s="565"/>
      <c r="R10" s="565"/>
      <c r="S10" s="565"/>
      <c r="T10" s="565"/>
      <c r="U10" s="565"/>
      <c r="V10" s="565"/>
      <c r="W10" s="565"/>
      <c r="AD10" s="229" t="s">
        <v>462</v>
      </c>
    </row>
    <row r="11" ht="15.75" customHeight="1">
      <c r="A11" s="234"/>
      <c r="B11" s="234"/>
      <c r="D11" s="570" t="s">
        <v>463</v>
      </c>
      <c r="E11" s="570"/>
      <c r="F11" s="570"/>
      <c r="G11" s="593" t="str">
        <f>AD11</f>
        <v>Số MM18, đường Trường Sơn, phường 14, quận 10, thành phố Hồ Chí Minh.</v>
      </c>
      <c r="H11" s="593"/>
      <c r="I11" s="593"/>
      <c r="J11" s="593"/>
      <c r="K11" s="593"/>
      <c r="L11" s="593"/>
      <c r="M11" s="593"/>
      <c r="N11" s="593"/>
      <c r="O11" s="593"/>
      <c r="P11" s="593"/>
      <c r="Q11" s="593"/>
      <c r="R11" s="593"/>
      <c r="S11" s="593"/>
      <c r="T11" s="593"/>
      <c r="U11" s="593"/>
      <c r="V11" s="593"/>
      <c r="W11" s="593"/>
      <c r="X11" s="235"/>
      <c r="Y11" s="235"/>
      <c r="Z11" s="235"/>
      <c r="AD11" s="229" t="s">
        <v>464</v>
      </c>
    </row>
    <row r="12">
      <c r="A12" s="234"/>
      <c r="B12" s="234"/>
      <c r="C12" s="234"/>
      <c r="D12" s="234"/>
      <c r="E12" s="234"/>
      <c r="F12" s="235"/>
      <c r="G12" s="593"/>
      <c r="H12" s="593"/>
      <c r="I12" s="593"/>
      <c r="J12" s="593"/>
      <c r="K12" s="593"/>
      <c r="L12" s="593"/>
      <c r="M12" s="593"/>
      <c r="N12" s="593"/>
      <c r="O12" s="593"/>
      <c r="P12" s="593"/>
      <c r="Q12" s="593"/>
      <c r="R12" s="593"/>
      <c r="S12" s="593"/>
      <c r="T12" s="593"/>
      <c r="U12" s="593"/>
      <c r="V12" s="593"/>
      <c r="W12" s="593"/>
      <c r="X12" s="235"/>
      <c r="Y12" s="235"/>
      <c r="Z12" s="235"/>
    </row>
    <row r="13" ht="20.25" customHeight="1">
      <c r="A13" s="234"/>
      <c r="B13" s="234"/>
      <c r="D13" s="234" t="s">
        <v>465</v>
      </c>
      <c r="E13" s="234"/>
      <c r="F13" s="234"/>
      <c r="G13" s="570" t="str">
        <f>AD13</f>
        <v>08 38662387</v>
      </c>
      <c r="H13" s="570"/>
      <c r="I13" s="570"/>
      <c r="J13" s="570"/>
      <c r="K13" s="570"/>
      <c r="L13" s="570"/>
      <c r="M13" s="570"/>
      <c r="N13" s="234"/>
      <c r="O13" s="234" t="s">
        <v>466</v>
      </c>
      <c r="P13" s="234"/>
      <c r="Q13" s="570" t="str">
        <f>AH13</f>
        <v>08 38662388</v>
      </c>
      <c r="R13" s="570"/>
      <c r="S13" s="570"/>
      <c r="T13" s="570"/>
      <c r="U13" s="570"/>
      <c r="V13" s="570"/>
      <c r="W13" s="570"/>
      <c r="X13" s="234"/>
      <c r="Y13" s="234"/>
      <c r="Z13" s="234"/>
      <c r="AD13" s="229" t="s">
        <v>467</v>
      </c>
      <c r="AH13" s="229" t="s">
        <v>468</v>
      </c>
    </row>
    <row r="14" ht="55.15" customHeight="1">
      <c r="A14" s="567"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67"/>
      <c r="C14" s="567"/>
      <c r="D14" s="567"/>
      <c r="E14" s="567"/>
      <c r="F14" s="567"/>
      <c r="G14" s="567"/>
      <c r="H14" s="567"/>
      <c r="I14" s="567"/>
      <c r="J14" s="567"/>
      <c r="K14" s="567"/>
      <c r="L14" s="567"/>
      <c r="M14" s="567"/>
      <c r="N14" s="567"/>
      <c r="O14" s="567"/>
      <c r="P14" s="567"/>
      <c r="Q14" s="567"/>
      <c r="R14" s="567"/>
      <c r="S14" s="567"/>
      <c r="T14" s="567"/>
      <c r="U14" s="567"/>
      <c r="V14" s="567"/>
      <c r="W14" s="567"/>
      <c r="X14" s="567"/>
      <c r="Y14" s="567"/>
      <c r="Z14" s="567"/>
      <c r="AD14" s="229" t="s">
        <v>469</v>
      </c>
      <c r="AE14" s="233" t="s">
        <v>470</v>
      </c>
      <c r="AF14" s="229">
        <f>DAY(AE14)</f>
        <v>25</v>
      </c>
      <c r="AG14" s="229">
        <f>MONTH(AE14)</f>
        <v>12</v>
      </c>
      <c r="AH14" s="229">
        <f>YEAR(AE14)</f>
        <v>2013</v>
      </c>
    </row>
    <row r="15" ht="87.75" customHeight="1">
      <c r="A15" s="568" t="s">
        <v>471</v>
      </c>
      <c r="B15" s="568"/>
      <c r="C15" s="568"/>
      <c r="D15" s="568"/>
      <c r="E15" s="568"/>
      <c r="F15" s="568"/>
      <c r="G15" s="568"/>
      <c r="H15" s="568"/>
      <c r="I15" s="568"/>
      <c r="J15" s="568"/>
      <c r="K15" s="568"/>
      <c r="L15" s="568"/>
      <c r="M15" s="568"/>
      <c r="N15" s="568"/>
      <c r="O15" s="568"/>
      <c r="P15" s="568"/>
      <c r="Q15" s="568"/>
      <c r="R15" s="568"/>
      <c r="S15" s="568"/>
      <c r="T15" s="568"/>
      <c r="U15" s="568"/>
      <c r="V15" s="568"/>
      <c r="W15" s="568"/>
      <c r="X15" s="568"/>
      <c r="Y15" s="568"/>
      <c r="Z15" s="568"/>
    </row>
    <row r="16" ht="33" customHeight="1">
      <c r="B16" s="578" t="s">
        <v>421</v>
      </c>
      <c r="C16" s="580"/>
      <c r="D16" s="578" t="s">
        <v>472</v>
      </c>
      <c r="E16" s="579"/>
      <c r="F16" s="579"/>
      <c r="G16" s="579"/>
      <c r="H16" s="579"/>
      <c r="I16" s="579"/>
      <c r="J16" s="579"/>
      <c r="K16" s="579"/>
      <c r="L16" s="579"/>
      <c r="M16" s="579"/>
      <c r="N16" s="580"/>
      <c r="O16" s="577" t="s">
        <v>473</v>
      </c>
      <c r="P16" s="577"/>
      <c r="Q16" s="577"/>
      <c r="R16" s="577" t="s">
        <v>474</v>
      </c>
      <c r="S16" s="577"/>
      <c r="T16" s="577"/>
      <c r="U16" s="577" t="s">
        <v>475</v>
      </c>
      <c r="V16" s="577"/>
      <c r="W16" s="577"/>
      <c r="X16" s="577"/>
      <c r="Y16" s="577"/>
    </row>
    <row r="17" ht="18.75" customHeight="1">
      <c r="B17" s="589">
        <v>1</v>
      </c>
      <c r="C17" s="590"/>
      <c r="D17" s="581" t="s">
        <v>476</v>
      </c>
      <c r="E17" s="582"/>
      <c r="F17" s="582"/>
      <c r="G17" s="582"/>
      <c r="H17" s="582"/>
      <c r="I17" s="582"/>
      <c r="J17" s="582"/>
      <c r="K17" s="582"/>
      <c r="L17" s="582"/>
      <c r="M17" s="582"/>
      <c r="N17" s="582"/>
      <c r="O17" s="583">
        <v>50000</v>
      </c>
      <c r="P17" s="584"/>
      <c r="Q17" s="585"/>
      <c r="R17" s="574">
        <f>AD17</f>
        <v>1</v>
      </c>
      <c r="S17" s="575"/>
      <c r="T17" s="576"/>
      <c r="U17" s="583">
        <f>O17*R17</f>
        <v>50000</v>
      </c>
      <c r="V17" s="584"/>
      <c r="W17" s="584"/>
      <c r="X17" s="584"/>
      <c r="Y17" s="585"/>
      <c r="AD17" s="229">
        <v>1</v>
      </c>
    </row>
    <row r="18" ht="18.75" customHeight="1">
      <c r="B18" s="578" t="s">
        <v>477</v>
      </c>
      <c r="C18" s="579"/>
      <c r="D18" s="579"/>
      <c r="E18" s="579"/>
      <c r="F18" s="579"/>
      <c r="G18" s="579"/>
      <c r="H18" s="579"/>
      <c r="I18" s="579"/>
      <c r="J18" s="579"/>
      <c r="K18" s="579"/>
      <c r="L18" s="579"/>
      <c r="M18" s="579"/>
      <c r="N18" s="579"/>
      <c r="O18" s="579"/>
      <c r="P18" s="579"/>
      <c r="Q18" s="579"/>
      <c r="R18" s="579"/>
      <c r="S18" s="579"/>
      <c r="T18" s="580"/>
      <c r="U18" s="586">
        <f>U17</f>
        <v>50000</v>
      </c>
      <c r="V18" s="587"/>
      <c r="W18" s="587"/>
      <c r="X18" s="587"/>
      <c r="Y18" s="588"/>
      <c r="AD18" s="236">
        <f>U18</f>
        <v>50000</v>
      </c>
    </row>
    <row r="19">
      <c r="B19" s="574" t="str">
        <f>"Bằng chữ: "&amp;AD19</f>
        <v>Bằng chữ: Ba triệu năm trăm ngàn đồng chẵn.</v>
      </c>
      <c r="C19" s="575"/>
      <c r="D19" s="575"/>
      <c r="E19" s="575"/>
      <c r="F19" s="575"/>
      <c r="G19" s="575"/>
      <c r="H19" s="575"/>
      <c r="I19" s="575"/>
      <c r="J19" s="575"/>
      <c r="K19" s="575"/>
      <c r="L19" s="575"/>
      <c r="M19" s="575"/>
      <c r="N19" s="575"/>
      <c r="O19" s="575"/>
      <c r="P19" s="575"/>
      <c r="Q19" s="575"/>
      <c r="R19" s="575"/>
      <c r="S19" s="575"/>
      <c r="T19" s="575"/>
      <c r="U19" s="575"/>
      <c r="V19" s="575"/>
      <c r="W19" s="575"/>
      <c r="X19" s="575"/>
      <c r="Y19" s="576"/>
      <c r="AD19" s="229" t="s">
        <v>478</v>
      </c>
    </row>
    <row r="20" ht="7.5" customHeight="1"/>
    <row r="21" ht="18" customHeight="1">
      <c r="B21" s="573" t="s">
        <v>479</v>
      </c>
      <c r="C21" s="573"/>
      <c r="D21" s="573"/>
      <c r="E21" s="573"/>
      <c r="F21" s="573"/>
      <c r="G21" s="573"/>
      <c r="H21" s="573"/>
      <c r="I21" s="573"/>
      <c r="J21" s="573" t="s">
        <v>480</v>
      </c>
      <c r="K21" s="573"/>
      <c r="L21" s="573"/>
      <c r="M21" s="573"/>
      <c r="N21" s="573"/>
      <c r="O21" s="573"/>
      <c r="P21" s="573"/>
      <c r="Q21" s="573"/>
      <c r="R21" s="573"/>
      <c r="S21" s="573"/>
      <c r="T21" s="573"/>
      <c r="U21" s="573"/>
      <c r="V21" s="573"/>
      <c r="W21" s="573"/>
      <c r="X21" s="573"/>
      <c r="Y21" s="573"/>
    </row>
    <row r="22" ht="18.75" customHeight="1">
      <c r="B22" s="573" t="s">
        <v>481</v>
      </c>
      <c r="C22" s="573"/>
      <c r="D22" s="573"/>
      <c r="E22" s="573"/>
      <c r="F22" s="573"/>
      <c r="G22" s="573"/>
      <c r="H22" s="573"/>
      <c r="I22" s="573"/>
      <c r="J22" s="573" t="s">
        <v>51</v>
      </c>
      <c r="K22" s="573"/>
      <c r="L22" s="573"/>
      <c r="M22" s="573"/>
      <c r="N22" s="573"/>
      <c r="O22" s="573"/>
      <c r="P22" s="573"/>
      <c r="Q22" s="573"/>
      <c r="R22" s="573"/>
      <c r="S22" s="573"/>
      <c r="T22" s="573"/>
      <c r="U22" s="573"/>
      <c r="V22" s="573"/>
      <c r="W22" s="573"/>
      <c r="X22" s="573"/>
      <c r="Y22" s="573"/>
    </row>
    <row r="23" ht="18" customHeight="1">
      <c r="B23" s="595"/>
      <c r="C23" s="595"/>
      <c r="D23" s="595"/>
      <c r="E23" s="595"/>
      <c r="F23" s="595"/>
      <c r="G23" s="595"/>
      <c r="H23" s="595"/>
      <c r="I23" s="595"/>
      <c r="J23" s="573" t="s">
        <v>482</v>
      </c>
      <c r="K23" s="573"/>
      <c r="L23" s="573"/>
      <c r="M23" s="573"/>
      <c r="N23" s="573"/>
      <c r="O23" s="573"/>
      <c r="P23" s="573"/>
      <c r="Q23" s="573"/>
      <c r="R23" s="573"/>
      <c r="S23" s="573"/>
      <c r="T23" s="573"/>
      <c r="U23" s="573"/>
      <c r="V23" s="573"/>
      <c r="W23" s="573"/>
      <c r="X23" s="573"/>
      <c r="Y23" s="573"/>
    </row>
    <row r="24" ht="16.5" customHeight="1">
      <c r="B24" s="573" t="s">
        <v>483</v>
      </c>
      <c r="C24" s="573"/>
      <c r="D24" s="573"/>
      <c r="E24" s="573"/>
      <c r="F24" s="573"/>
      <c r="G24" s="573"/>
      <c r="H24" s="573"/>
      <c r="I24" s="573"/>
      <c r="J24" s="573" t="s">
        <v>484</v>
      </c>
      <c r="K24" s="573"/>
      <c r="L24" s="573"/>
      <c r="M24" s="573"/>
      <c r="N24" s="573"/>
      <c r="O24" s="573"/>
      <c r="P24" s="573"/>
      <c r="Q24" s="573"/>
      <c r="R24" s="573"/>
      <c r="S24" s="573"/>
      <c r="T24" s="573"/>
      <c r="U24" s="573"/>
      <c r="V24" s="573"/>
      <c r="W24" s="573"/>
      <c r="X24" s="573"/>
      <c r="Y24" s="573"/>
    </row>
    <row r="25" ht="17.25" customHeight="1">
      <c r="J25" s="573" t="s">
        <v>485</v>
      </c>
      <c r="K25" s="573"/>
      <c r="L25" s="573"/>
      <c r="M25" s="573"/>
      <c r="N25" s="573"/>
      <c r="O25" s="573"/>
      <c r="P25" s="573"/>
      <c r="Q25" s="573"/>
      <c r="R25" s="573"/>
      <c r="S25" s="573"/>
      <c r="T25" s="573"/>
      <c r="U25" s="573"/>
      <c r="V25" s="573"/>
      <c r="W25" s="573"/>
      <c r="X25" s="573"/>
      <c r="Y25" s="573"/>
    </row>
    <row r="26" ht="47.25" customHeight="1">
      <c r="A26" s="567" t="s">
        <v>486</v>
      </c>
      <c r="B26" s="567"/>
      <c r="C26" s="567"/>
      <c r="D26" s="567"/>
      <c r="E26" s="567"/>
      <c r="F26" s="567"/>
      <c r="G26" s="567"/>
      <c r="H26" s="567"/>
      <c r="I26" s="567"/>
      <c r="J26" s="567"/>
      <c r="K26" s="567"/>
      <c r="L26" s="567"/>
      <c r="M26" s="567"/>
      <c r="N26" s="567"/>
      <c r="O26" s="567"/>
      <c r="P26" s="567"/>
      <c r="Q26" s="567"/>
      <c r="R26" s="567"/>
      <c r="S26" s="567"/>
      <c r="T26" s="567"/>
      <c r="U26" s="567"/>
      <c r="V26" s="567"/>
      <c r="W26" s="567"/>
      <c r="X26" s="567"/>
      <c r="Y26" s="567"/>
      <c r="Z26" s="567"/>
    </row>
    <row r="27" ht="14.25" customHeight="1">
      <c r="AD27" s="237"/>
      <c r="AE27" s="237" t="s">
        <v>119</v>
      </c>
      <c r="AF27" s="237"/>
      <c r="AG27" s="229" t="s">
        <v>120</v>
      </c>
      <c r="AI27" s="237" t="s">
        <v>121</v>
      </c>
      <c r="AK27" s="237"/>
      <c r="AL27" s="237"/>
      <c r="AN27" s="237"/>
      <c r="AO27" s="237"/>
      <c r="AP27" s="237"/>
      <c r="AQ27" s="237"/>
      <c r="AR27" s="237"/>
    </row>
    <row r="28" ht="16.5">
      <c r="A28" s="594" t="s">
        <v>487</v>
      </c>
      <c r="B28" s="594"/>
      <c r="C28" s="594"/>
      <c r="D28" s="594"/>
      <c r="E28" s="594"/>
      <c r="F28" s="594"/>
      <c r="G28" s="594"/>
      <c r="H28" s="594"/>
      <c r="I28" s="594"/>
      <c r="J28" s="594"/>
      <c r="K28" s="594"/>
      <c r="L28" s="594"/>
      <c r="M28" s="594"/>
      <c r="O28" s="566" t="str">
        <f>IF(AD34=0,AG27,IF(AD34=1,AE27,AI27))</f>
        <v>KT. GIÁM ĐỐC</v>
      </c>
      <c r="P28" s="566"/>
      <c r="Q28" s="566"/>
      <c r="R28" s="566"/>
      <c r="S28" s="566"/>
      <c r="T28" s="566"/>
      <c r="U28" s="566"/>
      <c r="V28" s="566"/>
      <c r="W28" s="566"/>
      <c r="X28" s="566"/>
      <c r="Y28" s="566"/>
      <c r="Z28" s="566"/>
      <c r="AD28" s="237"/>
      <c r="AF28" s="237"/>
      <c r="AG28" s="237" t="s">
        <v>125</v>
      </c>
      <c r="AH28" s="237"/>
      <c r="AI28" s="237" t="s">
        <v>126</v>
      </c>
      <c r="AK28" s="237"/>
      <c r="AL28" s="237"/>
      <c r="AN28" s="237"/>
      <c r="AO28" s="237"/>
      <c r="AP28" s="237"/>
      <c r="AQ28" s="237"/>
      <c r="AR28" s="237"/>
    </row>
    <row r="29">
      <c r="A29" s="238" t="s">
        <v>488</v>
      </c>
      <c r="B29" s="234"/>
      <c r="C29" s="234"/>
      <c r="D29" s="234"/>
      <c r="E29" s="234"/>
      <c r="F29" s="234"/>
      <c r="O29" s="591" t="str">
        <f>IF(AD34=0,AG28,IF(AD34=1,"",AI28))</f>
        <v>PHÓ GIÁM ĐỐC</v>
      </c>
      <c r="P29" s="591"/>
      <c r="Q29" s="591"/>
      <c r="R29" s="591"/>
      <c r="S29" s="591"/>
      <c r="T29" s="591"/>
      <c r="U29" s="591"/>
      <c r="V29" s="591"/>
      <c r="W29" s="591"/>
      <c r="X29" s="591"/>
      <c r="Y29" s="591"/>
      <c r="Z29" s="591"/>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489</v>
      </c>
      <c r="AE30" s="237"/>
      <c r="AF30" s="237"/>
      <c r="AG30" s="237"/>
      <c r="AH30" s="237"/>
      <c r="AI30" s="237"/>
      <c r="AK30" s="237"/>
      <c r="AL30" s="237"/>
      <c r="AM30" s="237"/>
      <c r="AN30" s="237"/>
      <c r="AO30" s="237"/>
      <c r="AP30" s="237"/>
      <c r="AQ30" s="237"/>
      <c r="AR30" s="237"/>
    </row>
    <row r="31" ht="16.5" customHeight="1">
      <c r="A31" s="238" t="str">
        <f>IF(AD34=1,"",AD31)</f>
        <v>-    Lưu: PTH, PKĐ.</v>
      </c>
      <c r="AD31" s="238" t="s">
        <v>490</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66" t="str">
        <f>IF(AD34=0,AG34,IF(AD34=1,AE34,AI34))</f>
        <v>Trần Công Khanh</v>
      </c>
      <c r="P34" s="566"/>
      <c r="Q34" s="566"/>
      <c r="R34" s="566"/>
      <c r="S34" s="566"/>
      <c r="T34" s="566"/>
      <c r="U34" s="566"/>
      <c r="V34" s="566"/>
      <c r="W34" s="566"/>
      <c r="X34" s="566"/>
      <c r="Y34" s="566"/>
      <c r="Z34" s="566"/>
      <c r="AD34" s="237">
        <v>0</v>
      </c>
      <c r="AE34" s="237" t="s">
        <v>129</v>
      </c>
      <c r="AF34" s="237"/>
      <c r="AG34" s="237" t="s">
        <v>130</v>
      </c>
      <c r="AH34" s="237"/>
      <c r="AI34" s="237" t="s">
        <v>131</v>
      </c>
      <c r="AK34" s="237"/>
      <c r="AL34" s="237"/>
      <c r="AM34" s="237"/>
      <c r="AO34" s="237"/>
      <c r="AP34" s="237"/>
      <c r="AQ34" s="237"/>
      <c r="AR34" s="237"/>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596" t="s">
        <v>491</v>
      </c>
      <c r="B1" s="596"/>
      <c r="C1" s="596"/>
      <c r="D1" s="596"/>
      <c r="E1" s="596" t="s">
        <v>491</v>
      </c>
      <c r="F1" s="596"/>
      <c r="G1" s="596"/>
      <c r="H1" s="596"/>
      <c r="I1" s="596"/>
      <c r="J1" s="596"/>
      <c r="K1" s="596"/>
      <c r="L1" s="596"/>
      <c r="M1" s="596"/>
    </row>
    <row r="2" ht="15.75" customHeight="1">
      <c r="A2" s="597" t="s">
        <v>492</v>
      </c>
      <c r="B2" s="597"/>
      <c r="C2" s="597"/>
      <c r="D2" s="597"/>
      <c r="E2" s="597" t="s">
        <v>493</v>
      </c>
      <c r="F2" s="597"/>
      <c r="G2" s="597"/>
      <c r="H2" s="597"/>
      <c r="I2" s="597"/>
      <c r="J2" s="597"/>
      <c r="K2" s="597"/>
      <c r="L2" s="597"/>
      <c r="M2" s="597"/>
    </row>
    <row r="3" ht="15.75" customHeight="1" s="240" customFormat="1">
      <c r="A3" s="598"/>
      <c r="B3" s="598"/>
      <c r="C3" s="598"/>
      <c r="D3" s="598"/>
    </row>
    <row r="4" ht="52.5">
      <c r="A4" s="241" t="s">
        <v>421</v>
      </c>
      <c r="B4" s="241" t="s">
        <v>94</v>
      </c>
      <c r="C4" s="241" t="s">
        <v>92</v>
      </c>
      <c r="D4" s="304" t="s">
        <v>494</v>
      </c>
      <c r="E4" s="242" t="s">
        <v>421</v>
      </c>
      <c r="F4" s="242" t="s">
        <v>422</v>
      </c>
      <c r="G4" s="242" t="s">
        <v>94</v>
      </c>
      <c r="H4" s="242" t="s">
        <v>92</v>
      </c>
      <c r="I4" s="242" t="s">
        <v>423</v>
      </c>
      <c r="J4" s="242" t="s">
        <v>424</v>
      </c>
      <c r="K4" s="242" t="s">
        <v>425</v>
      </c>
      <c r="L4" s="242" t="s">
        <v>426</v>
      </c>
      <c r="M4" s="242" t="s">
        <v>427</v>
      </c>
    </row>
    <row r="5" ht="63.75">
      <c r="A5" s="243">
        <v>1</v>
      </c>
      <c r="B5" s="243" t="s">
        <v>495</v>
      </c>
      <c r="C5" s="244" t="s">
        <v>496</v>
      </c>
      <c r="D5" s="243" t="s">
        <v>497</v>
      </c>
      <c r="E5" s="245">
        <f>A5</f>
        <v>1</v>
      </c>
      <c r="F5" s="246"/>
      <c r="G5" s="246">
        <v>43423</v>
      </c>
      <c r="H5" s="247" t="str">
        <f>C5</f>
        <v>Số 47, đường Hoàng Văn Thụ, khu dân cư Chánh Nghĩa, phường Chánh Nghĩa, thành phố Thủ Dầu Một, tỉnh Bình Dương.</v>
      </c>
      <c r="I5" s="246" t="s">
        <v>498</v>
      </c>
      <c r="J5" s="245">
        <v>0</v>
      </c>
      <c r="K5" s="246">
        <v>0</v>
      </c>
      <c r="L5" s="245"/>
      <c r="M5" s="246" t="str">
        <f>D5</f>
        <v>B00300040319TG05</v>
      </c>
    </row>
    <row r="6" ht="51">
      <c r="A6" s="243">
        <v>2</v>
      </c>
      <c r="B6" s="243" t="s">
        <v>499</v>
      </c>
      <c r="C6" s="244" t="s">
        <v>500</v>
      </c>
      <c r="D6" s="243" t="s">
        <v>501</v>
      </c>
      <c r="E6" s="245">
        <f ref="E6:E10" t="shared" si="0">A6</f>
        <v>2</v>
      </c>
      <c r="F6" s="246"/>
      <c r="G6" s="246">
        <v>43423</v>
      </c>
      <c r="H6" s="247" t="str">
        <f ref="H6:H10" t="shared" si="1">C6</f>
        <v>Số 74, đường Bùi Quốc Khánh, phường Chánh Nghĩa, thành phố Thủ Dầu Một, tỉnh Bình Dương.</v>
      </c>
      <c r="I6" s="246" t="s">
        <v>502</v>
      </c>
      <c r="J6" s="245">
        <v>0</v>
      </c>
      <c r="K6" s="246">
        <v>0</v>
      </c>
      <c r="L6" s="245"/>
      <c r="M6" s="246" t="str">
        <f ref="M6:M10" t="shared" si="2">D6</f>
        <v>B00301040319TG05</v>
      </c>
    </row>
    <row r="7" ht="51">
      <c r="A7" s="243">
        <v>3</v>
      </c>
      <c r="B7" s="243" t="s">
        <v>503</v>
      </c>
      <c r="C7" s="244" t="s">
        <v>504</v>
      </c>
      <c r="D7" s="243" t="s">
        <v>505</v>
      </c>
      <c r="E7" s="245">
        <f t="shared" si="0"/>
        <v>3</v>
      </c>
      <c r="F7" s="246"/>
      <c r="G7" s="246">
        <v>43423</v>
      </c>
      <c r="H7" s="247" t="str">
        <f t="shared" si="1"/>
        <v>Số 104/6, đường Bàu Bàng, phường Chánh Nghĩa, thành phố Thủ Dầu Một, tỉnh Bình Dương.</v>
      </c>
      <c r="I7" s="246" t="s">
        <v>506</v>
      </c>
      <c r="J7" s="245">
        <v>0</v>
      </c>
      <c r="K7" s="246">
        <v>0</v>
      </c>
      <c r="L7" s="245"/>
      <c r="M7" s="246" t="str">
        <f t="shared" si="2"/>
        <v>B00302040319TG05</v>
      </c>
    </row>
    <row r="8" ht="51">
      <c r="A8" s="243">
        <v>4</v>
      </c>
      <c r="B8" s="243" t="s">
        <v>507</v>
      </c>
      <c r="C8" s="244" t="s">
        <v>508</v>
      </c>
      <c r="D8" s="243" t="s">
        <v>509</v>
      </c>
      <c r="E8" s="245">
        <f t="shared" si="0"/>
        <v>4</v>
      </c>
      <c r="F8" s="246"/>
      <c r="G8" s="246">
        <v>43423</v>
      </c>
      <c r="H8" s="247" t="str">
        <f t="shared" si="1"/>
        <v>Số 3, đường Chùa Hội Khánh, phường Phú Cường, thành phố Thủ Dầu Một, tỉnh Bình Dương.</v>
      </c>
      <c r="I8" s="246" t="s">
        <v>510</v>
      </c>
      <c r="J8" s="245">
        <v>0</v>
      </c>
      <c r="K8" s="246">
        <v>0</v>
      </c>
      <c r="L8" s="245"/>
      <c r="M8" s="246" t="str">
        <f t="shared" si="2"/>
        <v>B00303040319TG05</v>
      </c>
    </row>
    <row r="9" ht="51">
      <c r="A9" s="243">
        <v>5</v>
      </c>
      <c r="B9" s="243" t="s">
        <v>511</v>
      </c>
      <c r="C9" s="244" t="s">
        <v>512</v>
      </c>
      <c r="D9" s="243" t="s">
        <v>513</v>
      </c>
      <c r="E9" s="245">
        <f t="shared" si="0"/>
        <v>5</v>
      </c>
      <c r="F9" s="246"/>
      <c r="G9" s="246">
        <v>43423</v>
      </c>
      <c r="H9" s="247" t="str">
        <f t="shared" si="1"/>
        <v>Số 54-D2, khu dân cư Phú Hòa, phường Phú Hòa, thành phố Thủ Dầu Một, tỉnh Bình Dương.</v>
      </c>
      <c r="I9" s="246" t="s">
        <v>514</v>
      </c>
      <c r="J9" s="245">
        <v>0</v>
      </c>
      <c r="K9" s="246">
        <v>0</v>
      </c>
      <c r="L9" s="245"/>
      <c r="M9" s="246" t="str">
        <f t="shared" si="2"/>
        <v>B00304040319TG05</v>
      </c>
    </row>
    <row r="10" ht="51">
      <c r="A10" s="243">
        <v>6</v>
      </c>
      <c r="B10" s="243" t="s">
        <v>515</v>
      </c>
      <c r="C10" s="244" t="s">
        <v>516</v>
      </c>
      <c r="D10" s="243" t="s">
        <v>517</v>
      </c>
      <c r="E10" s="245">
        <f t="shared" si="0"/>
        <v>6</v>
      </c>
      <c r="F10" s="246"/>
      <c r="G10" s="246">
        <v>43423</v>
      </c>
      <c r="H10" s="247" t="str">
        <f t="shared" si="1"/>
        <v>Số 108/15, đường 30 Tháng 4, khu phố 2, phường Phú Hòa, thành phố Thủ Dầu Một, tỉnh Bình Dương.</v>
      </c>
      <c r="I10" s="246" t="s">
        <v>518</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48"/>
    <col min="10" max="16384" width="9.140625" customWidth="1" style="205"/>
  </cols>
  <sheetData>
    <row r="1" ht="7.5" customHeight="1">
      <c r="A1" s="202"/>
      <c r="B1" s="202"/>
      <c r="C1" s="203"/>
      <c r="D1" s="202"/>
      <c r="E1" s="202"/>
      <c r="F1" s="202"/>
      <c r="G1" s="248"/>
      <c r="H1" s="202"/>
    </row>
    <row r="2">
      <c r="C2" s="599" t="s">
        <v>519</v>
      </c>
      <c r="D2" s="599"/>
      <c r="E2" s="599"/>
      <c r="F2" s="599"/>
      <c r="G2" s="599"/>
    </row>
    <row r="3" ht="9.75" customHeight="1">
      <c r="A3" s="250"/>
      <c r="B3" s="250"/>
      <c r="C3" s="251"/>
      <c r="D3" s="250"/>
      <c r="E3" s="250"/>
      <c r="F3" s="250"/>
      <c r="G3" s="252"/>
      <c r="H3" s="250"/>
    </row>
    <row r="4" ht="36" customHeight="1">
      <c r="A4" s="253" t="s">
        <v>421</v>
      </c>
      <c r="B4" s="256" t="s">
        <v>520</v>
      </c>
      <c r="C4" s="254" t="s">
        <v>92</v>
      </c>
      <c r="D4" s="253" t="s">
        <v>521</v>
      </c>
      <c r="E4" s="255" t="s">
        <v>522</v>
      </c>
      <c r="F4" s="255" t="s">
        <v>523</v>
      </c>
      <c r="G4" s="256" t="s">
        <v>524</v>
      </c>
      <c r="H4" s="256" t="s">
        <v>525</v>
      </c>
      <c r="I4" s="255" t="s">
        <v>526</v>
      </c>
    </row>
    <row r="5" ht="45" s="331" customFormat="1">
      <c r="A5" s="305">
        <v>1</v>
      </c>
      <c r="B5" s="305" t="s">
        <v>527</v>
      </c>
      <c r="C5" s="306" t="s">
        <v>528</v>
      </c>
      <c r="D5" s="307" t="s">
        <v>6</v>
      </c>
      <c r="E5" s="305" t="s">
        <v>529</v>
      </c>
      <c r="F5" s="305" t="s">
        <v>530</v>
      </c>
      <c r="G5" s="308">
        <v>43423</v>
      </c>
      <c r="H5" s="305">
        <v>3</v>
      </c>
      <c r="I5" s="309" t="s">
        <v>531</v>
      </c>
    </row>
    <row r="6" ht="45" s="331" customFormat="1">
      <c r="A6" s="305">
        <v>2</v>
      </c>
      <c r="B6" s="305" t="s">
        <v>532</v>
      </c>
      <c r="C6" s="306" t="s">
        <v>533</v>
      </c>
      <c r="D6" s="307" t="s">
        <v>6</v>
      </c>
      <c r="E6" s="305" t="s">
        <v>534</v>
      </c>
      <c r="F6" s="305" t="s">
        <v>535</v>
      </c>
      <c r="G6" s="308">
        <v>43423</v>
      </c>
      <c r="H6" s="305">
        <v>4</v>
      </c>
      <c r="I6" s="309" t="s">
        <v>536</v>
      </c>
    </row>
    <row r="7" ht="45" s="331" customFormat="1">
      <c r="A7" s="305">
        <v>3</v>
      </c>
      <c r="B7" s="305" t="s">
        <v>537</v>
      </c>
      <c r="C7" s="306" t="s">
        <v>538</v>
      </c>
      <c r="D7" s="307" t="s">
        <v>6</v>
      </c>
      <c r="E7" s="305" t="s">
        <v>539</v>
      </c>
      <c r="F7" s="305" t="s">
        <v>540</v>
      </c>
      <c r="G7" s="308">
        <v>43423</v>
      </c>
      <c r="H7" s="305">
        <v>3</v>
      </c>
      <c r="I7" s="309" t="s">
        <v>531</v>
      </c>
    </row>
    <row r="8" ht="45" s="331" customFormat="1">
      <c r="A8" s="305">
        <v>4</v>
      </c>
      <c r="B8" s="305" t="s">
        <v>541</v>
      </c>
      <c r="C8" s="306" t="s">
        <v>542</v>
      </c>
      <c r="D8" s="307" t="s">
        <v>6</v>
      </c>
      <c r="E8" s="305" t="s">
        <v>543</v>
      </c>
      <c r="F8" s="305" t="s">
        <v>544</v>
      </c>
      <c r="G8" s="308">
        <v>43423</v>
      </c>
      <c r="H8" s="305">
        <v>4</v>
      </c>
      <c r="I8" s="309" t="s">
        <v>536</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35" t="s">
        <v>83</v>
      </c>
      <c r="C1" s="635"/>
      <c r="D1" s="635"/>
      <c r="E1" s="635"/>
      <c r="F1" s="635"/>
      <c r="G1" s="635"/>
      <c r="H1" s="635"/>
      <c r="I1" s="635"/>
      <c r="J1" s="635"/>
      <c r="K1" s="635"/>
      <c r="L1" s="635"/>
      <c r="M1" s="635"/>
      <c r="P1" s="626" t="s">
        <v>84</v>
      </c>
      <c r="Q1" s="626"/>
      <c r="R1" s="626"/>
      <c r="S1" s="626"/>
      <c r="T1" s="626"/>
      <c r="U1" s="626"/>
      <c r="V1" s="626"/>
      <c r="W1" s="626"/>
      <c r="X1" s="626"/>
      <c r="Y1" s="626"/>
      <c r="Z1" s="626"/>
      <c r="AA1" s="626"/>
      <c r="AB1" s="626"/>
      <c r="AC1" s="626"/>
      <c r="AD1" s="626"/>
      <c r="AE1" s="257"/>
    </row>
    <row r="2" ht="19.7" customHeight="1">
      <c r="C2" s="635" t="s">
        <v>85</v>
      </c>
      <c r="D2" s="635"/>
      <c r="E2" s="635"/>
      <c r="F2" s="635"/>
      <c r="G2" s="635"/>
      <c r="H2" s="635"/>
      <c r="I2" s="635"/>
      <c r="J2" s="635"/>
      <c r="K2" s="635"/>
      <c r="L2" s="635"/>
      <c r="N2" s="258"/>
      <c r="P2" s="627" t="s">
        <v>86</v>
      </c>
      <c r="Q2" s="627"/>
      <c r="R2" s="627"/>
      <c r="S2" s="627"/>
      <c r="T2" s="627"/>
      <c r="U2" s="627"/>
      <c r="V2" s="627"/>
      <c r="W2" s="627"/>
      <c r="X2" s="627"/>
      <c r="Y2" s="627"/>
      <c r="Z2" s="627"/>
      <c r="AA2" s="627"/>
      <c r="AB2" s="627"/>
      <c r="AC2" s="627"/>
      <c r="AD2" s="627"/>
    </row>
    <row r="3" ht="12" customHeight="1">
      <c r="C3" s="260"/>
      <c r="D3" s="260"/>
      <c r="E3" s="261"/>
      <c r="F3" s="261"/>
      <c r="G3" s="261"/>
      <c r="H3" s="261"/>
      <c r="I3" s="261"/>
      <c r="J3" s="261"/>
      <c r="K3" s="260"/>
      <c r="L3" s="550"/>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36" t="str">
        <f>"Số: "&amp;AG9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G9" s="271" t="s">
        <v>89</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29" t="s">
        <v>88</v>
      </c>
      <c r="D15" s="630"/>
      <c r="E15" s="630"/>
      <c r="F15" s="630"/>
      <c r="G15" s="630"/>
      <c r="H15" s="630"/>
      <c r="I15" s="630"/>
      <c r="J15" s="630"/>
      <c r="K15" s="630"/>
      <c r="L15" s="630"/>
      <c r="M15" s="630"/>
      <c r="N15" s="630"/>
      <c r="O15" s="630"/>
      <c r="P15" s="630"/>
      <c r="Q15" s="630"/>
      <c r="R15" s="630"/>
      <c r="S15" s="630"/>
      <c r="T15" s="630"/>
      <c r="U15" s="630"/>
      <c r="V15" s="630"/>
      <c r="W15" s="630"/>
      <c r="X15" s="630"/>
      <c r="Y15" s="630"/>
      <c r="Z15" s="630"/>
      <c r="AA15" s="630"/>
      <c r="AB15" s="630"/>
      <c r="AC15" s="630"/>
      <c r="AD15" s="631"/>
      <c r="AE15" s="275"/>
      <c r="AG15" s="276">
        <v>1</v>
      </c>
      <c r="AH15" s="276"/>
      <c r="AI15" s="276"/>
      <c r="AJ15" s="276"/>
      <c r="AK15" s="276">
        <v>2</v>
      </c>
      <c r="AL15" s="276"/>
      <c r="AM15" s="276"/>
      <c r="AN15" s="276"/>
      <c r="AO15" s="276">
        <v>3</v>
      </c>
      <c r="AS15" s="237">
        <v>4</v>
      </c>
    </row>
    <row r="16" ht="40.5" customHeight="1">
      <c r="C16" s="610" t="s">
        <v>92</v>
      </c>
      <c r="D16" s="611"/>
      <c r="E16" s="611"/>
      <c r="F16" s="611"/>
      <c r="G16" s="611"/>
      <c r="H16" s="611"/>
      <c r="I16" s="611"/>
      <c r="J16" s="611"/>
      <c r="K16" s="611"/>
      <c r="L16" s="612"/>
      <c r="M16" s="637" t="str">
        <f>AG16</f>
        <v>Ấp Bàu Trâu, xã Phước Thạnh, huyện Củ Chi, thành phố Hồ Chí Minh.</v>
      </c>
      <c r="N16" s="638"/>
      <c r="O16" s="638"/>
      <c r="P16" s="638"/>
      <c r="Q16" s="638"/>
      <c r="R16" s="638"/>
      <c r="S16" s="638"/>
      <c r="T16" s="638"/>
      <c r="U16" s="638"/>
      <c r="V16" s="638"/>
      <c r="W16" s="638"/>
      <c r="X16" s="638"/>
      <c r="Y16" s="638"/>
      <c r="Z16" s="638"/>
      <c r="AA16" s="638"/>
      <c r="AB16" s="638"/>
      <c r="AC16" s="638"/>
      <c r="AD16" s="639"/>
      <c r="AE16" s="275"/>
      <c r="AG16" s="277" t="s">
        <v>93</v>
      </c>
    </row>
    <row r="17" ht="19.5" customHeight="1">
      <c r="C17" s="610" t="s">
        <v>94</v>
      </c>
      <c r="D17" s="611"/>
      <c r="E17" s="611"/>
      <c r="F17" s="611"/>
      <c r="G17" s="611"/>
      <c r="H17" s="611"/>
      <c r="I17" s="611"/>
      <c r="J17" s="611"/>
      <c r="K17" s="611"/>
      <c r="L17" s="612"/>
      <c r="M17" s="605" t="str">
        <f>IF(AG17="","",AG17)</f>
      </c>
      <c r="N17" s="606"/>
      <c r="O17" s="606"/>
      <c r="P17" s="606"/>
      <c r="Q17" s="606"/>
      <c r="R17" s="606"/>
      <c r="S17" s="606"/>
      <c r="T17" s="606"/>
      <c r="U17" s="606"/>
      <c r="V17" s="606"/>
      <c r="W17" s="606"/>
      <c r="X17" s="606"/>
      <c r="Y17" s="606"/>
      <c r="Z17" s="606"/>
      <c r="AA17" s="606"/>
      <c r="AB17" s="606"/>
      <c r="AC17" s="606"/>
      <c r="AD17" s="607"/>
      <c r="AE17" s="275"/>
    </row>
    <row r="18" ht="33.95" customHeight="1">
      <c r="C18" s="632" t="s">
        <v>95</v>
      </c>
      <c r="D18" s="633"/>
      <c r="E18" s="633"/>
      <c r="F18" s="633"/>
      <c r="G18" s="633"/>
      <c r="H18" s="633"/>
      <c r="I18" s="633"/>
      <c r="J18" s="633"/>
      <c r="K18" s="633"/>
      <c r="L18" s="634"/>
      <c r="M18" s="605" t="str">
        <f>AG18</f>
        <v>CÔNG TY CỔ PHẦN VIỄN THÔNG DI ĐỘNG TOÀN CẦU</v>
      </c>
      <c r="N18" s="606"/>
      <c r="O18" s="606"/>
      <c r="P18" s="606"/>
      <c r="Q18" s="606"/>
      <c r="R18" s="606"/>
      <c r="S18" s="606"/>
      <c r="T18" s="606"/>
      <c r="U18" s="606"/>
      <c r="V18" s="606"/>
      <c r="W18" s="606"/>
      <c r="X18" s="606"/>
      <c r="Y18" s="606"/>
      <c r="Z18" s="606"/>
      <c r="AA18" s="606"/>
      <c r="AB18" s="606"/>
      <c r="AC18" s="606"/>
      <c r="AD18" s="607"/>
      <c r="AE18" s="275"/>
      <c r="AG18" s="271" t="s">
        <v>96</v>
      </c>
    </row>
    <row r="19" ht="33.95" customHeight="1">
      <c r="C19" s="632" t="s">
        <v>97</v>
      </c>
      <c r="D19" s="633"/>
      <c r="E19" s="633"/>
      <c r="F19" s="633"/>
      <c r="G19" s="633"/>
      <c r="H19" s="633"/>
      <c r="I19" s="633"/>
      <c r="J19" s="633"/>
      <c r="K19" s="633"/>
      <c r="L19" s="634"/>
      <c r="M19" s="605" t="str">
        <f>AG19</f>
        <v>CÔNG TY CỔ PHẦN VIỄN THÔNG DI ĐỘNG TOÀN CẦU</v>
      </c>
      <c r="N19" s="606"/>
      <c r="O19" s="606"/>
      <c r="P19" s="606"/>
      <c r="Q19" s="606"/>
      <c r="R19" s="606"/>
      <c r="S19" s="606"/>
      <c r="T19" s="606"/>
      <c r="U19" s="606"/>
      <c r="V19" s="606"/>
      <c r="W19" s="606"/>
      <c r="X19" s="606"/>
      <c r="Y19" s="606"/>
      <c r="Z19" s="606"/>
      <c r="AA19" s="606"/>
      <c r="AB19" s="606"/>
      <c r="AC19" s="606"/>
      <c r="AD19" s="607"/>
      <c r="AE19" s="278"/>
      <c r="AG19" s="271" t="s">
        <v>96</v>
      </c>
    </row>
    <row r="20" ht="21" customHeight="1">
      <c r="C20" s="619" t="s">
        <v>98</v>
      </c>
      <c r="D20" s="620"/>
      <c r="E20" s="620"/>
      <c r="F20" s="620"/>
      <c r="G20" s="620"/>
      <c r="H20" s="620"/>
      <c r="I20" s="620"/>
      <c r="J20" s="620"/>
      <c r="K20" s="620"/>
      <c r="L20" s="620"/>
      <c r="M20" s="620"/>
      <c r="N20" s="620"/>
      <c r="O20" s="620"/>
      <c r="P20" s="620"/>
      <c r="Q20" s="620"/>
      <c r="R20" s="620"/>
      <c r="S20" s="620"/>
      <c r="T20" s="620"/>
      <c r="U20" s="620"/>
      <c r="V20" s="620"/>
      <c r="W20" s="620"/>
      <c r="X20" s="620"/>
      <c r="Y20" s="620"/>
      <c r="Z20" s="620"/>
      <c r="AA20" s="620"/>
      <c r="AB20" s="620"/>
      <c r="AC20" s="620"/>
      <c r="AD20" s="621"/>
      <c r="AE20" s="279"/>
    </row>
    <row r="21" ht="33.95" customHeight="1">
      <c r="C21" s="613" t="s">
        <v>99</v>
      </c>
      <c r="D21" s="613"/>
      <c r="E21" s="613"/>
      <c r="F21" s="613"/>
      <c r="G21" s="613"/>
      <c r="H21" s="613"/>
      <c r="I21" s="613"/>
      <c r="J21" s="613"/>
      <c r="K21" s="613"/>
      <c r="L21" s="613"/>
      <c r="M21" s="605" t="str">
        <f>AG21</f>
        <v>A</v>
      </c>
      <c r="N21" s="606"/>
      <c r="O21" s="606"/>
      <c r="P21" s="606"/>
      <c r="Q21" s="606"/>
      <c r="R21" s="606"/>
      <c r="S21" s="606"/>
      <c r="T21" s="606"/>
      <c r="U21" s="606"/>
      <c r="V21" s="606"/>
      <c r="W21" s="606"/>
      <c r="X21" s="606"/>
      <c r="Y21" s="606"/>
      <c r="Z21" s="606"/>
      <c r="AA21" s="606"/>
      <c r="AB21" s="606"/>
      <c r="AC21" s="606"/>
      <c r="AD21" s="607"/>
      <c r="AE21" s="275"/>
      <c r="AG21" s="271" t="s">
        <v>100</v>
      </c>
      <c r="AK21" s="271" t="s">
        <v>101</v>
      </c>
      <c r="AO21" s="271" t="s">
        <v>102</v>
      </c>
      <c r="AS21" s="271" t="s">
        <v>103</v>
      </c>
    </row>
    <row r="22" ht="19.7" customHeight="1">
      <c r="C22" s="622" t="s">
        <v>104</v>
      </c>
      <c r="D22" s="623"/>
      <c r="E22" s="623"/>
      <c r="F22" s="623"/>
      <c r="G22" s="623"/>
      <c r="H22" s="623"/>
      <c r="I22" s="623"/>
      <c r="J22" s="623"/>
      <c r="K22" s="623"/>
      <c r="L22" s="624"/>
      <c r="M22" s="605">
        <f>AG22</f>
        <v>4</v>
      </c>
      <c r="N22" s="606"/>
      <c r="O22" s="606"/>
      <c r="P22" s="606"/>
      <c r="Q22" s="606"/>
      <c r="R22" s="606"/>
      <c r="S22" s="606"/>
      <c r="T22" s="606"/>
      <c r="U22" s="606"/>
      <c r="V22" s="606"/>
      <c r="W22" s="606"/>
      <c r="X22" s="606"/>
      <c r="Y22" s="606"/>
      <c r="Z22" s="606"/>
      <c r="AA22" s="606"/>
      <c r="AB22" s="606"/>
      <c r="AC22" s="606"/>
      <c r="AD22" s="607"/>
      <c r="AE22" s="275"/>
      <c r="AG22" s="276">
        <v>4</v>
      </c>
      <c r="AH22" s="276"/>
      <c r="AI22" s="276"/>
      <c r="AJ22" s="276"/>
      <c r="AK22" s="276">
        <v>1</v>
      </c>
      <c r="AL22" s="276"/>
      <c r="AM22" s="276"/>
      <c r="AN22" s="276"/>
      <c r="AO22" s="276">
        <v>3</v>
      </c>
      <c r="AS22" s="237">
        <v>1</v>
      </c>
    </row>
    <row r="23" ht="19.7" customHeight="1">
      <c r="C23" s="613" t="s">
        <v>105</v>
      </c>
      <c r="D23" s="613"/>
      <c r="E23" s="613"/>
      <c r="F23" s="613"/>
      <c r="G23" s="613"/>
      <c r="H23" s="613"/>
      <c r="I23" s="613"/>
      <c r="J23" s="613"/>
      <c r="K23" s="613"/>
      <c r="L23" s="613"/>
      <c r="M23" s="616" t="str">
        <f>AG23</f>
        <v>4/4/4</v>
      </c>
      <c r="N23" s="617"/>
      <c r="O23" s="617"/>
      <c r="P23" s="617"/>
      <c r="Q23" s="617"/>
      <c r="R23" s="617"/>
      <c r="S23" s="617"/>
      <c r="T23" s="617"/>
      <c r="U23" s="617"/>
      <c r="V23" s="617"/>
      <c r="W23" s="617"/>
      <c r="X23" s="617"/>
      <c r="Y23" s="617"/>
      <c r="Z23" s="617"/>
      <c r="AA23" s="617"/>
      <c r="AB23" s="617"/>
      <c r="AC23" s="617"/>
      <c r="AD23" s="618"/>
      <c r="AE23" s="280"/>
      <c r="AG23" s="281" t="s">
        <v>106</v>
      </c>
      <c r="AH23" s="282"/>
      <c r="AI23" s="282"/>
      <c r="AJ23" s="282"/>
      <c r="AK23" s="281" t="s">
        <v>107</v>
      </c>
      <c r="AL23" s="282"/>
      <c r="AM23" s="282"/>
      <c r="AN23" s="282"/>
      <c r="AO23" s="281" t="s">
        <v>108</v>
      </c>
      <c r="AP23" s="282"/>
      <c r="AQ23" s="282"/>
      <c r="AR23" s="282"/>
      <c r="AS23" s="281" t="s">
        <v>109</v>
      </c>
    </row>
    <row r="24" ht="19.7" customHeight="1">
      <c r="C24" s="622" t="s">
        <v>110</v>
      </c>
      <c r="D24" s="623"/>
      <c r="E24" s="623"/>
      <c r="F24" s="623"/>
      <c r="G24" s="623"/>
      <c r="H24" s="623"/>
      <c r="I24" s="623"/>
      <c r="J24" s="623"/>
      <c r="K24" s="623"/>
      <c r="L24" s="624"/>
      <c r="M24" s="605" t="str">
        <f>IF(M22=4,AG24&amp;"W/ "&amp;AH24&amp;"W/ "&amp;AI24&amp;"W/ "&amp;AJ24&amp;"W",IF(M22=3,AG24&amp;"W/ "&amp;AH24&amp;"W/ "&amp;AI24&amp;"W",IF(M22=2,AG24&amp;"W/ "&amp;AH24&amp;"W",AG24&amp;"W")))</f>
        <v>20W/ 20W/ 20W/ 20W</v>
      </c>
      <c r="N24" s="606"/>
      <c r="O24" s="606"/>
      <c r="P24" s="606"/>
      <c r="Q24" s="606"/>
      <c r="R24" s="606"/>
      <c r="S24" s="606"/>
      <c r="T24" s="606"/>
      <c r="U24" s="606"/>
      <c r="V24" s="606"/>
      <c r="W24" s="606"/>
      <c r="X24" s="606"/>
      <c r="Y24" s="606"/>
      <c r="Z24" s="606"/>
      <c r="AA24" s="606"/>
      <c r="AB24" s="606"/>
      <c r="AC24" s="606"/>
      <c r="AD24" s="607"/>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13" t="s">
        <v>111</v>
      </c>
      <c r="D25" s="613"/>
      <c r="E25" s="613"/>
      <c r="F25" s="613"/>
      <c r="G25" s="613"/>
      <c r="H25" s="613"/>
      <c r="I25" s="613"/>
      <c r="J25" s="613"/>
      <c r="K25" s="613"/>
      <c r="L25" s="613"/>
      <c r="M25" s="605" t="str">
        <f>IF(AG25="900 &amp; 1800","900MHz &amp; 1800MHz",IF(AG25="900 &amp; 2100","900MHz &amp; 2100MHz",IF(AG25="1800 &amp; 2100","1800MHz &amp; 2100MHz",AG25&amp;"MHz")))</f>
        <v>900MHz</v>
      </c>
      <c r="N25" s="606"/>
      <c r="O25" s="606"/>
      <c r="P25" s="606"/>
      <c r="Q25" s="606"/>
      <c r="R25" s="606"/>
      <c r="S25" s="606"/>
      <c r="T25" s="606"/>
      <c r="U25" s="606"/>
      <c r="V25" s="606"/>
      <c r="W25" s="606"/>
      <c r="X25" s="606"/>
      <c r="Y25" s="606"/>
      <c r="Z25" s="606"/>
      <c r="AA25" s="606"/>
      <c r="AB25" s="606"/>
      <c r="AC25" s="606"/>
      <c r="AD25" s="607"/>
      <c r="AE25" s="275"/>
      <c r="AG25" s="237">
        <v>900</v>
      </c>
      <c r="AK25" s="237">
        <v>1800</v>
      </c>
      <c r="AO25" s="237">
        <v>2100</v>
      </c>
      <c r="AS25" s="271" t="s">
        <v>112</v>
      </c>
    </row>
    <row r="26" ht="33.95" customHeight="1">
      <c r="C26" s="613" t="s">
        <v>113</v>
      </c>
      <c r="D26" s="613"/>
      <c r="E26" s="613"/>
      <c r="F26" s="613"/>
      <c r="G26" s="613"/>
      <c r="H26" s="613"/>
      <c r="I26" s="613"/>
      <c r="J26" s="613"/>
      <c r="K26" s="613"/>
      <c r="L26" s="613"/>
      <c r="M26" s="605">
        <f>AG26</f>
        <v>15</v>
      </c>
      <c r="N26" s="606"/>
      <c r="O26" s="606"/>
      <c r="P26" s="606"/>
      <c r="Q26" s="606"/>
      <c r="R26" s="606"/>
      <c r="S26" s="606"/>
      <c r="T26" s="606"/>
      <c r="U26" s="606"/>
      <c r="V26" s="606"/>
      <c r="W26" s="606"/>
      <c r="X26" s="606"/>
      <c r="Y26" s="606"/>
      <c r="Z26" s="606"/>
      <c r="AA26" s="606"/>
      <c r="AB26" s="606"/>
      <c r="AC26" s="606"/>
      <c r="AD26" s="607"/>
      <c r="AE26" s="278"/>
      <c r="AG26" s="237">
        <v>15</v>
      </c>
      <c r="AK26" s="237">
        <v>16</v>
      </c>
      <c r="AO26" s="237">
        <v>17</v>
      </c>
      <c r="AS26" s="237">
        <v>18</v>
      </c>
    </row>
    <row r="27" ht="25.5" customHeight="1">
      <c r="C27" s="614" t="s">
        <v>114</v>
      </c>
      <c r="D27" s="614"/>
      <c r="E27" s="614"/>
      <c r="F27" s="614"/>
      <c r="G27" s="614"/>
      <c r="H27" s="614"/>
      <c r="I27" s="614"/>
      <c r="J27" s="614"/>
      <c r="K27" s="614"/>
      <c r="L27" s="614"/>
      <c r="M27" s="614"/>
      <c r="N27" s="614"/>
      <c r="O27" s="614"/>
      <c r="P27" s="614"/>
      <c r="Q27" s="614"/>
      <c r="R27" s="614"/>
      <c r="S27" s="614"/>
      <c r="T27" s="614"/>
      <c r="U27" s="614"/>
      <c r="V27" s="614"/>
      <c r="W27" s="614"/>
      <c r="X27" s="614"/>
      <c r="Y27" s="614"/>
      <c r="Z27" s="614"/>
      <c r="AA27" s="614"/>
      <c r="AB27" s="283"/>
      <c r="AC27" s="283"/>
      <c r="AD27" s="283"/>
    </row>
    <row r="28" ht="24.75" customHeight="1">
      <c r="C28" s="62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G28" s="237">
        <v>30</v>
      </c>
      <c r="AO28" s="237" t="s">
        <v>115</v>
      </c>
    </row>
    <row r="29" ht="24.75"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116</v>
      </c>
      <c r="AQ29" s="237" t="str">
        <f>IF(AG28&gt;=0," cao hơn "," thấp hơn ")</f>
        <v> cao hơn </v>
      </c>
      <c r="AR29" s="237" t="s">
        <v>117</v>
      </c>
    </row>
    <row r="30" ht="16.5" customHeight="1">
      <c r="C30" s="615" t="str">
        <f>IF(AG31=1,AO31,IF(AG31=2,AO30))</f>
        <v>Trạm gốc điện thoại di động mặt đất công cộng này có mức an toàn phơi nhiễm trường điện từ tuân thủ quy chuẩn kỹ thuật trên.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G30" s="237">
        <v>20</v>
      </c>
      <c r="AO30" s="237" t="s">
        <v>118</v>
      </c>
    </row>
    <row r="31" ht="16.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285"/>
    </row>
    <row r="34" ht="17.1" customHeight="1">
      <c r="C34" s="645"/>
      <c r="D34" s="645"/>
      <c r="E34" s="645"/>
      <c r="F34" s="645"/>
      <c r="G34" s="645"/>
      <c r="H34" s="283"/>
      <c r="I34" s="646"/>
      <c r="J34" s="646"/>
      <c r="K34" s="646"/>
      <c r="L34" s="646"/>
      <c r="M34" s="646"/>
      <c r="N34" s="646"/>
      <c r="O34" s="283"/>
      <c r="P34" s="257"/>
      <c r="Q34" s="257"/>
      <c r="R34" s="257"/>
      <c r="S34" s="257"/>
      <c r="T34" s="640" t="str">
        <f>IF(AI41=0,AN34,IF(AI41=1,AK34,AR34))</f>
        <v>KT. GIÁM ĐỐC</v>
      </c>
      <c r="U34" s="640"/>
      <c r="V34" s="640"/>
      <c r="W34" s="640"/>
      <c r="X34" s="640"/>
      <c r="Y34" s="640"/>
      <c r="Z34" s="640"/>
      <c r="AA34" s="640"/>
      <c r="AB34" s="640"/>
      <c r="AC34" s="640"/>
      <c r="AD34" s="640"/>
      <c r="AE34" s="640"/>
      <c r="AK34" s="237" t="s">
        <v>119</v>
      </c>
      <c r="AN34" s="237" t="s">
        <v>120</v>
      </c>
      <c r="AR34" s="237" t="s">
        <v>121</v>
      </c>
    </row>
    <row r="35" ht="17.1" customHeight="1">
      <c r="C35" s="641" t="s">
        <v>122</v>
      </c>
      <c r="D35" s="641"/>
      <c r="E35" s="641"/>
      <c r="F35" s="641"/>
      <c r="G35" s="641"/>
      <c r="H35" s="286" t="s">
        <v>123</v>
      </c>
      <c r="I35" s="643" t="s">
        <v>124</v>
      </c>
      <c r="J35" s="643"/>
      <c r="K35" s="643"/>
      <c r="L35" s="643"/>
      <c r="M35" s="643"/>
      <c r="N35" s="643"/>
      <c r="O35" s="287"/>
      <c r="P35" s="287"/>
      <c r="Q35" s="283"/>
      <c r="R35" s="283"/>
      <c r="S35" s="283"/>
      <c r="T35" s="640" t="str">
        <f>IF(AI41=0,AN35,IF(AI41=1,"",AR35))</f>
        <v>PHÓ GIÁM ĐỐC</v>
      </c>
      <c r="U35" s="640"/>
      <c r="V35" s="640"/>
      <c r="W35" s="640"/>
      <c r="X35" s="640"/>
      <c r="Y35" s="640"/>
      <c r="Z35" s="640"/>
      <c r="AA35" s="640"/>
      <c r="AB35" s="640"/>
      <c r="AC35" s="640"/>
      <c r="AD35" s="640"/>
      <c r="AE35" s="640"/>
      <c r="AN35" s="237" t="s">
        <v>125</v>
      </c>
      <c r="AR35" s="237" t="s">
        <v>126</v>
      </c>
    </row>
    <row r="36" ht="17.1" customHeight="1">
      <c r="C36" s="641" t="s">
        <v>127</v>
      </c>
      <c r="D36" s="641"/>
      <c r="E36" s="641"/>
      <c r="F36" s="641"/>
      <c r="G36" s="641"/>
      <c r="H36" s="286" t="s">
        <v>123</v>
      </c>
      <c r="I36" s="642">
        <f>AG36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v>40806</v>
      </c>
    </row>
    <row r="37" ht="17.1" customHeight="1">
      <c r="C37" s="641" t="s">
        <v>128</v>
      </c>
      <c r="D37" s="641"/>
      <c r="E37" s="641"/>
      <c r="F37" s="641"/>
      <c r="G37" s="641"/>
      <c r="H37" s="286" t="s">
        <v>123</v>
      </c>
      <c r="I37" s="642">
        <f>AG37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44"/>
      <c r="U39" s="644"/>
      <c r="V39" s="644"/>
      <c r="W39" s="644"/>
      <c r="X39" s="644"/>
      <c r="Y39" s="644"/>
      <c r="Z39" s="644"/>
      <c r="AA39" s="644"/>
      <c r="AB39" s="644"/>
      <c r="AC39" s="644"/>
      <c r="AD39" s="644"/>
      <c r="AE39" s="644"/>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IF(AI41=0,AO41,IF(AI41=1,AK41,AS41))</f>
        <v>Trần Công Khanh</v>
      </c>
      <c r="U41" s="626"/>
      <c r="V41" s="626"/>
      <c r="W41" s="626"/>
      <c r="X41" s="626"/>
      <c r="Y41" s="626"/>
      <c r="Z41" s="626"/>
      <c r="AA41" s="626"/>
      <c r="AB41" s="626"/>
      <c r="AC41" s="626"/>
      <c r="AD41" s="626"/>
      <c r="AE41" s="626"/>
      <c r="AI41" s="237">
        <v>0</v>
      </c>
      <c r="AK41" s="237" t="s">
        <v>129</v>
      </c>
      <c r="AO41" s="237" t="s">
        <v>130</v>
      </c>
      <c r="AS41" s="237" t="s">
        <v>131</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c r="AE43" s="551"/>
    </row>
    <row r="44" ht="16.5" customHeight="1">
      <c r="A44" s="259"/>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c r="AE44" s="551"/>
    </row>
    <row r="45" ht="16.5" customHeight="1">
      <c r="A45" s="259"/>
      <c r="B45" s="608"/>
      <c r="C45" s="608"/>
      <c r="D45" s="608"/>
      <c r="E45" s="608"/>
      <c r="F45" s="608"/>
      <c r="G45" s="608"/>
      <c r="H45" s="600" t="s">
        <v>133</v>
      </c>
      <c r="I45" s="600"/>
      <c r="J45" s="600"/>
      <c r="K45" s="600"/>
      <c r="L45" s="600" t="s">
        <v>134</v>
      </c>
      <c r="M45" s="600"/>
      <c r="N45" s="600" t="s">
        <v>135</v>
      </c>
      <c r="O45" s="600"/>
      <c r="P45" s="600"/>
      <c r="Q45" s="600" t="s">
        <v>136</v>
      </c>
      <c r="R45" s="600"/>
      <c r="S45" s="600"/>
      <c r="T45" s="600"/>
      <c r="U45" s="600"/>
      <c r="V45" s="600" t="s">
        <v>137</v>
      </c>
      <c r="W45" s="600"/>
      <c r="X45" s="600"/>
      <c r="Y45" s="600" t="s">
        <v>138</v>
      </c>
      <c r="Z45" s="600"/>
      <c r="AA45" s="600"/>
      <c r="AB45" s="600"/>
      <c r="AC45" s="600"/>
      <c r="AD45" s="600"/>
      <c r="AE45" s="549"/>
    </row>
    <row r="46" ht="16.5" customHeight="1">
      <c r="A46" s="259"/>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c r="AE46" s="549"/>
    </row>
    <row r="47" ht="16.5" customHeight="1">
      <c r="A47" s="259"/>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c r="AE47" s="549"/>
    </row>
    <row r="48" ht="16.5" customHeight="1">
      <c r="A48" s="259"/>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E48" s="549"/>
      <c r="AG48" s="237">
        <v>33</v>
      </c>
      <c r="AI48" s="237">
        <v>35</v>
      </c>
      <c r="AL48" s="237">
        <v>38</v>
      </c>
      <c r="AO48" s="237">
        <v>41</v>
      </c>
      <c r="AP48" s="237">
        <v>42</v>
      </c>
      <c r="AQ48" s="237">
        <v>43</v>
      </c>
      <c r="AR48" s="237">
        <v>44</v>
      </c>
      <c r="AS48" s="237">
        <v>45</v>
      </c>
      <c r="AT48" s="237">
        <v>46</v>
      </c>
      <c r="AU48" s="237">
        <v>47</v>
      </c>
      <c r="AV48" s="237">
        <v>48</v>
      </c>
    </row>
    <row r="49" ht="18.75" customHeight="1">
      <c r="A49" s="259"/>
      <c r="B49" s="600" t="str">
        <f>AG49</f>
        <v>CÔNG TY CỔ PHẦN VIỄN THÔNG DI ĐỘNG TOÀN CẦU</v>
      </c>
      <c r="C49" s="600"/>
      <c r="D49" s="600"/>
      <c r="E49" s="600"/>
      <c r="F49" s="600"/>
      <c r="G49" s="600"/>
      <c r="H49" s="601" t="str">
        <f>AI49</f>
        <v>TB1</v>
      </c>
      <c r="I49" s="601"/>
      <c r="J49" s="601"/>
      <c r="K49" s="601"/>
      <c r="L49" s="602">
        <v>2</v>
      </c>
      <c r="M49" s="602"/>
      <c r="N49" s="603" t="str">
        <f>AL49</f>
        <v>4/4/4</v>
      </c>
      <c r="O49" s="603"/>
      <c r="P49" s="603"/>
      <c r="Q49" s="600" t="str">
        <f>IF(L49=4,AO49&amp;"W/ "&amp;AP49&amp;"W/ "&amp;AQ49&amp;"W/ "&amp;AR49&amp;"W",IF(L49=3,AO49&amp;"W/ "&amp;AP49&amp;"W/ "&amp;AQ49&amp;"W",IF(L49=2,AO49&amp;"W/ "&amp;AP49&amp;"W",AO49&amp;"W")))</f>
        <v>20W/ 30W</v>
      </c>
      <c r="R49" s="600"/>
      <c r="S49" s="600"/>
      <c r="T49" s="600"/>
      <c r="U49" s="600"/>
      <c r="V49" s="600" t="str">
        <f>IF(AS49="900 &amp; 1800","900MHz &amp; 1800MHz",IF(AS49="900 &amp; 2100","900MHz &amp; 2100MHz",IF(AS49="1800 &amp; 2100","1800MHz &amp; 2100MHz",AS49&amp;"MHz")))</f>
        <v>900MHz</v>
      </c>
      <c r="W49" s="600"/>
      <c r="X49" s="600"/>
      <c r="Y49" s="600">
        <f>AT49</f>
        <v>15</v>
      </c>
      <c r="Z49" s="600"/>
      <c r="AA49" s="600"/>
      <c r="AB49" s="600"/>
      <c r="AC49" s="600"/>
      <c r="AD49" s="600"/>
      <c r="AE49" s="549"/>
      <c r="AG49" s="271" t="s">
        <v>96</v>
      </c>
      <c r="AI49" s="271" t="s">
        <v>139</v>
      </c>
      <c r="AJ49" s="271"/>
      <c r="AL49" s="281" t="s">
        <v>106</v>
      </c>
      <c r="AO49" s="237">
        <v>20</v>
      </c>
      <c r="AP49" s="237">
        <v>30</v>
      </c>
      <c r="AQ49" s="237">
        <v>40</v>
      </c>
      <c r="AR49" s="237">
        <v>50</v>
      </c>
      <c r="AS49" s="237">
        <v>900</v>
      </c>
      <c r="AT49" s="237">
        <v>15</v>
      </c>
    </row>
    <row r="50" ht="18.75" customHeight="1">
      <c r="A50" s="259"/>
      <c r="B50" s="600"/>
      <c r="C50" s="600"/>
      <c r="D50" s="600"/>
      <c r="E50" s="600"/>
      <c r="F50" s="600"/>
      <c r="G50" s="600"/>
      <c r="H50" s="601"/>
      <c r="I50" s="601"/>
      <c r="J50" s="601"/>
      <c r="K50" s="601"/>
      <c r="L50" s="602"/>
      <c r="M50" s="602"/>
      <c r="N50" s="603"/>
      <c r="O50" s="603"/>
      <c r="P50" s="603"/>
      <c r="Q50" s="600"/>
      <c r="R50" s="600"/>
      <c r="S50" s="600"/>
      <c r="T50" s="600"/>
      <c r="U50" s="600"/>
      <c r="V50" s="600"/>
      <c r="W50" s="600"/>
      <c r="X50" s="600"/>
      <c r="Y50" s="600"/>
      <c r="Z50" s="600"/>
      <c r="AA50" s="600"/>
      <c r="AB50" s="600"/>
      <c r="AC50" s="600"/>
      <c r="AD50" s="600"/>
      <c r="AE50" s="549"/>
    </row>
    <row r="51" ht="18.75" customHeight="1">
      <c r="A51" s="259"/>
      <c r="B51" s="600"/>
      <c r="C51" s="600"/>
      <c r="D51" s="600"/>
      <c r="E51" s="600"/>
      <c r="F51" s="600"/>
      <c r="G51" s="600"/>
      <c r="H51" s="601"/>
      <c r="I51" s="601"/>
      <c r="J51" s="601"/>
      <c r="K51" s="601"/>
      <c r="L51" s="602"/>
      <c r="M51" s="602"/>
      <c r="N51" s="603"/>
      <c r="O51" s="603"/>
      <c r="P51" s="603"/>
      <c r="Q51" s="600"/>
      <c r="R51" s="600"/>
      <c r="S51" s="600"/>
      <c r="T51" s="600"/>
      <c r="U51" s="600"/>
      <c r="V51" s="600"/>
      <c r="W51" s="600"/>
      <c r="X51" s="600"/>
      <c r="Y51" s="600"/>
      <c r="Z51" s="600"/>
      <c r="AA51" s="600"/>
      <c r="AB51" s="600"/>
      <c r="AC51" s="600"/>
      <c r="AD51" s="600"/>
      <c r="AE51" s="549"/>
    </row>
    <row r="52" ht="18.75" customHeight="1">
      <c r="A52" s="259"/>
      <c r="B52" s="600"/>
      <c r="C52" s="600"/>
      <c r="D52" s="600"/>
      <c r="E52" s="600"/>
      <c r="F52" s="600"/>
      <c r="G52" s="600"/>
      <c r="H52" s="601"/>
      <c r="I52" s="601"/>
      <c r="J52" s="601"/>
      <c r="K52" s="601"/>
      <c r="L52" s="602"/>
      <c r="M52" s="602"/>
      <c r="N52" s="603"/>
      <c r="O52" s="603"/>
      <c r="P52" s="603"/>
      <c r="Q52" s="600"/>
      <c r="R52" s="600"/>
      <c r="S52" s="600"/>
      <c r="T52" s="600"/>
      <c r="U52" s="600"/>
      <c r="V52" s="600"/>
      <c r="W52" s="600"/>
      <c r="X52" s="600"/>
      <c r="Y52" s="600"/>
      <c r="Z52" s="600"/>
      <c r="AA52" s="600"/>
      <c r="AB52" s="600"/>
      <c r="AC52" s="600"/>
      <c r="AD52" s="600"/>
      <c r="AE52" s="549"/>
    </row>
    <row r="53" ht="18.75" customHeight="1">
      <c r="A53" s="259"/>
      <c r="B53" s="600" t="str">
        <f>AG53</f>
        <v>CÔNG TY CỔ PHẦN VIỄN THÔNG DI ĐỘNG TOÀN CẦU</v>
      </c>
      <c r="C53" s="600"/>
      <c r="D53" s="600"/>
      <c r="E53" s="600"/>
      <c r="F53" s="600"/>
      <c r="G53" s="600"/>
      <c r="H53" s="601" t="str">
        <f>AI53</f>
        <v>TB1</v>
      </c>
      <c r="I53" s="601"/>
      <c r="J53" s="601"/>
      <c r="K53" s="601"/>
      <c r="L53" s="602">
        <v>4</v>
      </c>
      <c r="M53" s="602"/>
      <c r="N53" s="603" t="str">
        <f>AL53</f>
        <v>4/4/4</v>
      </c>
      <c r="O53" s="603"/>
      <c r="P53" s="603"/>
      <c r="Q53" s="600" t="str">
        <f>IF(L53=4,AO53&amp;"W/ "&amp;AP53&amp;"W/ "&amp;AQ53&amp;"W/ "&amp;AR53&amp;"W",IF(L53=3,AO53&amp;"W/ "&amp;AP53&amp;"W/ "&amp;AQ53&amp;"W",IF(L53=2,AO53&amp;"W/ "&amp;AP53&amp;"W",AO53&amp;"W")))</f>
        <v>20W/ 30W/ 40W/ 50W</v>
      </c>
      <c r="R53" s="600"/>
      <c r="S53" s="600"/>
      <c r="T53" s="600"/>
      <c r="U53" s="600"/>
      <c r="V53" s="600" t="str">
        <f>IF(AS53="900 &amp; 1800","900MHz &amp; 1800MHz",IF(AS53="900 &amp; 2100","900MHz &amp; 2100MHz",IF(AS53="1800 &amp; 2100","1800MHz &amp; 2100MHz",AS53&amp;"MHz")))</f>
        <v>1800MHz</v>
      </c>
      <c r="W53" s="600"/>
      <c r="X53" s="600"/>
      <c r="Y53" s="600">
        <f>AT53</f>
        <v>15</v>
      </c>
      <c r="Z53" s="600"/>
      <c r="AA53" s="600"/>
      <c r="AB53" s="600"/>
      <c r="AC53" s="600"/>
      <c r="AD53" s="600"/>
      <c r="AE53" s="549"/>
      <c r="AG53" s="271" t="s">
        <v>96</v>
      </c>
      <c r="AI53" s="271" t="s">
        <v>139</v>
      </c>
      <c r="AJ53" s="271"/>
      <c r="AL53" s="281" t="s">
        <v>106</v>
      </c>
      <c r="AO53" s="237">
        <v>20</v>
      </c>
      <c r="AP53" s="237">
        <v>30</v>
      </c>
      <c r="AQ53" s="237">
        <v>40</v>
      </c>
      <c r="AR53" s="237">
        <v>50</v>
      </c>
      <c r="AS53" s="237">
        <v>1800</v>
      </c>
      <c r="AT53" s="237">
        <v>15</v>
      </c>
    </row>
    <row r="54" ht="18.75" customHeight="1">
      <c r="A54" s="259"/>
      <c r="B54" s="600"/>
      <c r="C54" s="600"/>
      <c r="D54" s="600"/>
      <c r="E54" s="600"/>
      <c r="F54" s="600"/>
      <c r="G54" s="600"/>
      <c r="H54" s="601"/>
      <c r="I54" s="601"/>
      <c r="J54" s="601"/>
      <c r="K54" s="601"/>
      <c r="L54" s="602"/>
      <c r="M54" s="602"/>
      <c r="N54" s="603"/>
      <c r="O54" s="603"/>
      <c r="P54" s="603"/>
      <c r="Q54" s="600"/>
      <c r="R54" s="600"/>
      <c r="S54" s="600"/>
      <c r="T54" s="600"/>
      <c r="U54" s="600"/>
      <c r="V54" s="600"/>
      <c r="W54" s="600"/>
      <c r="X54" s="600"/>
      <c r="Y54" s="600"/>
      <c r="Z54" s="600"/>
      <c r="AA54" s="600"/>
      <c r="AB54" s="600"/>
      <c r="AC54" s="600"/>
      <c r="AD54" s="600"/>
      <c r="AE54" s="549"/>
      <c r="AG54" s="271"/>
      <c r="AI54" s="271"/>
      <c r="AJ54" s="271"/>
      <c r="AL54" s="281"/>
    </row>
    <row r="55" ht="18.75" customHeight="1">
      <c r="A55" s="259"/>
      <c r="B55" s="600"/>
      <c r="C55" s="600"/>
      <c r="D55" s="600"/>
      <c r="E55" s="600"/>
      <c r="F55" s="600"/>
      <c r="G55" s="600"/>
      <c r="H55" s="601"/>
      <c r="I55" s="601"/>
      <c r="J55" s="601"/>
      <c r="K55" s="601"/>
      <c r="L55" s="602"/>
      <c r="M55" s="602"/>
      <c r="N55" s="603"/>
      <c r="O55" s="603"/>
      <c r="P55" s="603"/>
      <c r="Q55" s="600"/>
      <c r="R55" s="600"/>
      <c r="S55" s="600"/>
      <c r="T55" s="600"/>
      <c r="U55" s="600"/>
      <c r="V55" s="600"/>
      <c r="W55" s="600"/>
      <c r="X55" s="600"/>
      <c r="Y55" s="600"/>
      <c r="Z55" s="600"/>
      <c r="AA55" s="600"/>
      <c r="AB55" s="600"/>
      <c r="AC55" s="600"/>
      <c r="AD55" s="600"/>
      <c r="AE55" s="549"/>
    </row>
    <row r="56" ht="18.75" customHeight="1">
      <c r="A56" s="259"/>
      <c r="B56" s="600"/>
      <c r="C56" s="600"/>
      <c r="D56" s="600"/>
      <c r="E56" s="600"/>
      <c r="F56" s="600"/>
      <c r="G56" s="600"/>
      <c r="H56" s="601"/>
      <c r="I56" s="601"/>
      <c r="J56" s="601"/>
      <c r="K56" s="601"/>
      <c r="L56" s="602"/>
      <c r="M56" s="602"/>
      <c r="N56" s="603"/>
      <c r="O56" s="603"/>
      <c r="P56" s="603"/>
      <c r="Q56" s="600"/>
      <c r="R56" s="600"/>
      <c r="S56" s="600"/>
      <c r="T56" s="600"/>
      <c r="U56" s="600"/>
      <c r="V56" s="600"/>
      <c r="W56" s="600"/>
      <c r="X56" s="600"/>
      <c r="Y56" s="600"/>
      <c r="Z56" s="600"/>
      <c r="AA56" s="600"/>
      <c r="AB56" s="600"/>
      <c r="AC56" s="600"/>
      <c r="AD56" s="600"/>
      <c r="AE56" s="549"/>
    </row>
    <row r="57" ht="18.75" customHeight="1">
      <c r="A57" s="259"/>
      <c r="B57" s="600" t="str">
        <f>AG57</f>
        <v>CÔNG TY CỔ PHẦN VIỄN THÔNG DI ĐỘNG TOÀN CẦU</v>
      </c>
      <c r="C57" s="600"/>
      <c r="D57" s="600"/>
      <c r="E57" s="600"/>
      <c r="F57" s="600"/>
      <c r="G57" s="600"/>
      <c r="H57" s="601" t="str">
        <f>AI57</f>
        <v>TB1</v>
      </c>
      <c r="I57" s="601"/>
      <c r="J57" s="601"/>
      <c r="K57" s="601"/>
      <c r="L57" s="602">
        <v>3</v>
      </c>
      <c r="M57" s="602"/>
      <c r="N57" s="603" t="str">
        <f>AL57</f>
        <v>4/4/4</v>
      </c>
      <c r="O57" s="603"/>
      <c r="P57" s="603"/>
      <c r="Q57" s="600" t="str">
        <f>IF(L57=4,AO57&amp;"W/ "&amp;AP57&amp;"W/ "&amp;AQ57&amp;"W/ "&amp;AR57&amp;"W",IF(L57=3,AO57&amp;"W/ "&amp;AP57&amp;"W/ "&amp;AQ57&amp;"W",IF(L57=2,AO57&amp;"W/ "&amp;AP57&amp;"W",AO57&amp;"W")))</f>
        <v>20W/ 30W/ 40W</v>
      </c>
      <c r="R57" s="600"/>
      <c r="S57" s="600"/>
      <c r="T57" s="600"/>
      <c r="U57" s="600"/>
      <c r="V57" s="600" t="str">
        <f>IF(AS57="900 &amp; 1800","900MHz &amp; 1800MHz",IF(AS57="900 &amp; 2100","900MHz &amp; 2100MHz",IF(AS57="1800 &amp; 2100","1800MHz &amp; 2100MHz",AS57&amp;"MHz")))</f>
        <v>9000 &amp; 1800MHz</v>
      </c>
      <c r="W57" s="600"/>
      <c r="X57" s="600"/>
      <c r="Y57" s="600">
        <f>AT57</f>
        <v>15</v>
      </c>
      <c r="Z57" s="600"/>
      <c r="AA57" s="600"/>
      <c r="AB57" s="600"/>
      <c r="AC57" s="600"/>
      <c r="AD57" s="600"/>
      <c r="AE57" s="549"/>
      <c r="AG57" s="271" t="s">
        <v>96</v>
      </c>
      <c r="AI57" s="271" t="s">
        <v>139</v>
      </c>
      <c r="AJ57" s="271"/>
      <c r="AL57" s="281" t="s">
        <v>106</v>
      </c>
      <c r="AO57" s="237">
        <v>20</v>
      </c>
      <c r="AP57" s="237">
        <v>30</v>
      </c>
      <c r="AQ57" s="237">
        <v>40</v>
      </c>
      <c r="AR57" s="237">
        <v>50</v>
      </c>
      <c r="AS57" s="237" t="s">
        <v>140</v>
      </c>
      <c r="AT57" s="237">
        <v>15</v>
      </c>
    </row>
    <row r="58" ht="18.75" customHeight="1">
      <c r="A58" s="259"/>
      <c r="B58" s="600"/>
      <c r="C58" s="600"/>
      <c r="D58" s="600"/>
      <c r="E58" s="600"/>
      <c r="F58" s="600"/>
      <c r="G58" s="600"/>
      <c r="H58" s="601"/>
      <c r="I58" s="601"/>
      <c r="J58" s="601"/>
      <c r="K58" s="601"/>
      <c r="L58" s="602"/>
      <c r="M58" s="602"/>
      <c r="N58" s="603"/>
      <c r="O58" s="603"/>
      <c r="P58" s="603"/>
      <c r="Q58" s="600"/>
      <c r="R58" s="600"/>
      <c r="S58" s="600"/>
      <c r="T58" s="600"/>
      <c r="U58" s="600"/>
      <c r="V58" s="600"/>
      <c r="W58" s="600"/>
      <c r="X58" s="600"/>
      <c r="Y58" s="600"/>
      <c r="Z58" s="600"/>
      <c r="AA58" s="600"/>
      <c r="AB58" s="600"/>
      <c r="AC58" s="600"/>
      <c r="AD58" s="600"/>
      <c r="AE58" s="549"/>
      <c r="AG58" s="271"/>
      <c r="AI58" s="271"/>
      <c r="AJ58" s="271"/>
      <c r="AL58" s="281"/>
    </row>
    <row r="59" ht="18.75" customHeight="1">
      <c r="A59" s="259"/>
      <c r="B59" s="600"/>
      <c r="C59" s="600"/>
      <c r="D59" s="600"/>
      <c r="E59" s="600"/>
      <c r="F59" s="600"/>
      <c r="G59" s="600"/>
      <c r="H59" s="601"/>
      <c r="I59" s="601"/>
      <c r="J59" s="601"/>
      <c r="K59" s="601"/>
      <c r="L59" s="602"/>
      <c r="M59" s="602"/>
      <c r="N59" s="603"/>
      <c r="O59" s="603"/>
      <c r="P59" s="603"/>
      <c r="Q59" s="600"/>
      <c r="R59" s="600"/>
      <c r="S59" s="600"/>
      <c r="T59" s="600"/>
      <c r="U59" s="600"/>
      <c r="V59" s="600"/>
      <c r="W59" s="600"/>
      <c r="X59" s="600"/>
      <c r="Y59" s="600"/>
      <c r="Z59" s="600"/>
      <c r="AA59" s="600"/>
      <c r="AB59" s="600"/>
      <c r="AC59" s="600"/>
      <c r="AD59" s="600"/>
      <c r="AE59" s="549"/>
    </row>
    <row r="60" ht="18.75" customHeight="1">
      <c r="A60" s="259"/>
      <c r="B60" s="600"/>
      <c r="C60" s="600"/>
      <c r="D60" s="600"/>
      <c r="E60" s="600"/>
      <c r="F60" s="600"/>
      <c r="G60" s="600"/>
      <c r="H60" s="601"/>
      <c r="I60" s="601"/>
      <c r="J60" s="601"/>
      <c r="K60" s="601"/>
      <c r="L60" s="602"/>
      <c r="M60" s="602"/>
      <c r="N60" s="603"/>
      <c r="O60" s="603"/>
      <c r="P60" s="603"/>
      <c r="Q60" s="600"/>
      <c r="R60" s="600"/>
      <c r="S60" s="600"/>
      <c r="T60" s="600"/>
      <c r="U60" s="600"/>
      <c r="V60" s="600"/>
      <c r="W60" s="600"/>
      <c r="X60" s="600"/>
      <c r="Y60" s="600"/>
      <c r="Z60" s="600"/>
      <c r="AA60" s="600"/>
      <c r="AB60" s="600"/>
      <c r="AC60" s="600"/>
      <c r="AD60" s="600"/>
      <c r="AE60" s="549"/>
    </row>
    <row r="61" ht="18.75" customHeight="1">
      <c r="A61" s="259"/>
      <c r="B61" s="600" t="str">
        <f>AG61</f>
        <v>CÔNG TY CỔ PHẦN VIỄN THÔNG DI ĐỘNG TOÀN CẦU</v>
      </c>
      <c r="C61" s="600"/>
      <c r="D61" s="600"/>
      <c r="E61" s="600"/>
      <c r="F61" s="600"/>
      <c r="G61" s="600"/>
      <c r="H61" s="601" t="str">
        <f>AI61</f>
        <v>TB1</v>
      </c>
      <c r="I61" s="601"/>
      <c r="J61" s="601"/>
      <c r="K61" s="601"/>
      <c r="L61" s="602">
        <v>2</v>
      </c>
      <c r="M61" s="602"/>
      <c r="N61" s="603" t="str">
        <f>AL61</f>
        <v>4/4/4</v>
      </c>
      <c r="O61" s="603"/>
      <c r="P61" s="603"/>
      <c r="Q61" s="600" t="str">
        <f>IF(L61=4,AO61&amp;"W/ "&amp;AP61&amp;"W/ "&amp;AQ61&amp;"W/ "&amp;AR61&amp;"W",IF(L61=3,AO61&amp;"W/ "&amp;AP61&amp;"W/ "&amp;AQ61&amp;"W",IF(L61=2,AO61&amp;"W/ "&amp;AP61&amp;"W",AO61&amp;"W")))</f>
        <v>20W/ 30W</v>
      </c>
      <c r="R61" s="600"/>
      <c r="S61" s="600"/>
      <c r="T61" s="600"/>
      <c r="U61" s="600"/>
      <c r="V61" s="600" t="str">
        <f>IF(AS61="900 &amp; 1800","900MHz &amp; 1800MHz",IF(AS61="900 &amp; 2100","900MHz &amp; 2100MHz",IF(AS61="1800 &amp; 2100","1800MHz &amp; 2100MHz",AS61&amp;"MHz")))</f>
        <v>9000 &amp; 2100MHz</v>
      </c>
      <c r="W61" s="600"/>
      <c r="X61" s="600"/>
      <c r="Y61" s="600">
        <f>AT61</f>
        <v>15</v>
      </c>
      <c r="Z61" s="600"/>
      <c r="AA61" s="600"/>
      <c r="AB61" s="600"/>
      <c r="AC61" s="600"/>
      <c r="AD61" s="600"/>
      <c r="AE61" s="549"/>
      <c r="AG61" s="271" t="s">
        <v>96</v>
      </c>
      <c r="AI61" s="271" t="s">
        <v>139</v>
      </c>
      <c r="AJ61" s="271"/>
      <c r="AL61" s="281" t="s">
        <v>106</v>
      </c>
      <c r="AO61" s="237">
        <v>20</v>
      </c>
      <c r="AP61" s="237">
        <v>30</v>
      </c>
      <c r="AQ61" s="237">
        <v>40</v>
      </c>
      <c r="AR61" s="237">
        <v>50</v>
      </c>
      <c r="AS61" s="237" t="s">
        <v>141</v>
      </c>
      <c r="AT61" s="237">
        <v>15</v>
      </c>
    </row>
    <row r="62" ht="18.75" customHeight="1">
      <c r="A62" s="259"/>
      <c r="B62" s="600"/>
      <c r="C62" s="600"/>
      <c r="D62" s="600"/>
      <c r="E62" s="600"/>
      <c r="F62" s="600"/>
      <c r="G62" s="600"/>
      <c r="H62" s="601"/>
      <c r="I62" s="601"/>
      <c r="J62" s="601"/>
      <c r="K62" s="601"/>
      <c r="L62" s="602"/>
      <c r="M62" s="602"/>
      <c r="N62" s="603"/>
      <c r="O62" s="603"/>
      <c r="P62" s="603"/>
      <c r="Q62" s="600"/>
      <c r="R62" s="600"/>
      <c r="S62" s="600"/>
      <c r="T62" s="600"/>
      <c r="U62" s="600"/>
      <c r="V62" s="600"/>
      <c r="W62" s="600"/>
      <c r="X62" s="600"/>
      <c r="Y62" s="600"/>
      <c r="Z62" s="600"/>
      <c r="AA62" s="600"/>
      <c r="AB62" s="600"/>
      <c r="AC62" s="600"/>
      <c r="AD62" s="600"/>
      <c r="AE62" s="549"/>
      <c r="AG62" s="271"/>
      <c r="AI62" s="271"/>
      <c r="AJ62" s="271"/>
      <c r="AL62" s="281"/>
    </row>
    <row r="63" ht="18.75" customHeight="1">
      <c r="A63" s="259"/>
      <c r="B63" s="600"/>
      <c r="C63" s="600"/>
      <c r="D63" s="600"/>
      <c r="E63" s="600"/>
      <c r="F63" s="600"/>
      <c r="G63" s="600"/>
      <c r="H63" s="601"/>
      <c r="I63" s="601"/>
      <c r="J63" s="601"/>
      <c r="K63" s="601"/>
      <c r="L63" s="602"/>
      <c r="M63" s="602"/>
      <c r="N63" s="603"/>
      <c r="O63" s="603"/>
      <c r="P63" s="603"/>
      <c r="Q63" s="600"/>
      <c r="R63" s="600"/>
      <c r="S63" s="600"/>
      <c r="T63" s="600"/>
      <c r="U63" s="600"/>
      <c r="V63" s="600"/>
      <c r="W63" s="600"/>
      <c r="X63" s="600"/>
      <c r="Y63" s="600"/>
      <c r="Z63" s="600"/>
      <c r="AA63" s="600"/>
      <c r="AB63" s="600"/>
      <c r="AC63" s="600"/>
      <c r="AD63" s="600"/>
      <c r="AE63" s="549"/>
    </row>
    <row r="64" ht="18.75" customHeight="1">
      <c r="A64" s="259"/>
      <c r="B64" s="600"/>
      <c r="C64" s="600"/>
      <c r="D64" s="600"/>
      <c r="E64" s="600"/>
      <c r="F64" s="600"/>
      <c r="G64" s="600"/>
      <c r="H64" s="601"/>
      <c r="I64" s="601"/>
      <c r="J64" s="601"/>
      <c r="K64" s="601"/>
      <c r="L64" s="602"/>
      <c r="M64" s="602"/>
      <c r="N64" s="603"/>
      <c r="O64" s="603"/>
      <c r="P64" s="603"/>
      <c r="Q64" s="600"/>
      <c r="R64" s="600"/>
      <c r="S64" s="600"/>
      <c r="T64" s="600"/>
      <c r="U64" s="600"/>
      <c r="V64" s="600"/>
      <c r="W64" s="600"/>
      <c r="X64" s="600"/>
      <c r="Y64" s="600"/>
      <c r="Z64" s="600"/>
      <c r="AA64" s="600"/>
      <c r="AB64" s="600"/>
      <c r="AC64" s="600"/>
      <c r="AD64" s="600"/>
      <c r="AE64" s="549"/>
    </row>
    <row r="65" ht="18.75" customHeight="1">
      <c r="A65" s="259"/>
      <c r="B65" s="600" t="str">
        <f>AG65</f>
        <v>CÔNG TY CỔ PHẦN VIỄN THÔNG DI ĐỘNG TOÀN CẦU</v>
      </c>
      <c r="C65" s="600"/>
      <c r="D65" s="600"/>
      <c r="E65" s="600"/>
      <c r="F65" s="600"/>
      <c r="G65" s="600"/>
      <c r="H65" s="601" t="str">
        <f>AI65</f>
        <v>TB1</v>
      </c>
      <c r="I65" s="601"/>
      <c r="J65" s="601"/>
      <c r="K65" s="601"/>
      <c r="L65" s="602">
        <v>1</v>
      </c>
      <c r="M65" s="602"/>
      <c r="N65" s="603" t="str">
        <f>AL65</f>
        <v>4/4/4</v>
      </c>
      <c r="O65" s="603"/>
      <c r="P65" s="603"/>
      <c r="Q65" s="600" t="str">
        <f>IF(L65=4,AO65&amp;"W/ "&amp;AP65&amp;"W/ "&amp;AQ65&amp;"W/ "&amp;AR65&amp;"W",IF(L65=3,AO65&amp;"W/ "&amp;AP65&amp;"W/ "&amp;AQ65&amp;"W",IF(L65=2,AO65&amp;"W/ "&amp;AP65&amp;"W",AO65&amp;"W")))</f>
        <v>20W</v>
      </c>
      <c r="R65" s="600"/>
      <c r="S65" s="600"/>
      <c r="T65" s="600"/>
      <c r="U65" s="600"/>
      <c r="V65" s="600" t="str">
        <f>IF(AS65="900 &amp; 1800","900MHz &amp; 1800MHz",IF(AS65="900 &amp; 2100","900MHz &amp; 2100MHz",IF(AS65="1800 &amp; 2100","1800MHz &amp; 2100MHz",AS65&amp;"MHz")))</f>
        <v>1800MHz &amp; 2100MHz</v>
      </c>
      <c r="W65" s="600"/>
      <c r="X65" s="600"/>
      <c r="Y65" s="600">
        <f>AT65</f>
        <v>15</v>
      </c>
      <c r="Z65" s="600"/>
      <c r="AA65" s="600"/>
      <c r="AB65" s="600"/>
      <c r="AC65" s="600"/>
      <c r="AD65" s="600"/>
      <c r="AE65" s="549"/>
      <c r="AG65" s="271" t="s">
        <v>96</v>
      </c>
      <c r="AI65" s="271" t="s">
        <v>139</v>
      </c>
      <c r="AJ65" s="271"/>
      <c r="AL65" s="281" t="s">
        <v>106</v>
      </c>
      <c r="AO65" s="237">
        <v>20</v>
      </c>
      <c r="AP65" s="237">
        <v>30</v>
      </c>
      <c r="AQ65" s="237">
        <v>40</v>
      </c>
      <c r="AR65" s="237">
        <v>50</v>
      </c>
      <c r="AS65" s="237" t="s">
        <v>142</v>
      </c>
      <c r="AT65" s="237">
        <v>15</v>
      </c>
      <c r="AU65" s="237">
        <v>16</v>
      </c>
      <c r="AV65" s="237">
        <v>17</v>
      </c>
    </row>
    <row r="66" ht="18.75" customHeight="1">
      <c r="A66" s="259"/>
      <c r="B66" s="600"/>
      <c r="C66" s="600"/>
      <c r="D66" s="600"/>
      <c r="E66" s="600"/>
      <c r="F66" s="600"/>
      <c r="G66" s="600"/>
      <c r="H66" s="601"/>
      <c r="I66" s="601"/>
      <c r="J66" s="601"/>
      <c r="K66" s="601"/>
      <c r="L66" s="602"/>
      <c r="M66" s="602"/>
      <c r="N66" s="603"/>
      <c r="O66" s="603"/>
      <c r="P66" s="603"/>
      <c r="Q66" s="600"/>
      <c r="R66" s="600"/>
      <c r="S66" s="600"/>
      <c r="T66" s="600"/>
      <c r="U66" s="600"/>
      <c r="V66" s="600"/>
      <c r="W66" s="600"/>
      <c r="X66" s="600"/>
      <c r="Y66" s="600"/>
      <c r="Z66" s="600"/>
      <c r="AA66" s="600"/>
      <c r="AB66" s="600"/>
      <c r="AC66" s="600"/>
      <c r="AD66" s="600"/>
      <c r="AE66" s="549"/>
      <c r="AG66" s="271"/>
      <c r="AI66" s="271"/>
      <c r="AJ66" s="271"/>
      <c r="AL66" s="281"/>
    </row>
    <row r="67" ht="18.75" customHeight="1">
      <c r="A67" s="259"/>
      <c r="B67" s="600"/>
      <c r="C67" s="600"/>
      <c r="D67" s="600"/>
      <c r="E67" s="600"/>
      <c r="F67" s="600"/>
      <c r="G67" s="600"/>
      <c r="H67" s="601"/>
      <c r="I67" s="601"/>
      <c r="J67" s="601"/>
      <c r="K67" s="601"/>
      <c r="L67" s="602"/>
      <c r="M67" s="602"/>
      <c r="N67" s="603"/>
      <c r="O67" s="603"/>
      <c r="P67" s="603"/>
      <c r="Q67" s="600"/>
      <c r="R67" s="600"/>
      <c r="S67" s="600"/>
      <c r="T67" s="600"/>
      <c r="U67" s="600"/>
      <c r="V67" s="600"/>
      <c r="W67" s="600"/>
      <c r="X67" s="600"/>
      <c r="Y67" s="600"/>
      <c r="Z67" s="600"/>
      <c r="AA67" s="600"/>
      <c r="AB67" s="600"/>
      <c r="AC67" s="600"/>
      <c r="AD67" s="600"/>
      <c r="AE67" s="549"/>
    </row>
    <row r="68" ht="18.75" customHeight="1">
      <c r="A68" s="259"/>
      <c r="B68" s="600"/>
      <c r="C68" s="600"/>
      <c r="D68" s="600"/>
      <c r="E68" s="600"/>
      <c r="F68" s="600"/>
      <c r="G68" s="600"/>
      <c r="H68" s="601"/>
      <c r="I68" s="601"/>
      <c r="J68" s="601"/>
      <c r="K68" s="601"/>
      <c r="L68" s="602"/>
      <c r="M68" s="602"/>
      <c r="N68" s="603"/>
      <c r="O68" s="603"/>
      <c r="P68" s="603"/>
      <c r="Q68" s="600"/>
      <c r="R68" s="600"/>
      <c r="S68" s="600"/>
      <c r="T68" s="600"/>
      <c r="U68" s="600"/>
      <c r="V68" s="600"/>
      <c r="W68" s="600"/>
      <c r="X68" s="600"/>
      <c r="Y68" s="600"/>
      <c r="Z68" s="600"/>
      <c r="AA68" s="600"/>
      <c r="AB68" s="600"/>
      <c r="AC68" s="600"/>
      <c r="AD68" s="600"/>
      <c r="AE68" s="549"/>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35" t="s">
        <v>83</v>
      </c>
      <c r="C1" s="635"/>
      <c r="D1" s="635"/>
      <c r="E1" s="635"/>
      <c r="F1" s="635"/>
      <c r="G1" s="635"/>
      <c r="H1" s="635"/>
      <c r="I1" s="635"/>
      <c r="J1" s="635"/>
      <c r="K1" s="635"/>
      <c r="L1" s="635"/>
      <c r="M1" s="635"/>
      <c r="N1" s="270"/>
      <c r="O1" s="270"/>
      <c r="P1" s="626" t="s">
        <v>84</v>
      </c>
      <c r="Q1" s="626"/>
      <c r="R1" s="626"/>
      <c r="S1" s="626"/>
      <c r="T1" s="626"/>
      <c r="U1" s="626"/>
      <c r="V1" s="626"/>
      <c r="W1" s="626"/>
      <c r="X1" s="626"/>
      <c r="Y1" s="626"/>
      <c r="Z1" s="626"/>
      <c r="AA1" s="626"/>
      <c r="AB1" s="626"/>
      <c r="AC1" s="626"/>
      <c r="AD1" s="626"/>
      <c r="AE1" s="257"/>
    </row>
    <row r="2" ht="19.7" customHeight="1">
      <c r="C2" s="635" t="s">
        <v>85</v>
      </c>
      <c r="D2" s="635"/>
      <c r="E2" s="635"/>
      <c r="F2" s="635"/>
      <c r="G2" s="635"/>
      <c r="H2" s="635"/>
      <c r="I2" s="635"/>
      <c r="J2" s="635"/>
      <c r="K2" s="635"/>
      <c r="L2" s="635"/>
      <c r="M2" s="270"/>
      <c r="N2" s="293"/>
      <c r="O2" s="270"/>
      <c r="P2" s="636" t="s">
        <v>86</v>
      </c>
      <c r="Q2" s="636"/>
      <c r="R2" s="636"/>
      <c r="S2" s="636"/>
      <c r="T2" s="636"/>
      <c r="U2" s="636"/>
      <c r="V2" s="636"/>
      <c r="W2" s="636"/>
      <c r="X2" s="636"/>
      <c r="Y2" s="636"/>
      <c r="Z2" s="636"/>
      <c r="AA2" s="636"/>
      <c r="AB2" s="636"/>
      <c r="AC2" s="636"/>
      <c r="AD2" s="636"/>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36" t="str">
        <f>"Số: "&amp;AG9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G9" s="271" t="s">
        <v>89</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29" t="s">
        <v>88</v>
      </c>
      <c r="D15" s="630"/>
      <c r="E15" s="630"/>
      <c r="F15" s="630"/>
      <c r="G15" s="630"/>
      <c r="H15" s="630"/>
      <c r="I15" s="630"/>
      <c r="J15" s="630"/>
      <c r="K15" s="630"/>
      <c r="L15" s="630"/>
      <c r="M15" s="630"/>
      <c r="N15" s="630"/>
      <c r="O15" s="630"/>
      <c r="P15" s="630"/>
      <c r="Q15" s="630"/>
      <c r="R15" s="630"/>
      <c r="S15" s="630"/>
      <c r="T15" s="630"/>
      <c r="U15" s="630"/>
      <c r="V15" s="630"/>
      <c r="W15" s="630"/>
      <c r="X15" s="630"/>
      <c r="Y15" s="630"/>
      <c r="Z15" s="630"/>
      <c r="AA15" s="630"/>
      <c r="AB15" s="630"/>
      <c r="AC15" s="630"/>
      <c r="AD15" s="631"/>
      <c r="AE15" s="275"/>
      <c r="AG15" s="276">
        <v>1</v>
      </c>
      <c r="AH15" s="276"/>
      <c r="AI15" s="276"/>
      <c r="AJ15" s="276"/>
      <c r="AK15" s="276">
        <v>2</v>
      </c>
      <c r="AL15" s="276"/>
      <c r="AM15" s="276"/>
      <c r="AN15" s="276"/>
      <c r="AO15" s="276">
        <v>3</v>
      </c>
      <c r="AS15" s="237">
        <v>4</v>
      </c>
    </row>
    <row r="16" ht="38.25" customHeight="1">
      <c r="C16" s="648" t="s">
        <v>92</v>
      </c>
      <c r="D16" s="649"/>
      <c r="E16" s="649"/>
      <c r="F16" s="649"/>
      <c r="G16" s="649"/>
      <c r="H16" s="649"/>
      <c r="I16" s="649"/>
      <c r="J16" s="649"/>
      <c r="K16" s="649"/>
      <c r="L16" s="650"/>
      <c r="M16" s="637" t="str">
        <f>AG16</f>
        <v>Ấp Bàu Trâu, xã Phước Thạnh, huyện Củ Chi, thành phố Hồ Chí Minh.</v>
      </c>
      <c r="N16" s="638"/>
      <c r="O16" s="638"/>
      <c r="P16" s="638"/>
      <c r="Q16" s="638"/>
      <c r="R16" s="638"/>
      <c r="S16" s="638"/>
      <c r="T16" s="638"/>
      <c r="U16" s="638"/>
      <c r="V16" s="638"/>
      <c r="W16" s="638"/>
      <c r="X16" s="638"/>
      <c r="Y16" s="638"/>
      <c r="Z16" s="638"/>
      <c r="AA16" s="638"/>
      <c r="AB16" s="638"/>
      <c r="AC16" s="638"/>
      <c r="AD16" s="639"/>
      <c r="AE16" s="275"/>
      <c r="AG16" s="296" t="s">
        <v>93</v>
      </c>
    </row>
    <row r="17" ht="21" customHeight="1">
      <c r="C17" s="610" t="s">
        <v>94</v>
      </c>
      <c r="D17" s="611"/>
      <c r="E17" s="611"/>
      <c r="F17" s="611"/>
      <c r="G17" s="611"/>
      <c r="H17" s="611"/>
      <c r="I17" s="611"/>
      <c r="J17" s="611"/>
      <c r="K17" s="611"/>
      <c r="L17" s="612"/>
      <c r="M17" s="629" t="str">
        <f>IF(AG17="","",AG17)</f>
      </c>
      <c r="N17" s="630"/>
      <c r="O17" s="630"/>
      <c r="P17" s="630"/>
      <c r="Q17" s="630"/>
      <c r="R17" s="630"/>
      <c r="S17" s="630"/>
      <c r="T17" s="630"/>
      <c r="U17" s="630"/>
      <c r="V17" s="630"/>
      <c r="W17" s="630"/>
      <c r="X17" s="630"/>
      <c r="Y17" s="630"/>
      <c r="Z17" s="630"/>
      <c r="AA17" s="630"/>
      <c r="AB17" s="630"/>
      <c r="AC17" s="630"/>
      <c r="AD17" s="631"/>
      <c r="AE17" s="275"/>
    </row>
    <row r="18" ht="33.95" customHeight="1">
      <c r="C18" s="632" t="s">
        <v>95</v>
      </c>
      <c r="D18" s="633"/>
      <c r="E18" s="633"/>
      <c r="F18" s="633"/>
      <c r="G18" s="633"/>
      <c r="H18" s="633"/>
      <c r="I18" s="633"/>
      <c r="J18" s="633"/>
      <c r="K18" s="633"/>
      <c r="L18" s="634"/>
      <c r="M18" s="605" t="str">
        <f>AG18</f>
        <v>CÔNG TY CỔ PHẦN VIỄN THÔNG DI ĐỘNG TOÀN CẦU</v>
      </c>
      <c r="N18" s="606"/>
      <c r="O18" s="606"/>
      <c r="P18" s="606"/>
      <c r="Q18" s="606"/>
      <c r="R18" s="606"/>
      <c r="S18" s="606"/>
      <c r="T18" s="606"/>
      <c r="U18" s="606"/>
      <c r="V18" s="606"/>
      <c r="W18" s="606"/>
      <c r="X18" s="606"/>
      <c r="Y18" s="606"/>
      <c r="Z18" s="606"/>
      <c r="AA18" s="606"/>
      <c r="AB18" s="606"/>
      <c r="AC18" s="606"/>
      <c r="AD18" s="607"/>
      <c r="AE18" s="275"/>
      <c r="AG18" s="271" t="s">
        <v>96</v>
      </c>
    </row>
    <row r="19" ht="33.95" customHeight="1">
      <c r="C19" s="632" t="s">
        <v>97</v>
      </c>
      <c r="D19" s="633"/>
      <c r="E19" s="633"/>
      <c r="F19" s="633"/>
      <c r="G19" s="633"/>
      <c r="H19" s="633"/>
      <c r="I19" s="633"/>
      <c r="J19" s="633"/>
      <c r="K19" s="633"/>
      <c r="L19" s="634"/>
      <c r="M19" s="605" t="str">
        <f>AG19</f>
        <v>CÔNG TY CỔ PHẦN VIỄN THÔNG DI ĐỘNG TOÀN CẦU</v>
      </c>
      <c r="N19" s="606"/>
      <c r="O19" s="606"/>
      <c r="P19" s="606"/>
      <c r="Q19" s="606"/>
      <c r="R19" s="606"/>
      <c r="S19" s="606"/>
      <c r="T19" s="606"/>
      <c r="U19" s="606"/>
      <c r="V19" s="606"/>
      <c r="W19" s="606"/>
      <c r="X19" s="606"/>
      <c r="Y19" s="606"/>
      <c r="Z19" s="606"/>
      <c r="AA19" s="606"/>
      <c r="AB19" s="606"/>
      <c r="AC19" s="606"/>
      <c r="AD19" s="607"/>
      <c r="AE19" s="278"/>
      <c r="AG19" s="271" t="s">
        <v>96</v>
      </c>
    </row>
    <row r="20" ht="21" customHeight="1">
      <c r="C20" s="619" t="s">
        <v>98</v>
      </c>
      <c r="D20" s="620"/>
      <c r="E20" s="620"/>
      <c r="F20" s="620"/>
      <c r="G20" s="620"/>
      <c r="H20" s="620"/>
      <c r="I20" s="620"/>
      <c r="J20" s="620"/>
      <c r="K20" s="620"/>
      <c r="L20" s="620"/>
      <c r="M20" s="620"/>
      <c r="N20" s="620"/>
      <c r="O20" s="620"/>
      <c r="P20" s="620"/>
      <c r="Q20" s="620"/>
      <c r="R20" s="620"/>
      <c r="S20" s="620"/>
      <c r="T20" s="620"/>
      <c r="U20" s="620"/>
      <c r="V20" s="620"/>
      <c r="W20" s="620"/>
      <c r="X20" s="620"/>
      <c r="Y20" s="620"/>
      <c r="Z20" s="620"/>
      <c r="AA20" s="620"/>
      <c r="AB20" s="620"/>
      <c r="AC20" s="620"/>
      <c r="AD20" s="621"/>
      <c r="AE20" s="279"/>
    </row>
    <row r="21" ht="33.95" customHeight="1">
      <c r="C21" s="613" t="s">
        <v>99</v>
      </c>
      <c r="D21" s="613"/>
      <c r="E21" s="613"/>
      <c r="F21" s="613"/>
      <c r="G21" s="613"/>
      <c r="H21" s="613"/>
      <c r="I21" s="613"/>
      <c r="J21" s="613"/>
      <c r="K21" s="613"/>
      <c r="L21" s="613"/>
      <c r="M21" s="647" t="str">
        <f>AG21</f>
        <v>MOTOROLA HORIZON II MACRO</v>
      </c>
      <c r="N21" s="647"/>
      <c r="O21" s="647"/>
      <c r="P21" s="647"/>
      <c r="Q21" s="647"/>
      <c r="R21" s="647"/>
      <c r="S21" s="647"/>
      <c r="T21" s="647"/>
      <c r="U21" s="647"/>
      <c r="V21" s="647" t="str">
        <f>AK21</f>
        <v>MOTOROLA HORIZON II MACRO</v>
      </c>
      <c r="W21" s="647"/>
      <c r="X21" s="647"/>
      <c r="Y21" s="647"/>
      <c r="Z21" s="647"/>
      <c r="AA21" s="647"/>
      <c r="AB21" s="647"/>
      <c r="AC21" s="647"/>
      <c r="AD21" s="647"/>
      <c r="AE21" s="275"/>
      <c r="AG21" s="271" t="s">
        <v>737</v>
      </c>
      <c r="AK21" s="271" t="s">
        <v>737</v>
      </c>
      <c r="AO21" s="271" t="s">
        <v>102</v>
      </c>
      <c r="AS21" s="271" t="s">
        <v>103</v>
      </c>
    </row>
    <row r="22" ht="19.7" customHeight="1">
      <c r="C22" s="622" t="s">
        <v>104</v>
      </c>
      <c r="D22" s="623"/>
      <c r="E22" s="623"/>
      <c r="F22" s="623"/>
      <c r="G22" s="623"/>
      <c r="H22" s="623"/>
      <c r="I22" s="623"/>
      <c r="J22" s="623"/>
      <c r="K22" s="623"/>
      <c r="L22" s="624"/>
      <c r="M22" s="605">
        <f>AG22</f>
        <v>3</v>
      </c>
      <c r="N22" s="606"/>
      <c r="O22" s="606"/>
      <c r="P22" s="606"/>
      <c r="Q22" s="606"/>
      <c r="R22" s="606"/>
      <c r="S22" s="606"/>
      <c r="T22" s="606"/>
      <c r="U22" s="607"/>
      <c r="V22" s="605">
        <f>AK22</f>
        <v>3</v>
      </c>
      <c r="W22" s="606"/>
      <c r="X22" s="606"/>
      <c r="Y22" s="606"/>
      <c r="Z22" s="606"/>
      <c r="AA22" s="606"/>
      <c r="AB22" s="606"/>
      <c r="AC22" s="606"/>
      <c r="AD22" s="607"/>
      <c r="AE22" s="275"/>
      <c r="AG22" s="276">
        <v>3</v>
      </c>
      <c r="AH22" s="276"/>
      <c r="AI22" s="276"/>
      <c r="AJ22" s="276"/>
      <c r="AK22" s="276">
        <v>3</v>
      </c>
      <c r="AL22" s="276"/>
      <c r="AM22" s="276"/>
      <c r="AN22" s="276"/>
      <c r="AO22" s="276">
        <v>3</v>
      </c>
      <c r="AS22" s="237">
        <v>1</v>
      </c>
    </row>
    <row r="23" ht="19.7" customHeight="1">
      <c r="C23" s="613" t="s">
        <v>105</v>
      </c>
      <c r="D23" s="613"/>
      <c r="E23" s="613"/>
      <c r="F23" s="613"/>
      <c r="G23" s="613"/>
      <c r="H23" s="613"/>
      <c r="I23" s="613"/>
      <c r="J23" s="613"/>
      <c r="K23" s="613"/>
      <c r="L23" s="613"/>
      <c r="M23" s="653" t="str">
        <f>AG23</f>
        <v>4/4/4</v>
      </c>
      <c r="N23" s="654"/>
      <c r="O23" s="654"/>
      <c r="P23" s="654"/>
      <c r="Q23" s="654"/>
      <c r="R23" s="654"/>
      <c r="S23" s="654"/>
      <c r="T23" s="654"/>
      <c r="U23" s="654"/>
      <c r="V23" s="617" t="str">
        <f>AK23</f>
        <v>2/2/2</v>
      </c>
      <c r="W23" s="651"/>
      <c r="X23" s="651"/>
      <c r="Y23" s="651"/>
      <c r="Z23" s="651"/>
      <c r="AA23" s="651"/>
      <c r="AB23" s="651"/>
      <c r="AC23" s="651"/>
      <c r="AD23" s="652"/>
      <c r="AE23" s="280"/>
      <c r="AG23" s="281" t="s">
        <v>106</v>
      </c>
      <c r="AH23" s="282"/>
      <c r="AI23" s="282"/>
      <c r="AJ23" s="282"/>
      <c r="AK23" s="281" t="s">
        <v>107</v>
      </c>
      <c r="AL23" s="282"/>
      <c r="AM23" s="282"/>
      <c r="AN23" s="282"/>
      <c r="AO23" s="281" t="s">
        <v>108</v>
      </c>
      <c r="AP23" s="282"/>
      <c r="AQ23" s="282"/>
      <c r="AR23" s="282"/>
      <c r="AS23" s="281" t="s">
        <v>109</v>
      </c>
    </row>
    <row r="24" ht="18.75" customHeight="1">
      <c r="C24" s="622" t="s">
        <v>110</v>
      </c>
      <c r="D24" s="623"/>
      <c r="E24" s="623"/>
      <c r="F24" s="623"/>
      <c r="G24" s="623"/>
      <c r="H24" s="623"/>
      <c r="I24" s="623"/>
      <c r="J24" s="623"/>
      <c r="K24" s="623"/>
      <c r="L24" s="624"/>
      <c r="M24" s="605" t="str">
        <f>IF(M22=4,AG24&amp;"W/ "&amp;AH24&amp;"W/ "&amp;AI24&amp;"W/ "&amp;AJ24&amp;"W",IF(M22=3,AG24&amp;"W/ "&amp;AH24&amp;"W/ "&amp;AI24&amp;"W",IF(M22=2,AG24&amp;"W/ "&amp;AH24&amp;"W",AG24&amp;"W")))</f>
        <v>100,45W/ 100,45W/ 100,45W</v>
      </c>
      <c r="N24" s="606"/>
      <c r="O24" s="606"/>
      <c r="P24" s="606"/>
      <c r="Q24" s="606"/>
      <c r="R24" s="606"/>
      <c r="S24" s="606"/>
      <c r="T24" s="606"/>
      <c r="U24" s="607"/>
      <c r="V24" s="605" t="str">
        <f>IF(V22=4,AK24&amp;"W/ "&amp;AL24&amp;"W/ "&amp;AM24&amp;"W/ "&amp;AN24&amp;"W",IF(V22=3,AK24&amp;"W/ "&amp;AL24&amp;"W/ "&amp;AM24&amp;"W",IF(V22=2,AK24&amp;"W/"&amp;AL24&amp;"W",AK24&amp;"W")))</f>
        <v>40W/ 40W/ 40W</v>
      </c>
      <c r="W24" s="606"/>
      <c r="X24" s="606"/>
      <c r="Y24" s="606"/>
      <c r="Z24" s="606"/>
      <c r="AA24" s="606"/>
      <c r="AB24" s="606"/>
      <c r="AC24" s="606"/>
      <c r="AD24" s="607"/>
      <c r="AE24" s="278"/>
      <c r="AG24" s="237" t="s">
        <v>811</v>
      </c>
      <c r="AH24" s="237" t="s">
        <v>811</v>
      </c>
      <c r="AI24" s="237" t="s">
        <v>811</v>
      </c>
      <c r="AJ24" s="237" t="s">
        <v>811</v>
      </c>
      <c r="AK24" s="237">
        <v>40</v>
      </c>
      <c r="AL24" s="237">
        <v>40</v>
      </c>
      <c r="AM24" s="237">
        <v>40</v>
      </c>
      <c r="AN24" s="237">
        <v>40</v>
      </c>
      <c r="AO24" s="237">
        <v>60</v>
      </c>
      <c r="AP24" s="237">
        <v>60</v>
      </c>
      <c r="AQ24" s="237">
        <v>60</v>
      </c>
      <c r="AS24" s="237">
        <v>80</v>
      </c>
      <c r="AT24" s="237">
        <v>80</v>
      </c>
      <c r="AU24" s="237">
        <v>80</v>
      </c>
    </row>
    <row r="25" ht="19.7" customHeight="1">
      <c r="C25" s="613" t="s">
        <v>111</v>
      </c>
      <c r="D25" s="613"/>
      <c r="E25" s="613"/>
      <c r="F25" s="613"/>
      <c r="G25" s="613"/>
      <c r="H25" s="613"/>
      <c r="I25" s="613"/>
      <c r="J25" s="613"/>
      <c r="K25" s="613"/>
      <c r="L25" s="613"/>
      <c r="M25" s="647" t="str">
        <f>IF(AG25="900 &amp; 1800","900MHz &amp; 1800MHz",IF(AG25="900 &amp; 2100","900MHz &amp; 2100MHz",IF(AG25="1800 &amp; 2100","1800MHz &amp; 2100MHz",AG25&amp;"MHz")))</f>
        <v>1800MHz</v>
      </c>
      <c r="N25" s="647"/>
      <c r="O25" s="647"/>
      <c r="P25" s="647"/>
      <c r="Q25" s="647"/>
      <c r="R25" s="647"/>
      <c r="S25" s="647"/>
      <c r="T25" s="647"/>
      <c r="U25" s="647"/>
      <c r="V25" s="647" t="str">
        <f>IF(AK25="900 &amp; 1800","900MHz &amp; 1800MHz",IF(AK25="900 &amp; 2100","900MHz &amp; 2100MHz",AK25&amp;"MHz"))</f>
        <v>1800MHz</v>
      </c>
      <c r="W25" s="647"/>
      <c r="X25" s="647"/>
      <c r="Y25" s="647"/>
      <c r="Z25" s="647"/>
      <c r="AA25" s="647"/>
      <c r="AB25" s="647"/>
      <c r="AC25" s="647"/>
      <c r="AD25" s="647"/>
      <c r="AE25" s="275"/>
      <c r="AG25" s="237">
        <v>1800</v>
      </c>
      <c r="AK25" s="237">
        <v>1800</v>
      </c>
      <c r="AO25" s="237">
        <v>2100</v>
      </c>
      <c r="AS25" s="271" t="s">
        <v>813</v>
      </c>
    </row>
    <row r="26" ht="33.95" customHeight="1">
      <c r="C26" s="613" t="s">
        <v>6343</v>
      </c>
      <c r="D26" s="613"/>
      <c r="E26" s="613"/>
      <c r="F26" s="613"/>
      <c r="G26" s="613"/>
      <c r="H26" s="613"/>
      <c r="I26" s="613"/>
      <c r="J26" s="613"/>
      <c r="K26" s="613"/>
      <c r="L26" s="613"/>
      <c r="M26" s="647">
        <f>AG26</f>
        <v>15</v>
      </c>
      <c r="N26" s="647"/>
      <c r="O26" s="647"/>
      <c r="P26" s="647"/>
      <c r="Q26" s="647"/>
      <c r="R26" s="647"/>
      <c r="S26" s="647"/>
      <c r="T26" s="647"/>
      <c r="U26" s="647"/>
      <c r="V26" s="647">
        <f>AK26</f>
        <v>16</v>
      </c>
      <c r="W26" s="647"/>
      <c r="X26" s="647"/>
      <c r="Y26" s="647"/>
      <c r="Z26" s="647"/>
      <c r="AA26" s="647"/>
      <c r="AB26" s="647"/>
      <c r="AC26" s="647"/>
      <c r="AD26" s="647"/>
      <c r="AE26" s="278"/>
      <c r="AG26" s="237">
        <v>15</v>
      </c>
      <c r="AK26" s="237">
        <v>16</v>
      </c>
      <c r="AO26" s="237">
        <v>17</v>
      </c>
      <c r="AS26" s="237">
        <v>18</v>
      </c>
    </row>
    <row r="27" ht="25.5" customHeight="1">
      <c r="C27" s="614" t="s">
        <v>114</v>
      </c>
      <c r="D27" s="614"/>
      <c r="E27" s="614"/>
      <c r="F27" s="614"/>
      <c r="G27" s="614"/>
      <c r="H27" s="614"/>
      <c r="I27" s="614"/>
      <c r="J27" s="614"/>
      <c r="K27" s="614"/>
      <c r="L27" s="614"/>
      <c r="M27" s="614"/>
      <c r="N27" s="614"/>
      <c r="O27" s="614"/>
      <c r="P27" s="614"/>
      <c r="Q27" s="614"/>
      <c r="R27" s="614"/>
      <c r="S27" s="614"/>
      <c r="T27" s="614"/>
      <c r="U27" s="614"/>
      <c r="V27" s="614"/>
      <c r="W27" s="614"/>
      <c r="X27" s="614"/>
      <c r="Y27" s="614"/>
      <c r="Z27" s="614"/>
      <c r="AA27" s="614"/>
      <c r="AB27" s="283"/>
      <c r="AC27" s="283"/>
      <c r="AD27" s="283"/>
    </row>
    <row r="28" ht="24.75" customHeight="1">
      <c r="C28" s="62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G28" s="237">
        <v>30</v>
      </c>
      <c r="AO28" s="237" t="s">
        <v>115</v>
      </c>
    </row>
    <row r="29" ht="24.75"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116</v>
      </c>
      <c r="AQ29" s="237" t="str">
        <f>IF(AG28&gt;=0," cao hơn "," thấp hơn ")</f>
        <v> cao hơn </v>
      </c>
      <c r="AR29" s="237" t="s">
        <v>117</v>
      </c>
    </row>
    <row r="30" ht="16.5" customHeight="1">
      <c r="C30" s="615" t="str">
        <f>IF(AG31=1,AO31,IF(AG31=2,AO30))</f>
        <v>Trạm gốc điện thoại di động mặt đất công cộng này có mức an toàn phơi nhiễm trường điện từ tuân thủ quy chuẩn kỹ thuật trên.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G30" s="237">
        <v>20</v>
      </c>
      <c r="AO30" s="237" t="s">
        <v>118</v>
      </c>
    </row>
    <row r="31" ht="16.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285"/>
    </row>
    <row r="34" ht="17.1" customHeight="1">
      <c r="C34" s="645"/>
      <c r="D34" s="645"/>
      <c r="E34" s="645"/>
      <c r="F34" s="645"/>
      <c r="G34" s="645"/>
      <c r="H34" s="283"/>
      <c r="I34" s="646"/>
      <c r="J34" s="646"/>
      <c r="K34" s="646"/>
      <c r="L34" s="646"/>
      <c r="M34" s="646"/>
      <c r="N34" s="646"/>
      <c r="O34" s="283"/>
      <c r="P34" s="257"/>
      <c r="Q34" s="257"/>
      <c r="R34" s="257"/>
      <c r="S34" s="257"/>
      <c r="T34" s="640" t="str">
        <f>IF(AI41=0,AO34,IF(AI41=1,AK34,AS34))</f>
        <v>KT. GIÁM ĐỐC</v>
      </c>
      <c r="U34" s="640"/>
      <c r="V34" s="640"/>
      <c r="W34" s="640"/>
      <c r="X34" s="640"/>
      <c r="Y34" s="640"/>
      <c r="Z34" s="640"/>
      <c r="AA34" s="640"/>
      <c r="AB34" s="640"/>
      <c r="AC34" s="640"/>
      <c r="AD34" s="640"/>
      <c r="AE34" s="640"/>
      <c r="AK34" s="237" t="s">
        <v>119</v>
      </c>
      <c r="AO34" s="237" t="s">
        <v>120</v>
      </c>
      <c r="AS34" s="237" t="s">
        <v>121</v>
      </c>
    </row>
    <row r="35" ht="17.1" customHeight="1">
      <c r="C35" s="641" t="s">
        <v>122</v>
      </c>
      <c r="D35" s="641"/>
      <c r="E35" s="641"/>
      <c r="F35" s="641"/>
      <c r="G35" s="641"/>
      <c r="H35" s="286" t="s">
        <v>123</v>
      </c>
      <c r="I35" s="643" t="s">
        <v>124</v>
      </c>
      <c r="J35" s="643"/>
      <c r="K35" s="643"/>
      <c r="L35" s="643"/>
      <c r="M35" s="643"/>
      <c r="N35" s="643"/>
      <c r="O35" s="287"/>
      <c r="P35" s="287"/>
      <c r="Q35" s="283"/>
      <c r="R35" s="283"/>
      <c r="S35" s="283"/>
      <c r="T35" s="640" t="str">
        <f>IF(AI41=0,AO35,IF(AI41=1,"",AS35))</f>
        <v>PHÓ GIÁM ĐỐC</v>
      </c>
      <c r="U35" s="640"/>
      <c r="V35" s="640"/>
      <c r="W35" s="640"/>
      <c r="X35" s="640"/>
      <c r="Y35" s="640"/>
      <c r="Z35" s="640"/>
      <c r="AA35" s="640"/>
      <c r="AB35" s="640"/>
      <c r="AC35" s="640"/>
      <c r="AD35" s="640"/>
      <c r="AE35" s="640"/>
      <c r="AO35" s="237" t="s">
        <v>125</v>
      </c>
      <c r="AS35" s="237" t="s">
        <v>126</v>
      </c>
    </row>
    <row r="36" ht="17.1" customHeight="1">
      <c r="C36" s="641" t="s">
        <v>127</v>
      </c>
      <c r="D36" s="641"/>
      <c r="E36" s="641"/>
      <c r="F36" s="641"/>
      <c r="G36" s="641"/>
      <c r="H36" s="286" t="s">
        <v>123</v>
      </c>
      <c r="I36" s="642">
        <f>AG36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v>40806</v>
      </c>
    </row>
    <row r="37" ht="17.1" customHeight="1">
      <c r="C37" s="641" t="s">
        <v>128</v>
      </c>
      <c r="D37" s="641"/>
      <c r="E37" s="641"/>
      <c r="F37" s="641"/>
      <c r="G37" s="641"/>
      <c r="H37" s="286" t="s">
        <v>123</v>
      </c>
      <c r="I37" s="642">
        <f>AG37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44"/>
      <c r="U39" s="644"/>
      <c r="V39" s="644"/>
      <c r="W39" s="644"/>
      <c r="X39" s="644"/>
      <c r="Y39" s="644"/>
      <c r="Z39" s="644"/>
      <c r="AA39" s="644"/>
      <c r="AB39" s="644"/>
      <c r="AC39" s="644"/>
      <c r="AD39" s="644"/>
      <c r="AE39" s="644"/>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IF(AI41=0,AO41,IF(AI41=1,AK41,AT41))</f>
        <v>Trần Công Khanh</v>
      </c>
      <c r="U41" s="626"/>
      <c r="V41" s="626"/>
      <c r="W41" s="626"/>
      <c r="X41" s="626"/>
      <c r="Y41" s="626"/>
      <c r="Z41" s="626"/>
      <c r="AA41" s="626"/>
      <c r="AB41" s="626"/>
      <c r="AC41" s="626"/>
      <c r="AD41" s="626"/>
      <c r="AE41" s="626"/>
      <c r="AI41" s="237">
        <v>0</v>
      </c>
      <c r="AK41" s="237" t="s">
        <v>129</v>
      </c>
      <c r="AO41" s="237" t="s">
        <v>130</v>
      </c>
      <c r="AT41" s="237" t="s">
        <v>131</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row>
    <row r="44" ht="16.5" customHeight="1">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row>
    <row r="45" ht="16.5" customHeight="1">
      <c r="B45" s="608"/>
      <c r="C45" s="608"/>
      <c r="D45" s="608"/>
      <c r="E45" s="608"/>
      <c r="F45" s="608"/>
      <c r="G45" s="608"/>
      <c r="H45" s="600" t="s">
        <v>133</v>
      </c>
      <c r="I45" s="600"/>
      <c r="J45" s="600"/>
      <c r="K45" s="600"/>
      <c r="L45" s="600" t="s">
        <v>134</v>
      </c>
      <c r="M45" s="600"/>
      <c r="N45" s="600" t="s">
        <v>135</v>
      </c>
      <c r="O45" s="600"/>
      <c r="P45" s="600"/>
      <c r="Q45" s="600" t="s">
        <v>136</v>
      </c>
      <c r="R45" s="600"/>
      <c r="S45" s="600"/>
      <c r="T45" s="600"/>
      <c r="U45" s="600"/>
      <c r="V45" s="600" t="s">
        <v>137</v>
      </c>
      <c r="W45" s="600"/>
      <c r="X45" s="600"/>
      <c r="Y45" s="600" t="s">
        <v>138</v>
      </c>
      <c r="Z45" s="600"/>
      <c r="AA45" s="600"/>
      <c r="AB45" s="600"/>
      <c r="AC45" s="600"/>
      <c r="AD45" s="600"/>
    </row>
    <row r="46" ht="16.5" customHeight="1">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row>
    <row r="47" ht="16.5" customHeight="1">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row>
    <row r="48" ht="16.5" customHeight="1">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G48" s="237">
        <v>33</v>
      </c>
      <c r="AI48" s="237">
        <v>35</v>
      </c>
      <c r="AL48" s="237">
        <v>37</v>
      </c>
      <c r="AO48" s="237">
        <v>39</v>
      </c>
      <c r="AP48" s="237">
        <v>40</v>
      </c>
      <c r="AQ48" s="237">
        <v>41</v>
      </c>
      <c r="AS48" s="237">
        <v>42</v>
      </c>
      <c r="AT48" s="237">
        <v>43</v>
      </c>
      <c r="AU48" s="237">
        <v>44</v>
      </c>
      <c r="AV48" s="237">
        <v>45</v>
      </c>
    </row>
    <row r="49" ht="18.75" customHeight="1">
      <c r="B49" s="600" t="str">
        <f>AG49</f>
        <v>CÔNG TY CỔ PHẦN VIỄN THÔNG DI ĐỘNG TOÀN CẦU</v>
      </c>
      <c r="C49" s="600"/>
      <c r="D49" s="600"/>
      <c r="E49" s="600"/>
      <c r="F49" s="600"/>
      <c r="G49" s="600"/>
      <c r="H49" s="601" t="str">
        <f>AI49</f>
        <v>TB1</v>
      </c>
      <c r="I49" s="601"/>
      <c r="J49" s="601"/>
      <c r="K49" s="601"/>
      <c r="L49" s="602">
        <v>2</v>
      </c>
      <c r="M49" s="602"/>
      <c r="N49" s="603" t="str">
        <f>AL49</f>
        <v>4/4/4</v>
      </c>
      <c r="O49" s="603"/>
      <c r="P49" s="603"/>
      <c r="Q49" s="600" t="str">
        <f>IF(L49=4,AO49&amp;"W/ "&amp;AP49&amp;"W/ "&amp;AQ49&amp;"W/ "&amp;AR49&amp;"W",IF(L49=3,AO49&amp;"W/ "&amp;AP49&amp;"W/ "&amp;AQ49&amp;"W",IF(L49=2,AO49&amp;"W/ "&amp;AP49&amp;"W",AO49&amp;"W")))</f>
        <v>20W/ 30W</v>
      </c>
      <c r="R49" s="600"/>
      <c r="S49" s="600"/>
      <c r="T49" s="600"/>
      <c r="U49" s="600"/>
      <c r="V49" s="600" t="str">
        <f>IF(AS49="900 &amp; 1800","900MHz &amp; 1800MHz",IF(AS49="900 &amp; 2100","900MHz &amp; 2100MHz",IF(AS49="1800 &amp; 2100","1800MHz &amp; 2100MHz",AS49&amp;"MHz")))</f>
        <v>900MHz</v>
      </c>
      <c r="W49" s="600"/>
      <c r="X49" s="600"/>
      <c r="Y49" s="600">
        <f>AT49</f>
        <v>15</v>
      </c>
      <c r="Z49" s="600"/>
      <c r="AA49" s="600"/>
      <c r="AB49" s="600"/>
      <c r="AC49" s="600"/>
      <c r="AD49" s="600"/>
      <c r="AG49" s="271" t="s">
        <v>96</v>
      </c>
      <c r="AI49" s="271" t="s">
        <v>139</v>
      </c>
      <c r="AJ49" s="271"/>
      <c r="AL49" s="281" t="s">
        <v>106</v>
      </c>
      <c r="AO49" s="237">
        <v>20</v>
      </c>
      <c r="AP49" s="237">
        <v>30</v>
      </c>
      <c r="AQ49" s="237">
        <v>40</v>
      </c>
      <c r="AS49" s="237">
        <v>900</v>
      </c>
      <c r="AT49" s="237">
        <v>15</v>
      </c>
      <c r="AU49" s="237">
        <v>16</v>
      </c>
      <c r="AV49" s="237">
        <v>17</v>
      </c>
    </row>
    <row r="50" ht="18.75" customHeight="1">
      <c r="B50" s="600"/>
      <c r="C50" s="600"/>
      <c r="D50" s="600"/>
      <c r="E50" s="600"/>
      <c r="F50" s="600"/>
      <c r="G50" s="600"/>
      <c r="H50" s="601"/>
      <c r="I50" s="601"/>
      <c r="J50" s="601"/>
      <c r="K50" s="601"/>
      <c r="L50" s="602"/>
      <c r="M50" s="602"/>
      <c r="N50" s="603"/>
      <c r="O50" s="603"/>
      <c r="P50" s="603"/>
      <c r="Q50" s="600"/>
      <c r="R50" s="600"/>
      <c r="S50" s="600"/>
      <c r="T50" s="600"/>
      <c r="U50" s="600"/>
      <c r="V50" s="600"/>
      <c r="W50" s="600"/>
      <c r="X50" s="600"/>
      <c r="Y50" s="600"/>
      <c r="Z50" s="600"/>
      <c r="AA50" s="600"/>
      <c r="AB50" s="600"/>
      <c r="AC50" s="600"/>
      <c r="AD50" s="600"/>
    </row>
    <row r="51" ht="18.75" customHeight="1">
      <c r="B51" s="600"/>
      <c r="C51" s="600"/>
      <c r="D51" s="600"/>
      <c r="E51" s="600"/>
      <c r="F51" s="600"/>
      <c r="G51" s="600"/>
      <c r="H51" s="601"/>
      <c r="I51" s="601"/>
      <c r="J51" s="601"/>
      <c r="K51" s="601"/>
      <c r="L51" s="602"/>
      <c r="M51" s="602"/>
      <c r="N51" s="603"/>
      <c r="O51" s="603"/>
      <c r="P51" s="603"/>
      <c r="Q51" s="600"/>
      <c r="R51" s="600"/>
      <c r="S51" s="600"/>
      <c r="T51" s="600"/>
      <c r="U51" s="600"/>
      <c r="V51" s="600"/>
      <c r="W51" s="600"/>
      <c r="X51" s="600"/>
      <c r="Y51" s="600"/>
      <c r="Z51" s="600"/>
      <c r="AA51" s="600"/>
      <c r="AB51" s="600"/>
      <c r="AC51" s="600"/>
      <c r="AD51" s="600"/>
    </row>
    <row r="52" ht="18.75" customHeight="1">
      <c r="B52" s="600"/>
      <c r="C52" s="600"/>
      <c r="D52" s="600"/>
      <c r="E52" s="600"/>
      <c r="F52" s="600"/>
      <c r="G52" s="600"/>
      <c r="H52" s="601"/>
      <c r="I52" s="601"/>
      <c r="J52" s="601"/>
      <c r="K52" s="601"/>
      <c r="L52" s="602"/>
      <c r="M52" s="602"/>
      <c r="N52" s="603"/>
      <c r="O52" s="603"/>
      <c r="P52" s="603"/>
      <c r="Q52" s="600"/>
      <c r="R52" s="600"/>
      <c r="S52" s="600"/>
      <c r="T52" s="600"/>
      <c r="U52" s="600"/>
      <c r="V52" s="600"/>
      <c r="W52" s="600"/>
      <c r="X52" s="600"/>
      <c r="Y52" s="600"/>
      <c r="Z52" s="600"/>
      <c r="AA52" s="600"/>
      <c r="AB52" s="600"/>
      <c r="AC52" s="600"/>
      <c r="AD52" s="600"/>
    </row>
    <row r="53" ht="18.75" customHeight="1">
      <c r="B53" s="600" t="str">
        <f>AG53</f>
        <v>CÔNG TY CỔ PHẦN VIỄN THÔNG DI ĐỘNG TOÀN CẦU</v>
      </c>
      <c r="C53" s="600"/>
      <c r="D53" s="600"/>
      <c r="E53" s="600"/>
      <c r="F53" s="600"/>
      <c r="G53" s="600"/>
      <c r="H53" s="601" t="str">
        <f>AI53</f>
        <v>TB1</v>
      </c>
      <c r="I53" s="601"/>
      <c r="J53" s="601"/>
      <c r="K53" s="601"/>
      <c r="L53" s="602">
        <v>4</v>
      </c>
      <c r="M53" s="602"/>
      <c r="N53" s="603" t="str">
        <f>AL53</f>
        <v>4/4/4</v>
      </c>
      <c r="O53" s="603"/>
      <c r="P53" s="603"/>
      <c r="Q53" s="600" t="str">
        <f>IF(L53=4,AO53&amp;"W/ "&amp;AP53&amp;"W/ "&amp;AQ53&amp;"W/ "&amp;AR53&amp;"W",IF(L53=3,AO53&amp;"W/ "&amp;AP53&amp;"W/ "&amp;AQ53&amp;"W",IF(L53=2,AO53&amp;"W/ "&amp;AP53&amp;"W",AO53&amp;"W")))</f>
        <v>20W/ 30W/ 40W/ W</v>
      </c>
      <c r="R53" s="600"/>
      <c r="S53" s="600"/>
      <c r="T53" s="600"/>
      <c r="U53" s="600"/>
      <c r="V53" s="600" t="str">
        <f>IF(AS53="900 &amp; 1800","900MHz &amp; 1800MHz",IF(AS53="900 &amp; 2100","900MHz &amp; 2100MHz",IF(AS53="1800 &amp; 2100","1800MHz &amp; 2100MHz",AS53&amp;"MHz")))</f>
        <v>1800MHz</v>
      </c>
      <c r="W53" s="600"/>
      <c r="X53" s="600"/>
      <c r="Y53" s="600">
        <f>AT53</f>
        <v>15</v>
      </c>
      <c r="Z53" s="600"/>
      <c r="AA53" s="600"/>
      <c r="AB53" s="600"/>
      <c r="AC53" s="600"/>
      <c r="AD53" s="600"/>
      <c r="AG53" s="271" t="s">
        <v>96</v>
      </c>
      <c r="AI53" s="271" t="s">
        <v>139</v>
      </c>
      <c r="AJ53" s="271"/>
      <c r="AL53" s="281" t="s">
        <v>106</v>
      </c>
      <c r="AO53" s="237">
        <v>20</v>
      </c>
      <c r="AP53" s="237">
        <v>30</v>
      </c>
      <c r="AQ53" s="237">
        <v>40</v>
      </c>
      <c r="AS53" s="237">
        <v>1800</v>
      </c>
      <c r="AT53" s="237">
        <v>15</v>
      </c>
      <c r="AU53" s="237">
        <v>16</v>
      </c>
      <c r="AV53" s="237">
        <v>17</v>
      </c>
    </row>
    <row r="54" ht="18.75" customHeight="1">
      <c r="B54" s="600"/>
      <c r="C54" s="600"/>
      <c r="D54" s="600"/>
      <c r="E54" s="600"/>
      <c r="F54" s="600"/>
      <c r="G54" s="600"/>
      <c r="H54" s="601"/>
      <c r="I54" s="601"/>
      <c r="J54" s="601"/>
      <c r="K54" s="601"/>
      <c r="L54" s="602"/>
      <c r="M54" s="602"/>
      <c r="N54" s="603"/>
      <c r="O54" s="603"/>
      <c r="P54" s="603"/>
      <c r="Q54" s="600"/>
      <c r="R54" s="600"/>
      <c r="S54" s="600"/>
      <c r="T54" s="600"/>
      <c r="U54" s="600"/>
      <c r="V54" s="600"/>
      <c r="W54" s="600"/>
      <c r="X54" s="600"/>
      <c r="Y54" s="600"/>
      <c r="Z54" s="600"/>
      <c r="AA54" s="600"/>
      <c r="AB54" s="600"/>
      <c r="AC54" s="600"/>
      <c r="AD54" s="600"/>
      <c r="AG54" s="271"/>
      <c r="AI54" s="271"/>
      <c r="AJ54" s="271"/>
      <c r="AL54" s="281"/>
    </row>
    <row r="55" ht="18.75" customHeight="1">
      <c r="B55" s="600"/>
      <c r="C55" s="600"/>
      <c r="D55" s="600"/>
      <c r="E55" s="600"/>
      <c r="F55" s="600"/>
      <c r="G55" s="600"/>
      <c r="H55" s="601"/>
      <c r="I55" s="601"/>
      <c r="J55" s="601"/>
      <c r="K55" s="601"/>
      <c r="L55" s="602"/>
      <c r="M55" s="602"/>
      <c r="N55" s="603"/>
      <c r="O55" s="603"/>
      <c r="P55" s="603"/>
      <c r="Q55" s="600"/>
      <c r="R55" s="600"/>
      <c r="S55" s="600"/>
      <c r="T55" s="600"/>
      <c r="U55" s="600"/>
      <c r="V55" s="600"/>
      <c r="W55" s="600"/>
      <c r="X55" s="600"/>
      <c r="Y55" s="600"/>
      <c r="Z55" s="600"/>
      <c r="AA55" s="600"/>
      <c r="AB55" s="600"/>
      <c r="AC55" s="600"/>
      <c r="AD55" s="600"/>
    </row>
    <row r="56" ht="18.75" customHeight="1">
      <c r="B56" s="600"/>
      <c r="C56" s="600"/>
      <c r="D56" s="600"/>
      <c r="E56" s="600"/>
      <c r="F56" s="600"/>
      <c r="G56" s="600"/>
      <c r="H56" s="601"/>
      <c r="I56" s="601"/>
      <c r="J56" s="601"/>
      <c r="K56" s="601"/>
      <c r="L56" s="602"/>
      <c r="M56" s="602"/>
      <c r="N56" s="603"/>
      <c r="O56" s="603"/>
      <c r="P56" s="603"/>
      <c r="Q56" s="600"/>
      <c r="R56" s="600"/>
      <c r="S56" s="600"/>
      <c r="T56" s="600"/>
      <c r="U56" s="600"/>
      <c r="V56" s="600"/>
      <c r="W56" s="600"/>
      <c r="X56" s="600"/>
      <c r="Y56" s="600"/>
      <c r="Z56" s="600"/>
      <c r="AA56" s="600"/>
      <c r="AB56" s="600"/>
      <c r="AC56" s="600"/>
      <c r="AD56" s="600"/>
    </row>
    <row r="57" ht="18.75" customHeight="1">
      <c r="B57" s="600" t="str">
        <f>AG57</f>
        <v>CÔNG TY CỔ PHẦN VIỄN THÔNG DI ĐỘNG TOÀN CẦU</v>
      </c>
      <c r="C57" s="600"/>
      <c r="D57" s="600"/>
      <c r="E57" s="600"/>
      <c r="F57" s="600"/>
      <c r="G57" s="600"/>
      <c r="H57" s="601" t="str">
        <f>AI57</f>
        <v>TB1</v>
      </c>
      <c r="I57" s="601"/>
      <c r="J57" s="601"/>
      <c r="K57" s="601"/>
      <c r="L57" s="602">
        <v>3</v>
      </c>
      <c r="M57" s="602"/>
      <c r="N57" s="603" t="str">
        <f>AL57</f>
        <v>4/4/4</v>
      </c>
      <c r="O57" s="603"/>
      <c r="P57" s="603"/>
      <c r="Q57" s="600" t="str">
        <f>IF(L57=4,AO57&amp;"W/ "&amp;AP57&amp;"W/ "&amp;AQ57&amp;"W/ "&amp;AR57&amp;"W",IF(L57=3,AO57&amp;"W/ "&amp;AP57&amp;"W/ "&amp;AQ57&amp;"W",IF(L57=2,AO57&amp;"W/ "&amp;AP57&amp;"W",AO57&amp;"W")))</f>
        <v>20W/ 30W/ 40W</v>
      </c>
      <c r="R57" s="600"/>
      <c r="S57" s="600"/>
      <c r="T57" s="600"/>
      <c r="U57" s="600"/>
      <c r="V57" s="600" t="str">
        <f>IF(AS57="900 &amp; 1800","900MHz &amp; 1800MHz",IF(AS57="900 &amp; 2100","900MHz &amp; 2100MHz",IF(AS57="1800 &amp; 2100","1800MHz &amp; 2100MHz",AS57&amp;"MHz")))</f>
        <v>900MHz &amp; 1800MHz</v>
      </c>
      <c r="W57" s="600"/>
      <c r="X57" s="600"/>
      <c r="Y57" s="600">
        <f>AT57</f>
        <v>15</v>
      </c>
      <c r="Z57" s="600"/>
      <c r="AA57" s="600"/>
      <c r="AB57" s="600"/>
      <c r="AC57" s="600"/>
      <c r="AD57" s="600"/>
      <c r="AG57" s="271" t="s">
        <v>96</v>
      </c>
      <c r="AI57" s="271" t="s">
        <v>139</v>
      </c>
      <c r="AJ57" s="271"/>
      <c r="AL57" s="281" t="s">
        <v>106</v>
      </c>
      <c r="AO57" s="237">
        <v>20</v>
      </c>
      <c r="AP57" s="237">
        <v>30</v>
      </c>
      <c r="AQ57" s="237">
        <v>40</v>
      </c>
      <c r="AS57" s="237" t="s">
        <v>112</v>
      </c>
      <c r="AT57" s="237">
        <v>15</v>
      </c>
      <c r="AU57" s="237">
        <v>16</v>
      </c>
      <c r="AV57" s="237">
        <v>17</v>
      </c>
    </row>
    <row r="58" ht="18.75" customHeight="1">
      <c r="B58" s="600"/>
      <c r="C58" s="600"/>
      <c r="D58" s="600"/>
      <c r="E58" s="600"/>
      <c r="F58" s="600"/>
      <c r="G58" s="600"/>
      <c r="H58" s="601"/>
      <c r="I58" s="601"/>
      <c r="J58" s="601"/>
      <c r="K58" s="601"/>
      <c r="L58" s="602"/>
      <c r="M58" s="602"/>
      <c r="N58" s="603"/>
      <c r="O58" s="603"/>
      <c r="P58" s="603"/>
      <c r="Q58" s="600"/>
      <c r="R58" s="600"/>
      <c r="S58" s="600"/>
      <c r="T58" s="600"/>
      <c r="U58" s="600"/>
      <c r="V58" s="600"/>
      <c r="W58" s="600"/>
      <c r="X58" s="600"/>
      <c r="Y58" s="600"/>
      <c r="Z58" s="600"/>
      <c r="AA58" s="600"/>
      <c r="AB58" s="600"/>
      <c r="AC58" s="600"/>
      <c r="AD58" s="600"/>
      <c r="AG58" s="271"/>
      <c r="AI58" s="271"/>
      <c r="AJ58" s="271"/>
      <c r="AL58" s="281"/>
    </row>
    <row r="59" ht="18.75" customHeight="1">
      <c r="B59" s="600"/>
      <c r="C59" s="600"/>
      <c r="D59" s="600"/>
      <c r="E59" s="600"/>
      <c r="F59" s="600"/>
      <c r="G59" s="600"/>
      <c r="H59" s="601"/>
      <c r="I59" s="601"/>
      <c r="J59" s="601"/>
      <c r="K59" s="601"/>
      <c r="L59" s="602"/>
      <c r="M59" s="602"/>
      <c r="N59" s="603"/>
      <c r="O59" s="603"/>
      <c r="P59" s="603"/>
      <c r="Q59" s="600"/>
      <c r="R59" s="600"/>
      <c r="S59" s="600"/>
      <c r="T59" s="600"/>
      <c r="U59" s="600"/>
      <c r="V59" s="600"/>
      <c r="W59" s="600"/>
      <c r="X59" s="600"/>
      <c r="Y59" s="600"/>
      <c r="Z59" s="600"/>
      <c r="AA59" s="600"/>
      <c r="AB59" s="600"/>
      <c r="AC59" s="600"/>
      <c r="AD59" s="600"/>
    </row>
    <row r="60" ht="18.75" customHeight="1">
      <c r="B60" s="600"/>
      <c r="C60" s="600"/>
      <c r="D60" s="600"/>
      <c r="E60" s="600"/>
      <c r="F60" s="600"/>
      <c r="G60" s="600"/>
      <c r="H60" s="601"/>
      <c r="I60" s="601"/>
      <c r="J60" s="601"/>
      <c r="K60" s="601"/>
      <c r="L60" s="602"/>
      <c r="M60" s="602"/>
      <c r="N60" s="603"/>
      <c r="O60" s="603"/>
      <c r="P60" s="603"/>
      <c r="Q60" s="600"/>
      <c r="R60" s="600"/>
      <c r="S60" s="600"/>
      <c r="T60" s="600"/>
      <c r="U60" s="600"/>
      <c r="V60" s="600"/>
      <c r="W60" s="600"/>
      <c r="X60" s="600"/>
      <c r="Y60" s="600"/>
      <c r="Z60" s="600"/>
      <c r="AA60" s="600"/>
      <c r="AB60" s="600"/>
      <c r="AC60" s="600"/>
      <c r="AD60" s="600"/>
    </row>
    <row r="61" ht="18.75" customHeight="1">
      <c r="B61" s="600" t="str">
        <f>AG61</f>
        <v>CÔNG TY CỔ PHẦN VIỄN THÔNG DI ĐỘNG TOÀN CẦU</v>
      </c>
      <c r="C61" s="600"/>
      <c r="D61" s="600"/>
      <c r="E61" s="600"/>
      <c r="F61" s="600"/>
      <c r="G61" s="600"/>
      <c r="H61" s="601" t="str">
        <f>AI61</f>
        <v>TB1</v>
      </c>
      <c r="I61" s="601"/>
      <c r="J61" s="601"/>
      <c r="K61" s="601"/>
      <c r="L61" s="602">
        <v>2</v>
      </c>
      <c r="M61" s="602"/>
      <c r="N61" s="603" t="str">
        <f>AL61</f>
        <v>4/4/4</v>
      </c>
      <c r="O61" s="603"/>
      <c r="P61" s="603"/>
      <c r="Q61" s="600" t="str">
        <f>IF(L61=4,AO61&amp;"W/ "&amp;AP61&amp;"W/ "&amp;AQ61&amp;"W/ "&amp;AR61&amp;"W",IF(L61=3,AO61&amp;"W/ "&amp;AP61&amp;"W/ "&amp;AQ61&amp;"W",IF(L61=2,AO61&amp;"W/ "&amp;AP61&amp;"W",AO61&amp;"W")))</f>
        <v>20W/ 30W</v>
      </c>
      <c r="R61" s="600"/>
      <c r="S61" s="600"/>
      <c r="T61" s="600"/>
      <c r="U61" s="600"/>
      <c r="V61" s="600" t="str">
        <f>IF(AS61="900 &amp; 1800","900MHz &amp; 1800MHz",IF(AS61="900 &amp; 2100","900MHz &amp; 2100MHz",IF(AS61="1800 &amp; 2100","1800MHz &amp; 2100MHz",AS61&amp;"MHz")))</f>
        <v>9000 &amp; 2100MHz</v>
      </c>
      <c r="W61" s="600"/>
      <c r="X61" s="600"/>
      <c r="Y61" s="600">
        <f>AT61</f>
        <v>15</v>
      </c>
      <c r="Z61" s="600"/>
      <c r="AA61" s="600"/>
      <c r="AB61" s="600"/>
      <c r="AC61" s="600"/>
      <c r="AD61" s="600"/>
      <c r="AG61" s="271" t="s">
        <v>96</v>
      </c>
      <c r="AI61" s="271" t="s">
        <v>139</v>
      </c>
      <c r="AJ61" s="271"/>
      <c r="AL61" s="281" t="s">
        <v>106</v>
      </c>
      <c r="AO61" s="237">
        <v>20</v>
      </c>
      <c r="AP61" s="237">
        <v>30</v>
      </c>
      <c r="AQ61" s="237">
        <v>40</v>
      </c>
      <c r="AS61" s="237" t="s">
        <v>141</v>
      </c>
      <c r="AT61" s="237">
        <v>15</v>
      </c>
      <c r="AU61" s="237">
        <v>16</v>
      </c>
      <c r="AV61" s="237">
        <v>17</v>
      </c>
    </row>
    <row r="62" ht="18.75" customHeight="1">
      <c r="B62" s="600"/>
      <c r="C62" s="600"/>
      <c r="D62" s="600"/>
      <c r="E62" s="600"/>
      <c r="F62" s="600"/>
      <c r="G62" s="600"/>
      <c r="H62" s="601"/>
      <c r="I62" s="601"/>
      <c r="J62" s="601"/>
      <c r="K62" s="601"/>
      <c r="L62" s="602"/>
      <c r="M62" s="602"/>
      <c r="N62" s="603"/>
      <c r="O62" s="603"/>
      <c r="P62" s="603"/>
      <c r="Q62" s="600"/>
      <c r="R62" s="600"/>
      <c r="S62" s="600"/>
      <c r="T62" s="600"/>
      <c r="U62" s="600"/>
      <c r="V62" s="600"/>
      <c r="W62" s="600"/>
      <c r="X62" s="600"/>
      <c r="Y62" s="600"/>
      <c r="Z62" s="600"/>
      <c r="AA62" s="600"/>
      <c r="AB62" s="600"/>
      <c r="AC62" s="600"/>
      <c r="AD62" s="600"/>
      <c r="AG62" s="271"/>
      <c r="AI62" s="271"/>
      <c r="AJ62" s="271"/>
      <c r="AL62" s="281"/>
    </row>
    <row r="63" ht="18.75" customHeight="1">
      <c r="B63" s="600"/>
      <c r="C63" s="600"/>
      <c r="D63" s="600"/>
      <c r="E63" s="600"/>
      <c r="F63" s="600"/>
      <c r="G63" s="600"/>
      <c r="H63" s="601"/>
      <c r="I63" s="601"/>
      <c r="J63" s="601"/>
      <c r="K63" s="601"/>
      <c r="L63" s="602"/>
      <c r="M63" s="602"/>
      <c r="N63" s="603"/>
      <c r="O63" s="603"/>
      <c r="P63" s="603"/>
      <c r="Q63" s="600"/>
      <c r="R63" s="600"/>
      <c r="S63" s="600"/>
      <c r="T63" s="600"/>
      <c r="U63" s="600"/>
      <c r="V63" s="600"/>
      <c r="W63" s="600"/>
      <c r="X63" s="600"/>
      <c r="Y63" s="600"/>
      <c r="Z63" s="600"/>
      <c r="AA63" s="600"/>
      <c r="AB63" s="600"/>
      <c r="AC63" s="600"/>
      <c r="AD63" s="600"/>
    </row>
    <row r="64" ht="18.75" customHeight="1">
      <c r="B64" s="600"/>
      <c r="C64" s="600"/>
      <c r="D64" s="600"/>
      <c r="E64" s="600"/>
      <c r="F64" s="600"/>
      <c r="G64" s="600"/>
      <c r="H64" s="601"/>
      <c r="I64" s="601"/>
      <c r="J64" s="601"/>
      <c r="K64" s="601"/>
      <c r="L64" s="602"/>
      <c r="M64" s="602"/>
      <c r="N64" s="603"/>
      <c r="O64" s="603"/>
      <c r="P64" s="603"/>
      <c r="Q64" s="600"/>
      <c r="R64" s="600"/>
      <c r="S64" s="600"/>
      <c r="T64" s="600"/>
      <c r="U64" s="600"/>
      <c r="V64" s="600"/>
      <c r="W64" s="600"/>
      <c r="X64" s="600"/>
      <c r="Y64" s="600"/>
      <c r="Z64" s="600"/>
      <c r="AA64" s="600"/>
      <c r="AB64" s="600"/>
      <c r="AC64" s="600"/>
      <c r="AD64" s="600"/>
    </row>
    <row r="65" ht="18.75" customHeight="1">
      <c r="B65" s="600" t="str">
        <f>AG65</f>
        <v>CÔNG TY CỔ PHẦN VIỄN THÔNG DI ĐỘNG TOÀN CẦU</v>
      </c>
      <c r="C65" s="600"/>
      <c r="D65" s="600"/>
      <c r="E65" s="600"/>
      <c r="F65" s="600"/>
      <c r="G65" s="600"/>
      <c r="H65" s="601" t="str">
        <f>AI65</f>
        <v>TB1</v>
      </c>
      <c r="I65" s="601"/>
      <c r="J65" s="601"/>
      <c r="K65" s="601"/>
      <c r="L65" s="602">
        <v>1</v>
      </c>
      <c r="M65" s="602"/>
      <c r="N65" s="603" t="str">
        <f>AL65</f>
        <v>4/4/4</v>
      </c>
      <c r="O65" s="603"/>
      <c r="P65" s="603"/>
      <c r="Q65" s="600" t="str">
        <f>IF(L65=4,AO65&amp;"W/ "&amp;AP65&amp;"W/ "&amp;AQ65&amp;"W/ "&amp;AR65&amp;"W",IF(L65=3,AO65&amp;"W/ "&amp;AP65&amp;"W/ "&amp;AQ65&amp;"W",IF(L65=2,AO65&amp;"W/ "&amp;AP65&amp;"W",AO65&amp;"W")))</f>
        <v>20W</v>
      </c>
      <c r="R65" s="600"/>
      <c r="S65" s="600"/>
      <c r="T65" s="600"/>
      <c r="U65" s="600"/>
      <c r="V65" s="600" t="str">
        <f>IF(AS65="900 &amp; 1800","900MHz &amp; 1800MHz",IF(AS65="900 &amp; 2100","900MHz &amp; 2100MHz",IF(AS65="1800 &amp; 2100","1800MHz &amp; 2100MHz",AS65&amp;"MHz")))</f>
        <v>1800MHz &amp; 2100MHz</v>
      </c>
      <c r="W65" s="600"/>
      <c r="X65" s="600"/>
      <c r="Y65" s="600">
        <f>AT65</f>
        <v>15</v>
      </c>
      <c r="Z65" s="600"/>
      <c r="AA65" s="600"/>
      <c r="AB65" s="600"/>
      <c r="AC65" s="600"/>
      <c r="AD65" s="600"/>
      <c r="AG65" s="271" t="s">
        <v>96</v>
      </c>
      <c r="AI65" s="271" t="s">
        <v>139</v>
      </c>
      <c r="AJ65" s="271"/>
      <c r="AL65" s="281" t="s">
        <v>106</v>
      </c>
      <c r="AO65" s="237">
        <v>20</v>
      </c>
      <c r="AP65" s="237">
        <v>30</v>
      </c>
      <c r="AQ65" s="237">
        <v>40</v>
      </c>
      <c r="AS65" s="237" t="s">
        <v>142</v>
      </c>
      <c r="AT65" s="237">
        <v>15</v>
      </c>
      <c r="AU65" s="237">
        <v>16</v>
      </c>
      <c r="AV65" s="237">
        <v>17</v>
      </c>
    </row>
    <row r="66" ht="18.75" customHeight="1">
      <c r="B66" s="600"/>
      <c r="C66" s="600"/>
      <c r="D66" s="600"/>
      <c r="E66" s="600"/>
      <c r="F66" s="600"/>
      <c r="G66" s="600"/>
      <c r="H66" s="601"/>
      <c r="I66" s="601"/>
      <c r="J66" s="601"/>
      <c r="K66" s="601"/>
      <c r="L66" s="602"/>
      <c r="M66" s="602"/>
      <c r="N66" s="603"/>
      <c r="O66" s="603"/>
      <c r="P66" s="603"/>
      <c r="Q66" s="600"/>
      <c r="R66" s="600"/>
      <c r="S66" s="600"/>
      <c r="T66" s="600"/>
      <c r="U66" s="600"/>
      <c r="V66" s="600"/>
      <c r="W66" s="600"/>
      <c r="X66" s="600"/>
      <c r="Y66" s="600"/>
      <c r="Z66" s="600"/>
      <c r="AA66" s="600"/>
      <c r="AB66" s="600"/>
      <c r="AC66" s="600"/>
      <c r="AD66" s="600"/>
    </row>
    <row r="67" ht="18.75" customHeight="1">
      <c r="B67" s="600"/>
      <c r="C67" s="600"/>
      <c r="D67" s="600"/>
      <c r="E67" s="600"/>
      <c r="F67" s="600"/>
      <c r="G67" s="600"/>
      <c r="H67" s="601"/>
      <c r="I67" s="601"/>
      <c r="J67" s="601"/>
      <c r="K67" s="601"/>
      <c r="L67" s="602"/>
      <c r="M67" s="602"/>
      <c r="N67" s="603"/>
      <c r="O67" s="603"/>
      <c r="P67" s="603"/>
      <c r="Q67" s="600"/>
      <c r="R67" s="600"/>
      <c r="S67" s="600"/>
      <c r="T67" s="600"/>
      <c r="U67" s="600"/>
      <c r="V67" s="600"/>
      <c r="W67" s="600"/>
      <c r="X67" s="600"/>
      <c r="Y67" s="600"/>
      <c r="Z67" s="600"/>
      <c r="AA67" s="600"/>
      <c r="AB67" s="600"/>
      <c r="AC67" s="600"/>
      <c r="AD67" s="600"/>
    </row>
    <row r="68" ht="18.75" customHeight="1">
      <c r="B68" s="600"/>
      <c r="C68" s="600"/>
      <c r="D68" s="600"/>
      <c r="E68" s="600"/>
      <c r="F68" s="600"/>
      <c r="G68" s="600"/>
      <c r="H68" s="601"/>
      <c r="I68" s="601"/>
      <c r="J68" s="601"/>
      <c r="K68" s="601"/>
      <c r="L68" s="602"/>
      <c r="M68" s="602"/>
      <c r="N68" s="603"/>
      <c r="O68" s="603"/>
      <c r="P68" s="603"/>
      <c r="Q68" s="600"/>
      <c r="R68" s="600"/>
      <c r="S68" s="600"/>
      <c r="T68" s="600"/>
      <c r="U68" s="600"/>
      <c r="V68" s="600"/>
      <c r="W68" s="600"/>
      <c r="X68" s="600"/>
      <c r="Y68" s="600"/>
      <c r="Z68" s="600"/>
      <c r="AA68" s="600"/>
      <c r="AB68" s="600"/>
      <c r="AC68" s="600"/>
      <c r="AD68" s="60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35" t="s">
        <v>83</v>
      </c>
      <c r="C1" s="635"/>
      <c r="D1" s="635"/>
      <c r="E1" s="635"/>
      <c r="F1" s="635"/>
      <c r="G1" s="635"/>
      <c r="H1" s="635"/>
      <c r="I1" s="635"/>
      <c r="J1" s="635"/>
      <c r="K1" s="635"/>
      <c r="L1" s="635"/>
      <c r="M1" s="635"/>
      <c r="N1" s="270"/>
      <c r="O1" s="270"/>
      <c r="P1" s="626" t="s">
        <v>84</v>
      </c>
      <c r="Q1" s="626"/>
      <c r="R1" s="626"/>
      <c r="S1" s="626"/>
      <c r="T1" s="626"/>
      <c r="U1" s="626"/>
      <c r="V1" s="626"/>
      <c r="W1" s="626"/>
      <c r="X1" s="626"/>
      <c r="Y1" s="626"/>
      <c r="Z1" s="626"/>
      <c r="AA1" s="626"/>
      <c r="AB1" s="626"/>
      <c r="AC1" s="626"/>
      <c r="AD1" s="626"/>
      <c r="AE1" s="257"/>
    </row>
    <row r="2" ht="19.7" customHeight="1">
      <c r="C2" s="635" t="s">
        <v>85</v>
      </c>
      <c r="D2" s="635"/>
      <c r="E2" s="635"/>
      <c r="F2" s="635"/>
      <c r="G2" s="635"/>
      <c r="H2" s="635"/>
      <c r="I2" s="635"/>
      <c r="J2" s="635"/>
      <c r="K2" s="635"/>
      <c r="L2" s="635"/>
      <c r="M2" s="270"/>
      <c r="N2" s="293"/>
      <c r="O2" s="270"/>
      <c r="P2" s="636" t="s">
        <v>86</v>
      </c>
      <c r="Q2" s="636"/>
      <c r="R2" s="636"/>
      <c r="S2" s="636"/>
      <c r="T2" s="636"/>
      <c r="U2" s="636"/>
      <c r="V2" s="636"/>
      <c r="W2" s="636"/>
      <c r="X2" s="636"/>
      <c r="Y2" s="636"/>
      <c r="Z2" s="636"/>
      <c r="AA2" s="636"/>
      <c r="AB2" s="636"/>
      <c r="AC2" s="636"/>
      <c r="AD2" s="636"/>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36" t="str">
        <f>"Số: "&amp;AG9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G9" s="271" t="s">
        <v>89</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62" t="s">
        <v>88</v>
      </c>
      <c r="D15" s="663"/>
      <c r="E15" s="663"/>
      <c r="F15" s="663"/>
      <c r="G15" s="663"/>
      <c r="H15" s="663"/>
      <c r="I15" s="663"/>
      <c r="J15" s="663"/>
      <c r="K15" s="663"/>
      <c r="L15" s="663"/>
      <c r="M15" s="663"/>
      <c r="N15" s="663"/>
      <c r="O15" s="663"/>
      <c r="P15" s="663"/>
      <c r="Q15" s="663"/>
      <c r="R15" s="663"/>
      <c r="S15" s="663"/>
      <c r="T15" s="663"/>
      <c r="U15" s="663"/>
      <c r="V15" s="663"/>
      <c r="W15" s="663"/>
      <c r="X15" s="663"/>
      <c r="Y15" s="663"/>
      <c r="Z15" s="663"/>
      <c r="AA15" s="663"/>
      <c r="AB15" s="663"/>
      <c r="AC15" s="663"/>
      <c r="AD15" s="664"/>
      <c r="AE15" s="275"/>
      <c r="AG15" s="276">
        <v>1</v>
      </c>
      <c r="AH15" s="276"/>
      <c r="AI15" s="276"/>
      <c r="AJ15" s="276"/>
      <c r="AK15" s="276">
        <v>2</v>
      </c>
      <c r="AL15" s="276"/>
      <c r="AM15" s="276"/>
      <c r="AN15" s="276"/>
      <c r="AO15" s="276">
        <v>3</v>
      </c>
      <c r="AS15" s="237">
        <v>4</v>
      </c>
    </row>
    <row r="16" ht="36" customHeight="1">
      <c r="C16" s="674" t="s">
        <v>92</v>
      </c>
      <c r="D16" s="675"/>
      <c r="E16" s="675"/>
      <c r="F16" s="675"/>
      <c r="G16" s="675"/>
      <c r="H16" s="675"/>
      <c r="I16" s="675"/>
      <c r="J16" s="675"/>
      <c r="K16" s="675"/>
      <c r="L16" s="676"/>
      <c r="M16" s="677" t="str">
        <f>AG16</f>
        <v>Ấp Bàu Trâu, xã Phước Thạnh, huyện Củ Chi, thành phố Hồ Chí Minh.</v>
      </c>
      <c r="N16" s="678"/>
      <c r="O16" s="678"/>
      <c r="P16" s="678"/>
      <c r="Q16" s="678"/>
      <c r="R16" s="678"/>
      <c r="S16" s="678"/>
      <c r="T16" s="678"/>
      <c r="U16" s="678"/>
      <c r="V16" s="678"/>
      <c r="W16" s="678"/>
      <c r="X16" s="678"/>
      <c r="Y16" s="678"/>
      <c r="Z16" s="678"/>
      <c r="AA16" s="678"/>
      <c r="AB16" s="678"/>
      <c r="AC16" s="678"/>
      <c r="AD16" s="679"/>
      <c r="AE16" s="275"/>
      <c r="AG16" s="680" t="s">
        <v>93</v>
      </c>
      <c r="AH16" s="680"/>
      <c r="AI16" s="680"/>
      <c r="AJ16" s="680"/>
      <c r="AK16" s="680"/>
      <c r="AL16" s="680"/>
      <c r="AM16" s="680"/>
      <c r="AN16" s="680"/>
      <c r="AO16" s="680"/>
      <c r="AP16" s="680"/>
      <c r="AQ16" s="680"/>
      <c r="AR16" s="680"/>
      <c r="AS16" s="680"/>
      <c r="AT16" s="680"/>
      <c r="AU16" s="680"/>
      <c r="AV16" s="680"/>
      <c r="AW16" s="680"/>
    </row>
    <row r="17" ht="23.25" customHeight="1">
      <c r="C17" s="674" t="s">
        <v>94</v>
      </c>
      <c r="D17" s="675"/>
      <c r="E17" s="675"/>
      <c r="F17" s="675"/>
      <c r="G17" s="675"/>
      <c r="H17" s="675"/>
      <c r="I17" s="675"/>
      <c r="J17" s="675"/>
      <c r="K17" s="675"/>
      <c r="L17" s="676"/>
      <c r="M17" s="662" t="str">
        <f>IF(AG17="","",AG17)</f>
      </c>
      <c r="N17" s="663"/>
      <c r="O17" s="663"/>
      <c r="P17" s="663"/>
      <c r="Q17" s="663"/>
      <c r="R17" s="663"/>
      <c r="S17" s="663"/>
      <c r="T17" s="663"/>
      <c r="U17" s="663"/>
      <c r="V17" s="663"/>
      <c r="W17" s="663"/>
      <c r="X17" s="663"/>
      <c r="Y17" s="663"/>
      <c r="Z17" s="663"/>
      <c r="AA17" s="663"/>
      <c r="AB17" s="663"/>
      <c r="AC17" s="663"/>
      <c r="AD17" s="664"/>
      <c r="AE17" s="275"/>
    </row>
    <row r="18" ht="31.35" customHeight="1">
      <c r="C18" s="656" t="s">
        <v>95</v>
      </c>
      <c r="D18" s="657"/>
      <c r="E18" s="657"/>
      <c r="F18" s="657"/>
      <c r="G18" s="657"/>
      <c r="H18" s="657"/>
      <c r="I18" s="657"/>
      <c r="J18" s="657"/>
      <c r="K18" s="657"/>
      <c r="L18" s="658"/>
      <c r="M18" s="659" t="str">
        <f>AG18</f>
        <v>CÔNG TY CỔ PHẦN VIỄN THÔNG DI ĐỘNG TOÀN CẦU
GTEL</v>
      </c>
      <c r="N18" s="660"/>
      <c r="O18" s="660"/>
      <c r="P18" s="660"/>
      <c r="Q18" s="660"/>
      <c r="R18" s="660"/>
      <c r="S18" s="660"/>
      <c r="T18" s="660"/>
      <c r="U18" s="660"/>
      <c r="V18" s="660"/>
      <c r="W18" s="660"/>
      <c r="X18" s="660"/>
      <c r="Y18" s="660"/>
      <c r="Z18" s="660"/>
      <c r="AA18" s="660"/>
      <c r="AB18" s="660"/>
      <c r="AC18" s="660"/>
      <c r="AD18" s="661"/>
      <c r="AE18" s="275"/>
      <c r="AG18" s="297" t="s">
        <v>815</v>
      </c>
    </row>
    <row r="19" ht="31.35" customHeight="1">
      <c r="C19" s="656" t="s">
        <v>97</v>
      </c>
      <c r="D19" s="657"/>
      <c r="E19" s="657"/>
      <c r="F19" s="657"/>
      <c r="G19" s="657"/>
      <c r="H19" s="657"/>
      <c r="I19" s="657"/>
      <c r="J19" s="657"/>
      <c r="K19" s="657"/>
      <c r="L19" s="658"/>
      <c r="M19" s="659" t="str">
        <f>AG19</f>
        <v>CÔNG TY CỔ PHẦN VIỄN THÔNG DI ĐỘNG TOÀN CẦU</v>
      </c>
      <c r="N19" s="660"/>
      <c r="O19" s="660"/>
      <c r="P19" s="660"/>
      <c r="Q19" s="660"/>
      <c r="R19" s="660"/>
      <c r="S19" s="660"/>
      <c r="T19" s="660"/>
      <c r="U19" s="660"/>
      <c r="V19" s="660"/>
      <c r="W19" s="660"/>
      <c r="X19" s="660"/>
      <c r="Y19" s="660"/>
      <c r="Z19" s="660"/>
      <c r="AA19" s="660"/>
      <c r="AB19" s="660"/>
      <c r="AC19" s="660"/>
      <c r="AD19" s="661"/>
      <c r="AE19" s="278"/>
      <c r="AG19" s="271" t="s">
        <v>96</v>
      </c>
    </row>
    <row r="20" ht="20.25" customHeight="1">
      <c r="C20" s="671" t="s">
        <v>98</v>
      </c>
      <c r="D20" s="672"/>
      <c r="E20" s="672"/>
      <c r="F20" s="672"/>
      <c r="G20" s="672"/>
      <c r="H20" s="672"/>
      <c r="I20" s="672"/>
      <c r="J20" s="672"/>
      <c r="K20" s="672"/>
      <c r="L20" s="672"/>
      <c r="M20" s="672"/>
      <c r="N20" s="672"/>
      <c r="O20" s="672"/>
      <c r="P20" s="672"/>
      <c r="Q20" s="672"/>
      <c r="R20" s="672"/>
      <c r="S20" s="672"/>
      <c r="T20" s="672"/>
      <c r="U20" s="672"/>
      <c r="V20" s="672"/>
      <c r="W20" s="672"/>
      <c r="X20" s="672"/>
      <c r="Y20" s="672"/>
      <c r="Z20" s="672"/>
      <c r="AA20" s="672"/>
      <c r="AB20" s="672"/>
      <c r="AC20" s="672"/>
      <c r="AD20" s="673"/>
      <c r="AE20" s="279"/>
    </row>
    <row r="21" ht="31.5" customHeight="1">
      <c r="C21" s="670" t="s">
        <v>99</v>
      </c>
      <c r="D21" s="670"/>
      <c r="E21" s="670"/>
      <c r="F21" s="670"/>
      <c r="G21" s="670"/>
      <c r="H21" s="670"/>
      <c r="I21" s="670"/>
      <c r="J21" s="670"/>
      <c r="K21" s="670"/>
      <c r="L21" s="670"/>
      <c r="M21" s="665" t="str">
        <f>AG21</f>
        <v>MOTOROLA HORIZON II MACRO</v>
      </c>
      <c r="N21" s="665"/>
      <c r="O21" s="665"/>
      <c r="P21" s="665"/>
      <c r="Q21" s="665"/>
      <c r="R21" s="665"/>
      <c r="S21" s="665" t="str">
        <f>AK21</f>
        <v>B</v>
      </c>
      <c r="T21" s="665"/>
      <c r="U21" s="665"/>
      <c r="V21" s="665"/>
      <c r="W21" s="665"/>
      <c r="X21" s="665"/>
      <c r="Y21" s="665" t="str">
        <f>AO21</f>
        <v>C</v>
      </c>
      <c r="Z21" s="665"/>
      <c r="AA21" s="665"/>
      <c r="AB21" s="665"/>
      <c r="AC21" s="665"/>
      <c r="AD21" s="665"/>
      <c r="AE21" s="275"/>
      <c r="AG21" s="271" t="s">
        <v>737</v>
      </c>
      <c r="AK21" s="271" t="s">
        <v>101</v>
      </c>
      <c r="AO21" s="271" t="s">
        <v>102</v>
      </c>
      <c r="AS21" s="271" t="s">
        <v>103</v>
      </c>
    </row>
    <row r="22" ht="19.7" customHeight="1">
      <c r="C22" s="666" t="s">
        <v>104</v>
      </c>
      <c r="D22" s="667"/>
      <c r="E22" s="667"/>
      <c r="F22" s="667"/>
      <c r="G22" s="667"/>
      <c r="H22" s="667"/>
      <c r="I22" s="667"/>
      <c r="J22" s="667"/>
      <c r="K22" s="667"/>
      <c r="L22" s="668"/>
      <c r="M22" s="665">
        <f>AG22</f>
        <v>3</v>
      </c>
      <c r="N22" s="665"/>
      <c r="O22" s="665"/>
      <c r="P22" s="665"/>
      <c r="Q22" s="665"/>
      <c r="R22" s="665"/>
      <c r="S22" s="665">
        <f>AK22</f>
        <v>3</v>
      </c>
      <c r="T22" s="665"/>
      <c r="U22" s="665"/>
      <c r="V22" s="665"/>
      <c r="W22" s="665"/>
      <c r="X22" s="665"/>
      <c r="Y22" s="665">
        <f>AO22</f>
        <v>3</v>
      </c>
      <c r="Z22" s="665"/>
      <c r="AA22" s="665"/>
      <c r="AB22" s="665"/>
      <c r="AC22" s="665"/>
      <c r="AD22" s="665"/>
      <c r="AE22" s="275"/>
      <c r="AG22" s="276">
        <v>3</v>
      </c>
      <c r="AH22" s="276"/>
      <c r="AI22" s="276"/>
      <c r="AJ22" s="276"/>
      <c r="AK22" s="276">
        <v>3</v>
      </c>
      <c r="AL22" s="276"/>
      <c r="AM22" s="276"/>
      <c r="AN22" s="276"/>
      <c r="AO22" s="276">
        <v>3</v>
      </c>
      <c r="AS22" s="237">
        <v>1</v>
      </c>
    </row>
    <row r="23" ht="19.7" customHeight="1">
      <c r="C23" s="670" t="s">
        <v>105</v>
      </c>
      <c r="D23" s="670"/>
      <c r="E23" s="670"/>
      <c r="F23" s="670"/>
      <c r="G23" s="670"/>
      <c r="H23" s="670"/>
      <c r="I23" s="670"/>
      <c r="J23" s="670"/>
      <c r="K23" s="670"/>
      <c r="L23" s="670"/>
      <c r="M23" s="669" t="str">
        <f>AG23</f>
        <v>4/4/4</v>
      </c>
      <c r="N23" s="669"/>
      <c r="O23" s="669"/>
      <c r="P23" s="669"/>
      <c r="Q23" s="669"/>
      <c r="R23" s="669"/>
      <c r="S23" s="669" t="str">
        <f>AK23</f>
        <v>2/2/2</v>
      </c>
      <c r="T23" s="669"/>
      <c r="U23" s="669"/>
      <c r="V23" s="669"/>
      <c r="W23" s="669"/>
      <c r="X23" s="669"/>
      <c r="Y23" s="669" t="str">
        <f>AO23</f>
        <v>5/5/5</v>
      </c>
      <c r="Z23" s="665"/>
      <c r="AA23" s="665"/>
      <c r="AB23" s="665"/>
      <c r="AC23" s="665"/>
      <c r="AD23" s="665"/>
      <c r="AE23" s="280"/>
      <c r="AG23" s="281" t="s">
        <v>106</v>
      </c>
      <c r="AH23" s="282"/>
      <c r="AI23" s="282"/>
      <c r="AJ23" s="282"/>
      <c r="AK23" s="281" t="s">
        <v>107</v>
      </c>
      <c r="AL23" s="282"/>
      <c r="AM23" s="282"/>
      <c r="AN23" s="282"/>
      <c r="AO23" s="281" t="s">
        <v>108</v>
      </c>
      <c r="AP23" s="282"/>
      <c r="AQ23" s="282"/>
      <c r="AR23" s="282"/>
      <c r="AS23" s="281" t="s">
        <v>109</v>
      </c>
    </row>
    <row r="24" ht="31.35" customHeight="1">
      <c r="C24" s="666" t="s">
        <v>110</v>
      </c>
      <c r="D24" s="667"/>
      <c r="E24" s="667"/>
      <c r="F24" s="667"/>
      <c r="G24" s="667"/>
      <c r="H24" s="667"/>
      <c r="I24" s="667"/>
      <c r="J24" s="667"/>
      <c r="K24" s="667"/>
      <c r="L24" s="668"/>
      <c r="M24" s="655" t="str">
        <f>IF(M22=4,AG24&amp;"W/ "&amp;AH24&amp;"W/ "&amp;AI24&amp;"W/ "&amp;AK24&amp;"W",IF(M22=3,AG24&amp;"W/ "&amp;AH24&amp;"W/ "&amp;AI24&amp;"W",IF(M22=2,AG24&amp;"W/ "&amp;AH24&amp;"W",AG24&amp;"W")))</f>
        <v>20W/ 20W/ 20W</v>
      </c>
      <c r="N24" s="655"/>
      <c r="O24" s="655"/>
      <c r="P24" s="655"/>
      <c r="Q24" s="655"/>
      <c r="R24" s="655"/>
      <c r="S24" s="655" t="str">
        <f>IF(S22=4,AK24&amp;"W/ "&amp;AL24&amp;"W/ "&amp;AM24&amp;"W/ "&amp;AN24&amp;"W",IF(S22=3,AK24&amp;"W/ "&amp;AL24&amp;"W/ "&amp;AM24&amp;"W",IF(S22=2,AK24&amp;"W/ "&amp;AL24&amp;"W",AK24&amp;"W")))</f>
        <v>40W/ 40W/ 40W</v>
      </c>
      <c r="T24" s="655"/>
      <c r="U24" s="655"/>
      <c r="V24" s="655"/>
      <c r="W24" s="655"/>
      <c r="X24" s="655"/>
      <c r="Y24" s="655" t="str">
        <f>IF(Y22=4,AO24&amp;"W/ "&amp;AP24&amp;"W/ "&amp;AQ24&amp;"W/ "&amp;AR24&amp;"W",IF(Y22=3,AO24&amp;"W/ "&amp;AP24&amp;"W/ "&amp;AQ24&amp;"W",IF(Y22=2,AO24&amp;"W/ "&amp;AP24&amp;"W",AO24&amp;"W")))</f>
        <v>60W/ 60W/ 60W</v>
      </c>
      <c r="Z24" s="655"/>
      <c r="AA24" s="655"/>
      <c r="AB24" s="655"/>
      <c r="AC24" s="655"/>
      <c r="AD24" s="655"/>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0" t="s">
        <v>111</v>
      </c>
      <c r="D25" s="670"/>
      <c r="E25" s="670"/>
      <c r="F25" s="670"/>
      <c r="G25" s="670"/>
      <c r="H25" s="670"/>
      <c r="I25" s="670"/>
      <c r="J25" s="670"/>
      <c r="K25" s="670"/>
      <c r="L25" s="670"/>
      <c r="M25" s="665" t="str">
        <f>IF(AG25="900 &amp; 1800","900MHz &amp; 1800MHz",IF(AG25="900 &amp; 2100","900MHz &amp; 2100MHz",AG25&amp;"MHz"))</f>
        <v>900MHz</v>
      </c>
      <c r="N25" s="665"/>
      <c r="O25" s="665"/>
      <c r="P25" s="665"/>
      <c r="Q25" s="665"/>
      <c r="R25" s="665"/>
      <c r="S25" s="665" t="str">
        <f>IF(AK25="900 &amp; 1800","900MHz &amp; 1800MHz",IF(AK25="900 &amp; 2100","900MHz &amp; 2100MHz",AK25&amp;"MHz"))</f>
        <v>1800MHz</v>
      </c>
      <c r="T25" s="665"/>
      <c r="U25" s="665"/>
      <c r="V25" s="665"/>
      <c r="W25" s="665"/>
      <c r="X25" s="665"/>
      <c r="Y25" s="665" t="str">
        <f>IF(AO25="900 &amp; 1800","900MHz &amp; 1800MHz",IF(AO25="900 &amp; 2100","900MHz &amp; 2100MHz",AO25&amp;"MHz"))</f>
        <v>2100MHz</v>
      </c>
      <c r="Z25" s="665"/>
      <c r="AA25" s="665"/>
      <c r="AB25" s="665"/>
      <c r="AC25" s="665"/>
      <c r="AD25" s="665"/>
      <c r="AE25" s="275"/>
      <c r="AG25" s="237">
        <v>900</v>
      </c>
      <c r="AK25" s="237">
        <v>1800</v>
      </c>
      <c r="AO25" s="237">
        <v>2100</v>
      </c>
      <c r="AS25" s="271" t="s">
        <v>813</v>
      </c>
    </row>
    <row r="26" ht="31.35" customHeight="1">
      <c r="C26" s="670" t="s">
        <v>816</v>
      </c>
      <c r="D26" s="670"/>
      <c r="E26" s="670"/>
      <c r="F26" s="670"/>
      <c r="G26" s="670"/>
      <c r="H26" s="670"/>
      <c r="I26" s="670"/>
      <c r="J26" s="670"/>
      <c r="K26" s="670"/>
      <c r="L26" s="670"/>
      <c r="M26" s="665">
        <f>AG26</f>
        <v>15</v>
      </c>
      <c r="N26" s="665"/>
      <c r="O26" s="665"/>
      <c r="P26" s="665"/>
      <c r="Q26" s="665"/>
      <c r="R26" s="665"/>
      <c r="S26" s="665">
        <f>AK26</f>
        <v>16</v>
      </c>
      <c r="T26" s="665"/>
      <c r="U26" s="665"/>
      <c r="V26" s="665"/>
      <c r="W26" s="665"/>
      <c r="X26" s="665"/>
      <c r="Y26" s="665">
        <f>AO26</f>
        <v>17</v>
      </c>
      <c r="Z26" s="665"/>
      <c r="AA26" s="665"/>
      <c r="AB26" s="665"/>
      <c r="AC26" s="665"/>
      <c r="AD26" s="665"/>
      <c r="AE26" s="278"/>
      <c r="AG26" s="237">
        <v>15</v>
      </c>
      <c r="AK26" s="237">
        <v>16</v>
      </c>
      <c r="AO26" s="237">
        <v>17</v>
      </c>
      <c r="AS26" s="237">
        <v>18</v>
      </c>
    </row>
    <row r="27" ht="25.5" customHeight="1">
      <c r="C27" s="614" t="s">
        <v>114</v>
      </c>
      <c r="D27" s="614"/>
      <c r="E27" s="614"/>
      <c r="F27" s="614"/>
      <c r="G27" s="614"/>
      <c r="H27" s="614"/>
      <c r="I27" s="614"/>
      <c r="J27" s="614"/>
      <c r="K27" s="614"/>
      <c r="L27" s="614"/>
      <c r="M27" s="614"/>
      <c r="N27" s="614"/>
      <c r="O27" s="614"/>
      <c r="P27" s="614"/>
      <c r="Q27" s="614"/>
      <c r="R27" s="614"/>
      <c r="S27" s="614"/>
      <c r="T27" s="614"/>
      <c r="U27" s="614"/>
      <c r="V27" s="614"/>
      <c r="W27" s="614"/>
      <c r="X27" s="614"/>
      <c r="Y27" s="614"/>
      <c r="Z27" s="614"/>
      <c r="AA27" s="614"/>
      <c r="AB27" s="283"/>
      <c r="AC27" s="283"/>
      <c r="AD27" s="283"/>
    </row>
    <row r="28" ht="25.5" customHeight="1">
      <c r="C28" s="625"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G28" s="237">
        <v>30</v>
      </c>
      <c r="AO28" s="237" t="s">
        <v>115</v>
      </c>
    </row>
    <row r="29" ht="25.5"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116</v>
      </c>
      <c r="AQ29" s="237" t="str">
        <f>IF(AG28&gt;=0," cao hơn "," thấp hơn ")</f>
        <v> cao hơn </v>
      </c>
      <c r="AR29" s="237" t="s">
        <v>117</v>
      </c>
    </row>
    <row r="30" ht="15.75" customHeight="1">
      <c r="C30" s="615" t="str">
        <f>IF(AG31=1,AO31,IF(AG31=2,AO30))</f>
        <v>Giới hạn an toàn: là khoảng chiều cao trên cột anten tính từ điểm có độ cao 20m so với mặt đất trở lên.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G30" s="237">
        <v>20</v>
      </c>
      <c r="AO30" s="237" t="s">
        <v>118</v>
      </c>
    </row>
    <row r="31" ht="15.7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285"/>
    </row>
    <row r="34" ht="17.1" customHeight="1">
      <c r="C34" s="645"/>
      <c r="D34" s="645"/>
      <c r="E34" s="645"/>
      <c r="F34" s="645"/>
      <c r="G34" s="645"/>
      <c r="H34" s="283"/>
      <c r="I34" s="646"/>
      <c r="J34" s="646"/>
      <c r="K34" s="646"/>
      <c r="L34" s="646"/>
      <c r="M34" s="646"/>
      <c r="N34" s="646"/>
      <c r="O34" s="283"/>
      <c r="P34" s="257"/>
      <c r="Q34" s="257"/>
      <c r="R34" s="257"/>
      <c r="S34" s="257"/>
      <c r="T34" s="640" t="str">
        <f>IF(AI41=0,AO34,IF(AI41=1,AK34,AS34))</f>
        <v>KT. GIÁM ĐỐC</v>
      </c>
      <c r="U34" s="640"/>
      <c r="V34" s="640"/>
      <c r="W34" s="640"/>
      <c r="X34" s="640"/>
      <c r="Y34" s="640"/>
      <c r="Z34" s="640"/>
      <c r="AA34" s="640"/>
      <c r="AB34" s="640"/>
      <c r="AC34" s="640"/>
      <c r="AD34" s="640"/>
      <c r="AE34" s="640"/>
      <c r="AK34" s="237" t="s">
        <v>119</v>
      </c>
      <c r="AO34" s="237" t="s">
        <v>120</v>
      </c>
      <c r="AS34" s="237" t="s">
        <v>121</v>
      </c>
    </row>
    <row r="35" ht="17.1" customHeight="1">
      <c r="C35" s="641" t="s">
        <v>122</v>
      </c>
      <c r="D35" s="641"/>
      <c r="E35" s="641"/>
      <c r="F35" s="641"/>
      <c r="G35" s="641"/>
      <c r="H35" s="298" t="s">
        <v>123</v>
      </c>
      <c r="I35" s="643" t="s">
        <v>124</v>
      </c>
      <c r="J35" s="643"/>
      <c r="K35" s="643"/>
      <c r="L35" s="643"/>
      <c r="M35" s="643"/>
      <c r="N35" s="643"/>
      <c r="O35" s="287"/>
      <c r="P35" s="287"/>
      <c r="Q35" s="283"/>
      <c r="R35" s="283"/>
      <c r="S35" s="283"/>
      <c r="T35" s="640" t="str">
        <f>IF(AI41=0,AO35,IF(AI41=1,"",AS35))</f>
        <v>PHÓ GIÁM ĐỐC</v>
      </c>
      <c r="U35" s="640"/>
      <c r="V35" s="640"/>
      <c r="W35" s="640"/>
      <c r="X35" s="640"/>
      <c r="Y35" s="640"/>
      <c r="Z35" s="640"/>
      <c r="AA35" s="640"/>
      <c r="AB35" s="640"/>
      <c r="AC35" s="640"/>
      <c r="AD35" s="640"/>
      <c r="AE35" s="640"/>
      <c r="AO35" s="237" t="s">
        <v>125</v>
      </c>
      <c r="AS35" s="237" t="s">
        <v>126</v>
      </c>
    </row>
    <row r="36" ht="17.1" customHeight="1">
      <c r="C36" s="641" t="s">
        <v>127</v>
      </c>
      <c r="D36" s="641"/>
      <c r="E36" s="641"/>
      <c r="F36" s="641"/>
      <c r="G36" s="641"/>
      <c r="H36" s="286" t="s">
        <v>123</v>
      </c>
      <c r="I36" s="642">
        <f>AG36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v>40806</v>
      </c>
    </row>
    <row r="37" ht="17.1" customHeight="1">
      <c r="C37" s="641" t="s">
        <v>128</v>
      </c>
      <c r="D37" s="641"/>
      <c r="E37" s="641"/>
      <c r="F37" s="641"/>
      <c r="G37" s="641"/>
      <c r="H37" s="286" t="s">
        <v>123</v>
      </c>
      <c r="I37" s="642">
        <f>AG37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44"/>
      <c r="U39" s="644"/>
      <c r="V39" s="644"/>
      <c r="W39" s="644"/>
      <c r="X39" s="644"/>
      <c r="Y39" s="644"/>
      <c r="Z39" s="644"/>
      <c r="AA39" s="644"/>
      <c r="AB39" s="644"/>
      <c r="AC39" s="644"/>
      <c r="AD39" s="644"/>
      <c r="AE39" s="644"/>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IF(AI41=0,AO41,IF(AI41=1,AK41,AT41))</f>
        <v>Trần Công Khanh</v>
      </c>
      <c r="U41" s="626"/>
      <c r="V41" s="626"/>
      <c r="W41" s="626"/>
      <c r="X41" s="626"/>
      <c r="Y41" s="626"/>
      <c r="Z41" s="626"/>
      <c r="AA41" s="626"/>
      <c r="AB41" s="626"/>
      <c r="AC41" s="626"/>
      <c r="AD41" s="626"/>
      <c r="AE41" s="626"/>
      <c r="AI41" s="237">
        <v>0</v>
      </c>
      <c r="AK41" s="237" t="s">
        <v>129</v>
      </c>
      <c r="AO41" s="237" t="s">
        <v>130</v>
      </c>
      <c r="AT41" s="237" t="s">
        <v>131</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row>
    <row r="44" ht="16.5" customHeight="1">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row>
    <row r="45" ht="16.5" customHeight="1">
      <c r="B45" s="608"/>
      <c r="C45" s="608"/>
      <c r="D45" s="608"/>
      <c r="E45" s="608"/>
      <c r="F45" s="608"/>
      <c r="G45" s="608"/>
      <c r="H45" s="600" t="s">
        <v>133</v>
      </c>
      <c r="I45" s="600"/>
      <c r="J45" s="600"/>
      <c r="K45" s="600"/>
      <c r="L45" s="600" t="s">
        <v>134</v>
      </c>
      <c r="M45" s="600"/>
      <c r="N45" s="600" t="s">
        <v>135</v>
      </c>
      <c r="O45" s="600"/>
      <c r="P45" s="600"/>
      <c r="Q45" s="600" t="s">
        <v>136</v>
      </c>
      <c r="R45" s="600"/>
      <c r="S45" s="600"/>
      <c r="T45" s="600"/>
      <c r="U45" s="600"/>
      <c r="V45" s="600" t="s">
        <v>137</v>
      </c>
      <c r="W45" s="600"/>
      <c r="X45" s="600"/>
      <c r="Y45" s="600" t="s">
        <v>138</v>
      </c>
      <c r="Z45" s="600"/>
      <c r="AA45" s="600"/>
      <c r="AB45" s="600"/>
      <c r="AC45" s="600"/>
      <c r="AD45" s="600"/>
    </row>
    <row r="46" ht="16.5" customHeight="1">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row>
    <row r="47" ht="16.5" customHeight="1">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row>
    <row r="48" ht="16.5" customHeight="1">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G48" s="237">
        <v>33</v>
      </c>
      <c r="AI48" s="237">
        <v>35</v>
      </c>
      <c r="AL48" s="237">
        <v>37</v>
      </c>
      <c r="AO48" s="237">
        <v>39</v>
      </c>
      <c r="AP48" s="237">
        <v>40</v>
      </c>
      <c r="AQ48" s="237">
        <v>41</v>
      </c>
      <c r="AS48" s="237">
        <v>42</v>
      </c>
      <c r="AT48" s="237">
        <v>43</v>
      </c>
      <c r="AU48" s="237">
        <v>44</v>
      </c>
      <c r="AV48" s="237">
        <v>45</v>
      </c>
    </row>
    <row r="49" ht="18.75" customHeight="1">
      <c r="B49" s="600" t="str">
        <f>AG49</f>
        <v>CÔNG TY CỔ PHẦN VIỄN THÔNG DI ĐỘNG TOÀN CẦU</v>
      </c>
      <c r="C49" s="600"/>
      <c r="D49" s="600"/>
      <c r="E49" s="600"/>
      <c r="F49" s="600"/>
      <c r="G49" s="600"/>
      <c r="H49" s="601" t="str">
        <f>AI49</f>
        <v>TB1</v>
      </c>
      <c r="I49" s="601"/>
      <c r="J49" s="601"/>
      <c r="K49" s="601"/>
      <c r="L49" s="602">
        <v>3</v>
      </c>
      <c r="M49" s="602"/>
      <c r="N49" s="603" t="str">
        <f>AL49</f>
        <v>4/4/4</v>
      </c>
      <c r="O49" s="603"/>
      <c r="P49" s="603"/>
      <c r="Q49" s="600" t="str">
        <f>IF(L49=3,AO49&amp;"W/ "&amp;AP49&amp;"W/ "&amp;AQ49&amp;"W",IF(L49=2,AO49&amp;"W/ "&amp;AP49&amp;"W",AO49&amp;"W"))</f>
        <v>20W/ 30W/ 40W</v>
      </c>
      <c r="R49" s="600"/>
      <c r="S49" s="600"/>
      <c r="T49" s="600"/>
      <c r="U49" s="600"/>
      <c r="V49" s="600" t="str">
        <f>IF(AS49="900 &amp; 1800","900MHz &amp; 1800MHz",IF(AS49="900 &amp; 2100","900MHz &amp; 2100MHz",IF(AS49="1800 &amp; 2100","1800MHz &amp; 2100MHz",AS49&amp;"MHz")))</f>
        <v>900MHz</v>
      </c>
      <c r="W49" s="600"/>
      <c r="X49" s="600"/>
      <c r="Y49" s="600">
        <f>AT49</f>
        <v>15</v>
      </c>
      <c r="Z49" s="600"/>
      <c r="AA49" s="600"/>
      <c r="AB49" s="600"/>
      <c r="AC49" s="600"/>
      <c r="AD49" s="600"/>
      <c r="AG49" s="271" t="s">
        <v>96</v>
      </c>
      <c r="AI49" s="271" t="s">
        <v>139</v>
      </c>
      <c r="AJ49" s="271"/>
      <c r="AL49" s="281" t="s">
        <v>106</v>
      </c>
      <c r="AO49" s="237">
        <v>20</v>
      </c>
      <c r="AP49" s="237">
        <v>30</v>
      </c>
      <c r="AQ49" s="237">
        <v>40</v>
      </c>
      <c r="AS49" s="237">
        <v>900</v>
      </c>
      <c r="AT49" s="237">
        <v>15</v>
      </c>
      <c r="AU49" s="237">
        <v>16</v>
      </c>
      <c r="AV49" s="237">
        <v>17</v>
      </c>
    </row>
    <row r="50" ht="18.75" customHeight="1">
      <c r="B50" s="600"/>
      <c r="C50" s="600"/>
      <c r="D50" s="600"/>
      <c r="E50" s="600"/>
      <c r="F50" s="600"/>
      <c r="G50" s="600"/>
      <c r="H50" s="601"/>
      <c r="I50" s="601"/>
      <c r="J50" s="601"/>
      <c r="K50" s="601"/>
      <c r="L50" s="602"/>
      <c r="M50" s="602"/>
      <c r="N50" s="603"/>
      <c r="O50" s="603"/>
      <c r="P50" s="603"/>
      <c r="Q50" s="600"/>
      <c r="R50" s="600"/>
      <c r="S50" s="600"/>
      <c r="T50" s="600"/>
      <c r="U50" s="600"/>
      <c r="V50" s="600"/>
      <c r="W50" s="600"/>
      <c r="X50" s="600"/>
      <c r="Y50" s="600"/>
      <c r="Z50" s="600"/>
      <c r="AA50" s="600"/>
      <c r="AB50" s="600"/>
      <c r="AC50" s="600"/>
      <c r="AD50" s="600"/>
    </row>
    <row r="51" ht="18.75" customHeight="1">
      <c r="B51" s="600"/>
      <c r="C51" s="600"/>
      <c r="D51" s="600"/>
      <c r="E51" s="600"/>
      <c r="F51" s="600"/>
      <c r="G51" s="600"/>
      <c r="H51" s="601"/>
      <c r="I51" s="601"/>
      <c r="J51" s="601"/>
      <c r="K51" s="601"/>
      <c r="L51" s="602"/>
      <c r="M51" s="602"/>
      <c r="N51" s="603"/>
      <c r="O51" s="603"/>
      <c r="P51" s="603"/>
      <c r="Q51" s="600"/>
      <c r="R51" s="600"/>
      <c r="S51" s="600"/>
      <c r="T51" s="600"/>
      <c r="U51" s="600"/>
      <c r="V51" s="600"/>
      <c r="W51" s="600"/>
      <c r="X51" s="600"/>
      <c r="Y51" s="600"/>
      <c r="Z51" s="600"/>
      <c r="AA51" s="600"/>
      <c r="AB51" s="600"/>
      <c r="AC51" s="600"/>
      <c r="AD51" s="600"/>
    </row>
    <row r="52" ht="18.75" customHeight="1">
      <c r="B52" s="600"/>
      <c r="C52" s="600"/>
      <c r="D52" s="600"/>
      <c r="E52" s="600"/>
      <c r="F52" s="600"/>
      <c r="G52" s="600"/>
      <c r="H52" s="601"/>
      <c r="I52" s="601"/>
      <c r="J52" s="601"/>
      <c r="K52" s="601"/>
      <c r="L52" s="602"/>
      <c r="M52" s="602"/>
      <c r="N52" s="603"/>
      <c r="O52" s="603"/>
      <c r="P52" s="603"/>
      <c r="Q52" s="600"/>
      <c r="R52" s="600"/>
      <c r="S52" s="600"/>
      <c r="T52" s="600"/>
      <c r="U52" s="600"/>
      <c r="V52" s="600"/>
      <c r="W52" s="600"/>
      <c r="X52" s="600"/>
      <c r="Y52" s="600"/>
      <c r="Z52" s="600"/>
      <c r="AA52" s="600"/>
      <c r="AB52" s="600"/>
      <c r="AC52" s="600"/>
      <c r="AD52" s="600"/>
    </row>
    <row r="53" ht="18.75" customHeight="1">
      <c r="B53" s="600" t="str">
        <f>AG53</f>
        <v>CÔNG TY CỔ PHẦN VIỄN THÔNG DI ĐỘNG TOÀN CẦU</v>
      </c>
      <c r="C53" s="600"/>
      <c r="D53" s="600"/>
      <c r="E53" s="600"/>
      <c r="F53" s="600"/>
      <c r="G53" s="600"/>
      <c r="H53" s="601" t="str">
        <f>AI53</f>
        <v>TB1</v>
      </c>
      <c r="I53" s="601"/>
      <c r="J53" s="601"/>
      <c r="K53" s="601"/>
      <c r="L53" s="602">
        <v>2</v>
      </c>
      <c r="M53" s="602"/>
      <c r="N53" s="603" t="str">
        <f>AL53</f>
        <v>4/4/4</v>
      </c>
      <c r="O53" s="603"/>
      <c r="P53" s="603"/>
      <c r="Q53" s="600" t="str">
        <f>IF(L53=3,AO53&amp;"W/ "&amp;AP53&amp;"W/ "&amp;AQ53&amp;"W",IF(L53=2,AO53&amp;"W/ "&amp;AP53&amp;"W",AO53&amp;"W"))</f>
        <v>20W/ 30W</v>
      </c>
      <c r="R53" s="600"/>
      <c r="S53" s="600"/>
      <c r="T53" s="600"/>
      <c r="U53" s="600"/>
      <c r="V53" s="600" t="str">
        <f>IF(AS53="900 &amp; 1800","900MHz &amp; 1800MHz",IF(AS53="900 &amp; 2100","900MHz &amp; 2100MHz",IF(AS53="1800 &amp; 2100","1800MHz &amp; 2100MHz",AS53&amp;"MHz")))</f>
        <v>1800MHz</v>
      </c>
      <c r="W53" s="600"/>
      <c r="X53" s="600"/>
      <c r="Y53" s="600">
        <f>AT53</f>
        <v>15</v>
      </c>
      <c r="Z53" s="600"/>
      <c r="AA53" s="600"/>
      <c r="AB53" s="600"/>
      <c r="AC53" s="600"/>
      <c r="AD53" s="600"/>
      <c r="AG53" s="271" t="s">
        <v>96</v>
      </c>
      <c r="AI53" s="271" t="s">
        <v>139</v>
      </c>
      <c r="AJ53" s="271"/>
      <c r="AL53" s="281" t="s">
        <v>106</v>
      </c>
      <c r="AO53" s="237">
        <v>20</v>
      </c>
      <c r="AP53" s="237">
        <v>30</v>
      </c>
      <c r="AQ53" s="237">
        <v>40</v>
      </c>
      <c r="AS53" s="237">
        <v>1800</v>
      </c>
      <c r="AT53" s="237">
        <v>15</v>
      </c>
      <c r="AU53" s="237">
        <v>16</v>
      </c>
      <c r="AV53" s="237">
        <v>17</v>
      </c>
    </row>
    <row r="54" ht="18.75" customHeight="1">
      <c r="B54" s="600"/>
      <c r="C54" s="600"/>
      <c r="D54" s="600"/>
      <c r="E54" s="600"/>
      <c r="F54" s="600"/>
      <c r="G54" s="600"/>
      <c r="H54" s="601"/>
      <c r="I54" s="601"/>
      <c r="J54" s="601"/>
      <c r="K54" s="601"/>
      <c r="L54" s="602"/>
      <c r="M54" s="602"/>
      <c r="N54" s="603"/>
      <c r="O54" s="603"/>
      <c r="P54" s="603"/>
      <c r="Q54" s="600"/>
      <c r="R54" s="600"/>
      <c r="S54" s="600"/>
      <c r="T54" s="600"/>
      <c r="U54" s="600"/>
      <c r="V54" s="600"/>
      <c r="W54" s="600"/>
      <c r="X54" s="600"/>
      <c r="Y54" s="600"/>
      <c r="Z54" s="600"/>
      <c r="AA54" s="600"/>
      <c r="AB54" s="600"/>
      <c r="AC54" s="600"/>
      <c r="AD54" s="600"/>
      <c r="AG54" s="271"/>
      <c r="AI54" s="271"/>
      <c r="AJ54" s="271"/>
      <c r="AL54" s="281"/>
    </row>
    <row r="55" ht="18.75" customHeight="1">
      <c r="B55" s="600"/>
      <c r="C55" s="600"/>
      <c r="D55" s="600"/>
      <c r="E55" s="600"/>
      <c r="F55" s="600"/>
      <c r="G55" s="600"/>
      <c r="H55" s="601"/>
      <c r="I55" s="601"/>
      <c r="J55" s="601"/>
      <c r="K55" s="601"/>
      <c r="L55" s="602"/>
      <c r="M55" s="602"/>
      <c r="N55" s="603"/>
      <c r="O55" s="603"/>
      <c r="P55" s="603"/>
      <c r="Q55" s="600"/>
      <c r="R55" s="600"/>
      <c r="S55" s="600"/>
      <c r="T55" s="600"/>
      <c r="U55" s="600"/>
      <c r="V55" s="600"/>
      <c r="W55" s="600"/>
      <c r="X55" s="600"/>
      <c r="Y55" s="600"/>
      <c r="Z55" s="600"/>
      <c r="AA55" s="600"/>
      <c r="AB55" s="600"/>
      <c r="AC55" s="600"/>
      <c r="AD55" s="600"/>
    </row>
    <row r="56" ht="18.75" customHeight="1">
      <c r="B56" s="600"/>
      <c r="C56" s="600"/>
      <c r="D56" s="600"/>
      <c r="E56" s="600"/>
      <c r="F56" s="600"/>
      <c r="G56" s="600"/>
      <c r="H56" s="601"/>
      <c r="I56" s="601"/>
      <c r="J56" s="601"/>
      <c r="K56" s="601"/>
      <c r="L56" s="602"/>
      <c r="M56" s="602"/>
      <c r="N56" s="603"/>
      <c r="O56" s="603"/>
      <c r="P56" s="603"/>
      <c r="Q56" s="600"/>
      <c r="R56" s="600"/>
      <c r="S56" s="600"/>
      <c r="T56" s="600"/>
      <c r="U56" s="600"/>
      <c r="V56" s="600"/>
      <c r="W56" s="600"/>
      <c r="X56" s="600"/>
      <c r="Y56" s="600"/>
      <c r="Z56" s="600"/>
      <c r="AA56" s="600"/>
      <c r="AB56" s="600"/>
      <c r="AC56" s="600"/>
      <c r="AD56" s="600"/>
    </row>
    <row r="57" ht="18.75" customHeight="1">
      <c r="B57" s="600" t="str">
        <f>AG57</f>
        <v>CÔNG TY CỔ PHẦN VIỄN THÔNG DI ĐỘNG TOÀN CẦU</v>
      </c>
      <c r="C57" s="600"/>
      <c r="D57" s="600"/>
      <c r="E57" s="600"/>
      <c r="F57" s="600"/>
      <c r="G57" s="600"/>
      <c r="H57" s="601" t="str">
        <f>AI57</f>
        <v>TB1</v>
      </c>
      <c r="I57" s="601"/>
      <c r="J57" s="601"/>
      <c r="K57" s="601"/>
      <c r="L57" s="602">
        <v>2</v>
      </c>
      <c r="M57" s="602"/>
      <c r="N57" s="603" t="str">
        <f>AL57</f>
        <v>4/4/4</v>
      </c>
      <c r="O57" s="603"/>
      <c r="P57" s="603"/>
      <c r="Q57" s="600" t="str">
        <f>IF(L57=3,AO57&amp;"W/ "&amp;AP57&amp;"W/ "&amp;AQ57&amp;"W",IF(L57=2,AO57&amp;"W/ "&amp;AP57&amp;"W",AO57&amp;"W"))</f>
        <v>20W/ 30W</v>
      </c>
      <c r="R57" s="600"/>
      <c r="S57" s="600"/>
      <c r="T57" s="600"/>
      <c r="U57" s="600"/>
      <c r="V57" s="600" t="str">
        <f>IF(AS57="900 &amp; 1800","900MHz &amp; 1800MHz",IF(AS57="900 &amp; 2100","900MHz &amp; 2100MHz",IF(AS57="1800 &amp; 2100","1800MHz &amp; 2100MHz",AS57&amp;"MHz")))</f>
        <v>9000 &amp; 1800MHz</v>
      </c>
      <c r="W57" s="600"/>
      <c r="X57" s="600"/>
      <c r="Y57" s="600">
        <f>AT57</f>
        <v>15</v>
      </c>
      <c r="Z57" s="600"/>
      <c r="AA57" s="600"/>
      <c r="AB57" s="600"/>
      <c r="AC57" s="600"/>
      <c r="AD57" s="600"/>
      <c r="AG57" s="271" t="s">
        <v>96</v>
      </c>
      <c r="AI57" s="271" t="s">
        <v>139</v>
      </c>
      <c r="AJ57" s="271"/>
      <c r="AL57" s="281" t="s">
        <v>106</v>
      </c>
      <c r="AO57" s="237">
        <v>20</v>
      </c>
      <c r="AP57" s="237">
        <v>30</v>
      </c>
      <c r="AQ57" s="237">
        <v>40</v>
      </c>
      <c r="AS57" s="237" t="s">
        <v>140</v>
      </c>
      <c r="AT57" s="237">
        <v>15</v>
      </c>
      <c r="AU57" s="237">
        <v>16</v>
      </c>
      <c r="AV57" s="237">
        <v>17</v>
      </c>
    </row>
    <row r="58" ht="18.75" customHeight="1">
      <c r="B58" s="600"/>
      <c r="C58" s="600"/>
      <c r="D58" s="600"/>
      <c r="E58" s="600"/>
      <c r="F58" s="600"/>
      <c r="G58" s="600"/>
      <c r="H58" s="601"/>
      <c r="I58" s="601"/>
      <c r="J58" s="601"/>
      <c r="K58" s="601"/>
      <c r="L58" s="602"/>
      <c r="M58" s="602"/>
      <c r="N58" s="603"/>
      <c r="O58" s="603"/>
      <c r="P58" s="603"/>
      <c r="Q58" s="600"/>
      <c r="R58" s="600"/>
      <c r="S58" s="600"/>
      <c r="T58" s="600"/>
      <c r="U58" s="600"/>
      <c r="V58" s="600"/>
      <c r="W58" s="600"/>
      <c r="X58" s="600"/>
      <c r="Y58" s="600"/>
      <c r="Z58" s="600"/>
      <c r="AA58" s="600"/>
      <c r="AB58" s="600"/>
      <c r="AC58" s="600"/>
      <c r="AD58" s="600"/>
      <c r="AG58" s="271"/>
      <c r="AI58" s="271"/>
      <c r="AJ58" s="271"/>
      <c r="AL58" s="281"/>
    </row>
    <row r="59" ht="18.75" customHeight="1">
      <c r="B59" s="600"/>
      <c r="C59" s="600"/>
      <c r="D59" s="600"/>
      <c r="E59" s="600"/>
      <c r="F59" s="600"/>
      <c r="G59" s="600"/>
      <c r="H59" s="601"/>
      <c r="I59" s="601"/>
      <c r="J59" s="601"/>
      <c r="K59" s="601"/>
      <c r="L59" s="602"/>
      <c r="M59" s="602"/>
      <c r="N59" s="603"/>
      <c r="O59" s="603"/>
      <c r="P59" s="603"/>
      <c r="Q59" s="600"/>
      <c r="R59" s="600"/>
      <c r="S59" s="600"/>
      <c r="T59" s="600"/>
      <c r="U59" s="600"/>
      <c r="V59" s="600"/>
      <c r="W59" s="600"/>
      <c r="X59" s="600"/>
      <c r="Y59" s="600"/>
      <c r="Z59" s="600"/>
      <c r="AA59" s="600"/>
      <c r="AB59" s="600"/>
      <c r="AC59" s="600"/>
      <c r="AD59" s="600"/>
    </row>
    <row r="60" ht="18.75" customHeight="1">
      <c r="B60" s="600"/>
      <c r="C60" s="600"/>
      <c r="D60" s="600"/>
      <c r="E60" s="600"/>
      <c r="F60" s="600"/>
      <c r="G60" s="600"/>
      <c r="H60" s="601"/>
      <c r="I60" s="601"/>
      <c r="J60" s="601"/>
      <c r="K60" s="601"/>
      <c r="L60" s="602"/>
      <c r="M60" s="602"/>
      <c r="N60" s="603"/>
      <c r="O60" s="603"/>
      <c r="P60" s="603"/>
      <c r="Q60" s="600"/>
      <c r="R60" s="600"/>
      <c r="S60" s="600"/>
      <c r="T60" s="600"/>
      <c r="U60" s="600"/>
      <c r="V60" s="600"/>
      <c r="W60" s="600"/>
      <c r="X60" s="600"/>
      <c r="Y60" s="600"/>
      <c r="Z60" s="600"/>
      <c r="AA60" s="600"/>
      <c r="AB60" s="600"/>
      <c r="AC60" s="600"/>
      <c r="AD60" s="600"/>
    </row>
    <row r="61" ht="18.75" customHeight="1">
      <c r="B61" s="600" t="str">
        <f>AG61</f>
        <v>CÔNG TY CỔ PHẦN VIỄN THÔNG DI ĐỘNG TOÀN CẦU</v>
      </c>
      <c r="C61" s="600"/>
      <c r="D61" s="600"/>
      <c r="E61" s="600"/>
      <c r="F61" s="600"/>
      <c r="G61" s="600"/>
      <c r="H61" s="601" t="str">
        <f>AI61</f>
        <v>TB1</v>
      </c>
      <c r="I61" s="601"/>
      <c r="J61" s="601"/>
      <c r="K61" s="601"/>
      <c r="L61" s="602">
        <v>3</v>
      </c>
      <c r="M61" s="602"/>
      <c r="N61" s="603" t="str">
        <f>AL61</f>
        <v>4/4/4</v>
      </c>
      <c r="O61" s="603"/>
      <c r="P61" s="603"/>
      <c r="Q61" s="600" t="str">
        <f>IF(L61=3,AO61&amp;"W/ "&amp;AP61&amp;"W/ "&amp;AQ61&amp;"W",IF(L61=2,AO61&amp;"W/ "&amp;AP61&amp;"W",AO61&amp;"W"))</f>
        <v>20W/ 30W/ 40W</v>
      </c>
      <c r="R61" s="600"/>
      <c r="S61" s="600"/>
      <c r="T61" s="600"/>
      <c r="U61" s="600"/>
      <c r="V61" s="600" t="str">
        <f>IF(AS61="900 &amp; 1800","900MHz &amp; 1800MHz",IF(AS61="900 &amp; 2100","900MHz &amp; 2100MHz",IF(AS61="1800 &amp; 2100","1800MHz &amp; 2100MHz",AS61&amp;"MHz")))</f>
        <v>9000 &amp; 2100MHz</v>
      </c>
      <c r="W61" s="600"/>
      <c r="X61" s="600"/>
      <c r="Y61" s="600">
        <f>AT61</f>
        <v>15</v>
      </c>
      <c r="Z61" s="600"/>
      <c r="AA61" s="600"/>
      <c r="AB61" s="600"/>
      <c r="AC61" s="600"/>
      <c r="AD61" s="600"/>
      <c r="AG61" s="271" t="s">
        <v>96</v>
      </c>
      <c r="AI61" s="271" t="s">
        <v>139</v>
      </c>
      <c r="AJ61" s="271"/>
      <c r="AL61" s="281" t="s">
        <v>106</v>
      </c>
      <c r="AO61" s="237">
        <v>20</v>
      </c>
      <c r="AP61" s="237">
        <v>30</v>
      </c>
      <c r="AQ61" s="237">
        <v>40</v>
      </c>
      <c r="AS61" s="237" t="s">
        <v>141</v>
      </c>
      <c r="AT61" s="237">
        <v>15</v>
      </c>
      <c r="AU61" s="237">
        <v>16</v>
      </c>
      <c r="AV61" s="237">
        <v>17</v>
      </c>
    </row>
    <row r="62" ht="18.75" customHeight="1">
      <c r="B62" s="600"/>
      <c r="C62" s="600"/>
      <c r="D62" s="600"/>
      <c r="E62" s="600"/>
      <c r="F62" s="600"/>
      <c r="G62" s="600"/>
      <c r="H62" s="601"/>
      <c r="I62" s="601"/>
      <c r="J62" s="601"/>
      <c r="K62" s="601"/>
      <c r="L62" s="602"/>
      <c r="M62" s="602"/>
      <c r="N62" s="603"/>
      <c r="O62" s="603"/>
      <c r="P62" s="603"/>
      <c r="Q62" s="600"/>
      <c r="R62" s="600"/>
      <c r="S62" s="600"/>
      <c r="T62" s="600"/>
      <c r="U62" s="600"/>
      <c r="V62" s="600"/>
      <c r="W62" s="600"/>
      <c r="X62" s="600"/>
      <c r="Y62" s="600"/>
      <c r="Z62" s="600"/>
      <c r="AA62" s="600"/>
      <c r="AB62" s="600"/>
      <c r="AC62" s="600"/>
      <c r="AD62" s="600"/>
      <c r="AG62" s="271"/>
      <c r="AI62" s="271"/>
      <c r="AJ62" s="271"/>
      <c r="AL62" s="281"/>
    </row>
    <row r="63" ht="18.75" customHeight="1">
      <c r="B63" s="600"/>
      <c r="C63" s="600"/>
      <c r="D63" s="600"/>
      <c r="E63" s="600"/>
      <c r="F63" s="600"/>
      <c r="G63" s="600"/>
      <c r="H63" s="601"/>
      <c r="I63" s="601"/>
      <c r="J63" s="601"/>
      <c r="K63" s="601"/>
      <c r="L63" s="602"/>
      <c r="M63" s="602"/>
      <c r="N63" s="603"/>
      <c r="O63" s="603"/>
      <c r="P63" s="603"/>
      <c r="Q63" s="600"/>
      <c r="R63" s="600"/>
      <c r="S63" s="600"/>
      <c r="T63" s="600"/>
      <c r="U63" s="600"/>
      <c r="V63" s="600"/>
      <c r="W63" s="600"/>
      <c r="X63" s="600"/>
      <c r="Y63" s="600"/>
      <c r="Z63" s="600"/>
      <c r="AA63" s="600"/>
      <c r="AB63" s="600"/>
      <c r="AC63" s="600"/>
      <c r="AD63" s="600"/>
    </row>
    <row r="64" ht="18.75" customHeight="1">
      <c r="B64" s="600"/>
      <c r="C64" s="600"/>
      <c r="D64" s="600"/>
      <c r="E64" s="600"/>
      <c r="F64" s="600"/>
      <c r="G64" s="600"/>
      <c r="H64" s="601"/>
      <c r="I64" s="601"/>
      <c r="J64" s="601"/>
      <c r="K64" s="601"/>
      <c r="L64" s="602"/>
      <c r="M64" s="602"/>
      <c r="N64" s="603"/>
      <c r="O64" s="603"/>
      <c r="P64" s="603"/>
      <c r="Q64" s="600"/>
      <c r="R64" s="600"/>
      <c r="S64" s="600"/>
      <c r="T64" s="600"/>
      <c r="U64" s="600"/>
      <c r="V64" s="600"/>
      <c r="W64" s="600"/>
      <c r="X64" s="600"/>
      <c r="Y64" s="600"/>
      <c r="Z64" s="600"/>
      <c r="AA64" s="600"/>
      <c r="AB64" s="600"/>
      <c r="AC64" s="600"/>
      <c r="AD64" s="600"/>
    </row>
    <row r="65" ht="18.75" customHeight="1">
      <c r="B65" s="600" t="str">
        <f>AG65</f>
        <v>CÔNG TY CỔ PHẦN VIỄN THÔNG DI ĐỘNG TOÀN CẦU</v>
      </c>
      <c r="C65" s="600"/>
      <c r="D65" s="600"/>
      <c r="E65" s="600"/>
      <c r="F65" s="600"/>
      <c r="G65" s="600"/>
      <c r="H65" s="601" t="str">
        <f>AI65</f>
        <v>TB1</v>
      </c>
      <c r="I65" s="601"/>
      <c r="J65" s="601"/>
      <c r="K65" s="601"/>
      <c r="L65" s="602">
        <v>1</v>
      </c>
      <c r="M65" s="602"/>
      <c r="N65" s="603" t="str">
        <f>AL65</f>
        <v>4/4/4</v>
      </c>
      <c r="O65" s="603"/>
      <c r="P65" s="603"/>
      <c r="Q65" s="600" t="str">
        <f>IF(L65=3,AO65&amp;"W/ "&amp;AP65&amp;"W/ "&amp;AQ65&amp;"W",IF(L65=2,AO65&amp;"W/ "&amp;AP65&amp;"W",AO65&amp;"W"))</f>
        <v>20W</v>
      </c>
      <c r="R65" s="600"/>
      <c r="S65" s="600"/>
      <c r="T65" s="600"/>
      <c r="U65" s="600"/>
      <c r="V65" s="600" t="str">
        <f>IF(AS65="900 &amp; 1800","900MHz &amp; 1800MHz",IF(AS65="900 &amp; 2100","900MHz &amp; 2100MHz",IF(AS65="1800 &amp; 2100","1800MHz &amp; 2100MHz",AS65&amp;"MHz")))</f>
        <v>1800MHz &amp; 2100MHz</v>
      </c>
      <c r="W65" s="600"/>
      <c r="X65" s="600"/>
      <c r="Y65" s="600">
        <f>AT65</f>
        <v>15</v>
      </c>
      <c r="Z65" s="600"/>
      <c r="AA65" s="600"/>
      <c r="AB65" s="600"/>
      <c r="AC65" s="600"/>
      <c r="AD65" s="600"/>
      <c r="AG65" s="271" t="s">
        <v>96</v>
      </c>
      <c r="AI65" s="271" t="s">
        <v>139</v>
      </c>
      <c r="AJ65" s="271"/>
      <c r="AL65" s="281" t="s">
        <v>106</v>
      </c>
      <c r="AO65" s="237">
        <v>20</v>
      </c>
      <c r="AP65" s="237">
        <v>30</v>
      </c>
      <c r="AQ65" s="237">
        <v>40</v>
      </c>
      <c r="AS65" s="237" t="s">
        <v>142</v>
      </c>
      <c r="AT65" s="237">
        <v>15</v>
      </c>
      <c r="AU65" s="237">
        <v>16</v>
      </c>
      <c r="AV65" s="237">
        <v>17</v>
      </c>
    </row>
    <row r="66" ht="18.75" customHeight="1">
      <c r="B66" s="600"/>
      <c r="C66" s="600"/>
      <c r="D66" s="600"/>
      <c r="E66" s="600"/>
      <c r="F66" s="600"/>
      <c r="G66" s="600"/>
      <c r="H66" s="601"/>
      <c r="I66" s="601"/>
      <c r="J66" s="601"/>
      <c r="K66" s="601"/>
      <c r="L66" s="602"/>
      <c r="M66" s="602"/>
      <c r="N66" s="603"/>
      <c r="O66" s="603"/>
      <c r="P66" s="603"/>
      <c r="Q66" s="600"/>
      <c r="R66" s="600"/>
      <c r="S66" s="600"/>
      <c r="T66" s="600"/>
      <c r="U66" s="600"/>
      <c r="V66" s="600"/>
      <c r="W66" s="600"/>
      <c r="X66" s="600"/>
      <c r="Y66" s="600"/>
      <c r="Z66" s="600"/>
      <c r="AA66" s="600"/>
      <c r="AB66" s="600"/>
      <c r="AC66" s="600"/>
      <c r="AD66" s="600"/>
    </row>
    <row r="67" ht="18.75" customHeight="1">
      <c r="B67" s="600"/>
      <c r="C67" s="600"/>
      <c r="D67" s="600"/>
      <c r="E67" s="600"/>
      <c r="F67" s="600"/>
      <c r="G67" s="600"/>
      <c r="H67" s="601"/>
      <c r="I67" s="601"/>
      <c r="J67" s="601"/>
      <c r="K67" s="601"/>
      <c r="L67" s="602"/>
      <c r="M67" s="602"/>
      <c r="N67" s="603"/>
      <c r="O67" s="603"/>
      <c r="P67" s="603"/>
      <c r="Q67" s="600"/>
      <c r="R67" s="600"/>
      <c r="S67" s="600"/>
      <c r="T67" s="600"/>
      <c r="U67" s="600"/>
      <c r="V67" s="600"/>
      <c r="W67" s="600"/>
      <c r="X67" s="600"/>
      <c r="Y67" s="600"/>
      <c r="Z67" s="600"/>
      <c r="AA67" s="600"/>
      <c r="AB67" s="600"/>
      <c r="AC67" s="600"/>
      <c r="AD67" s="600"/>
    </row>
    <row r="68" ht="18.75" customHeight="1">
      <c r="B68" s="600"/>
      <c r="C68" s="600"/>
      <c r="D68" s="600"/>
      <c r="E68" s="600"/>
      <c r="F68" s="600"/>
      <c r="G68" s="600"/>
      <c r="H68" s="601"/>
      <c r="I68" s="601"/>
      <c r="J68" s="601"/>
      <c r="K68" s="601"/>
      <c r="L68" s="602"/>
      <c r="M68" s="602"/>
      <c r="N68" s="603"/>
      <c r="O68" s="603"/>
      <c r="P68" s="603"/>
      <c r="Q68" s="600"/>
      <c r="R68" s="600"/>
      <c r="S68" s="600"/>
      <c r="T68" s="600"/>
      <c r="U68" s="600"/>
      <c r="V68" s="600"/>
      <c r="W68" s="600"/>
      <c r="X68" s="600"/>
      <c r="Y68" s="600"/>
      <c r="Z68" s="600"/>
      <c r="AA68" s="600"/>
      <c r="AB68" s="600"/>
      <c r="AC68" s="600"/>
      <c r="AD68" s="60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35" t="s">
        <v>83</v>
      </c>
      <c r="C1" s="635"/>
      <c r="D1" s="635"/>
      <c r="E1" s="635"/>
      <c r="F1" s="635"/>
      <c r="G1" s="635"/>
      <c r="H1" s="635"/>
      <c r="I1" s="635"/>
      <c r="J1" s="635"/>
      <c r="K1" s="635"/>
      <c r="L1" s="635"/>
      <c r="M1" s="635"/>
      <c r="N1" s="635"/>
      <c r="O1" s="270"/>
      <c r="P1" s="626" t="s">
        <v>809</v>
      </c>
      <c r="Q1" s="626"/>
      <c r="R1" s="626"/>
      <c r="S1" s="626"/>
      <c r="T1" s="626"/>
      <c r="U1" s="626"/>
      <c r="V1" s="626"/>
      <c r="W1" s="626"/>
      <c r="X1" s="626"/>
      <c r="Y1" s="626"/>
      <c r="Z1" s="626"/>
      <c r="AA1" s="626"/>
      <c r="AB1" s="626"/>
      <c r="AC1" s="626"/>
      <c r="AD1" s="626"/>
      <c r="AE1" s="626"/>
    </row>
    <row r="2" ht="19.7" customHeight="1">
      <c r="C2" s="635" t="s">
        <v>85</v>
      </c>
      <c r="D2" s="635"/>
      <c r="E2" s="635"/>
      <c r="F2" s="635"/>
      <c r="G2" s="635"/>
      <c r="H2" s="635"/>
      <c r="I2" s="635"/>
      <c r="J2" s="635"/>
      <c r="K2" s="635"/>
      <c r="L2" s="635"/>
      <c r="M2" s="635"/>
      <c r="N2" s="293"/>
      <c r="O2" s="270"/>
      <c r="P2" s="636" t="s">
        <v>810</v>
      </c>
      <c r="Q2" s="636"/>
      <c r="R2" s="636"/>
      <c r="S2" s="636"/>
      <c r="T2" s="636"/>
      <c r="U2" s="636"/>
      <c r="V2" s="636"/>
      <c r="W2" s="636"/>
      <c r="X2" s="636"/>
      <c r="Y2" s="636"/>
      <c r="Z2" s="636"/>
      <c r="AA2" s="636"/>
      <c r="AB2" s="636"/>
      <c r="AC2" s="636"/>
      <c r="AD2" s="636"/>
      <c r="AE2" s="636"/>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28" t="s">
        <v>87</v>
      </c>
      <c r="D6" s="628"/>
      <c r="E6" s="628"/>
      <c r="F6" s="628"/>
      <c r="G6" s="628"/>
      <c r="H6" s="628"/>
      <c r="I6" s="628"/>
      <c r="J6" s="628"/>
      <c r="K6" s="628"/>
      <c r="L6" s="628"/>
      <c r="M6" s="628"/>
      <c r="N6" s="628"/>
      <c r="O6" s="628"/>
      <c r="P6" s="628"/>
      <c r="Q6" s="628"/>
      <c r="R6" s="628"/>
      <c r="S6" s="628"/>
      <c r="T6" s="628"/>
      <c r="U6" s="628"/>
      <c r="V6" s="628"/>
      <c r="W6" s="628"/>
      <c r="X6" s="628"/>
      <c r="Y6" s="628"/>
      <c r="Z6" s="628"/>
      <c r="AA6" s="628"/>
      <c r="AB6" s="628"/>
      <c r="AC6" s="628"/>
      <c r="AD6" s="628"/>
      <c r="AE6" s="628"/>
    </row>
    <row r="7" ht="19.7" customHeight="1">
      <c r="C7" s="628" t="s">
        <v>88</v>
      </c>
      <c r="D7" s="628"/>
      <c r="E7" s="628"/>
      <c r="F7" s="628"/>
      <c r="G7" s="628"/>
      <c r="H7" s="628"/>
      <c r="I7" s="628"/>
      <c r="J7" s="628"/>
      <c r="K7" s="628"/>
      <c r="L7" s="628"/>
      <c r="M7" s="628"/>
      <c r="N7" s="628"/>
      <c r="O7" s="628"/>
      <c r="P7" s="628"/>
      <c r="Q7" s="628"/>
      <c r="R7" s="628"/>
      <c r="S7" s="628"/>
      <c r="T7" s="628"/>
      <c r="U7" s="628"/>
      <c r="V7" s="628"/>
      <c r="W7" s="628"/>
      <c r="X7" s="628"/>
      <c r="Y7" s="628"/>
      <c r="Z7" s="628"/>
      <c r="AA7" s="628"/>
      <c r="AB7" s="628"/>
      <c r="AC7" s="628"/>
      <c r="AD7" s="628"/>
      <c r="AE7" s="628"/>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36" t="str">
        <f>"Số: "&amp;AI9</f>
        <v>Số: B08600120811TG05</v>
      </c>
      <c r="D9" s="636"/>
      <c r="E9" s="636"/>
      <c r="F9" s="636"/>
      <c r="G9" s="636"/>
      <c r="H9" s="636"/>
      <c r="I9" s="636"/>
      <c r="J9" s="636"/>
      <c r="K9" s="636"/>
      <c r="L9" s="636"/>
      <c r="M9" s="636"/>
      <c r="N9" s="636"/>
      <c r="O9" s="636"/>
      <c r="P9" s="636"/>
      <c r="Q9" s="636"/>
      <c r="R9" s="636"/>
      <c r="S9" s="636"/>
      <c r="T9" s="636"/>
      <c r="U9" s="636"/>
      <c r="V9" s="636"/>
      <c r="W9" s="636"/>
      <c r="X9" s="636"/>
      <c r="Y9" s="636"/>
      <c r="Z9" s="636"/>
      <c r="AA9" s="636"/>
      <c r="AB9" s="636"/>
      <c r="AC9" s="636"/>
      <c r="AD9" s="636"/>
      <c r="AE9" s="636"/>
      <c r="AI9" s="271" t="s">
        <v>89</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28" t="s">
        <v>90</v>
      </c>
      <c r="D11" s="628"/>
      <c r="E11" s="628"/>
      <c r="F11" s="628"/>
      <c r="G11" s="628"/>
      <c r="H11" s="628"/>
      <c r="I11" s="628"/>
      <c r="J11" s="628"/>
      <c r="K11" s="628"/>
      <c r="L11" s="628"/>
      <c r="M11" s="628"/>
      <c r="N11" s="628"/>
      <c r="O11" s="628"/>
      <c r="P11" s="628"/>
      <c r="Q11" s="628"/>
      <c r="R11" s="628"/>
      <c r="S11" s="628"/>
      <c r="T11" s="628"/>
      <c r="U11" s="628"/>
      <c r="V11" s="628"/>
      <c r="W11" s="628"/>
      <c r="X11" s="628"/>
      <c r="Y11" s="628"/>
      <c r="Z11" s="628"/>
      <c r="AA11" s="628"/>
      <c r="AB11" s="628"/>
      <c r="AC11" s="628"/>
      <c r="AD11" s="628"/>
      <c r="AE11" s="628"/>
    </row>
    <row r="12" ht="19.7" customHeight="1">
      <c r="C12" s="628" t="s">
        <v>91</v>
      </c>
      <c r="D12" s="628"/>
      <c r="E12" s="628"/>
      <c r="F12" s="628"/>
      <c r="G12" s="628"/>
      <c r="H12" s="628"/>
      <c r="I12" s="628"/>
      <c r="J12" s="628"/>
      <c r="K12" s="628"/>
      <c r="L12" s="628"/>
      <c r="M12" s="628"/>
      <c r="N12" s="628"/>
      <c r="O12" s="628"/>
      <c r="P12" s="628"/>
      <c r="Q12" s="628"/>
      <c r="R12" s="628"/>
      <c r="S12" s="628"/>
      <c r="T12" s="628"/>
      <c r="U12" s="628"/>
      <c r="V12" s="628"/>
      <c r="W12" s="628"/>
      <c r="X12" s="628"/>
      <c r="Y12" s="628"/>
      <c r="Z12" s="628"/>
      <c r="AA12" s="628"/>
      <c r="AB12" s="628"/>
      <c r="AC12" s="628"/>
      <c r="AD12" s="628"/>
      <c r="AE12" s="628"/>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55" t="s">
        <v>88</v>
      </c>
      <c r="D15" s="655"/>
      <c r="E15" s="655"/>
      <c r="F15" s="655"/>
      <c r="G15" s="655"/>
      <c r="H15" s="655"/>
      <c r="I15" s="655"/>
      <c r="J15" s="655"/>
      <c r="K15" s="655"/>
      <c r="L15" s="655"/>
      <c r="M15" s="655"/>
      <c r="N15" s="655"/>
      <c r="O15" s="655"/>
      <c r="P15" s="655"/>
      <c r="Q15" s="655"/>
      <c r="R15" s="655"/>
      <c r="S15" s="655"/>
      <c r="T15" s="655"/>
      <c r="U15" s="655"/>
      <c r="V15" s="655"/>
      <c r="W15" s="655"/>
      <c r="X15" s="655"/>
      <c r="Y15" s="655"/>
      <c r="Z15" s="655"/>
      <c r="AA15" s="655"/>
      <c r="AB15" s="655"/>
      <c r="AC15" s="655"/>
      <c r="AD15" s="655"/>
      <c r="AE15" s="655"/>
      <c r="AF15" s="655"/>
      <c r="AG15" s="301"/>
      <c r="AH15" s="301"/>
      <c r="AI15" s="276">
        <v>1</v>
      </c>
      <c r="AJ15" s="276"/>
      <c r="AK15" s="276"/>
      <c r="AL15" s="276"/>
      <c r="AM15" s="276">
        <v>2</v>
      </c>
      <c r="AN15" s="276"/>
      <c r="AO15" s="276"/>
      <c r="AP15" s="276"/>
      <c r="AQ15" s="276">
        <v>3</v>
      </c>
      <c r="AU15" s="237">
        <v>4</v>
      </c>
    </row>
    <row r="16" ht="38.25" customHeight="1">
      <c r="C16" s="674" t="s">
        <v>92</v>
      </c>
      <c r="D16" s="675"/>
      <c r="E16" s="675"/>
      <c r="F16" s="675"/>
      <c r="G16" s="675"/>
      <c r="H16" s="675"/>
      <c r="I16" s="675"/>
      <c r="J16" s="675"/>
      <c r="K16" s="675"/>
      <c r="L16" s="676"/>
      <c r="M16" s="677" t="str">
        <f>AI16</f>
        <v>Ấp Bàu Trâu, xã Phước Thạnh, huyện Củ Chi, thành phố Hồ Chí Minh.</v>
      </c>
      <c r="N16" s="678"/>
      <c r="O16" s="678"/>
      <c r="P16" s="678"/>
      <c r="Q16" s="678"/>
      <c r="R16" s="678"/>
      <c r="S16" s="678"/>
      <c r="T16" s="678"/>
      <c r="U16" s="678"/>
      <c r="V16" s="678"/>
      <c r="W16" s="678"/>
      <c r="X16" s="678"/>
      <c r="Y16" s="678"/>
      <c r="Z16" s="678"/>
      <c r="AA16" s="678"/>
      <c r="AB16" s="678"/>
      <c r="AC16" s="678"/>
      <c r="AD16" s="678"/>
      <c r="AE16" s="678"/>
      <c r="AF16" s="679"/>
      <c r="AG16" s="302"/>
      <c r="AH16" s="302"/>
      <c r="AI16" s="296" t="s">
        <v>93</v>
      </c>
    </row>
    <row r="17" ht="22.5" customHeight="1">
      <c r="C17" s="687" t="s">
        <v>94</v>
      </c>
      <c r="D17" s="688"/>
      <c r="E17" s="688"/>
      <c r="F17" s="688"/>
      <c r="G17" s="688"/>
      <c r="H17" s="688"/>
      <c r="I17" s="688"/>
      <c r="J17" s="688"/>
      <c r="K17" s="688"/>
      <c r="L17" s="689"/>
      <c r="M17" s="659" t="str">
        <f>IF(AG17="","",AG17)</f>
      </c>
      <c r="N17" s="660"/>
      <c r="O17" s="660"/>
      <c r="P17" s="660"/>
      <c r="Q17" s="660"/>
      <c r="R17" s="660"/>
      <c r="S17" s="660"/>
      <c r="T17" s="660"/>
      <c r="U17" s="660"/>
      <c r="V17" s="660"/>
      <c r="W17" s="660"/>
      <c r="X17" s="660"/>
      <c r="Y17" s="660"/>
      <c r="Z17" s="660"/>
      <c r="AA17" s="660"/>
      <c r="AB17" s="660"/>
      <c r="AC17" s="660"/>
      <c r="AD17" s="660"/>
      <c r="AE17" s="660"/>
      <c r="AF17" s="661"/>
      <c r="AG17" s="302"/>
      <c r="AH17" s="302"/>
    </row>
    <row r="18" ht="31.35" customHeight="1">
      <c r="C18" s="681" t="s">
        <v>95</v>
      </c>
      <c r="D18" s="682"/>
      <c r="E18" s="682"/>
      <c r="F18" s="682"/>
      <c r="G18" s="682"/>
      <c r="H18" s="682"/>
      <c r="I18" s="682"/>
      <c r="J18" s="682"/>
      <c r="K18" s="682"/>
      <c r="L18" s="682"/>
      <c r="M18" s="665" t="str">
        <f>AI18</f>
        <v>CÔNG TY CỔ PHẦN VIỄN THÔNG DI ĐỘNG TOÀN CẦU</v>
      </c>
      <c r="N18" s="665"/>
      <c r="O18" s="665"/>
      <c r="P18" s="665"/>
      <c r="Q18" s="665"/>
      <c r="R18" s="665"/>
      <c r="S18" s="665"/>
      <c r="T18" s="665"/>
      <c r="U18" s="665"/>
      <c r="V18" s="665"/>
      <c r="W18" s="665"/>
      <c r="X18" s="665"/>
      <c r="Y18" s="665"/>
      <c r="Z18" s="665"/>
      <c r="AA18" s="665"/>
      <c r="AB18" s="665"/>
      <c r="AC18" s="665"/>
      <c r="AD18" s="665"/>
      <c r="AE18" s="665"/>
      <c r="AF18" s="665"/>
      <c r="AG18" s="302"/>
      <c r="AH18" s="302"/>
      <c r="AI18" s="271" t="s">
        <v>96</v>
      </c>
    </row>
    <row r="19" ht="31.35" customHeight="1">
      <c r="C19" s="681" t="s">
        <v>97</v>
      </c>
      <c r="D19" s="682"/>
      <c r="E19" s="682"/>
      <c r="F19" s="682"/>
      <c r="G19" s="682"/>
      <c r="H19" s="682"/>
      <c r="I19" s="682"/>
      <c r="J19" s="682"/>
      <c r="K19" s="682"/>
      <c r="L19" s="682"/>
      <c r="M19" s="665" t="str">
        <f>AI19</f>
        <v>CÔNG TY CỔ PHẦN VIỄN THÔNG DI ĐỘNG TOÀN CẦU</v>
      </c>
      <c r="N19" s="665"/>
      <c r="O19" s="665"/>
      <c r="P19" s="665"/>
      <c r="Q19" s="665"/>
      <c r="R19" s="665"/>
      <c r="S19" s="665"/>
      <c r="T19" s="665"/>
      <c r="U19" s="665"/>
      <c r="V19" s="665"/>
      <c r="W19" s="665"/>
      <c r="X19" s="665"/>
      <c r="Y19" s="665"/>
      <c r="Z19" s="665"/>
      <c r="AA19" s="665"/>
      <c r="AB19" s="665"/>
      <c r="AC19" s="665"/>
      <c r="AD19" s="665"/>
      <c r="AE19" s="665"/>
      <c r="AF19" s="665"/>
      <c r="AG19" s="302"/>
      <c r="AH19" s="302"/>
      <c r="AI19" s="271" t="s">
        <v>96</v>
      </c>
    </row>
    <row r="20" ht="18.75" customHeight="1">
      <c r="C20" s="671" t="s">
        <v>98</v>
      </c>
      <c r="D20" s="672"/>
      <c r="E20" s="672"/>
      <c r="F20" s="672"/>
      <c r="G20" s="672"/>
      <c r="H20" s="672"/>
      <c r="I20" s="672"/>
      <c r="J20" s="672"/>
      <c r="K20" s="672"/>
      <c r="L20" s="672"/>
      <c r="M20" s="672"/>
      <c r="N20" s="672"/>
      <c r="O20" s="672"/>
      <c r="P20" s="672"/>
      <c r="Q20" s="672"/>
      <c r="R20" s="672"/>
      <c r="S20" s="672"/>
      <c r="T20" s="672"/>
      <c r="U20" s="672"/>
      <c r="V20" s="672"/>
      <c r="W20" s="672"/>
      <c r="X20" s="672"/>
      <c r="Y20" s="672"/>
      <c r="Z20" s="672"/>
      <c r="AA20" s="672"/>
      <c r="AB20" s="672"/>
      <c r="AC20" s="672"/>
      <c r="AD20" s="672"/>
      <c r="AE20" s="672"/>
      <c r="AF20" s="673"/>
      <c r="AG20" s="303"/>
      <c r="AH20" s="303"/>
    </row>
    <row r="21" ht="45.2" customHeight="1">
      <c r="C21" s="670" t="s">
        <v>99</v>
      </c>
      <c r="D21" s="670"/>
      <c r="E21" s="670"/>
      <c r="F21" s="670"/>
      <c r="G21" s="670"/>
      <c r="H21" s="670"/>
      <c r="I21" s="670"/>
      <c r="J21" s="670"/>
      <c r="K21" s="670"/>
      <c r="L21" s="670"/>
      <c r="M21" s="665" t="str">
        <f ref="M21:M23" t="shared" si="0">AI21</f>
        <v>A</v>
      </c>
      <c r="N21" s="665"/>
      <c r="O21" s="665"/>
      <c r="P21" s="665"/>
      <c r="Q21" s="665"/>
      <c r="R21" s="665" t="str">
        <f ref="R21:R23" t="shared" si="1">AM21</f>
        <v>B</v>
      </c>
      <c r="S21" s="665"/>
      <c r="T21" s="665"/>
      <c r="U21" s="665"/>
      <c r="V21" s="665"/>
      <c r="W21" s="665" t="str">
        <f>AQ21</f>
        <v>C</v>
      </c>
      <c r="X21" s="665"/>
      <c r="Y21" s="665"/>
      <c r="Z21" s="665"/>
      <c r="AA21" s="665"/>
      <c r="AB21" s="665" t="str">
        <f>AU21</f>
        <v>D</v>
      </c>
      <c r="AC21" s="665"/>
      <c r="AD21" s="665"/>
      <c r="AE21" s="665"/>
      <c r="AF21" s="665"/>
      <c r="AG21" s="301"/>
      <c r="AH21" s="301"/>
      <c r="AI21" s="271" t="s">
        <v>100</v>
      </c>
      <c r="AM21" s="271" t="s">
        <v>101</v>
      </c>
      <c r="AQ21" s="271" t="s">
        <v>102</v>
      </c>
      <c r="AU21" s="271" t="s">
        <v>103</v>
      </c>
    </row>
    <row r="22" ht="17.1" customHeight="1">
      <c r="C22" s="670" t="s">
        <v>104</v>
      </c>
      <c r="D22" s="670"/>
      <c r="E22" s="670"/>
      <c r="F22" s="670"/>
      <c r="G22" s="670"/>
      <c r="H22" s="670"/>
      <c r="I22" s="670"/>
      <c r="J22" s="670"/>
      <c r="K22" s="670"/>
      <c r="L22" s="670"/>
      <c r="M22" s="665">
        <f>AI22</f>
        <v>3</v>
      </c>
      <c r="N22" s="665"/>
      <c r="O22" s="665"/>
      <c r="P22" s="665"/>
      <c r="Q22" s="665"/>
      <c r="R22" s="665">
        <f>AM22</f>
        <v>3</v>
      </c>
      <c r="S22" s="665"/>
      <c r="T22" s="665"/>
      <c r="U22" s="665"/>
      <c r="V22" s="665"/>
      <c r="W22" s="665">
        <f>AQ22</f>
        <v>3</v>
      </c>
      <c r="X22" s="665"/>
      <c r="Y22" s="665"/>
      <c r="Z22" s="665"/>
      <c r="AA22" s="665"/>
      <c r="AB22" s="665">
        <f>AU22</f>
        <v>1</v>
      </c>
      <c r="AC22" s="665"/>
      <c r="AD22" s="665"/>
      <c r="AE22" s="665"/>
      <c r="AF22" s="665"/>
      <c r="AG22" s="301"/>
      <c r="AH22" s="301"/>
      <c r="AI22" s="276">
        <v>3</v>
      </c>
      <c r="AJ22" s="276"/>
      <c r="AK22" s="276"/>
      <c r="AL22" s="276"/>
      <c r="AM22" s="276">
        <v>3</v>
      </c>
      <c r="AN22" s="276"/>
      <c r="AO22" s="276"/>
      <c r="AP22" s="276"/>
      <c r="AQ22" s="276">
        <v>3</v>
      </c>
      <c r="AU22" s="237">
        <v>1</v>
      </c>
    </row>
    <row r="23" ht="17.1" customHeight="1">
      <c r="C23" s="670" t="s">
        <v>105</v>
      </c>
      <c r="D23" s="670"/>
      <c r="E23" s="670"/>
      <c r="F23" s="670"/>
      <c r="G23" s="670"/>
      <c r="H23" s="670"/>
      <c r="I23" s="670"/>
      <c r="J23" s="670"/>
      <c r="K23" s="670"/>
      <c r="L23" s="670"/>
      <c r="M23" s="684" t="str">
        <f t="shared" si="0"/>
        <v>4/4/4</v>
      </c>
      <c r="N23" s="684"/>
      <c r="O23" s="684"/>
      <c r="P23" s="684"/>
      <c r="Q23" s="684"/>
      <c r="R23" s="684" t="str">
        <f t="shared" si="1"/>
        <v>2/2/2</v>
      </c>
      <c r="S23" s="684"/>
      <c r="T23" s="684"/>
      <c r="U23" s="684"/>
      <c r="V23" s="684"/>
      <c r="W23" s="686" t="str">
        <f>AQ23</f>
        <v>5/5/5</v>
      </c>
      <c r="X23" s="684"/>
      <c r="Y23" s="684"/>
      <c r="Z23" s="684"/>
      <c r="AA23" s="684"/>
      <c r="AB23" s="686" t="str">
        <f>AU23</f>
        <v>4/2/4</v>
      </c>
      <c r="AC23" s="684"/>
      <c r="AD23" s="684"/>
      <c r="AE23" s="684"/>
      <c r="AF23" s="684"/>
      <c r="AI23" s="281" t="s">
        <v>106</v>
      </c>
      <c r="AJ23" s="282"/>
      <c r="AK23" s="282"/>
      <c r="AL23" s="282"/>
      <c r="AM23" s="281" t="s">
        <v>107</v>
      </c>
      <c r="AN23" s="282"/>
      <c r="AO23" s="282"/>
      <c r="AP23" s="282"/>
      <c r="AQ23" s="281" t="s">
        <v>108</v>
      </c>
      <c r="AR23" s="282"/>
      <c r="AS23" s="282"/>
      <c r="AT23" s="282"/>
      <c r="AU23" s="281" t="s">
        <v>109</v>
      </c>
    </row>
    <row r="24" ht="31.35" customHeight="1">
      <c r="C24" s="670" t="s">
        <v>110</v>
      </c>
      <c r="D24" s="670"/>
      <c r="E24" s="670"/>
      <c r="F24" s="670"/>
      <c r="G24" s="670"/>
      <c r="H24" s="670"/>
      <c r="I24" s="670"/>
      <c r="J24" s="670"/>
      <c r="K24" s="670"/>
      <c r="L24" s="670"/>
      <c r="M24" s="684" t="str">
        <f>IF(M22=4,AI24&amp;"W/ "&amp;AJ24&amp;"W/ "&amp;AK24&amp;"W/ "&amp;AL24&amp;"W",IF(M22=3,AI24&amp;"W/ "&amp;AJ24&amp;"W/ "&amp;AK24&amp;"W",IF(M22=2,AI24&amp;"W/ "&amp;AJ24&amp;"W",AI24&amp;"W")))</f>
        <v>100,45W/ 100,69W/ 100,69W</v>
      </c>
      <c r="N24" s="684"/>
      <c r="O24" s="684"/>
      <c r="P24" s="684"/>
      <c r="Q24" s="684"/>
      <c r="R24" s="684" t="str">
        <f>IF(R22=4,AM24&amp;"W/ "&amp;AN24&amp;"W/ "&amp;AO24&amp;"W/ "&amp;AP24&amp;"W",IF(R22=3,AM24&amp;"W/ "&amp;AN24&amp;"W/ "&amp;AO24&amp;"W",IF(R22=2,AM24&amp;"W/ "&amp;AN24&amp;"W",AM24&amp;"W")))</f>
        <v>40W/ 40W/ 40W</v>
      </c>
      <c r="S24" s="684"/>
      <c r="T24" s="684"/>
      <c r="U24" s="684"/>
      <c r="V24" s="684"/>
      <c r="W24" s="684" t="str">
        <f>IF(W22=4,AQ24&amp;"W/ "&amp;AR24&amp;"W/ "&amp;AS24&amp;"W/ "&amp;AT24&amp;"W",IF(W22=3,AQ24&amp;"W/ "&amp;AR24&amp;"W/ "&amp;AS24&amp;"W",IF(W22=2,AQ24&amp;"W/ "&amp;AR24&amp;"W",AQ24&amp;"W")))</f>
        <v>60W/ 60W/ 60W</v>
      </c>
      <c r="X24" s="684"/>
      <c r="Y24" s="684"/>
      <c r="Z24" s="684"/>
      <c r="AA24" s="684"/>
      <c r="AB24" s="684" t="str">
        <f>IF(AB22=3,AU24&amp;"W/ "&amp;AV24&amp;"W/ "&amp;AW24&amp;"W",IF(AB22=2,AU24&amp;"W/ "&amp;AV24&amp;"W",AW24&amp;"W"))</f>
        <v>80W</v>
      </c>
      <c r="AC24" s="684"/>
      <c r="AD24" s="684"/>
      <c r="AE24" s="684"/>
      <c r="AF24" s="684"/>
      <c r="AI24" s="237" t="s">
        <v>811</v>
      </c>
      <c r="AJ24" s="237" t="s">
        <v>812</v>
      </c>
      <c r="AK24" s="237">
        <v>100.69</v>
      </c>
      <c r="AM24" s="237">
        <v>40</v>
      </c>
      <c r="AN24" s="237">
        <v>40</v>
      </c>
      <c r="AO24" s="237">
        <v>40</v>
      </c>
      <c r="AQ24" s="237">
        <v>60</v>
      </c>
      <c r="AR24" s="237">
        <v>60</v>
      </c>
      <c r="AS24" s="237">
        <v>60</v>
      </c>
      <c r="AU24" s="237">
        <v>80</v>
      </c>
      <c r="AV24" s="237">
        <v>80</v>
      </c>
      <c r="AW24" s="237">
        <v>80</v>
      </c>
    </row>
    <row r="25" ht="31.35" customHeight="1">
      <c r="C25" s="670" t="s">
        <v>111</v>
      </c>
      <c r="D25" s="670"/>
      <c r="E25" s="670"/>
      <c r="F25" s="670"/>
      <c r="G25" s="670"/>
      <c r="H25" s="670"/>
      <c r="I25" s="670"/>
      <c r="J25" s="670"/>
      <c r="K25" s="670"/>
      <c r="L25" s="670"/>
      <c r="M25" s="684" t="str">
        <f>IF(AI25="900 &amp; 1800","900MHz &amp; 1800MHz",IF(AI25="900 &amp; 2100","900MHz &amp; 2100MHz",AI25&amp;"MHz"))</f>
        <v>900MHz</v>
      </c>
      <c r="N25" s="684"/>
      <c r="O25" s="684"/>
      <c r="P25" s="684"/>
      <c r="Q25" s="684"/>
      <c r="R25" s="684" t="str">
        <f>IF(AM25="900 &amp; 1800","900MHz &amp; 1800MHz",IF(AM25="900 &amp; 2100","900MHz &amp; 2100MHz",AM25&amp;"MHz"))</f>
        <v>1800MHz</v>
      </c>
      <c r="S25" s="684"/>
      <c r="T25" s="684"/>
      <c r="U25" s="684"/>
      <c r="V25" s="684"/>
      <c r="W25" s="684" t="str">
        <f>IF(AQ25="900 &amp; 1800","900MHz &amp; 1800MHz",IF(AQ25="900 &amp; 2100","900MHz &amp; 2100MHz",AQ25&amp;"MHz"))</f>
        <v>2100MHz</v>
      </c>
      <c r="X25" s="684"/>
      <c r="Y25" s="684"/>
      <c r="Z25" s="684"/>
      <c r="AA25" s="684"/>
      <c r="AB25" s="684" t="str">
        <f>IF(AU25="900 &amp; 1800","900MHz &amp; 1800MHz",IF(AU25="900 &amp; 2100","900MHz &amp; 2100MHz",AU25&amp;"MHz"))</f>
        <v>900;1800MHz</v>
      </c>
      <c r="AC25" s="684"/>
      <c r="AD25" s="684"/>
      <c r="AE25" s="684"/>
      <c r="AF25" s="684"/>
      <c r="AI25" s="237">
        <v>900</v>
      </c>
      <c r="AM25" s="237">
        <v>1800</v>
      </c>
      <c r="AQ25" s="237">
        <v>2100</v>
      </c>
      <c r="AU25" s="271" t="s">
        <v>813</v>
      </c>
    </row>
    <row r="26" ht="31.35" customHeight="1">
      <c r="C26" s="670" t="s">
        <v>113</v>
      </c>
      <c r="D26" s="670"/>
      <c r="E26" s="670"/>
      <c r="F26" s="670"/>
      <c r="G26" s="670"/>
      <c r="H26" s="670"/>
      <c r="I26" s="670"/>
      <c r="J26" s="670"/>
      <c r="K26" s="670"/>
      <c r="L26" s="670"/>
      <c r="M26" s="684">
        <f>AI26</f>
        <v>15</v>
      </c>
      <c r="N26" s="684"/>
      <c r="O26" s="684"/>
      <c r="P26" s="684"/>
      <c r="Q26" s="684"/>
      <c r="R26" s="684">
        <f>AM26</f>
        <v>16</v>
      </c>
      <c r="S26" s="684"/>
      <c r="T26" s="684"/>
      <c r="U26" s="684"/>
      <c r="V26" s="684"/>
      <c r="W26" s="684">
        <f>AQ26</f>
        <v>17</v>
      </c>
      <c r="X26" s="684"/>
      <c r="Y26" s="684"/>
      <c r="Z26" s="684"/>
      <c r="AA26" s="684"/>
      <c r="AB26" s="684">
        <f>AU26</f>
        <v>18</v>
      </c>
      <c r="AC26" s="684"/>
      <c r="AD26" s="684"/>
      <c r="AE26" s="684"/>
      <c r="AF26" s="684"/>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83" t="s">
        <v>114</v>
      </c>
      <c r="D27" s="683"/>
      <c r="E27" s="683"/>
      <c r="F27" s="683"/>
      <c r="G27" s="683"/>
      <c r="H27" s="683"/>
      <c r="I27" s="683"/>
      <c r="J27" s="683"/>
      <c r="K27" s="683"/>
      <c r="L27" s="683"/>
      <c r="M27" s="683"/>
      <c r="N27" s="683"/>
      <c r="O27" s="683"/>
      <c r="P27" s="683"/>
      <c r="Q27" s="683"/>
      <c r="R27" s="683"/>
      <c r="S27" s="683"/>
      <c r="T27" s="683"/>
      <c r="U27" s="683"/>
      <c r="V27" s="683"/>
      <c r="W27" s="683"/>
      <c r="X27" s="683"/>
      <c r="Y27" s="683"/>
      <c r="Z27" s="683"/>
      <c r="AA27" s="683"/>
      <c r="AB27" s="283"/>
      <c r="AC27" s="283"/>
      <c r="AD27" s="283"/>
    </row>
    <row r="28" ht="27" customHeight="1">
      <c r="C28" s="625"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25"/>
      <c r="E28" s="625"/>
      <c r="F28" s="625"/>
      <c r="G28" s="625"/>
      <c r="H28" s="625"/>
      <c r="I28" s="625"/>
      <c r="J28" s="625"/>
      <c r="K28" s="625"/>
      <c r="L28" s="625"/>
      <c r="M28" s="625"/>
      <c r="N28" s="625"/>
      <c r="O28" s="625"/>
      <c r="P28" s="625"/>
      <c r="Q28" s="625"/>
      <c r="R28" s="625"/>
      <c r="S28" s="625"/>
      <c r="T28" s="625"/>
      <c r="U28" s="625"/>
      <c r="V28" s="625"/>
      <c r="W28" s="625"/>
      <c r="X28" s="625"/>
      <c r="Y28" s="625"/>
      <c r="Z28" s="625"/>
      <c r="AA28" s="625"/>
      <c r="AB28" s="625"/>
      <c r="AC28" s="625"/>
      <c r="AD28" s="625"/>
      <c r="AE28" s="625"/>
      <c r="AF28" s="625"/>
      <c r="AI28" s="237">
        <v>20</v>
      </c>
      <c r="AQ28" s="237" t="s">
        <v>115</v>
      </c>
    </row>
    <row r="29" ht="27" customHeight="1">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c r="AB29" s="625"/>
      <c r="AC29" s="625"/>
      <c r="AD29" s="625"/>
      <c r="AE29" s="625"/>
      <c r="AF29" s="625"/>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116</v>
      </c>
      <c r="AS29" s="237" t="str">
        <f>IF(AI28&gt;=0," cao hơn "," thấp hơn ")</f>
        <v> cao hơn </v>
      </c>
      <c r="AT29" s="237" t="s">
        <v>117</v>
      </c>
    </row>
    <row r="30" ht="16.5" customHeight="1">
      <c r="C30" s="615" t="str">
        <f>IF(AI31=1,AQ31,AQ30)</f>
        <v>Trạm gốc điện thoại di động mặt đất công cộng này có mức an toàn phơi nhiễm trường điện từ tuân thủ quy chuẩn kỹ thuật trên.</v>
      </c>
      <c r="D30" s="615"/>
      <c r="E30" s="615"/>
      <c r="F30" s="615"/>
      <c r="G30" s="615"/>
      <c r="H30" s="615"/>
      <c r="I30" s="615"/>
      <c r="J30" s="615"/>
      <c r="K30" s="615"/>
      <c r="L30" s="615"/>
      <c r="M30" s="615"/>
      <c r="N30" s="615"/>
      <c r="O30" s="615"/>
      <c r="P30" s="615"/>
      <c r="Q30" s="615"/>
      <c r="R30" s="615"/>
      <c r="S30" s="615"/>
      <c r="T30" s="615"/>
      <c r="U30" s="615"/>
      <c r="V30" s="615"/>
      <c r="W30" s="615"/>
      <c r="X30" s="615"/>
      <c r="Y30" s="615"/>
      <c r="Z30" s="615"/>
      <c r="AA30" s="615"/>
      <c r="AB30" s="615"/>
      <c r="AC30" s="615"/>
      <c r="AD30" s="615"/>
      <c r="AE30" s="615"/>
      <c r="AF30" s="615"/>
      <c r="AI30" s="237">
        <v>20</v>
      </c>
      <c r="AQ30" s="237" t="s">
        <v>118</v>
      </c>
    </row>
    <row r="31" ht="16.5" customHeight="1">
      <c r="C31" s="615"/>
      <c r="D31" s="615"/>
      <c r="E31" s="615"/>
      <c r="F31" s="615"/>
      <c r="G31" s="615"/>
      <c r="H31" s="615"/>
      <c r="I31" s="615"/>
      <c r="J31" s="615"/>
      <c r="K31" s="615"/>
      <c r="L31" s="615"/>
      <c r="M31" s="615"/>
      <c r="N31" s="615"/>
      <c r="O31" s="615"/>
      <c r="P31" s="615"/>
      <c r="Q31" s="615"/>
      <c r="R31" s="615"/>
      <c r="S31" s="615"/>
      <c r="T31" s="615"/>
      <c r="U31" s="615"/>
      <c r="V31" s="615"/>
      <c r="W31" s="615"/>
      <c r="X31" s="615"/>
      <c r="Y31" s="615"/>
      <c r="Z31" s="615"/>
      <c r="AA31" s="615"/>
      <c r="AB31" s="615"/>
      <c r="AC31" s="615"/>
      <c r="AD31" s="615"/>
      <c r="AE31" s="615"/>
      <c r="AF31" s="615"/>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04" t="s">
        <v>118</v>
      </c>
      <c r="D32" s="604"/>
      <c r="E32" s="604"/>
      <c r="F32" s="604"/>
      <c r="G32" s="604"/>
      <c r="H32" s="604"/>
      <c r="I32" s="604"/>
      <c r="J32" s="604"/>
      <c r="K32" s="604"/>
      <c r="L32" s="604"/>
      <c r="M32" s="604"/>
      <c r="N32" s="604"/>
      <c r="O32" s="604"/>
      <c r="P32" s="604"/>
      <c r="Q32" s="604"/>
      <c r="R32" s="604"/>
      <c r="S32" s="604"/>
      <c r="T32" s="604"/>
      <c r="U32" s="604"/>
      <c r="V32" s="604"/>
      <c r="W32" s="604"/>
      <c r="X32" s="604"/>
      <c r="Y32" s="604"/>
      <c r="Z32" s="604"/>
      <c r="AA32" s="604"/>
      <c r="AB32" s="604"/>
      <c r="AC32" s="604"/>
      <c r="AD32" s="604"/>
      <c r="AE32" s="604"/>
      <c r="AF32" s="604"/>
    </row>
    <row r="33" ht="17.1" customHeight="1">
      <c r="C33" s="604"/>
      <c r="D33" s="604"/>
      <c r="E33" s="604"/>
      <c r="F33" s="604"/>
      <c r="G33" s="604"/>
      <c r="H33" s="604"/>
      <c r="I33" s="604"/>
      <c r="J33" s="604"/>
      <c r="K33" s="604"/>
      <c r="L33" s="604"/>
      <c r="M33" s="604"/>
      <c r="N33" s="604"/>
      <c r="O33" s="604"/>
      <c r="P33" s="604"/>
      <c r="Q33" s="604"/>
      <c r="R33" s="604"/>
      <c r="S33" s="604"/>
      <c r="T33" s="604"/>
      <c r="U33" s="604"/>
      <c r="V33" s="604"/>
      <c r="W33" s="604"/>
      <c r="X33" s="604"/>
      <c r="Y33" s="604"/>
      <c r="Z33" s="604"/>
      <c r="AA33" s="604"/>
      <c r="AB33" s="604"/>
      <c r="AC33" s="604"/>
      <c r="AD33" s="604"/>
      <c r="AE33" s="604"/>
      <c r="AF33" s="604"/>
    </row>
    <row r="34" ht="17.1" customHeight="1">
      <c r="C34" s="645"/>
      <c r="D34" s="645"/>
      <c r="E34" s="645"/>
      <c r="F34" s="645"/>
      <c r="G34" s="645"/>
      <c r="H34" s="283"/>
      <c r="I34" s="646"/>
      <c r="J34" s="646"/>
      <c r="K34" s="646"/>
      <c r="L34" s="646"/>
      <c r="M34" s="646"/>
      <c r="N34" s="646"/>
      <c r="O34" s="646"/>
      <c r="P34" s="257"/>
      <c r="Q34" s="257"/>
      <c r="R34" s="257"/>
      <c r="S34" s="257"/>
      <c r="T34" s="640" t="str">
        <f>IF(AI41=0,AO34,IF(AI41=1,AK34,AS34))</f>
        <v>KT. GIÁM ĐỐC</v>
      </c>
      <c r="U34" s="640"/>
      <c r="V34" s="640"/>
      <c r="W34" s="640"/>
      <c r="X34" s="640"/>
      <c r="Y34" s="640"/>
      <c r="Z34" s="640"/>
      <c r="AA34" s="640"/>
      <c r="AB34" s="640"/>
      <c r="AC34" s="640"/>
      <c r="AD34" s="640"/>
      <c r="AE34" s="640"/>
      <c r="AF34" s="640"/>
      <c r="AK34" s="237" t="s">
        <v>119</v>
      </c>
      <c r="AO34" s="237" t="s">
        <v>120</v>
      </c>
      <c r="AS34" s="237" t="s">
        <v>121</v>
      </c>
    </row>
    <row r="35" ht="17.1" customHeight="1">
      <c r="C35" s="641" t="s">
        <v>122</v>
      </c>
      <c r="D35" s="641"/>
      <c r="E35" s="641"/>
      <c r="F35" s="641"/>
      <c r="G35" s="641"/>
      <c r="H35" s="286" t="s">
        <v>123</v>
      </c>
      <c r="I35" s="643" t="s">
        <v>124</v>
      </c>
      <c r="J35" s="643"/>
      <c r="K35" s="643"/>
      <c r="L35" s="643"/>
      <c r="M35" s="643"/>
      <c r="N35" s="643"/>
      <c r="O35" s="643"/>
      <c r="P35" s="287"/>
      <c r="Q35" s="283"/>
      <c r="R35" s="283"/>
      <c r="S35" s="283"/>
      <c r="T35" s="640" t="str">
        <f>IF(AI41=0,AO35,IF(AI41=1,"",AS35))</f>
        <v>PHÓ GIÁM ĐỐC</v>
      </c>
      <c r="U35" s="640"/>
      <c r="V35" s="640"/>
      <c r="W35" s="640"/>
      <c r="X35" s="640"/>
      <c r="Y35" s="640"/>
      <c r="Z35" s="640"/>
      <c r="AA35" s="640"/>
      <c r="AB35" s="640"/>
      <c r="AC35" s="640"/>
      <c r="AD35" s="640"/>
      <c r="AE35" s="640"/>
      <c r="AF35" s="640"/>
      <c r="AO35" s="237" t="s">
        <v>125</v>
      </c>
      <c r="AS35" s="237" t="s">
        <v>126</v>
      </c>
    </row>
    <row r="36" ht="17.1" customHeight="1">
      <c r="C36" s="641" t="s">
        <v>127</v>
      </c>
      <c r="D36" s="641"/>
      <c r="E36" s="641"/>
      <c r="F36" s="641"/>
      <c r="G36" s="641"/>
      <c r="H36" s="286" t="s">
        <v>123</v>
      </c>
      <c r="I36" s="642">
        <f>AI36</f>
        <v>40806</v>
      </c>
      <c r="J36" s="643"/>
      <c r="K36" s="643"/>
      <c r="L36" s="643"/>
      <c r="M36" s="643"/>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41" t="s">
        <v>128</v>
      </c>
      <c r="D37" s="641"/>
      <c r="E37" s="641"/>
      <c r="F37" s="641"/>
      <c r="G37" s="641"/>
      <c r="H37" s="286" t="s">
        <v>123</v>
      </c>
      <c r="I37" s="642">
        <f>AI37</f>
        <v>42633</v>
      </c>
      <c r="J37" s="643"/>
      <c r="K37" s="643"/>
      <c r="L37" s="643"/>
      <c r="M37" s="643"/>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26"/>
      <c r="U40" s="626"/>
      <c r="V40" s="626"/>
      <c r="W40" s="626"/>
      <c r="X40" s="626"/>
      <c r="Y40" s="626"/>
      <c r="Z40" s="626"/>
      <c r="AA40" s="626"/>
      <c r="AB40" s="626"/>
      <c r="AC40" s="626"/>
      <c r="AD40" s="626"/>
      <c r="AE40" s="626"/>
    </row>
    <row r="41" ht="17.1" customHeight="1">
      <c r="C41" s="290"/>
      <c r="D41" s="290"/>
      <c r="E41" s="290"/>
      <c r="F41" s="267"/>
      <c r="G41" s="260"/>
      <c r="H41" s="260"/>
      <c r="I41" s="260"/>
      <c r="J41" s="260"/>
      <c r="K41" s="260"/>
      <c r="L41" s="260"/>
      <c r="M41" s="260"/>
      <c r="N41" s="260"/>
      <c r="O41" s="260"/>
      <c r="P41" s="260"/>
      <c r="Q41" s="260"/>
      <c r="R41" s="260"/>
      <c r="S41" s="260"/>
      <c r="T41" s="626" t="str">
        <f>IF(AI41=0,AO41,IF(AI41=1,AK41,AT41))</f>
        <v>Trần Công Khanh</v>
      </c>
      <c r="U41" s="626"/>
      <c r="V41" s="626"/>
      <c r="W41" s="626"/>
      <c r="X41" s="626"/>
      <c r="Y41" s="626"/>
      <c r="Z41" s="626"/>
      <c r="AA41" s="626"/>
      <c r="AB41" s="626"/>
      <c r="AC41" s="626"/>
      <c r="AD41" s="626"/>
      <c r="AE41" s="626"/>
      <c r="AF41" s="626"/>
      <c r="AI41" s="237">
        <v>0</v>
      </c>
      <c r="AK41" s="237" t="s">
        <v>129</v>
      </c>
      <c r="AO41" s="237" t="s">
        <v>130</v>
      </c>
      <c r="AT41" s="237" t="s">
        <v>131</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08" t="s">
        <v>132</v>
      </c>
      <c r="C43" s="608"/>
      <c r="D43" s="608"/>
      <c r="E43" s="608"/>
      <c r="F43" s="608"/>
      <c r="G43" s="608"/>
      <c r="H43" s="609" t="s">
        <v>98</v>
      </c>
      <c r="I43" s="609"/>
      <c r="J43" s="609"/>
      <c r="K43" s="609"/>
      <c r="L43" s="609"/>
      <c r="M43" s="609"/>
      <c r="N43" s="609"/>
      <c r="O43" s="609"/>
      <c r="P43" s="609"/>
      <c r="Q43" s="609"/>
      <c r="R43" s="609"/>
      <c r="S43" s="609"/>
      <c r="T43" s="609"/>
      <c r="U43" s="609"/>
      <c r="V43" s="609"/>
      <c r="W43" s="609"/>
      <c r="X43" s="609"/>
      <c r="Y43" s="609"/>
      <c r="Z43" s="609"/>
      <c r="AA43" s="609"/>
      <c r="AB43" s="609"/>
      <c r="AC43" s="609"/>
      <c r="AD43" s="609"/>
      <c r="AE43" s="609"/>
      <c r="AF43" s="609"/>
    </row>
    <row r="44" ht="16.5" customHeight="1">
      <c r="B44" s="608"/>
      <c r="C44" s="608"/>
      <c r="D44" s="608"/>
      <c r="E44" s="608"/>
      <c r="F44" s="608"/>
      <c r="G44" s="608"/>
      <c r="H44" s="609"/>
      <c r="I44" s="609"/>
      <c r="J44" s="609"/>
      <c r="K44" s="609"/>
      <c r="L44" s="609"/>
      <c r="M44" s="609"/>
      <c r="N44" s="609"/>
      <c r="O44" s="609"/>
      <c r="P44" s="609"/>
      <c r="Q44" s="609"/>
      <c r="R44" s="609"/>
      <c r="S44" s="609"/>
      <c r="T44" s="609"/>
      <c r="U44" s="609"/>
      <c r="V44" s="609"/>
      <c r="W44" s="609"/>
      <c r="X44" s="609"/>
      <c r="Y44" s="609"/>
      <c r="Z44" s="609"/>
      <c r="AA44" s="609"/>
      <c r="AB44" s="609"/>
      <c r="AC44" s="609"/>
      <c r="AD44" s="609"/>
      <c r="AE44" s="609"/>
      <c r="AF44" s="609"/>
    </row>
    <row r="45" ht="16.5" customHeight="1">
      <c r="B45" s="608"/>
      <c r="C45" s="608"/>
      <c r="D45" s="608"/>
      <c r="E45" s="608"/>
      <c r="F45" s="608"/>
      <c r="G45" s="608"/>
      <c r="H45" s="600" t="s">
        <v>133</v>
      </c>
      <c r="I45" s="600"/>
      <c r="J45" s="600"/>
      <c r="K45" s="600"/>
      <c r="L45" s="600" t="s">
        <v>134</v>
      </c>
      <c r="M45" s="600"/>
      <c r="N45" s="600"/>
      <c r="O45" s="600" t="s">
        <v>135</v>
      </c>
      <c r="P45" s="600"/>
      <c r="Q45" s="600"/>
      <c r="R45" s="600" t="s">
        <v>136</v>
      </c>
      <c r="S45" s="600"/>
      <c r="T45" s="600"/>
      <c r="U45" s="600"/>
      <c r="V45" s="600"/>
      <c r="W45" s="600" t="s">
        <v>137</v>
      </c>
      <c r="X45" s="600"/>
      <c r="Y45" s="600"/>
      <c r="Z45" s="600"/>
      <c r="AA45" s="600" t="s">
        <v>138</v>
      </c>
      <c r="AB45" s="600"/>
      <c r="AC45" s="600"/>
      <c r="AD45" s="600"/>
      <c r="AE45" s="600"/>
      <c r="AF45" s="600"/>
    </row>
    <row r="46" ht="16.5" customHeight="1">
      <c r="B46" s="608"/>
      <c r="C46" s="608"/>
      <c r="D46" s="608"/>
      <c r="E46" s="608"/>
      <c r="F46" s="608"/>
      <c r="G46" s="608"/>
      <c r="H46" s="600"/>
      <c r="I46" s="600"/>
      <c r="J46" s="600"/>
      <c r="K46" s="600"/>
      <c r="L46" s="600"/>
      <c r="M46" s="600"/>
      <c r="N46" s="600"/>
      <c r="O46" s="600"/>
      <c r="P46" s="600"/>
      <c r="Q46" s="600"/>
      <c r="R46" s="600"/>
      <c r="S46" s="600"/>
      <c r="T46" s="600"/>
      <c r="U46" s="600"/>
      <c r="V46" s="600"/>
      <c r="W46" s="600"/>
      <c r="X46" s="600"/>
      <c r="Y46" s="600"/>
      <c r="Z46" s="600"/>
      <c r="AA46" s="600"/>
      <c r="AB46" s="600"/>
      <c r="AC46" s="600"/>
      <c r="AD46" s="600"/>
      <c r="AE46" s="600"/>
      <c r="AF46" s="600"/>
    </row>
    <row r="47" ht="16.5" customHeight="1">
      <c r="B47" s="608"/>
      <c r="C47" s="608"/>
      <c r="D47" s="608"/>
      <c r="E47" s="608"/>
      <c r="F47" s="608"/>
      <c r="G47" s="608"/>
      <c r="H47" s="600"/>
      <c r="I47" s="600"/>
      <c r="J47" s="600"/>
      <c r="K47" s="600"/>
      <c r="L47" s="600"/>
      <c r="M47" s="600"/>
      <c r="N47" s="600"/>
      <c r="O47" s="600"/>
      <c r="P47" s="600"/>
      <c r="Q47" s="600"/>
      <c r="R47" s="600"/>
      <c r="S47" s="600"/>
      <c r="T47" s="600"/>
      <c r="U47" s="600"/>
      <c r="V47" s="600"/>
      <c r="W47" s="600"/>
      <c r="X47" s="600"/>
      <c r="Y47" s="600"/>
      <c r="Z47" s="600"/>
      <c r="AA47" s="600"/>
      <c r="AB47" s="600"/>
      <c r="AC47" s="600"/>
      <c r="AD47" s="600"/>
      <c r="AE47" s="600"/>
      <c r="AF47" s="600"/>
    </row>
    <row r="48" ht="16.5" customHeight="1">
      <c r="B48" s="608"/>
      <c r="C48" s="608"/>
      <c r="D48" s="608"/>
      <c r="E48" s="608"/>
      <c r="F48" s="608"/>
      <c r="G48" s="608"/>
      <c r="H48" s="600"/>
      <c r="I48" s="600"/>
      <c r="J48" s="600"/>
      <c r="K48" s="600"/>
      <c r="L48" s="600"/>
      <c r="M48" s="600"/>
      <c r="N48" s="600"/>
      <c r="O48" s="600"/>
      <c r="P48" s="600"/>
      <c r="Q48" s="600"/>
      <c r="R48" s="600"/>
      <c r="S48" s="600"/>
      <c r="T48" s="600"/>
      <c r="U48" s="600"/>
      <c r="V48" s="600"/>
      <c r="W48" s="600"/>
      <c r="X48" s="600"/>
      <c r="Y48" s="600"/>
      <c r="Z48" s="600"/>
      <c r="AA48" s="600"/>
      <c r="AB48" s="600"/>
      <c r="AC48" s="600"/>
      <c r="AD48" s="600"/>
      <c r="AE48" s="600"/>
      <c r="AF48" s="600"/>
      <c r="AI48" s="237">
        <v>35</v>
      </c>
      <c r="AK48" s="237">
        <v>37</v>
      </c>
      <c r="AN48" s="237">
        <v>40</v>
      </c>
      <c r="AQ48" s="237">
        <v>43</v>
      </c>
      <c r="AR48" s="237">
        <v>44</v>
      </c>
      <c r="AS48" s="237">
        <v>45</v>
      </c>
      <c r="AT48" s="237">
        <v>46</v>
      </c>
      <c r="AU48" s="237">
        <v>47</v>
      </c>
      <c r="AV48" s="237">
        <v>48</v>
      </c>
      <c r="AW48" s="237">
        <v>49</v>
      </c>
      <c r="AX48" s="237">
        <v>50</v>
      </c>
    </row>
    <row r="49" ht="18.75" customHeight="1">
      <c r="B49" s="600" t="str">
        <f>AI49</f>
        <v>CÔNG TY CỔ PHẦN VIỄN THÔNG DI ĐỘNG TOÀN CẦU</v>
      </c>
      <c r="C49" s="600"/>
      <c r="D49" s="600"/>
      <c r="E49" s="600"/>
      <c r="F49" s="600"/>
      <c r="G49" s="600"/>
      <c r="H49" s="601" t="str">
        <f>AK49</f>
        <v>TB1</v>
      </c>
      <c r="I49" s="601"/>
      <c r="J49" s="601"/>
      <c r="K49" s="601"/>
      <c r="L49" s="602">
        <v>1</v>
      </c>
      <c r="M49" s="602"/>
      <c r="N49" s="602"/>
      <c r="O49" s="603" t="str">
        <f>AN49</f>
        <v>4/4/4</v>
      </c>
      <c r="P49" s="685"/>
      <c r="Q49" s="685"/>
      <c r="R49" s="600" t="str">
        <f>IF(L49=3,AQ49&amp;"W/ "&amp;AR49&amp;"W/ "&amp;AS49&amp;"W",IF(L49=2,AQ49&amp;"W/ "&amp;AR49&amp;"W",AQ49&amp;"W"))</f>
        <v>20W</v>
      </c>
      <c r="S49" s="600"/>
      <c r="T49" s="600"/>
      <c r="U49" s="600"/>
      <c r="V49" s="600"/>
      <c r="W49" s="600" t="str">
        <f>IF(AU49="900 &amp; 1800","900MHz &amp; 1800MHz",IF(AU49="900 &amp; 2100","900MHz &amp; 2100MHz",IF(AU49="1800 &amp; 2100","1800MHz &amp; 2100MHz",AU49&amp;"MHz")))</f>
        <v>900MHz</v>
      </c>
      <c r="X49" s="600"/>
      <c r="Y49" s="600"/>
      <c r="Z49" s="600"/>
      <c r="AA49" s="600">
        <f>AV49</f>
        <v>15</v>
      </c>
      <c r="AB49" s="600"/>
      <c r="AC49" s="600"/>
      <c r="AD49" s="600"/>
      <c r="AE49" s="600"/>
      <c r="AF49" s="600"/>
      <c r="AI49" s="271" t="s">
        <v>96</v>
      </c>
      <c r="AK49" s="271" t="s">
        <v>139</v>
      </c>
      <c r="AL49" s="271"/>
      <c r="AN49" s="281" t="s">
        <v>106</v>
      </c>
      <c r="AQ49" s="237">
        <v>20</v>
      </c>
      <c r="AR49" s="237">
        <v>30</v>
      </c>
      <c r="AS49" s="237">
        <v>40</v>
      </c>
      <c r="AU49" s="237">
        <v>900</v>
      </c>
      <c r="AV49" s="237">
        <v>15</v>
      </c>
    </row>
    <row r="50" ht="18.75" customHeight="1">
      <c r="B50" s="600"/>
      <c r="C50" s="600"/>
      <c r="D50" s="600"/>
      <c r="E50" s="600"/>
      <c r="F50" s="600"/>
      <c r="G50" s="600"/>
      <c r="H50" s="601"/>
      <c r="I50" s="601"/>
      <c r="J50" s="601"/>
      <c r="K50" s="601"/>
      <c r="L50" s="602"/>
      <c r="M50" s="602"/>
      <c r="N50" s="602"/>
      <c r="O50" s="685"/>
      <c r="P50" s="685"/>
      <c r="Q50" s="685"/>
      <c r="R50" s="600"/>
      <c r="S50" s="600"/>
      <c r="T50" s="600"/>
      <c r="U50" s="600"/>
      <c r="V50" s="600"/>
      <c r="W50" s="600"/>
      <c r="X50" s="600"/>
      <c r="Y50" s="600"/>
      <c r="Z50" s="600"/>
      <c r="AA50" s="600"/>
      <c r="AB50" s="600"/>
      <c r="AC50" s="600"/>
      <c r="AD50" s="600"/>
      <c r="AE50" s="600"/>
      <c r="AF50" s="600"/>
    </row>
    <row r="51" ht="18.75" customHeight="1">
      <c r="B51" s="600"/>
      <c r="C51" s="600"/>
      <c r="D51" s="600"/>
      <c r="E51" s="600"/>
      <c r="F51" s="600"/>
      <c r="G51" s="600"/>
      <c r="H51" s="601"/>
      <c r="I51" s="601"/>
      <c r="J51" s="601"/>
      <c r="K51" s="601"/>
      <c r="L51" s="602"/>
      <c r="M51" s="602"/>
      <c r="N51" s="602"/>
      <c r="O51" s="685"/>
      <c r="P51" s="685"/>
      <c r="Q51" s="685"/>
      <c r="R51" s="600"/>
      <c r="S51" s="600"/>
      <c r="T51" s="600"/>
      <c r="U51" s="600"/>
      <c r="V51" s="600"/>
      <c r="W51" s="600"/>
      <c r="X51" s="600"/>
      <c r="Y51" s="600"/>
      <c r="Z51" s="600"/>
      <c r="AA51" s="600"/>
      <c r="AB51" s="600"/>
      <c r="AC51" s="600"/>
      <c r="AD51" s="600"/>
      <c r="AE51" s="600"/>
      <c r="AF51" s="600"/>
    </row>
    <row r="52" ht="18.75" customHeight="1">
      <c r="B52" s="600"/>
      <c r="C52" s="600"/>
      <c r="D52" s="600"/>
      <c r="E52" s="600"/>
      <c r="F52" s="600"/>
      <c r="G52" s="600"/>
      <c r="H52" s="601"/>
      <c r="I52" s="601"/>
      <c r="J52" s="601"/>
      <c r="K52" s="601"/>
      <c r="L52" s="602"/>
      <c r="M52" s="602"/>
      <c r="N52" s="602"/>
      <c r="O52" s="685"/>
      <c r="P52" s="685"/>
      <c r="Q52" s="685"/>
      <c r="R52" s="600"/>
      <c r="S52" s="600"/>
      <c r="T52" s="600"/>
      <c r="U52" s="600"/>
      <c r="V52" s="600"/>
      <c r="W52" s="600"/>
      <c r="X52" s="600"/>
      <c r="Y52" s="600"/>
      <c r="Z52" s="600"/>
      <c r="AA52" s="600"/>
      <c r="AB52" s="600"/>
      <c r="AC52" s="600"/>
      <c r="AD52" s="600"/>
      <c r="AE52" s="600"/>
      <c r="AF52" s="600"/>
    </row>
    <row r="53" ht="18.75" customHeight="1">
      <c r="B53" s="600" t="str">
        <f>AI53</f>
        <v>CÔNG TY CỔ PHẦN VIỄN THÔNG DI ĐỘNG TOÀN CẦU</v>
      </c>
      <c r="C53" s="600"/>
      <c r="D53" s="600"/>
      <c r="E53" s="600"/>
      <c r="F53" s="600"/>
      <c r="G53" s="600"/>
      <c r="H53" s="601" t="str">
        <f>AK53</f>
        <v>TB2</v>
      </c>
      <c r="I53" s="601"/>
      <c r="J53" s="601"/>
      <c r="K53" s="601"/>
      <c r="L53" s="602">
        <v>2</v>
      </c>
      <c r="M53" s="602"/>
      <c r="N53" s="602"/>
      <c r="O53" s="603" t="str">
        <f>AN53</f>
        <v>4/4/4</v>
      </c>
      <c r="P53" s="685"/>
      <c r="Q53" s="685"/>
      <c r="R53" s="600" t="str">
        <f>IF(L53=3,AQ53&amp;"W/ "&amp;AR53&amp;"W/ "&amp;AS53&amp;"W",IF(L53=2,AQ53&amp;"W/ "&amp;AR53&amp;"W",AQ53&amp;"W"))</f>
        <v>30W/ 40W</v>
      </c>
      <c r="S53" s="600"/>
      <c r="T53" s="600"/>
      <c r="U53" s="600"/>
      <c r="V53" s="600"/>
      <c r="W53" s="600" t="str">
        <f>IF(AU53="900 &amp; 1800","900MHz &amp; 1800MHz",IF(AU53="900 &amp; 2100","900MHz &amp; 2100MHz",IF(AU53="1800 &amp; 2100","1800MHz &amp; 2100MHz",AU53&amp;"MHz")))</f>
        <v>1800MHz</v>
      </c>
      <c r="X53" s="600"/>
      <c r="Y53" s="600"/>
      <c r="Z53" s="600"/>
      <c r="AA53" s="600">
        <f>AV53</f>
        <v>15</v>
      </c>
      <c r="AB53" s="600"/>
      <c r="AC53" s="600"/>
      <c r="AD53" s="600"/>
      <c r="AE53" s="600"/>
      <c r="AF53" s="600"/>
      <c r="AI53" s="271" t="s">
        <v>96</v>
      </c>
      <c r="AK53" s="271" t="s">
        <v>814</v>
      </c>
      <c r="AL53" s="271"/>
      <c r="AN53" s="281" t="s">
        <v>106</v>
      </c>
      <c r="AQ53" s="237">
        <v>30</v>
      </c>
      <c r="AR53" s="237">
        <v>40</v>
      </c>
      <c r="AS53" s="237">
        <v>40</v>
      </c>
      <c r="AU53" s="237">
        <v>1800</v>
      </c>
      <c r="AV53" s="237">
        <v>15</v>
      </c>
    </row>
    <row r="54" ht="18.75" customHeight="1">
      <c r="B54" s="600"/>
      <c r="C54" s="600"/>
      <c r="D54" s="600"/>
      <c r="E54" s="600"/>
      <c r="F54" s="600"/>
      <c r="G54" s="600"/>
      <c r="H54" s="601"/>
      <c r="I54" s="601"/>
      <c r="J54" s="601"/>
      <c r="K54" s="601"/>
      <c r="L54" s="602"/>
      <c r="M54" s="602"/>
      <c r="N54" s="602"/>
      <c r="O54" s="685"/>
      <c r="P54" s="685"/>
      <c r="Q54" s="685"/>
      <c r="R54" s="600"/>
      <c r="S54" s="600"/>
      <c r="T54" s="600"/>
      <c r="U54" s="600"/>
      <c r="V54" s="600"/>
      <c r="W54" s="600"/>
      <c r="X54" s="600"/>
      <c r="Y54" s="600"/>
      <c r="Z54" s="600"/>
      <c r="AA54" s="600"/>
      <c r="AB54" s="600"/>
      <c r="AC54" s="600"/>
      <c r="AD54" s="600"/>
      <c r="AE54" s="600"/>
      <c r="AF54" s="600"/>
    </row>
    <row r="55" ht="18.75" customHeight="1">
      <c r="B55" s="600"/>
      <c r="C55" s="600"/>
      <c r="D55" s="600"/>
      <c r="E55" s="600"/>
      <c r="F55" s="600"/>
      <c r="G55" s="600"/>
      <c r="H55" s="601"/>
      <c r="I55" s="601"/>
      <c r="J55" s="601"/>
      <c r="K55" s="601"/>
      <c r="L55" s="602"/>
      <c r="M55" s="602"/>
      <c r="N55" s="602"/>
      <c r="O55" s="685"/>
      <c r="P55" s="685"/>
      <c r="Q55" s="685"/>
      <c r="R55" s="600"/>
      <c r="S55" s="600"/>
      <c r="T55" s="600"/>
      <c r="U55" s="600"/>
      <c r="V55" s="600"/>
      <c r="W55" s="600"/>
      <c r="X55" s="600"/>
      <c r="Y55" s="600"/>
      <c r="Z55" s="600"/>
      <c r="AA55" s="600"/>
      <c r="AB55" s="600"/>
      <c r="AC55" s="600"/>
      <c r="AD55" s="600"/>
      <c r="AE55" s="600"/>
      <c r="AF55" s="600"/>
    </row>
    <row r="56" ht="18.75" customHeight="1">
      <c r="B56" s="600"/>
      <c r="C56" s="600"/>
      <c r="D56" s="600"/>
      <c r="E56" s="600"/>
      <c r="F56" s="600"/>
      <c r="G56" s="600"/>
      <c r="H56" s="601"/>
      <c r="I56" s="601"/>
      <c r="J56" s="601"/>
      <c r="K56" s="601"/>
      <c r="L56" s="602"/>
      <c r="M56" s="602"/>
      <c r="N56" s="602"/>
      <c r="O56" s="685"/>
      <c r="P56" s="685"/>
      <c r="Q56" s="685"/>
      <c r="R56" s="600"/>
      <c r="S56" s="600"/>
      <c r="T56" s="600"/>
      <c r="U56" s="600"/>
      <c r="V56" s="600"/>
      <c r="W56" s="600"/>
      <c r="X56" s="600"/>
      <c r="Y56" s="600"/>
      <c r="Z56" s="600"/>
      <c r="AA56" s="600"/>
      <c r="AB56" s="600"/>
      <c r="AC56" s="600"/>
      <c r="AD56" s="600"/>
      <c r="AE56" s="600"/>
      <c r="AF56" s="600"/>
    </row>
    <row r="57" ht="18.75" customHeight="1">
      <c r="B57" s="600" t="str">
        <f>AI57</f>
        <v>CÔNG TY CỔ PHẦN VIỄN THÔNG DI ĐỘNG TOÀN CẦU</v>
      </c>
      <c r="C57" s="600"/>
      <c r="D57" s="600"/>
      <c r="E57" s="600"/>
      <c r="F57" s="600"/>
      <c r="G57" s="600"/>
      <c r="H57" s="601" t="str">
        <f>AK57</f>
        <v>TB2</v>
      </c>
      <c r="I57" s="601"/>
      <c r="J57" s="601"/>
      <c r="K57" s="601"/>
      <c r="L57" s="602">
        <v>3</v>
      </c>
      <c r="M57" s="602"/>
      <c r="N57" s="602"/>
      <c r="O57" s="603" t="str">
        <f>AN57</f>
        <v>4/4/4</v>
      </c>
      <c r="P57" s="685"/>
      <c r="Q57" s="685"/>
      <c r="R57" s="600" t="str">
        <f>IF(L57=3,AQ57&amp;"W/ "&amp;AR57&amp;"W/ "&amp;AS57&amp;"W",IF(L57=2,AQ57&amp;"W/ "&amp;AR57&amp;"W",AQ57&amp;"W"))</f>
        <v>30W/ 40W/ 40W</v>
      </c>
      <c r="S57" s="600"/>
      <c r="T57" s="600"/>
      <c r="U57" s="600"/>
      <c r="V57" s="600"/>
      <c r="W57" s="600" t="str">
        <f>IF(AU57="900 &amp; 1800","900MHz &amp; 1800MHz",IF(AU57="900 &amp; 2100","900MHz &amp; 2100MHz",IF(AU57="1800 &amp; 2100","1800MHz &amp; 2100MHz",AU57&amp;"MHz")))</f>
        <v>9000 &amp; 1800MHz</v>
      </c>
      <c r="X57" s="600"/>
      <c r="Y57" s="600"/>
      <c r="Z57" s="600"/>
      <c r="AA57" s="600">
        <f>AV57</f>
        <v>15</v>
      </c>
      <c r="AB57" s="600"/>
      <c r="AC57" s="600"/>
      <c r="AD57" s="600"/>
      <c r="AE57" s="600"/>
      <c r="AF57" s="600"/>
      <c r="AI57" s="271" t="s">
        <v>96</v>
      </c>
      <c r="AK57" s="271" t="s">
        <v>814</v>
      </c>
      <c r="AL57" s="271"/>
      <c r="AN57" s="281" t="s">
        <v>106</v>
      </c>
      <c r="AQ57" s="237">
        <v>30</v>
      </c>
      <c r="AR57" s="237">
        <v>40</v>
      </c>
      <c r="AS57" s="237">
        <v>40</v>
      </c>
      <c r="AU57" s="237" t="s">
        <v>140</v>
      </c>
      <c r="AV57" s="237">
        <v>15</v>
      </c>
    </row>
    <row r="58" ht="18.75" customHeight="1">
      <c r="B58" s="600"/>
      <c r="C58" s="600"/>
      <c r="D58" s="600"/>
      <c r="E58" s="600"/>
      <c r="F58" s="600"/>
      <c r="G58" s="600"/>
      <c r="H58" s="601"/>
      <c r="I58" s="601"/>
      <c r="J58" s="601"/>
      <c r="K58" s="601"/>
      <c r="L58" s="602"/>
      <c r="M58" s="602"/>
      <c r="N58" s="602"/>
      <c r="O58" s="685"/>
      <c r="P58" s="685"/>
      <c r="Q58" s="685"/>
      <c r="R58" s="600"/>
      <c r="S58" s="600"/>
      <c r="T58" s="600"/>
      <c r="U58" s="600"/>
      <c r="V58" s="600"/>
      <c r="W58" s="600"/>
      <c r="X58" s="600"/>
      <c r="Y58" s="600"/>
      <c r="Z58" s="600"/>
      <c r="AA58" s="600"/>
      <c r="AB58" s="600"/>
      <c r="AC58" s="600"/>
      <c r="AD58" s="600"/>
      <c r="AE58" s="600"/>
      <c r="AF58" s="600"/>
    </row>
    <row r="59" ht="18.75" customHeight="1">
      <c r="B59" s="600"/>
      <c r="C59" s="600"/>
      <c r="D59" s="600"/>
      <c r="E59" s="600"/>
      <c r="F59" s="600"/>
      <c r="G59" s="600"/>
      <c r="H59" s="601"/>
      <c r="I59" s="601"/>
      <c r="J59" s="601"/>
      <c r="K59" s="601"/>
      <c r="L59" s="602"/>
      <c r="M59" s="602"/>
      <c r="N59" s="602"/>
      <c r="O59" s="685"/>
      <c r="P59" s="685"/>
      <c r="Q59" s="685"/>
      <c r="R59" s="600"/>
      <c r="S59" s="600"/>
      <c r="T59" s="600"/>
      <c r="U59" s="600"/>
      <c r="V59" s="600"/>
      <c r="W59" s="600"/>
      <c r="X59" s="600"/>
      <c r="Y59" s="600"/>
      <c r="Z59" s="600"/>
      <c r="AA59" s="600"/>
      <c r="AB59" s="600"/>
      <c r="AC59" s="600"/>
      <c r="AD59" s="600"/>
      <c r="AE59" s="600"/>
      <c r="AF59" s="600"/>
    </row>
    <row r="60" ht="18.75" customHeight="1">
      <c r="B60" s="600"/>
      <c r="C60" s="600"/>
      <c r="D60" s="600"/>
      <c r="E60" s="600"/>
      <c r="F60" s="600"/>
      <c r="G60" s="600"/>
      <c r="H60" s="601"/>
      <c r="I60" s="601"/>
      <c r="J60" s="601"/>
      <c r="K60" s="601"/>
      <c r="L60" s="602"/>
      <c r="M60" s="602"/>
      <c r="N60" s="602"/>
      <c r="O60" s="685"/>
      <c r="P60" s="685"/>
      <c r="Q60" s="685"/>
      <c r="R60" s="600"/>
      <c r="S60" s="600"/>
      <c r="T60" s="600"/>
      <c r="U60" s="600"/>
      <c r="V60" s="600"/>
      <c r="W60" s="600"/>
      <c r="X60" s="600"/>
      <c r="Y60" s="600"/>
      <c r="Z60" s="600"/>
      <c r="AA60" s="600"/>
      <c r="AB60" s="600"/>
      <c r="AC60" s="600"/>
      <c r="AD60" s="600"/>
      <c r="AE60" s="600"/>
      <c r="AF60" s="600"/>
    </row>
    <row r="61" ht="18.75" customHeight="1">
      <c r="B61" s="600" t="str">
        <f>AI61</f>
        <v>CÔNG TY CỔ PHẦN VIỄN THÔNG DI ĐỘNG TOÀN CẦU</v>
      </c>
      <c r="C61" s="600"/>
      <c r="D61" s="600"/>
      <c r="E61" s="600"/>
      <c r="F61" s="600"/>
      <c r="G61" s="600"/>
      <c r="H61" s="601" t="str">
        <f>AK61</f>
        <v>TB2</v>
      </c>
      <c r="I61" s="601"/>
      <c r="J61" s="601"/>
      <c r="K61" s="601"/>
      <c r="L61" s="602">
        <v>2</v>
      </c>
      <c r="M61" s="602"/>
      <c r="N61" s="602"/>
      <c r="O61" s="603" t="str">
        <f>AN61</f>
        <v>4/4/4</v>
      </c>
      <c r="P61" s="685"/>
      <c r="Q61" s="685"/>
      <c r="R61" s="600" t="str">
        <f>IF(L61=3,AQ61&amp;"W/ "&amp;AR61&amp;"W/ "&amp;AS61&amp;"W",IF(L61=2,AQ61&amp;"W/ "&amp;AR61&amp;"W",AQ61&amp;"W"))</f>
        <v>30W/ 40W</v>
      </c>
      <c r="S61" s="600"/>
      <c r="T61" s="600"/>
      <c r="U61" s="600"/>
      <c r="V61" s="600"/>
      <c r="W61" s="600" t="str">
        <f>IF(AU61="900 &amp; 1800","900MHz &amp; 1800MHz",IF(AU61="900 &amp; 2100","900MHz &amp; 2100MHz",IF(AU61="1800 &amp; 2100","1800MHz &amp; 2100MHz",AU61&amp;"MHz")))</f>
        <v>9000 &amp; 2100MHz</v>
      </c>
      <c r="X61" s="600"/>
      <c r="Y61" s="600"/>
      <c r="Z61" s="600"/>
      <c r="AA61" s="600">
        <f>AV61</f>
        <v>15</v>
      </c>
      <c r="AB61" s="600"/>
      <c r="AC61" s="600"/>
      <c r="AD61" s="600"/>
      <c r="AE61" s="600"/>
      <c r="AF61" s="600"/>
      <c r="AI61" s="271" t="s">
        <v>96</v>
      </c>
      <c r="AK61" s="271" t="s">
        <v>814</v>
      </c>
      <c r="AL61" s="271"/>
      <c r="AN61" s="281" t="s">
        <v>106</v>
      </c>
      <c r="AQ61" s="237">
        <v>30</v>
      </c>
      <c r="AR61" s="237">
        <v>40</v>
      </c>
      <c r="AS61" s="237">
        <v>40</v>
      </c>
      <c r="AU61" s="237" t="s">
        <v>141</v>
      </c>
      <c r="AV61" s="237">
        <v>15</v>
      </c>
    </row>
    <row r="62" ht="18.75" customHeight="1">
      <c r="B62" s="600"/>
      <c r="C62" s="600"/>
      <c r="D62" s="600"/>
      <c r="E62" s="600"/>
      <c r="F62" s="600"/>
      <c r="G62" s="600"/>
      <c r="H62" s="601"/>
      <c r="I62" s="601"/>
      <c r="J62" s="601"/>
      <c r="K62" s="601"/>
      <c r="L62" s="602"/>
      <c r="M62" s="602"/>
      <c r="N62" s="602"/>
      <c r="O62" s="685"/>
      <c r="P62" s="685"/>
      <c r="Q62" s="685"/>
      <c r="R62" s="600"/>
      <c r="S62" s="600"/>
      <c r="T62" s="600"/>
      <c r="U62" s="600"/>
      <c r="V62" s="600"/>
      <c r="W62" s="600"/>
      <c r="X62" s="600"/>
      <c r="Y62" s="600"/>
      <c r="Z62" s="600"/>
      <c r="AA62" s="600"/>
      <c r="AB62" s="600"/>
      <c r="AC62" s="600"/>
      <c r="AD62" s="600"/>
      <c r="AE62" s="600"/>
      <c r="AF62" s="600"/>
    </row>
    <row r="63" ht="18.75" customHeight="1">
      <c r="B63" s="600"/>
      <c r="C63" s="600"/>
      <c r="D63" s="600"/>
      <c r="E63" s="600"/>
      <c r="F63" s="600"/>
      <c r="G63" s="600"/>
      <c r="H63" s="601"/>
      <c r="I63" s="601"/>
      <c r="J63" s="601"/>
      <c r="K63" s="601"/>
      <c r="L63" s="602"/>
      <c r="M63" s="602"/>
      <c r="N63" s="602"/>
      <c r="O63" s="685"/>
      <c r="P63" s="685"/>
      <c r="Q63" s="685"/>
      <c r="R63" s="600"/>
      <c r="S63" s="600"/>
      <c r="T63" s="600"/>
      <c r="U63" s="600"/>
      <c r="V63" s="600"/>
      <c r="W63" s="600"/>
      <c r="X63" s="600"/>
      <c r="Y63" s="600"/>
      <c r="Z63" s="600"/>
      <c r="AA63" s="600"/>
      <c r="AB63" s="600"/>
      <c r="AC63" s="600"/>
      <c r="AD63" s="600"/>
      <c r="AE63" s="600"/>
      <c r="AF63" s="600"/>
    </row>
    <row r="64" ht="18.75" customHeight="1">
      <c r="B64" s="600"/>
      <c r="C64" s="600"/>
      <c r="D64" s="600"/>
      <c r="E64" s="600"/>
      <c r="F64" s="600"/>
      <c r="G64" s="600"/>
      <c r="H64" s="601"/>
      <c r="I64" s="601"/>
      <c r="J64" s="601"/>
      <c r="K64" s="601"/>
      <c r="L64" s="602"/>
      <c r="M64" s="602"/>
      <c r="N64" s="602"/>
      <c r="O64" s="685"/>
      <c r="P64" s="685"/>
      <c r="Q64" s="685"/>
      <c r="R64" s="600"/>
      <c r="S64" s="600"/>
      <c r="T64" s="600"/>
      <c r="U64" s="600"/>
      <c r="V64" s="600"/>
      <c r="W64" s="600"/>
      <c r="X64" s="600"/>
      <c r="Y64" s="600"/>
      <c r="Z64" s="600"/>
      <c r="AA64" s="600"/>
      <c r="AB64" s="600"/>
      <c r="AC64" s="600"/>
      <c r="AD64" s="600"/>
      <c r="AE64" s="600"/>
      <c r="AF64" s="600"/>
    </row>
    <row r="65" ht="18.75" customHeight="1">
      <c r="B65" s="600" t="str">
        <f>AI65</f>
        <v>CÔNG TY CỔ PHẦN VIỄN THÔNG DI ĐỘNG TOÀN CẦU</v>
      </c>
      <c r="C65" s="600"/>
      <c r="D65" s="600"/>
      <c r="E65" s="600"/>
      <c r="F65" s="600"/>
      <c r="G65" s="600"/>
      <c r="H65" s="601" t="str">
        <f>AK65</f>
        <v>TB2</v>
      </c>
      <c r="I65" s="601"/>
      <c r="J65" s="601"/>
      <c r="K65" s="601"/>
      <c r="L65" s="602">
        <v>1</v>
      </c>
      <c r="M65" s="602"/>
      <c r="N65" s="602"/>
      <c r="O65" s="603" t="str">
        <f>AN65</f>
        <v>4/4/4</v>
      </c>
      <c r="P65" s="685"/>
      <c r="Q65" s="685"/>
      <c r="R65" s="600" t="str">
        <f>IF(L65=3,AQ65&amp;"W/ "&amp;AR65&amp;"W/ "&amp;AS65&amp;"W",IF(L65=2,AQ65&amp;"W/ "&amp;AR65&amp;"W",AQ65&amp;"W"))</f>
        <v>30W</v>
      </c>
      <c r="S65" s="600"/>
      <c r="T65" s="600"/>
      <c r="U65" s="600"/>
      <c r="V65" s="600"/>
      <c r="W65" s="600" t="str">
        <f>IF(AU65="900 &amp; 1800","900MHz &amp; 1800MHz",IF(AU65="900 &amp; 2100","900MHz &amp; 2100MHz",IF(AU65="1800 &amp; 2100","1800MHz &amp; 2100MHz",AU65&amp;"MHz")))</f>
        <v>1800MHz &amp; 2100MHz</v>
      </c>
      <c r="X65" s="600"/>
      <c r="Y65" s="600"/>
      <c r="Z65" s="600"/>
      <c r="AA65" s="600">
        <f>AV65</f>
        <v>15</v>
      </c>
      <c r="AB65" s="600"/>
      <c r="AC65" s="600"/>
      <c r="AD65" s="600"/>
      <c r="AE65" s="600"/>
      <c r="AF65" s="600"/>
      <c r="AI65" s="271" t="s">
        <v>96</v>
      </c>
      <c r="AK65" s="271" t="s">
        <v>814</v>
      </c>
      <c r="AL65" s="271"/>
      <c r="AN65" s="281" t="s">
        <v>106</v>
      </c>
      <c r="AQ65" s="237">
        <v>30</v>
      </c>
      <c r="AR65" s="237">
        <v>40</v>
      </c>
      <c r="AS65" s="237">
        <v>40</v>
      </c>
      <c r="AU65" s="237" t="s">
        <v>142</v>
      </c>
      <c r="AV65" s="237">
        <v>15</v>
      </c>
      <c r="AW65" s="237">
        <v>16</v>
      </c>
      <c r="AX65" s="237">
        <v>17</v>
      </c>
    </row>
    <row r="66" ht="18.75" customHeight="1">
      <c r="B66" s="600"/>
      <c r="C66" s="600"/>
      <c r="D66" s="600"/>
      <c r="E66" s="600"/>
      <c r="F66" s="600"/>
      <c r="G66" s="600"/>
      <c r="H66" s="601"/>
      <c r="I66" s="601"/>
      <c r="J66" s="601"/>
      <c r="K66" s="601"/>
      <c r="L66" s="602"/>
      <c r="M66" s="602"/>
      <c r="N66" s="602"/>
      <c r="O66" s="685"/>
      <c r="P66" s="685"/>
      <c r="Q66" s="685"/>
      <c r="R66" s="600"/>
      <c r="S66" s="600"/>
      <c r="T66" s="600"/>
      <c r="U66" s="600"/>
      <c r="V66" s="600"/>
      <c r="W66" s="600"/>
      <c r="X66" s="600"/>
      <c r="Y66" s="600"/>
      <c r="Z66" s="600"/>
      <c r="AA66" s="600"/>
      <c r="AB66" s="600"/>
      <c r="AC66" s="600"/>
      <c r="AD66" s="600"/>
      <c r="AE66" s="600"/>
      <c r="AF66" s="600"/>
    </row>
    <row r="67" ht="18.75" customHeight="1">
      <c r="B67" s="600"/>
      <c r="C67" s="600"/>
      <c r="D67" s="600"/>
      <c r="E67" s="600"/>
      <c r="F67" s="600"/>
      <c r="G67" s="600"/>
      <c r="H67" s="601"/>
      <c r="I67" s="601"/>
      <c r="J67" s="601"/>
      <c r="K67" s="601"/>
      <c r="L67" s="602"/>
      <c r="M67" s="602"/>
      <c r="N67" s="602"/>
      <c r="O67" s="685"/>
      <c r="P67" s="685"/>
      <c r="Q67" s="685"/>
      <c r="R67" s="600"/>
      <c r="S67" s="600"/>
      <c r="T67" s="600"/>
      <c r="U67" s="600"/>
      <c r="V67" s="600"/>
      <c r="W67" s="600"/>
      <c r="X67" s="600"/>
      <c r="Y67" s="600"/>
      <c r="Z67" s="600"/>
      <c r="AA67" s="600"/>
      <c r="AB67" s="600"/>
      <c r="AC67" s="600"/>
      <c r="AD67" s="600"/>
      <c r="AE67" s="600"/>
      <c r="AF67" s="600"/>
    </row>
    <row r="68" ht="18.75" customHeight="1">
      <c r="B68" s="600"/>
      <c r="C68" s="600"/>
      <c r="D68" s="600"/>
      <c r="E68" s="600"/>
      <c r="F68" s="600"/>
      <c r="G68" s="600"/>
      <c r="H68" s="601"/>
      <c r="I68" s="601"/>
      <c r="J68" s="601"/>
      <c r="K68" s="601"/>
      <c r="L68" s="602"/>
      <c r="M68" s="602"/>
      <c r="N68" s="602"/>
      <c r="O68" s="685"/>
      <c r="P68" s="685"/>
      <c r="Q68" s="685"/>
      <c r="R68" s="600"/>
      <c r="S68" s="600"/>
      <c r="T68" s="600"/>
      <c r="U68" s="600"/>
      <c r="V68" s="600"/>
      <c r="W68" s="600"/>
      <c r="X68" s="600"/>
      <c r="Y68" s="600"/>
      <c r="Z68" s="600"/>
      <c r="AA68" s="600"/>
      <c r="AB68" s="600"/>
      <c r="AC68" s="600"/>
      <c r="AD68" s="600"/>
      <c r="AE68" s="600"/>
      <c r="AF68" s="600"/>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2020-03-30T08:01:31Z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b319eec4-bfd4-4436-ba4a-0a6d9e22d4b2</vt:lpwstr>
  </property>
</Properties>
</file>