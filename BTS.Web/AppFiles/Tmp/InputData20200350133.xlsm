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Default ContentType="application/vnd.openxmlformats-officedocument.vmlDrawing" Extension="v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drawing+xml" PartName="/xl/drawings/drawing1.xml"/>
  <Override ContentType="application/vnd.openxmlformats-officedocument.spreadsheetml.comments+xml" PartName="/xl/comments1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custom-properties+xml" PartName="/docProps/custom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\\192.168.10.5\Lanh Dao\Khanh\Data\. De tai\De tai 2020\3. Du lieu\TT3\File nhap lieu\"/>
    </mc:Choice>
  </mc:AlternateContent>
  <bookViews>
    <workbookView xWindow="0" yWindow="0" windowWidth="23040" windowHeight="9384"/>
  </bookViews>
  <sheets>
    <sheet name="Sheet1" sheetId="1" r:id="rId1"/>
    <sheet name="BTS" sheetId="2" r:id="rId2"/>
  </sheets>
  <functionGroups builtInGroupCount="18"/>
  <definedNames>
    <definedName name="_xlnm._FilterDatabase" localSheetId="0" hidden="1">'Sheet1'!$A$2:$AP$10</definedName>
  </definedNames>
  <calcPr calcId="152511" fullCalcOn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omments1.xml><?xml version="1.0" encoding="utf-8"?>
<comments xmlns="http://schemas.openxmlformats.org/spreadsheetml/2006/main">
  <authors>
    <author>Dell</author>
  </authors>
  <commentList>
    <comment ref="AX1" authorId="0" shapeId="0">
      <text>
        <r>
          <rPr>
            <b/>
            <sz val="9"/>
            <color indexed="81"/>
            <rFont val="Tahoma"/>
            <family val="2"/>
          </rPr>
          <t>Dell:</t>
        </r>
        <r>
          <rPr>
            <sz val="9"/>
            <color indexed="81"/>
            <rFont val="Tahoma"/>
            <family val="2"/>
          </rPr>
          <t xml:space="preserve">
- Màu đỏ: Lỗi nhập CS
- Màu xanh: CS chưa khai báo
- Màu vàng: CS nhập sai CSDL</t>
        </r>
      </text>
    </comment>
  </commentList>
</comments>
</file>

<file path=xl/sharedStrings.xml><?xml version="1.0" encoding="utf-8"?>
<sst xmlns="http://schemas.openxmlformats.org/spreadsheetml/2006/main" count="245" uniqueCount="245">
  <si>
    <t>No</t>
  </si>
  <si>
    <t>BTSName</t>
  </si>
  <si>
    <t>Frequency</t>
  </si>
  <si>
    <t>TRxConfig</t>
  </si>
  <si>
    <t>PowerRF</t>
  </si>
  <si>
    <t>PowerRF_W</t>
  </si>
  <si>
    <t>Card type</t>
  </si>
  <si>
    <t>NOTE</t>
  </si>
  <si>
    <t>TOC</t>
  </si>
  <si>
    <t>ALCATEL EVOLIUM A9100</t>
  </si>
  <si>
    <t>TRE</t>
  </si>
  <si>
    <t>ALCATEL LUCENT 9100 BTS</t>
  </si>
  <si>
    <t>TRE G4-TRAGE</t>
  </si>
  <si>
    <t>TRE G4-TRADE</t>
  </si>
  <si>
    <t>BTS3902E</t>
  </si>
  <si>
    <t>WCDMA</t>
  </si>
  <si>
    <t>VTE_Macro</t>
  </si>
  <si>
    <t>CDMA HUAWEI 3606</t>
  </si>
  <si>
    <t>CTRM</t>
  </si>
  <si>
    <t>CMTR</t>
  </si>
  <si>
    <t>CDMA HUAWEI 3612</t>
  </si>
  <si>
    <t>BTRM</t>
  </si>
  <si>
    <t>ERICSSON RBS 2106</t>
  </si>
  <si>
    <t>DTRU</t>
  </si>
  <si>
    <t>ERICSSON RBS 2116</t>
  </si>
  <si>
    <t>DRU</t>
  </si>
  <si>
    <t>ERICSSON RBS 2202</t>
  </si>
  <si>
    <t>CDU</t>
  </si>
  <si>
    <t>ERICSSON RBS 2206</t>
  </si>
  <si>
    <t>ERICSSON RBS 2207</t>
  </si>
  <si>
    <t>ERICSSON RBS 2216</t>
  </si>
  <si>
    <t>ERICSSON RBS 3206</t>
  </si>
  <si>
    <t>RU</t>
  </si>
  <si>
    <t>ERICSSON RBS 3418</t>
  </si>
  <si>
    <t>RRUW</t>
  </si>
  <si>
    <t>ERICSSON RBS 6201</t>
  </si>
  <si>
    <t>RUS</t>
  </si>
  <si>
    <t>Uncombined</t>
  </si>
  <si>
    <t>Combined</t>
  </si>
  <si>
    <t>ERICSSON RBS 6202</t>
  </si>
  <si>
    <t>ERICSSON RBS 6601</t>
  </si>
  <si>
    <t>RRUS</t>
  </si>
  <si>
    <t>RRUS 01</t>
  </si>
  <si>
    <t>LTE</t>
  </si>
  <si>
    <t>VTE</t>
  </si>
  <si>
    <t>Document VTE</t>
  </si>
  <si>
    <t>HUAWEI BTS 3012</t>
  </si>
  <si>
    <t>HUAWEI BTS 312</t>
  </si>
  <si>
    <t>HUAWEI BTS 3900</t>
  </si>
  <si>
    <t>DRFU</t>
  </si>
  <si>
    <t>WRFU</t>
  </si>
  <si>
    <t>HUAWEI BTS 3900A</t>
  </si>
  <si>
    <t>HUAWEI DBS 3900</t>
  </si>
  <si>
    <t>RRU</t>
  </si>
  <si>
    <t>GSM</t>
  </si>
  <si>
    <t>HUAWEI DBS 3900 - 1800</t>
  </si>
  <si>
    <t>HUAWEI DBS 3900 - 2100</t>
  </si>
  <si>
    <t>HUAWEI DBS 3900 - 900</t>
  </si>
  <si>
    <t>LG SMART BTS (STAREX-IS)</t>
  </si>
  <si>
    <t>MPUB</t>
  </si>
  <si>
    <t>MOTOROLA HORIZON II MACRO</t>
  </si>
  <si>
    <t>CTU</t>
  </si>
  <si>
    <t>MOTOROLA HOZIRONMACRO</t>
  </si>
  <si>
    <t>NOKIA FLEXI MULTIRADIO 10 BTS</t>
  </si>
  <si>
    <t>FXED</t>
  </si>
  <si>
    <t>FXDB</t>
  </si>
  <si>
    <t>NOKIA FLEXI WCDMA BTS</t>
  </si>
  <si>
    <t>SAMSUNG CDMA T3E</t>
  </si>
  <si>
    <t>SIEMENS BS-240 II</t>
  </si>
  <si>
    <t>CUGV4</t>
  </si>
  <si>
    <t>ZTE ZXSDR BS8700</t>
  </si>
  <si>
    <t>R8860-RRUS</t>
  </si>
  <si>
    <t>R8840-RRUS</t>
  </si>
  <si>
    <t>R8861_VNM</t>
  </si>
  <si>
    <t>ZTE ZXSDR BS8800</t>
  </si>
  <si>
    <t xml:space="preserve">RSU60/RSU60E-RRU </t>
  </si>
  <si>
    <t xml:space="preserve">RSU40/RSU82-RRU </t>
  </si>
  <si>
    <t>ZTE ZXSDR BS8900A</t>
  </si>
  <si>
    <t xml:space="preserve">RSU40/RSU82 -RRU </t>
  </si>
  <si>
    <t>ZTE ZXSDR BS8922</t>
  </si>
  <si>
    <t>VNP_Smallcell</t>
  </si>
  <si>
    <t>SiteCode</t>
  </si>
  <si>
    <t>Address</t>
  </si>
  <si>
    <t>Province</t>
  </si>
  <si>
    <t>GPSInfo</t>
  </si>
  <si>
    <t>GCNNumb</t>
  </si>
  <si>
    <t>CompNumb</t>
  </si>
  <si>
    <t>VerDate</t>
  </si>
  <si>
    <t>CVKiemDinh1</t>
  </si>
  <si>
    <t>CVKiemDinh2</t>
  </si>
  <si>
    <t>AntColHigh</t>
  </si>
  <si>
    <t>HouseHigh</t>
  </si>
  <si>
    <t>TRxBand</t>
  </si>
  <si>
    <t>AntHigh</t>
  </si>
  <si>
    <t>Northem</t>
  </si>
  <si>
    <t>Image1</t>
  </si>
  <si>
    <t>Image2</t>
  </si>
  <si>
    <t>SiteName</t>
  </si>
  <si>
    <t>OpName</t>
  </si>
  <si>
    <t>AntNumb</t>
  </si>
  <si>
    <t>AntName</t>
  </si>
  <si>
    <t>Azimuth</t>
  </si>
  <si>
    <t>TotalTilt</t>
  </si>
  <si>
    <t>TRxType</t>
  </si>
  <si>
    <t>JumpLen</t>
  </si>
  <si>
    <t>FeedLen</t>
  </si>
  <si>
    <t>OtherLoss</t>
  </si>
  <si>
    <t>THKD</t>
  </si>
  <si>
    <t>GHAT</t>
  </si>
  <si>
    <t>View</t>
  </si>
  <si>
    <t>Direction</t>
  </si>
  <si>
    <t>MaxHouse</t>
  </si>
  <si>
    <t>MinAnt</t>
  </si>
  <si>
    <t>Offset</t>
  </si>
  <si>
    <t>SubBtsQuantity</t>
  </si>
  <si>
    <t>SubBtsAntenHeight</t>
  </si>
  <si>
    <t>SubBtsPowerSum</t>
  </si>
  <si>
    <t>IssueCertificate</t>
  </si>
  <si>
    <t>IsPoleOnGround</t>
  </si>
  <si>
    <t>IsHouseIn100m</t>
  </si>
  <si>
    <t>IsMeasuringExposure</t>
  </si>
  <si>
    <t>SubBtsConfiguration_1.1</t>
  </si>
  <si>
    <t>SubBtsConfiguration_1.2</t>
  </si>
  <si>
    <t>SubBtsConfiguration_1.3</t>
  </si>
  <si>
    <t>SubBtsConfiguration_1.4</t>
  </si>
  <si>
    <t>SubBtsConfiguration_1.5</t>
  </si>
  <si>
    <t>SubBtsConfiguration_1.6</t>
  </si>
  <si>
    <t>SubBtsPowerSum_1.1</t>
  </si>
  <si>
    <t>SubBtsPowerSum_1.2</t>
  </si>
  <si>
    <t>SubBtsPowerSum_1.3</t>
  </si>
  <si>
    <t>SubBtsPowerSum_1.4</t>
  </si>
  <si>
    <t>SubBtsPowerSum_1.5</t>
  </si>
  <si>
    <t>SubBtsPowerSum_1.6</t>
  </si>
  <si>
    <t>#</t>
  </si>
  <si>
    <t>Mã trạm</t>
  </si>
  <si>
    <t>Địa chỉ</t>
  </si>
  <si>
    <t>Tỉnh</t>
  </si>
  <si>
    <t>Kinh độ;Vĩ độ</t>
  </si>
  <si>
    <t>Số Giấy chứng nhận Kiểm định</t>
  </si>
  <si>
    <t>Số Biên bản Kiểm định</t>
  </si>
  <si>
    <t>Độ cao cột Anten</t>
  </si>
  <si>
    <t>Độ cao nhà đặt cột Anten</t>
  </si>
  <si>
    <t>Băng tần phát</t>
  </si>
  <si>
    <t>Độ cao từng Anten</t>
  </si>
  <si>
    <t>Hướng Bắc</t>
  </si>
  <si>
    <t>Ảnh khung cảnh nhà trạm</t>
  </si>
  <si>
    <t>Ảnh cột Anten</t>
  </si>
  <si>
    <t>Mã từng Site</t>
  </si>
  <si>
    <t>Doanh nghiệp cung cấp dịch vụ</t>
  </si>
  <si>
    <t>Số Lượng Anten</t>
  </si>
  <si>
    <t>Chủng loại Anten phát</t>
  </si>
  <si>
    <t>Góc phương vị từng Anten</t>
  </si>
  <si>
    <t>Downtilt tổng</t>
  </si>
  <si>
    <t>Chủng loại máy phát TRX</t>
  </si>
  <si>
    <t>Số máy thu phát/atenna</t>
  </si>
  <si>
    <t>Chiều dài Jumper</t>
  </si>
  <si>
    <t>Chiều dài Feeder</t>
  </si>
  <si>
    <t>Suy hao khác (dB)</t>
  </si>
  <si>
    <t>Trường hợp Kiểm định</t>
  </si>
  <si>
    <t>Có/Không GHAT</t>
  </si>
  <si>
    <t>Nhà cao nhất</t>
  </si>
  <si>
    <t>Anten thấp nhất</t>
  </si>
  <si>
    <t>Độ cao chênh lệch</t>
  </si>
  <si>
    <t>Số lượng trạm gốc</t>
  </si>
  <si>
    <t>Độ cao Anten</t>
  </si>
  <si>
    <t>Tổng công suất phát từng anten (W)</t>
  </si>
  <si>
    <t>Trạm BTS có được cấp Giấy CNKĐ hay không?</t>
  </si>
  <si>
    <t>Trạm BTS có cột Anten đặt dưới đất phải không?</t>
  </si>
  <si>
    <t>Trong 100m có công trình người dân sinh sống, làm việc không?</t>
  </si>
  <si>
    <t>Trạm BTS có phải đo Phơi nhiễm trường điện từ không?</t>
  </si>
  <si>
    <t>Cấu hình máy phát BTS 1.1</t>
  </si>
  <si>
    <t>Cấu hình máy phát BTS 1.2</t>
  </si>
  <si>
    <t>Cấu hình máy phát BTS 1.3</t>
  </si>
  <si>
    <t>Cấu hình máy phát BTS 1.4</t>
  </si>
  <si>
    <t>Cấu hình máy phát BTS 1.5</t>
  </si>
  <si>
    <t>Cấu hình máy phát BTS 1.6</t>
  </si>
  <si>
    <t>Công suất tối đa máy phát BTS 1.1</t>
  </si>
  <si>
    <t>Công suất tối đa máy phát BTS 1.2</t>
  </si>
  <si>
    <t>Công suất tối đa máy phát BTS 1.3</t>
  </si>
  <si>
    <t>Công suất tối đa máy phát BTS 1.4</t>
  </si>
  <si>
    <t>Công suất tối đa máy phát BTS 1.5</t>
  </si>
  <si>
    <t>Công suất tối đa máy phát BTS 1.6</t>
  </si>
  <si>
    <t>Thôn Chánh Lợi, xã Cát Khánh, huyện Phù Cát, tỉnh Bình Định</t>
  </si>
  <si>
    <t>Bình Định</t>
  </si>
  <si>
    <t>109.19875, 14.10187</t>
  </si>
  <si>
    <t>C01994111119TG05</t>
  </si>
  <si>
    <t>1900416/19/TG/TT3</t>
  </si>
  <si>
    <t>19/6/2019</t>
  </si>
  <si>
    <t>Cao Minh Mẫn</t>
  </si>
  <si>
    <t>Trần Tiến</t>
  </si>
  <si>
    <t>1.jpg</t>
  </si>
  <si>
    <t>2.jpg</t>
  </si>
  <si>
    <t>209089_1</t>
  </si>
  <si>
    <t>VNM</t>
  </si>
  <si>
    <t>ANDREW DB856DG65EXY</t>
  </si>
  <si>
    <t>0/140/310</t>
  </si>
  <si>
    <t>3/0/2</t>
  </si>
  <si>
    <t>1/1/1</t>
  </si>
  <si>
    <t>Không</t>
  </si>
  <si>
    <t>Có</t>
  </si>
  <si>
    <t>C4</t>
  </si>
  <si>
    <t>Thôn 4, xã Quảng Điền, huyện Krông Ana, tỉnh Đắk Lắk</t>
  </si>
  <si>
    <t>Đắk Lắk</t>
  </si>
  <si>
    <t>108.04336, 12.45295</t>
  </si>
  <si>
    <t>C01995111119TG05</t>
  </si>
  <si>
    <t>1900417/19/TG/TT3</t>
  </si>
  <si>
    <t>216115_1</t>
  </si>
  <si>
    <t>0/2/2</t>
  </si>
  <si>
    <t>Thôn 5, xã Ea Kiết, huyện Cư M'Gar, tỉnh Đắk Lắk</t>
  </si>
  <si>
    <t>108.02293, 12.93722</t>
  </si>
  <si>
    <t>C01996111119TG05</t>
  </si>
  <si>
    <t>1900418/19/TG/TT3</t>
  </si>
  <si>
    <t>216501_1</t>
  </si>
  <si>
    <t>2/1/1</t>
  </si>
  <si>
    <t>Thôn Đoàn Kết 1, xã Buôn Triết, huyện Lắk, tỉnh Đắk Lắk</t>
  </si>
  <si>
    <t>108.08707, 12.39463</t>
  </si>
  <si>
    <t>C01997111119TG05</t>
  </si>
  <si>
    <t>1900419/19/TG/TT3</t>
  </si>
  <si>
    <t>216502_1</t>
  </si>
  <si>
    <t>2/2/2</t>
  </si>
  <si>
    <t>Tổ dân phố 4, thị trấn Ea T'Ling, huyện Cư Jút, tỉnh Đắk Nông</t>
  </si>
  <si>
    <t>Đắk Nông</t>
  </si>
  <si>
    <t>107.88986, 12.55385</t>
  </si>
  <si>
    <t>C01998111119TG05</t>
  </si>
  <si>
    <t>1900420/19/TG/TT3</t>
  </si>
  <si>
    <t>217501_1</t>
  </si>
  <si>
    <t>3/3/2</t>
  </si>
  <si>
    <t>Thôn Đại An II, xã Ia Khươl, huyện Chư Păh, tỉnh Gia Lai</t>
  </si>
  <si>
    <t>Gia Lai</t>
  </si>
  <si>
    <t>107.98520, 14.22198</t>
  </si>
  <si>
    <t>C01999111119TG05</t>
  </si>
  <si>
    <t>1900421/19/TG/TT3</t>
  </si>
  <si>
    <t>221501_1</t>
  </si>
  <si>
    <t>0/140</t>
  </si>
  <si>
    <t>3/3</t>
  </si>
  <si>
    <t>1/1</t>
  </si>
  <si>
    <t>Số 277/1, đường Âu Cơ, phường Bùi Thị Xuân, thành phố Quy Nhơn, tỉnh Bình Định</t>
  </si>
  <si>
    <t>109.1499; 13.7644</t>
  </si>
  <si>
    <t>C01936111119TG05</t>
  </si>
  <si>
    <t>1900001/19/TG/TT3</t>
  </si>
  <si>
    <t>209050_1</t>
  </si>
  <si>
    <t>2T</t>
  </si>
  <si>
    <t xml:space="preserve">; </t>
  </si>
  <si>
    <t>209050_2</t>
  </si>
  <si>
    <t>KATHREIN 742215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</si>
</sst>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[$-1010000]d/m/yyyy;@"/>
  </numFmts>
  <fonts count="1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Times New Roman"/>
      <family val="1"/>
    </font>
    <font>
      <sz val="11"/>
      <name val="Times New Roman"/>
      <family val="1"/>
    </font>
    <font>
      <sz val="11"/>
      <color theme="1"/>
      <name val="Times New Roman"/>
      <family val="1"/>
    </font>
    <font>
      <sz val="12"/>
      <name val="Times New Roman"/>
      <family val="1"/>
    </font>
    <font>
      <b/>
      <sz val="12"/>
      <name val="Times New Roman"/>
      <family val="1"/>
    </font>
    <font>
      <i/>
      <sz val="12"/>
      <name val="Times New Roman"/>
      <family val="1"/>
    </font>
    <font>
      <b/>
      <sz val="11"/>
      <color theme="1"/>
      <name val="Times New Roman"/>
      <family val="1"/>
    </font>
    <font>
      <sz val="10"/>
      <name val="Arial"/>
      <family val="2"/>
    </font>
    <font>
      <b/>
      <i/>
      <sz val="10"/>
      <name val="Arial"/>
      <family val="2"/>
    </font>
    <font>
      <b/>
      <sz val="11"/>
      <name val="Times New Roman"/>
      <family val="1"/>
    </font>
    <font>
      <b/>
      <i/>
      <sz val="11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rgb="FF66FF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C0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">
    <xf numFmtId="0" fontId="0" fillId="0" borderId="0"/>
    <xf numFmtId="43" fontId="1" fillId="0" borderId="0"/>
    <xf numFmtId="0" fontId="1" fillId="0" borderId="0"/>
    <xf numFmtId="0" fontId="9" fillId="0" borderId="0"/>
    <xf numFmtId="164" fontId="1" fillId="0" borderId="0"/>
  </cellStyleXfs>
  <cellXfs count="63">
    <xf numFmtId="0" applyNumberFormat="1" fontId="0" applyFont="1" fillId="0" applyFill="1" borderId="0" applyBorder="1" xfId="0" applyProtection="1"/>
    <xf numFmtId="43" applyNumberFormat="1" fontId="1" applyFont="1" fillId="0" applyFill="1" borderId="0" applyBorder="1" xfId="1" applyProtection="1"/>
    <xf numFmtId="0" applyNumberFormat="1" fontId="1" applyFont="1" fillId="0" applyFill="1" borderId="0" applyBorder="1" xfId="2" applyProtection="1"/>
    <xf numFmtId="0" applyNumberFormat="1" fontId="9" applyFont="1" fillId="0" applyFill="1" borderId="0" applyBorder="1" xfId="3" applyProtection="1"/>
    <xf numFmtId="164" applyNumberFormat="1" fontId="1" applyFont="1" fillId="0" applyFill="1" borderId="0" applyBorder="1" xfId="4" applyProtection="1"/>
    <xf numFmtId="0" applyNumberFormat="1" fontId="3" applyFont="1" fillId="0" applyFill="1" borderId="1" applyBorder="1" xfId="2" quotePrefix="1" applyProtection="1" applyAlignment="1">
      <alignment horizontal="center" vertical="center" wrapText="1"/>
    </xf>
    <xf numFmtId="0" applyNumberFormat="1" fontId="5" applyFont="1" fillId="0" applyFill="1" borderId="1" applyBorder="1" xfId="0" applyProtection="1" applyAlignment="1">
      <alignment horizontal="center" vertical="center" wrapText="1"/>
    </xf>
    <xf numFmtId="0" applyNumberFormat="1" fontId="5" applyFont="1" fillId="0" applyFill="1" borderId="1" applyBorder="1" xfId="0" applyProtection="1" applyAlignment="1">
      <alignment vertical="center" wrapText="1"/>
    </xf>
    <xf numFmtId="0" applyNumberFormat="1" fontId="5" applyFont="1" fillId="0" applyFill="1" borderId="1" applyBorder="1" xfId="0" applyProtection="1" applyAlignment="1">
      <alignment horizontal="center" vertical="center" wrapText="1"/>
    </xf>
    <xf numFmtId="0" applyNumberFormat="1" fontId="5" applyFont="1" fillId="0" applyFill="1" borderId="1" applyBorder="1" xfId="0" quotePrefix="1" applyProtection="1" applyAlignment="1">
      <alignment horizontal="center" vertical="center" wrapText="1"/>
    </xf>
    <xf numFmtId="0" applyNumberFormat="1" fontId="5" applyFont="1" fillId="0" applyFill="1" borderId="1" applyBorder="1" xfId="0" quotePrefix="1" applyProtection="1" applyAlignment="1">
      <alignment horizontal="center" vertical="center" wrapText="1"/>
    </xf>
    <xf numFmtId="0" applyNumberFormat="1" fontId="5" applyFont="1" fillId="0" applyFill="1" borderId="1" applyBorder="1" xfId="0" applyProtection="1" applyAlignment="1">
      <alignment horizontal="left" vertical="center" wrapText="1"/>
    </xf>
    <xf numFmtId="0" applyNumberFormat="1" fontId="5" applyFont="1" fillId="0" applyFill="1" borderId="1" applyBorder="1" xfId="0" applyProtection="1" applyAlignment="1">
      <alignment horizontal="center" vertical="center"/>
    </xf>
    <xf numFmtId="0" applyNumberFormat="1" fontId="5" applyFont="1" fillId="0" applyFill="1" borderId="1" applyBorder="1" xfId="4" applyProtection="1" applyAlignment="1">
      <alignment horizontal="center" vertical="center"/>
    </xf>
    <xf numFmtId="1" applyNumberFormat="1" fontId="5" applyFont="1" fillId="0" applyFill="1" borderId="1" applyBorder="1" xfId="0" applyProtection="1" applyAlignment="1">
      <alignment horizontal="center" vertical="center"/>
    </xf>
    <xf numFmtId="164" applyNumberFormat="1" fontId="5" applyFont="1" fillId="0" applyFill="1" borderId="0" applyBorder="1" xfId="4" applyProtection="1" applyAlignment="1">
      <alignment horizontal="center" vertical="center" wrapText="1"/>
    </xf>
    <xf numFmtId="164" applyNumberFormat="1" fontId="5" applyFont="1" fillId="0" applyFill="1" borderId="0" applyBorder="1" xfId="4" applyProtection="1" applyAlignment="1">
      <alignment horizontal="center" vertical="center"/>
    </xf>
    <xf numFmtId="0" applyNumberFormat="1" fontId="3" applyFont="1" fillId="0" applyFill="1" borderId="0" applyBorder="1" xfId="0" applyProtection="1" applyAlignment="1">
      <alignment horizontal="center" vertical="center"/>
    </xf>
    <xf numFmtId="0" applyNumberFormat="1" fontId="4" applyFont="1" fillId="0" applyFill="1" borderId="0" applyBorder="1" xfId="0" applyProtection="1" applyAlignment="1">
      <alignment horizontal="center" vertical="center"/>
    </xf>
    <xf numFmtId="0" applyNumberFormat="1" fontId="4" applyFont="1" fillId="0" applyFill="1" borderId="0" applyBorder="1" xfId="0" applyProtection="1" applyAlignment="1">
      <alignment horizontal="left" vertical="center"/>
    </xf>
    <xf numFmtId="0" applyNumberFormat="1" fontId="4" applyFont="1" fillId="0" applyFill="1" borderId="0" applyBorder="1" xfId="0" applyProtection="1" applyAlignment="1">
      <alignment horizontal="left" vertical="center" wrapText="1"/>
    </xf>
    <xf numFmtId="14" applyNumberFormat="1" fontId="4" applyFont="1" fillId="0" applyFill="1" borderId="0" applyBorder="1" xfId="0" applyProtection="1" applyAlignment="1">
      <alignment horizontal="center" vertical="center"/>
    </xf>
    <xf numFmtId="1" applyNumberFormat="1" fontId="4" applyFont="1" fillId="0" applyFill="1" borderId="0" applyBorder="1" xfId="0" applyProtection="1" applyAlignment="1">
      <alignment horizontal="center" vertical="center"/>
    </xf>
    <xf numFmtId="0" applyNumberFormat="1" fontId="4" applyFont="1" fillId="0" applyFill="1" borderId="0" applyBorder="1" xfId="0" applyProtection="1" applyAlignment="1">
      <alignment horizontal="center" vertical="center" wrapText="1"/>
    </xf>
    <xf numFmtId="0" applyNumberFormat="1" fontId="2" applyFont="1" fillId="0" applyFill="1" borderId="0" applyBorder="1" xfId="4" applyProtection="1" applyAlignment="1">
      <alignment horizontal="center" vertical="center"/>
    </xf>
    <xf numFmtId="0" applyNumberFormat="1" fontId="5" applyFont="1" fillId="0" applyFill="1" borderId="1" applyBorder="1" xfId="0" applyProtection="1" applyAlignment="1">
      <alignment horizontal="left" vertical="center"/>
    </xf>
    <xf numFmtId="0" applyNumberFormat="1" fontId="5" applyFont="1" fillId="0" applyFill="1" borderId="1" applyBorder="1" xfId="0" applyProtection="1" applyAlignment="1">
      <alignment horizontal="left" vertical="center"/>
    </xf>
    <xf numFmtId="14" applyNumberFormat="1" fontId="5" applyFont="1" fillId="0" applyFill="1" borderId="1" applyBorder="1" xfId="0" applyProtection="1" applyAlignment="1">
      <alignment horizontal="left" vertical="center"/>
    </xf>
    <xf numFmtId="0" applyNumberFormat="1" fontId="3" applyFont="1" fillId="0" applyFill="1" borderId="1" applyBorder="1" xfId="0" applyProtection="1" applyAlignment="1">
      <alignment horizontal="center" vertical="center"/>
    </xf>
    <xf numFmtId="0" applyNumberFormat="1" fontId="8" applyFont="1" fillId="0" applyFill="1" borderId="1" applyBorder="1" xfId="0" applyProtection="1" applyAlignment="1">
      <alignment horizontal="center" vertical="center" wrapText="1"/>
    </xf>
    <xf numFmtId="0" applyNumberFormat="1" fontId="3" applyFont="1" fillId="0" applyFill="1" borderId="1" applyBorder="1" xfId="0" applyProtection="1" applyAlignment="1">
      <alignment horizontal="center" vertical="center" wrapText="1"/>
    </xf>
    <xf numFmtId="0" applyNumberFormat="1" fontId="4" applyFont="1" fillId="0" applyFill="1" borderId="1" applyBorder="1" xfId="0" applyProtection="1" applyAlignment="1">
      <alignment horizontal="center" vertical="center" wrapText="1"/>
    </xf>
    <xf numFmtId="2" applyNumberFormat="1" fontId="4" applyFont="1" fillId="0" applyFill="1" borderId="1" applyBorder="1" xfId="0" applyProtection="1" applyAlignment="1">
      <alignment horizontal="center" vertical="center" wrapText="1"/>
    </xf>
    <xf numFmtId="14" applyNumberFormat="1" fontId="4" applyFont="1" fillId="0" applyFill="1" borderId="1" applyBorder="1" xfId="0" applyProtection="1" applyAlignment="1">
      <alignment horizontal="center" vertical="center" wrapText="1"/>
    </xf>
    <xf numFmtId="0" applyNumberFormat="1" fontId="10" applyFont="1" fillId="3" applyFill="1" borderId="1" applyBorder="1" xfId="3" applyAlignment="1">
      <alignment horizontal="center" vertical="center" wrapText="1"/>
      <protection locked="0"/>
    </xf>
    <xf numFmtId="164" applyNumberFormat="1" fontId="5" applyFont="1" fillId="5" applyFill="1" borderId="0" applyBorder="1" xfId="4" applyProtection="1" applyAlignment="1">
      <alignment horizontal="center" vertical="center" wrapText="1"/>
    </xf>
    <xf numFmtId="164" applyNumberFormat="1" fontId="5" applyFont="1" fillId="5" applyFill="1" borderId="0" applyBorder="1" xfId="4" applyProtection="1" applyAlignment="1">
      <alignment horizontal="center" vertical="center"/>
    </xf>
    <xf numFmtId="0" applyNumberFormat="1" fontId="3" applyFont="1" fillId="5" applyFill="1" borderId="0" applyBorder="1" xfId="0" applyProtection="1" applyAlignment="1">
      <alignment horizontal="center" vertical="center"/>
    </xf>
    <xf numFmtId="0" applyNumberFormat="1" fontId="4" applyFont="1" fillId="5" applyFill="1" borderId="0" applyBorder="1" xfId="0" applyProtection="1" applyAlignment="1">
      <alignment horizontal="center" vertical="center"/>
    </xf>
    <xf numFmtId="0" applyNumberFormat="1" fontId="8" applyFont="1" fillId="2" applyFill="1" borderId="1" applyBorder="1" xfId="3" applyAlignment="1">
      <alignment horizontal="center" vertical="center" wrapText="1"/>
      <protection locked="0"/>
    </xf>
    <xf numFmtId="43" applyNumberFormat="1" fontId="11" applyFont="1" fillId="2" applyFill="1" borderId="1" applyBorder="1" xfId="1" applyAlignment="1">
      <alignment horizontal="center" vertical="center" wrapText="1"/>
      <protection locked="0"/>
    </xf>
    <xf numFmtId="0" applyNumberFormat="1" fontId="11" applyFont="1" fillId="2" applyFill="1" borderId="1" applyBorder="1" xfId="3" applyAlignment="1">
      <alignment horizontal="center" vertical="center" wrapText="1"/>
      <protection locked="0"/>
    </xf>
    <xf numFmtId="0" applyNumberFormat="1" fontId="12" applyFont="1" fillId="3" applyFill="1" borderId="1" applyBorder="1" xfId="0" applyProtection="1" applyAlignment="1">
      <alignment horizontal="center" vertical="center" wrapText="1"/>
    </xf>
    <xf numFmtId="0" applyNumberFormat="1" fontId="12" applyFont="1" fillId="3" applyFill="1" borderId="1" applyBorder="1" xfId="3" applyAlignment="1">
      <alignment horizontal="center" vertical="center" wrapText="1"/>
      <protection locked="0"/>
    </xf>
    <xf numFmtId="43" applyNumberFormat="1" fontId="12" applyFont="1" fillId="3" applyFill="1" borderId="1" applyBorder="1" xfId="1" applyAlignment="1">
      <alignment horizontal="center" vertical="center" wrapText="1"/>
      <protection locked="0"/>
    </xf>
    <xf numFmtId="0" applyNumberFormat="1" fontId="8" applyFont="1" fillId="6" applyFill="1" borderId="2" applyBorder="1" xfId="3" applyAlignment="1">
      <alignment horizontal="center" vertical="center" wrapText="1"/>
      <protection locked="0"/>
    </xf>
    <xf numFmtId="0" applyNumberFormat="1" fontId="6" applyFont="1" fillId="4" applyFill="1" borderId="1" applyBorder="1" xfId="4" applyProtection="1" applyAlignment="1">
      <alignment horizontal="center" vertical="center" wrapText="1"/>
    </xf>
    <xf numFmtId="0" applyNumberFormat="1" fontId="6" applyFont="1" fillId="4" applyFill="1" borderId="1" applyBorder="1" xfId="4" applyProtection="1" applyAlignment="1">
      <alignment horizontal="left" vertical="center" wrapText="1"/>
    </xf>
    <xf numFmtId="14" applyNumberFormat="1" fontId="6" applyFont="1" fillId="4" applyFill="1" borderId="1" applyBorder="1" xfId="4" applyProtection="1" applyAlignment="1">
      <alignment horizontal="center" vertical="center" wrapText="1"/>
    </xf>
    <xf numFmtId="0" applyNumberFormat="1" fontId="6" applyFont="1" fillId="4" applyFill="1" borderId="1" applyBorder="1" xfId="4" applyProtection="1" applyAlignment="1">
      <alignment horizontal="center" vertical="center"/>
    </xf>
    <xf numFmtId="1" applyNumberFormat="1" fontId="6" applyFont="1" fillId="4" applyFill="1" borderId="1" applyBorder="1" xfId="4" applyProtection="1" applyAlignment="1">
      <alignment horizontal="center" vertical="center" wrapText="1"/>
    </xf>
    <xf numFmtId="0" applyNumberFormat="1" fontId="5" applyFont="1" fillId="4" applyFill="1" borderId="1" applyBorder="1" xfId="4" applyProtection="1" applyAlignment="1">
      <alignment horizontal="center" vertical="center" wrapText="1"/>
    </xf>
    <xf numFmtId="2" applyNumberFormat="1" fontId="6" applyFont="1" fillId="4" applyFill="1" borderId="1" applyBorder="1" xfId="4" applyProtection="1" applyAlignment="1">
      <alignment horizontal="center" vertical="center" wrapText="1"/>
    </xf>
    <xf numFmtId="164" applyNumberFormat="1" fontId="5" applyFont="1" fillId="4" applyFill="1" borderId="1" applyBorder="1" xfId="4" applyProtection="1" applyAlignment="1">
      <alignment horizontal="center" vertical="center" wrapText="1"/>
    </xf>
    <xf numFmtId="164" applyNumberFormat="1" fontId="6" applyFont="1" fillId="4" applyFill="1" borderId="1" applyBorder="1" xfId="4" applyProtection="1" applyAlignment="1">
      <alignment horizontal="center" vertical="center" wrapText="1"/>
    </xf>
    <xf numFmtId="0" applyNumberFormat="1" fontId="7" applyFont="1" fillId="3" applyFill="1" borderId="1" applyBorder="1" xfId="4" applyProtection="1" applyAlignment="1">
      <alignment horizontal="center" vertical="center" wrapText="1"/>
    </xf>
    <xf numFmtId="0" applyNumberFormat="1" fontId="7" applyFont="1" fillId="3" applyFill="1" borderId="1" applyBorder="1" xfId="4" applyProtection="1" applyAlignment="1">
      <alignment horizontal="left" vertical="center" wrapText="1"/>
    </xf>
    <xf numFmtId="14" applyNumberFormat="1" fontId="7" applyFont="1" fillId="3" applyFill="1" borderId="1" applyBorder="1" xfId="4" applyProtection="1" applyAlignment="1">
      <alignment horizontal="center" vertical="center" wrapText="1"/>
    </xf>
    <xf numFmtId="1" applyNumberFormat="1" fontId="7" applyFont="1" fillId="3" applyFill="1" borderId="1" applyBorder="1" xfId="4" applyProtection="1" applyAlignment="1">
      <alignment horizontal="center" vertical="center" wrapText="1"/>
    </xf>
    <xf numFmtId="2" applyNumberFormat="1" fontId="7" applyFont="1" fillId="3" applyFill="1" borderId="1" applyBorder="1" xfId="4" applyProtection="1" applyAlignment="1">
      <alignment horizontal="center" vertical="center" wrapText="1"/>
    </xf>
    <xf numFmtId="164" applyNumberFormat="1" fontId="5" applyFont="1" fillId="3" applyFill="1" borderId="1" applyBorder="1" xfId="4" applyProtection="1" applyAlignment="1">
      <alignment horizontal="center" vertical="center" wrapText="1"/>
    </xf>
    <xf numFmtId="0" applyNumberFormat="1" fontId="3" applyFont="1" fillId="3" applyFill="1" borderId="1" applyBorder="1" xfId="0" quotePrefix="1" applyProtection="1" applyAlignment="1">
      <alignment horizontal="center" vertical="center"/>
    </xf>
    <xf numFmtId="0" applyNumberFormat="1" fontId="3" applyFont="1" fillId="3" applyFill="1" borderId="1" applyBorder="1" xfId="0" applyProtection="1" applyAlignment="1">
      <alignment horizontal="center" vertical="center"/>
    </xf>
  </cellXfs>
  <cellStyles count="5">
    <cellStyle name="Comma" xfId="1" builtinId="3"/>
    <cellStyle name="Normal" xfId="0" builtinId="0"/>
    <cellStyle name="Normal 13 2" xfId="2"/>
    <cellStyle name="Normal 2" xfId="3"/>
    <cellStyle name="Normal 4" xfId="4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8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" name="Text Box 3079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" name="Text Box 3080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" name="Text Box 3081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" name="Text Box 3082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6" name="Text Box 3083">
          <a:extLst>
            <a:ext uri="{FF2B5EF4-FFF2-40B4-BE49-F238E27FC236}">
              <a16:creationId xmlns:a16="http://schemas.microsoft.com/office/drawing/2014/main" xmlns="" id="{00000000-0008-0000-0000-000006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7" name="Text Box 3084">
          <a:extLst>
            <a:ext uri="{FF2B5EF4-FFF2-40B4-BE49-F238E27FC236}">
              <a16:creationId xmlns:a16="http://schemas.microsoft.com/office/drawing/2014/main" xmlns="" id="{00000000-0008-0000-0000-000007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8" name="Text Box 3085">
          <a:extLst>
            <a:ext uri="{FF2B5EF4-FFF2-40B4-BE49-F238E27FC236}">
              <a16:creationId xmlns:a16="http://schemas.microsoft.com/office/drawing/2014/main" xmlns="" id="{00000000-0008-0000-0000-000008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9" name="Text Box 3086">
          <a:extLst>
            <a:ext uri="{FF2B5EF4-FFF2-40B4-BE49-F238E27FC236}">
              <a16:creationId xmlns:a16="http://schemas.microsoft.com/office/drawing/2014/main" xmlns="" id="{00000000-0008-0000-0000-000009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0" name="Text Box 3087">
          <a:extLst>
            <a:ext uri="{FF2B5EF4-FFF2-40B4-BE49-F238E27FC236}">
              <a16:creationId xmlns:a16="http://schemas.microsoft.com/office/drawing/2014/main" xmlns="" id="{00000000-0008-0000-0000-00000A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1" name="Text Box 3088">
          <a:extLst>
            <a:ext uri="{FF2B5EF4-FFF2-40B4-BE49-F238E27FC236}">
              <a16:creationId xmlns:a16="http://schemas.microsoft.com/office/drawing/2014/main" xmlns="" id="{00000000-0008-0000-0000-00000B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2" name="Text Box 3089">
          <a:extLst>
            <a:ext uri="{FF2B5EF4-FFF2-40B4-BE49-F238E27FC236}">
              <a16:creationId xmlns:a16="http://schemas.microsoft.com/office/drawing/2014/main" xmlns="" id="{00000000-0008-0000-0000-00000C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3" name="Text Box 3090">
          <a:extLst>
            <a:ext uri="{FF2B5EF4-FFF2-40B4-BE49-F238E27FC236}">
              <a16:creationId xmlns:a16="http://schemas.microsoft.com/office/drawing/2014/main" xmlns="" id="{00000000-0008-0000-0000-00000D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4" name="Text Box 3091">
          <a:extLst>
            <a:ext uri="{FF2B5EF4-FFF2-40B4-BE49-F238E27FC236}">
              <a16:creationId xmlns:a16="http://schemas.microsoft.com/office/drawing/2014/main" xmlns="" id="{00000000-0008-0000-0000-00000E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5" name="Text Box 3092">
          <a:extLst>
            <a:ext uri="{FF2B5EF4-FFF2-40B4-BE49-F238E27FC236}">
              <a16:creationId xmlns:a16="http://schemas.microsoft.com/office/drawing/2014/main" xmlns="" id="{00000000-0008-0000-0000-00000F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6" name="Text Box 3093">
          <a:extLst>
            <a:ext uri="{FF2B5EF4-FFF2-40B4-BE49-F238E27FC236}">
              <a16:creationId xmlns:a16="http://schemas.microsoft.com/office/drawing/2014/main" xmlns="" id="{00000000-0008-0000-0000-000010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7" name="Text Box 3094">
          <a:extLst>
            <a:ext uri="{FF2B5EF4-FFF2-40B4-BE49-F238E27FC236}">
              <a16:creationId xmlns:a16="http://schemas.microsoft.com/office/drawing/2014/main" xmlns="" id="{00000000-0008-0000-0000-000011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8" name="Text Box 3095">
          <a:extLst>
            <a:ext uri="{FF2B5EF4-FFF2-40B4-BE49-F238E27FC236}">
              <a16:creationId xmlns:a16="http://schemas.microsoft.com/office/drawing/2014/main" xmlns="" id="{00000000-0008-0000-0000-000012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9" name="Text Box 3096">
          <a:extLst>
            <a:ext uri="{FF2B5EF4-FFF2-40B4-BE49-F238E27FC236}">
              <a16:creationId xmlns:a16="http://schemas.microsoft.com/office/drawing/2014/main" xmlns="" id="{00000000-0008-0000-0000-000013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0" name="Text Box 3097">
          <a:extLst>
            <a:ext uri="{FF2B5EF4-FFF2-40B4-BE49-F238E27FC236}">
              <a16:creationId xmlns:a16="http://schemas.microsoft.com/office/drawing/2014/main" xmlns="" id="{00000000-0008-0000-0000-000014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1" name="Text Box 3098">
          <a:extLst>
            <a:ext uri="{FF2B5EF4-FFF2-40B4-BE49-F238E27FC236}">
              <a16:creationId xmlns:a16="http://schemas.microsoft.com/office/drawing/2014/main" xmlns="" id="{00000000-0008-0000-0000-000015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2" name="Text Box 3099">
          <a:extLst>
            <a:ext uri="{FF2B5EF4-FFF2-40B4-BE49-F238E27FC236}">
              <a16:creationId xmlns:a16="http://schemas.microsoft.com/office/drawing/2014/main" xmlns="" id="{00000000-0008-0000-0000-000016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3" name="Text Box 3100">
          <a:extLst>
            <a:ext uri="{FF2B5EF4-FFF2-40B4-BE49-F238E27FC236}">
              <a16:creationId xmlns:a16="http://schemas.microsoft.com/office/drawing/2014/main" xmlns="" id="{00000000-0008-0000-0000-000017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4" name="Text Box 3101">
          <a:extLst>
            <a:ext uri="{FF2B5EF4-FFF2-40B4-BE49-F238E27FC236}">
              <a16:creationId xmlns:a16="http://schemas.microsoft.com/office/drawing/2014/main" xmlns="" id="{00000000-0008-0000-0000-000018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25" name="Text Box 3102">
          <a:extLst>
            <a:ext uri="{FF2B5EF4-FFF2-40B4-BE49-F238E27FC236}">
              <a16:creationId xmlns:a16="http://schemas.microsoft.com/office/drawing/2014/main" xmlns="" id="{00000000-0008-0000-0000-000019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6" name="Text Box 59">
          <a:extLst>
            <a:ext uri="{FF2B5EF4-FFF2-40B4-BE49-F238E27FC236}">
              <a16:creationId xmlns:a16="http://schemas.microsoft.com/office/drawing/2014/main" xmlns="" id="{00000000-0008-0000-0000-00001A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7" name="Text Box 60">
          <a:extLst>
            <a:ext uri="{FF2B5EF4-FFF2-40B4-BE49-F238E27FC236}">
              <a16:creationId xmlns:a16="http://schemas.microsoft.com/office/drawing/2014/main" xmlns="" id="{00000000-0008-0000-0000-00001B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8" name="Text Box 61">
          <a:extLst>
            <a:ext uri="{FF2B5EF4-FFF2-40B4-BE49-F238E27FC236}">
              <a16:creationId xmlns:a16="http://schemas.microsoft.com/office/drawing/2014/main" xmlns="" id="{00000000-0008-0000-0000-00001C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9" name="Text Box 62">
          <a:extLst>
            <a:ext uri="{FF2B5EF4-FFF2-40B4-BE49-F238E27FC236}">
              <a16:creationId xmlns:a16="http://schemas.microsoft.com/office/drawing/2014/main" xmlns="" id="{00000000-0008-0000-0000-00001D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0" name="Text Box 63">
          <a:extLst>
            <a:ext uri="{FF2B5EF4-FFF2-40B4-BE49-F238E27FC236}">
              <a16:creationId xmlns:a16="http://schemas.microsoft.com/office/drawing/2014/main" xmlns="" id="{00000000-0008-0000-0000-00001E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1" name="Text Box 64">
          <a:extLst>
            <a:ext uri="{FF2B5EF4-FFF2-40B4-BE49-F238E27FC236}">
              <a16:creationId xmlns:a16="http://schemas.microsoft.com/office/drawing/2014/main" xmlns="" id="{00000000-0008-0000-0000-00001F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2" name="Text Box 65">
          <a:extLst>
            <a:ext uri="{FF2B5EF4-FFF2-40B4-BE49-F238E27FC236}">
              <a16:creationId xmlns:a16="http://schemas.microsoft.com/office/drawing/2014/main" xmlns="" id="{00000000-0008-0000-0000-000020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3" name="Text Box 66">
          <a:extLst>
            <a:ext uri="{FF2B5EF4-FFF2-40B4-BE49-F238E27FC236}">
              <a16:creationId xmlns:a16="http://schemas.microsoft.com/office/drawing/2014/main" xmlns="" id="{00000000-0008-0000-0000-000021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4" name="Text Box 67">
          <a:extLst>
            <a:ext uri="{FF2B5EF4-FFF2-40B4-BE49-F238E27FC236}">
              <a16:creationId xmlns:a16="http://schemas.microsoft.com/office/drawing/2014/main" xmlns="" id="{00000000-0008-0000-0000-000022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5" name="Text Box 68">
          <a:extLst>
            <a:ext uri="{FF2B5EF4-FFF2-40B4-BE49-F238E27FC236}">
              <a16:creationId xmlns:a16="http://schemas.microsoft.com/office/drawing/2014/main" xmlns="" id="{00000000-0008-0000-0000-000023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6" name="Text Box 69">
          <a:extLst>
            <a:ext uri="{FF2B5EF4-FFF2-40B4-BE49-F238E27FC236}">
              <a16:creationId xmlns:a16="http://schemas.microsoft.com/office/drawing/2014/main" xmlns="" id="{00000000-0008-0000-0000-000024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7" name="Text Box 70">
          <a:extLst>
            <a:ext uri="{FF2B5EF4-FFF2-40B4-BE49-F238E27FC236}">
              <a16:creationId xmlns:a16="http://schemas.microsoft.com/office/drawing/2014/main" xmlns="" id="{00000000-0008-0000-0000-000025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8" name="Text Box 71">
          <a:extLst>
            <a:ext uri="{FF2B5EF4-FFF2-40B4-BE49-F238E27FC236}">
              <a16:creationId xmlns:a16="http://schemas.microsoft.com/office/drawing/2014/main" xmlns="" id="{00000000-0008-0000-0000-000026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9" name="Text Box 72">
          <a:extLst>
            <a:ext uri="{FF2B5EF4-FFF2-40B4-BE49-F238E27FC236}">
              <a16:creationId xmlns:a16="http://schemas.microsoft.com/office/drawing/2014/main" xmlns="" id="{00000000-0008-0000-0000-000027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0" name="Text Box 73">
          <a:extLst>
            <a:ext uri="{FF2B5EF4-FFF2-40B4-BE49-F238E27FC236}">
              <a16:creationId xmlns:a16="http://schemas.microsoft.com/office/drawing/2014/main" xmlns="" id="{00000000-0008-0000-0000-000028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1" name="Text Box 74">
          <a:extLst>
            <a:ext uri="{FF2B5EF4-FFF2-40B4-BE49-F238E27FC236}">
              <a16:creationId xmlns:a16="http://schemas.microsoft.com/office/drawing/2014/main" xmlns="" id="{00000000-0008-0000-0000-000029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2" name="Text Box 75">
          <a:extLst>
            <a:ext uri="{FF2B5EF4-FFF2-40B4-BE49-F238E27FC236}">
              <a16:creationId xmlns:a16="http://schemas.microsoft.com/office/drawing/2014/main" xmlns="" id="{00000000-0008-0000-0000-00002A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3" name="Text Box 76">
          <a:extLst>
            <a:ext uri="{FF2B5EF4-FFF2-40B4-BE49-F238E27FC236}">
              <a16:creationId xmlns:a16="http://schemas.microsoft.com/office/drawing/2014/main" xmlns="" id="{00000000-0008-0000-0000-00002B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4" name="Text Box 77">
          <a:extLst>
            <a:ext uri="{FF2B5EF4-FFF2-40B4-BE49-F238E27FC236}">
              <a16:creationId xmlns:a16="http://schemas.microsoft.com/office/drawing/2014/main" xmlns="" id="{00000000-0008-0000-0000-00002C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5" name="Text Box 78">
          <a:extLst>
            <a:ext uri="{FF2B5EF4-FFF2-40B4-BE49-F238E27FC236}">
              <a16:creationId xmlns:a16="http://schemas.microsoft.com/office/drawing/2014/main" xmlns="" id="{00000000-0008-0000-0000-00002D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6" name="Text Box 79">
          <a:extLst>
            <a:ext uri="{FF2B5EF4-FFF2-40B4-BE49-F238E27FC236}">
              <a16:creationId xmlns:a16="http://schemas.microsoft.com/office/drawing/2014/main" xmlns="" id="{00000000-0008-0000-0000-00002E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7" name="Text Box 80">
          <a:extLst>
            <a:ext uri="{FF2B5EF4-FFF2-40B4-BE49-F238E27FC236}">
              <a16:creationId xmlns:a16="http://schemas.microsoft.com/office/drawing/2014/main" xmlns="" id="{00000000-0008-0000-0000-00002F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8" name="Text Box 81">
          <a:extLst>
            <a:ext uri="{FF2B5EF4-FFF2-40B4-BE49-F238E27FC236}">
              <a16:creationId xmlns:a16="http://schemas.microsoft.com/office/drawing/2014/main" xmlns="" id="{00000000-0008-0000-0000-000030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47625"/>
    <xdr:sp macro="" textlink="">
      <xdr:nvSpPr>
        <xdr:cNvPr id="49" name="Text Box 82">
          <a:extLst>
            <a:ext uri="{FF2B5EF4-FFF2-40B4-BE49-F238E27FC236}">
              <a16:creationId xmlns:a16="http://schemas.microsoft.com/office/drawing/2014/main" xmlns="" id="{00000000-0008-0000-0000-000031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0" name="Text Box 3079">
          <a:extLst>
            <a:ext uri="{FF2B5EF4-FFF2-40B4-BE49-F238E27FC236}">
              <a16:creationId xmlns:a16="http://schemas.microsoft.com/office/drawing/2014/main" xmlns="" id="{00000000-0008-0000-0000-000032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1" name="Text Box 3080">
          <a:extLst>
            <a:ext uri="{FF2B5EF4-FFF2-40B4-BE49-F238E27FC236}">
              <a16:creationId xmlns:a16="http://schemas.microsoft.com/office/drawing/2014/main" xmlns="" id="{00000000-0008-0000-0000-000033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2" name="Text Box 3081">
          <a:extLst>
            <a:ext uri="{FF2B5EF4-FFF2-40B4-BE49-F238E27FC236}">
              <a16:creationId xmlns:a16="http://schemas.microsoft.com/office/drawing/2014/main" xmlns="" id="{00000000-0008-0000-0000-000034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3" name="Text Box 3082">
          <a:extLst>
            <a:ext uri="{FF2B5EF4-FFF2-40B4-BE49-F238E27FC236}">
              <a16:creationId xmlns:a16="http://schemas.microsoft.com/office/drawing/2014/main" xmlns="" id="{00000000-0008-0000-0000-000035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4" name="Text Box 3083">
          <a:extLst>
            <a:ext uri="{FF2B5EF4-FFF2-40B4-BE49-F238E27FC236}">
              <a16:creationId xmlns:a16="http://schemas.microsoft.com/office/drawing/2014/main" xmlns="" id="{00000000-0008-0000-0000-000036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5" name="Text Box 3084">
          <a:extLst>
            <a:ext uri="{FF2B5EF4-FFF2-40B4-BE49-F238E27FC236}">
              <a16:creationId xmlns:a16="http://schemas.microsoft.com/office/drawing/2014/main" xmlns="" id="{00000000-0008-0000-0000-000037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6" name="Text Box 3085">
          <a:extLst>
            <a:ext uri="{FF2B5EF4-FFF2-40B4-BE49-F238E27FC236}">
              <a16:creationId xmlns:a16="http://schemas.microsoft.com/office/drawing/2014/main" xmlns="" id="{00000000-0008-0000-0000-000038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7" name="Text Box 3086">
          <a:extLst>
            <a:ext uri="{FF2B5EF4-FFF2-40B4-BE49-F238E27FC236}">
              <a16:creationId xmlns:a16="http://schemas.microsoft.com/office/drawing/2014/main" xmlns="" id="{00000000-0008-0000-0000-000039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8" name="Text Box 3087">
          <a:extLst>
            <a:ext uri="{FF2B5EF4-FFF2-40B4-BE49-F238E27FC236}">
              <a16:creationId xmlns:a16="http://schemas.microsoft.com/office/drawing/2014/main" xmlns="" id="{00000000-0008-0000-0000-00003A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9" name="Text Box 3088">
          <a:extLst>
            <a:ext uri="{FF2B5EF4-FFF2-40B4-BE49-F238E27FC236}">
              <a16:creationId xmlns:a16="http://schemas.microsoft.com/office/drawing/2014/main" xmlns="" id="{00000000-0008-0000-0000-00003B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60" name="Text Box 3089">
          <a:extLst>
            <a:ext uri="{FF2B5EF4-FFF2-40B4-BE49-F238E27FC236}">
              <a16:creationId xmlns:a16="http://schemas.microsoft.com/office/drawing/2014/main" xmlns="" id="{00000000-0008-0000-0000-00003C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61" name="Text Box 3090">
          <a:extLst>
            <a:ext uri="{FF2B5EF4-FFF2-40B4-BE49-F238E27FC236}">
              <a16:creationId xmlns:a16="http://schemas.microsoft.com/office/drawing/2014/main" xmlns="" id="{00000000-0008-0000-0000-00003D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62" name="Text Box 3091">
          <a:extLst>
            <a:ext uri="{FF2B5EF4-FFF2-40B4-BE49-F238E27FC236}">
              <a16:creationId xmlns:a16="http://schemas.microsoft.com/office/drawing/2014/main" xmlns="" id="{00000000-0008-0000-0000-00003E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63" name="Text Box 3092">
          <a:extLst>
            <a:ext uri="{FF2B5EF4-FFF2-40B4-BE49-F238E27FC236}">
              <a16:creationId xmlns:a16="http://schemas.microsoft.com/office/drawing/2014/main" xmlns="" id="{00000000-0008-0000-0000-00003F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64" name="Text Box 3093">
          <a:extLst>
            <a:ext uri="{FF2B5EF4-FFF2-40B4-BE49-F238E27FC236}">
              <a16:creationId xmlns:a16="http://schemas.microsoft.com/office/drawing/2014/main" xmlns="" id="{00000000-0008-0000-0000-000040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65" name="Text Box 3094">
          <a:extLst>
            <a:ext uri="{FF2B5EF4-FFF2-40B4-BE49-F238E27FC236}">
              <a16:creationId xmlns:a16="http://schemas.microsoft.com/office/drawing/2014/main" xmlns="" id="{00000000-0008-0000-0000-000041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66" name="Text Box 3095">
          <a:extLst>
            <a:ext uri="{FF2B5EF4-FFF2-40B4-BE49-F238E27FC236}">
              <a16:creationId xmlns:a16="http://schemas.microsoft.com/office/drawing/2014/main" xmlns="" id="{00000000-0008-0000-0000-000042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67" name="Text Box 3096">
          <a:extLst>
            <a:ext uri="{FF2B5EF4-FFF2-40B4-BE49-F238E27FC236}">
              <a16:creationId xmlns:a16="http://schemas.microsoft.com/office/drawing/2014/main" xmlns="" id="{00000000-0008-0000-0000-000043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68" name="Text Box 3097">
          <a:extLst>
            <a:ext uri="{FF2B5EF4-FFF2-40B4-BE49-F238E27FC236}">
              <a16:creationId xmlns:a16="http://schemas.microsoft.com/office/drawing/2014/main" xmlns="" id="{00000000-0008-0000-0000-000044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69" name="Text Box 3098">
          <a:extLst>
            <a:ext uri="{FF2B5EF4-FFF2-40B4-BE49-F238E27FC236}">
              <a16:creationId xmlns:a16="http://schemas.microsoft.com/office/drawing/2014/main" xmlns="" id="{00000000-0008-0000-0000-000045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70" name="Text Box 3099">
          <a:extLst>
            <a:ext uri="{FF2B5EF4-FFF2-40B4-BE49-F238E27FC236}">
              <a16:creationId xmlns:a16="http://schemas.microsoft.com/office/drawing/2014/main" xmlns="" id="{00000000-0008-0000-0000-000046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71" name="Text Box 3100">
          <a:extLst>
            <a:ext uri="{FF2B5EF4-FFF2-40B4-BE49-F238E27FC236}">
              <a16:creationId xmlns:a16="http://schemas.microsoft.com/office/drawing/2014/main" xmlns="" id="{00000000-0008-0000-0000-000047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72" name="Text Box 3101">
          <a:extLst>
            <a:ext uri="{FF2B5EF4-FFF2-40B4-BE49-F238E27FC236}">
              <a16:creationId xmlns:a16="http://schemas.microsoft.com/office/drawing/2014/main" xmlns="" id="{00000000-0008-0000-0000-000048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73" name="Text Box 3102">
          <a:extLst>
            <a:ext uri="{FF2B5EF4-FFF2-40B4-BE49-F238E27FC236}">
              <a16:creationId xmlns:a16="http://schemas.microsoft.com/office/drawing/2014/main" xmlns="" id="{00000000-0008-0000-0000-000049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74" name="Text Box 59">
          <a:extLst>
            <a:ext uri="{FF2B5EF4-FFF2-40B4-BE49-F238E27FC236}">
              <a16:creationId xmlns:a16="http://schemas.microsoft.com/office/drawing/2014/main" xmlns="" id="{00000000-0008-0000-0000-00004A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75" name="Text Box 60">
          <a:extLst>
            <a:ext uri="{FF2B5EF4-FFF2-40B4-BE49-F238E27FC236}">
              <a16:creationId xmlns:a16="http://schemas.microsoft.com/office/drawing/2014/main" xmlns="" id="{00000000-0008-0000-0000-00004B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76" name="Text Box 61">
          <a:extLst>
            <a:ext uri="{FF2B5EF4-FFF2-40B4-BE49-F238E27FC236}">
              <a16:creationId xmlns:a16="http://schemas.microsoft.com/office/drawing/2014/main" xmlns="" id="{00000000-0008-0000-0000-00004C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77" name="Text Box 62">
          <a:extLst>
            <a:ext uri="{FF2B5EF4-FFF2-40B4-BE49-F238E27FC236}">
              <a16:creationId xmlns:a16="http://schemas.microsoft.com/office/drawing/2014/main" xmlns="" id="{00000000-0008-0000-0000-00004D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78" name="Text Box 63">
          <a:extLst>
            <a:ext uri="{FF2B5EF4-FFF2-40B4-BE49-F238E27FC236}">
              <a16:creationId xmlns:a16="http://schemas.microsoft.com/office/drawing/2014/main" xmlns="" id="{00000000-0008-0000-0000-00004E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79" name="Text Box 64">
          <a:extLst>
            <a:ext uri="{FF2B5EF4-FFF2-40B4-BE49-F238E27FC236}">
              <a16:creationId xmlns:a16="http://schemas.microsoft.com/office/drawing/2014/main" xmlns="" id="{00000000-0008-0000-0000-00004F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80" name="Text Box 65">
          <a:extLst>
            <a:ext uri="{FF2B5EF4-FFF2-40B4-BE49-F238E27FC236}">
              <a16:creationId xmlns:a16="http://schemas.microsoft.com/office/drawing/2014/main" xmlns="" id="{00000000-0008-0000-0000-000050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81" name="Text Box 66">
          <a:extLst>
            <a:ext uri="{FF2B5EF4-FFF2-40B4-BE49-F238E27FC236}">
              <a16:creationId xmlns:a16="http://schemas.microsoft.com/office/drawing/2014/main" xmlns="" id="{00000000-0008-0000-0000-000051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82" name="Text Box 67">
          <a:extLst>
            <a:ext uri="{FF2B5EF4-FFF2-40B4-BE49-F238E27FC236}">
              <a16:creationId xmlns:a16="http://schemas.microsoft.com/office/drawing/2014/main" xmlns="" id="{00000000-0008-0000-0000-000052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83" name="Text Box 68">
          <a:extLst>
            <a:ext uri="{FF2B5EF4-FFF2-40B4-BE49-F238E27FC236}">
              <a16:creationId xmlns:a16="http://schemas.microsoft.com/office/drawing/2014/main" xmlns="" id="{00000000-0008-0000-0000-000053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84" name="Text Box 69">
          <a:extLst>
            <a:ext uri="{FF2B5EF4-FFF2-40B4-BE49-F238E27FC236}">
              <a16:creationId xmlns:a16="http://schemas.microsoft.com/office/drawing/2014/main" xmlns="" id="{00000000-0008-0000-0000-000054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85" name="Text Box 70">
          <a:extLst>
            <a:ext uri="{FF2B5EF4-FFF2-40B4-BE49-F238E27FC236}">
              <a16:creationId xmlns:a16="http://schemas.microsoft.com/office/drawing/2014/main" xmlns="" id="{00000000-0008-0000-0000-000055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86" name="Text Box 71">
          <a:extLst>
            <a:ext uri="{FF2B5EF4-FFF2-40B4-BE49-F238E27FC236}">
              <a16:creationId xmlns:a16="http://schemas.microsoft.com/office/drawing/2014/main" xmlns="" id="{00000000-0008-0000-0000-000056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87" name="Text Box 72">
          <a:extLst>
            <a:ext uri="{FF2B5EF4-FFF2-40B4-BE49-F238E27FC236}">
              <a16:creationId xmlns:a16="http://schemas.microsoft.com/office/drawing/2014/main" xmlns="" id="{00000000-0008-0000-0000-000057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88" name="Text Box 73">
          <a:extLst>
            <a:ext uri="{FF2B5EF4-FFF2-40B4-BE49-F238E27FC236}">
              <a16:creationId xmlns:a16="http://schemas.microsoft.com/office/drawing/2014/main" xmlns="" id="{00000000-0008-0000-0000-000058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89" name="Text Box 74">
          <a:extLst>
            <a:ext uri="{FF2B5EF4-FFF2-40B4-BE49-F238E27FC236}">
              <a16:creationId xmlns:a16="http://schemas.microsoft.com/office/drawing/2014/main" xmlns="" id="{00000000-0008-0000-0000-000059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90" name="Text Box 75">
          <a:extLst>
            <a:ext uri="{FF2B5EF4-FFF2-40B4-BE49-F238E27FC236}">
              <a16:creationId xmlns:a16="http://schemas.microsoft.com/office/drawing/2014/main" xmlns="" id="{00000000-0008-0000-0000-00005A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91" name="Text Box 76">
          <a:extLst>
            <a:ext uri="{FF2B5EF4-FFF2-40B4-BE49-F238E27FC236}">
              <a16:creationId xmlns:a16="http://schemas.microsoft.com/office/drawing/2014/main" xmlns="" id="{00000000-0008-0000-0000-00005B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92" name="Text Box 77">
          <a:extLst>
            <a:ext uri="{FF2B5EF4-FFF2-40B4-BE49-F238E27FC236}">
              <a16:creationId xmlns:a16="http://schemas.microsoft.com/office/drawing/2014/main" xmlns="" id="{00000000-0008-0000-0000-00005C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93" name="Text Box 78">
          <a:extLst>
            <a:ext uri="{FF2B5EF4-FFF2-40B4-BE49-F238E27FC236}">
              <a16:creationId xmlns:a16="http://schemas.microsoft.com/office/drawing/2014/main" xmlns="" id="{00000000-0008-0000-0000-00005D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94" name="Text Box 79">
          <a:extLst>
            <a:ext uri="{FF2B5EF4-FFF2-40B4-BE49-F238E27FC236}">
              <a16:creationId xmlns:a16="http://schemas.microsoft.com/office/drawing/2014/main" xmlns="" id="{00000000-0008-0000-0000-00005E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95" name="Text Box 80">
          <a:extLst>
            <a:ext uri="{FF2B5EF4-FFF2-40B4-BE49-F238E27FC236}">
              <a16:creationId xmlns:a16="http://schemas.microsoft.com/office/drawing/2014/main" xmlns="" id="{00000000-0008-0000-0000-00005F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96" name="Text Box 81">
          <a:extLst>
            <a:ext uri="{FF2B5EF4-FFF2-40B4-BE49-F238E27FC236}">
              <a16:creationId xmlns:a16="http://schemas.microsoft.com/office/drawing/2014/main" xmlns="" id="{00000000-0008-0000-0000-000060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97" name="Text Box 3079">
          <a:extLst>
            <a:ext uri="{FF2B5EF4-FFF2-40B4-BE49-F238E27FC236}">
              <a16:creationId xmlns:a16="http://schemas.microsoft.com/office/drawing/2014/main" xmlns="" id="{00000000-0008-0000-0000-000061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98" name="Text Box 3080">
          <a:extLst>
            <a:ext uri="{FF2B5EF4-FFF2-40B4-BE49-F238E27FC236}">
              <a16:creationId xmlns:a16="http://schemas.microsoft.com/office/drawing/2014/main" xmlns="" id="{00000000-0008-0000-0000-000062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99" name="Text Box 3081">
          <a:extLst>
            <a:ext uri="{FF2B5EF4-FFF2-40B4-BE49-F238E27FC236}">
              <a16:creationId xmlns:a16="http://schemas.microsoft.com/office/drawing/2014/main" xmlns="" id="{00000000-0008-0000-0000-000063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00" name="Text Box 3082">
          <a:extLst>
            <a:ext uri="{FF2B5EF4-FFF2-40B4-BE49-F238E27FC236}">
              <a16:creationId xmlns:a16="http://schemas.microsoft.com/office/drawing/2014/main" xmlns="" id="{00000000-0008-0000-0000-000064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01" name="Text Box 3083">
          <a:extLst>
            <a:ext uri="{FF2B5EF4-FFF2-40B4-BE49-F238E27FC236}">
              <a16:creationId xmlns:a16="http://schemas.microsoft.com/office/drawing/2014/main" xmlns="" id="{00000000-0008-0000-0000-000065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02" name="Text Box 3084">
          <a:extLst>
            <a:ext uri="{FF2B5EF4-FFF2-40B4-BE49-F238E27FC236}">
              <a16:creationId xmlns:a16="http://schemas.microsoft.com/office/drawing/2014/main" xmlns="" id="{00000000-0008-0000-0000-000066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03" name="Text Box 3085">
          <a:extLst>
            <a:ext uri="{FF2B5EF4-FFF2-40B4-BE49-F238E27FC236}">
              <a16:creationId xmlns:a16="http://schemas.microsoft.com/office/drawing/2014/main" xmlns="" id="{00000000-0008-0000-0000-000067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04" name="Text Box 3086">
          <a:extLst>
            <a:ext uri="{FF2B5EF4-FFF2-40B4-BE49-F238E27FC236}">
              <a16:creationId xmlns:a16="http://schemas.microsoft.com/office/drawing/2014/main" xmlns="" id="{00000000-0008-0000-0000-000068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05" name="Text Box 3087">
          <a:extLst>
            <a:ext uri="{FF2B5EF4-FFF2-40B4-BE49-F238E27FC236}">
              <a16:creationId xmlns:a16="http://schemas.microsoft.com/office/drawing/2014/main" xmlns="" id="{00000000-0008-0000-0000-000069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06" name="Text Box 3088">
          <a:extLst>
            <a:ext uri="{FF2B5EF4-FFF2-40B4-BE49-F238E27FC236}">
              <a16:creationId xmlns:a16="http://schemas.microsoft.com/office/drawing/2014/main" xmlns="" id="{00000000-0008-0000-0000-00006A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07" name="Text Box 3089">
          <a:extLst>
            <a:ext uri="{FF2B5EF4-FFF2-40B4-BE49-F238E27FC236}">
              <a16:creationId xmlns:a16="http://schemas.microsoft.com/office/drawing/2014/main" xmlns="" id="{00000000-0008-0000-0000-00006B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08" name="Text Box 3090">
          <a:extLst>
            <a:ext uri="{FF2B5EF4-FFF2-40B4-BE49-F238E27FC236}">
              <a16:creationId xmlns:a16="http://schemas.microsoft.com/office/drawing/2014/main" xmlns="" id="{00000000-0008-0000-0000-00006C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09" name="Text Box 3091">
          <a:extLst>
            <a:ext uri="{FF2B5EF4-FFF2-40B4-BE49-F238E27FC236}">
              <a16:creationId xmlns:a16="http://schemas.microsoft.com/office/drawing/2014/main" xmlns="" id="{00000000-0008-0000-0000-00006D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10" name="Text Box 3092">
          <a:extLst>
            <a:ext uri="{FF2B5EF4-FFF2-40B4-BE49-F238E27FC236}">
              <a16:creationId xmlns:a16="http://schemas.microsoft.com/office/drawing/2014/main" xmlns="" id="{00000000-0008-0000-0000-00006E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11" name="Text Box 3093">
          <a:extLst>
            <a:ext uri="{FF2B5EF4-FFF2-40B4-BE49-F238E27FC236}">
              <a16:creationId xmlns:a16="http://schemas.microsoft.com/office/drawing/2014/main" xmlns="" id="{00000000-0008-0000-0000-00006F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12" name="Text Box 3094">
          <a:extLst>
            <a:ext uri="{FF2B5EF4-FFF2-40B4-BE49-F238E27FC236}">
              <a16:creationId xmlns:a16="http://schemas.microsoft.com/office/drawing/2014/main" xmlns="" id="{00000000-0008-0000-0000-000070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13" name="Text Box 3095">
          <a:extLst>
            <a:ext uri="{FF2B5EF4-FFF2-40B4-BE49-F238E27FC236}">
              <a16:creationId xmlns:a16="http://schemas.microsoft.com/office/drawing/2014/main" xmlns="" id="{00000000-0008-0000-0000-000071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14" name="Text Box 3096">
          <a:extLst>
            <a:ext uri="{FF2B5EF4-FFF2-40B4-BE49-F238E27FC236}">
              <a16:creationId xmlns:a16="http://schemas.microsoft.com/office/drawing/2014/main" xmlns="" id="{00000000-0008-0000-0000-000072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15" name="Text Box 3097">
          <a:extLst>
            <a:ext uri="{FF2B5EF4-FFF2-40B4-BE49-F238E27FC236}">
              <a16:creationId xmlns:a16="http://schemas.microsoft.com/office/drawing/2014/main" xmlns="" id="{00000000-0008-0000-0000-000073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16" name="Text Box 3098">
          <a:extLst>
            <a:ext uri="{FF2B5EF4-FFF2-40B4-BE49-F238E27FC236}">
              <a16:creationId xmlns:a16="http://schemas.microsoft.com/office/drawing/2014/main" xmlns="" id="{00000000-0008-0000-0000-000074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17" name="Text Box 3099">
          <a:extLst>
            <a:ext uri="{FF2B5EF4-FFF2-40B4-BE49-F238E27FC236}">
              <a16:creationId xmlns:a16="http://schemas.microsoft.com/office/drawing/2014/main" xmlns="" id="{00000000-0008-0000-0000-000075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18" name="Text Box 3100">
          <a:extLst>
            <a:ext uri="{FF2B5EF4-FFF2-40B4-BE49-F238E27FC236}">
              <a16:creationId xmlns:a16="http://schemas.microsoft.com/office/drawing/2014/main" xmlns="" id="{00000000-0008-0000-0000-000076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19" name="Text Box 3101">
          <a:extLst>
            <a:ext uri="{FF2B5EF4-FFF2-40B4-BE49-F238E27FC236}">
              <a16:creationId xmlns:a16="http://schemas.microsoft.com/office/drawing/2014/main" xmlns="" id="{00000000-0008-0000-0000-000077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120" name="Text Box 3102">
          <a:extLst>
            <a:ext uri="{FF2B5EF4-FFF2-40B4-BE49-F238E27FC236}">
              <a16:creationId xmlns:a16="http://schemas.microsoft.com/office/drawing/2014/main" xmlns="" id="{00000000-0008-0000-0000-000078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21" name="Text Box 59">
          <a:extLst>
            <a:ext uri="{FF2B5EF4-FFF2-40B4-BE49-F238E27FC236}">
              <a16:creationId xmlns:a16="http://schemas.microsoft.com/office/drawing/2014/main" xmlns="" id="{00000000-0008-0000-0000-000079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22" name="Text Box 60">
          <a:extLst>
            <a:ext uri="{FF2B5EF4-FFF2-40B4-BE49-F238E27FC236}">
              <a16:creationId xmlns:a16="http://schemas.microsoft.com/office/drawing/2014/main" xmlns="" id="{00000000-0008-0000-0000-00007A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23" name="Text Box 61">
          <a:extLst>
            <a:ext uri="{FF2B5EF4-FFF2-40B4-BE49-F238E27FC236}">
              <a16:creationId xmlns:a16="http://schemas.microsoft.com/office/drawing/2014/main" xmlns="" id="{00000000-0008-0000-0000-00007B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24" name="Text Box 62">
          <a:extLst>
            <a:ext uri="{FF2B5EF4-FFF2-40B4-BE49-F238E27FC236}">
              <a16:creationId xmlns:a16="http://schemas.microsoft.com/office/drawing/2014/main" xmlns="" id="{00000000-0008-0000-0000-00007C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25" name="Text Box 63">
          <a:extLst>
            <a:ext uri="{FF2B5EF4-FFF2-40B4-BE49-F238E27FC236}">
              <a16:creationId xmlns:a16="http://schemas.microsoft.com/office/drawing/2014/main" xmlns="" id="{00000000-0008-0000-0000-00007D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26" name="Text Box 64">
          <a:extLst>
            <a:ext uri="{FF2B5EF4-FFF2-40B4-BE49-F238E27FC236}">
              <a16:creationId xmlns:a16="http://schemas.microsoft.com/office/drawing/2014/main" xmlns="" id="{00000000-0008-0000-0000-00007E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27" name="Text Box 65">
          <a:extLst>
            <a:ext uri="{FF2B5EF4-FFF2-40B4-BE49-F238E27FC236}">
              <a16:creationId xmlns:a16="http://schemas.microsoft.com/office/drawing/2014/main" xmlns="" id="{00000000-0008-0000-0000-00007F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28" name="Text Box 66">
          <a:extLst>
            <a:ext uri="{FF2B5EF4-FFF2-40B4-BE49-F238E27FC236}">
              <a16:creationId xmlns:a16="http://schemas.microsoft.com/office/drawing/2014/main" xmlns="" id="{00000000-0008-0000-0000-000080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29" name="Text Box 67">
          <a:extLst>
            <a:ext uri="{FF2B5EF4-FFF2-40B4-BE49-F238E27FC236}">
              <a16:creationId xmlns:a16="http://schemas.microsoft.com/office/drawing/2014/main" xmlns="" id="{00000000-0008-0000-0000-000081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30" name="Text Box 68">
          <a:extLst>
            <a:ext uri="{FF2B5EF4-FFF2-40B4-BE49-F238E27FC236}">
              <a16:creationId xmlns:a16="http://schemas.microsoft.com/office/drawing/2014/main" xmlns="" id="{00000000-0008-0000-0000-000082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31" name="Text Box 69">
          <a:extLst>
            <a:ext uri="{FF2B5EF4-FFF2-40B4-BE49-F238E27FC236}">
              <a16:creationId xmlns:a16="http://schemas.microsoft.com/office/drawing/2014/main" xmlns="" id="{00000000-0008-0000-0000-000083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32" name="Text Box 70">
          <a:extLst>
            <a:ext uri="{FF2B5EF4-FFF2-40B4-BE49-F238E27FC236}">
              <a16:creationId xmlns:a16="http://schemas.microsoft.com/office/drawing/2014/main" xmlns="" id="{00000000-0008-0000-0000-000084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33" name="Text Box 71">
          <a:extLst>
            <a:ext uri="{FF2B5EF4-FFF2-40B4-BE49-F238E27FC236}">
              <a16:creationId xmlns:a16="http://schemas.microsoft.com/office/drawing/2014/main" xmlns="" id="{00000000-0008-0000-0000-000085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34" name="Text Box 72">
          <a:extLst>
            <a:ext uri="{FF2B5EF4-FFF2-40B4-BE49-F238E27FC236}">
              <a16:creationId xmlns:a16="http://schemas.microsoft.com/office/drawing/2014/main" xmlns="" id="{00000000-0008-0000-0000-000086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35" name="Text Box 73">
          <a:extLst>
            <a:ext uri="{FF2B5EF4-FFF2-40B4-BE49-F238E27FC236}">
              <a16:creationId xmlns:a16="http://schemas.microsoft.com/office/drawing/2014/main" xmlns="" id="{00000000-0008-0000-0000-000087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36" name="Text Box 74">
          <a:extLst>
            <a:ext uri="{FF2B5EF4-FFF2-40B4-BE49-F238E27FC236}">
              <a16:creationId xmlns:a16="http://schemas.microsoft.com/office/drawing/2014/main" xmlns="" id="{00000000-0008-0000-0000-000088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37" name="Text Box 75">
          <a:extLst>
            <a:ext uri="{FF2B5EF4-FFF2-40B4-BE49-F238E27FC236}">
              <a16:creationId xmlns:a16="http://schemas.microsoft.com/office/drawing/2014/main" xmlns="" id="{00000000-0008-0000-0000-000089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38" name="Text Box 76">
          <a:extLst>
            <a:ext uri="{FF2B5EF4-FFF2-40B4-BE49-F238E27FC236}">
              <a16:creationId xmlns:a16="http://schemas.microsoft.com/office/drawing/2014/main" xmlns="" id="{00000000-0008-0000-0000-00008A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39" name="Text Box 77">
          <a:extLst>
            <a:ext uri="{FF2B5EF4-FFF2-40B4-BE49-F238E27FC236}">
              <a16:creationId xmlns:a16="http://schemas.microsoft.com/office/drawing/2014/main" xmlns="" id="{00000000-0008-0000-0000-00008B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40" name="Text Box 78">
          <a:extLst>
            <a:ext uri="{FF2B5EF4-FFF2-40B4-BE49-F238E27FC236}">
              <a16:creationId xmlns:a16="http://schemas.microsoft.com/office/drawing/2014/main" xmlns="" id="{00000000-0008-0000-0000-00008C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41" name="Text Box 79">
          <a:extLst>
            <a:ext uri="{FF2B5EF4-FFF2-40B4-BE49-F238E27FC236}">
              <a16:creationId xmlns:a16="http://schemas.microsoft.com/office/drawing/2014/main" xmlns="" id="{00000000-0008-0000-0000-00008D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42" name="Text Box 80">
          <a:extLst>
            <a:ext uri="{FF2B5EF4-FFF2-40B4-BE49-F238E27FC236}">
              <a16:creationId xmlns:a16="http://schemas.microsoft.com/office/drawing/2014/main" xmlns="" id="{00000000-0008-0000-0000-00008E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43" name="Text Box 81">
          <a:extLst>
            <a:ext uri="{FF2B5EF4-FFF2-40B4-BE49-F238E27FC236}">
              <a16:creationId xmlns:a16="http://schemas.microsoft.com/office/drawing/2014/main" xmlns="" id="{00000000-0008-0000-0000-00008F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47625"/>
    <xdr:sp macro="" textlink="">
      <xdr:nvSpPr>
        <xdr:cNvPr id="144" name="Text Box 82">
          <a:extLst>
            <a:ext uri="{FF2B5EF4-FFF2-40B4-BE49-F238E27FC236}">
              <a16:creationId xmlns:a16="http://schemas.microsoft.com/office/drawing/2014/main" xmlns="" id="{00000000-0008-0000-0000-000090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45" name="Text Box 3079">
          <a:extLst>
            <a:ext uri="{FF2B5EF4-FFF2-40B4-BE49-F238E27FC236}">
              <a16:creationId xmlns:a16="http://schemas.microsoft.com/office/drawing/2014/main" xmlns="" id="{00000000-0008-0000-0000-000091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46" name="Text Box 3080">
          <a:extLst>
            <a:ext uri="{FF2B5EF4-FFF2-40B4-BE49-F238E27FC236}">
              <a16:creationId xmlns:a16="http://schemas.microsoft.com/office/drawing/2014/main" xmlns="" id="{00000000-0008-0000-0000-000092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47" name="Text Box 3081">
          <a:extLst>
            <a:ext uri="{FF2B5EF4-FFF2-40B4-BE49-F238E27FC236}">
              <a16:creationId xmlns:a16="http://schemas.microsoft.com/office/drawing/2014/main" xmlns="" id="{00000000-0008-0000-0000-000093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48" name="Text Box 3082">
          <a:extLst>
            <a:ext uri="{FF2B5EF4-FFF2-40B4-BE49-F238E27FC236}">
              <a16:creationId xmlns:a16="http://schemas.microsoft.com/office/drawing/2014/main" xmlns="" id="{00000000-0008-0000-0000-000094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49" name="Text Box 3083">
          <a:extLst>
            <a:ext uri="{FF2B5EF4-FFF2-40B4-BE49-F238E27FC236}">
              <a16:creationId xmlns:a16="http://schemas.microsoft.com/office/drawing/2014/main" xmlns="" id="{00000000-0008-0000-0000-000095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50" name="Text Box 3084">
          <a:extLst>
            <a:ext uri="{FF2B5EF4-FFF2-40B4-BE49-F238E27FC236}">
              <a16:creationId xmlns:a16="http://schemas.microsoft.com/office/drawing/2014/main" xmlns="" id="{00000000-0008-0000-0000-000096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51" name="Text Box 3085">
          <a:extLst>
            <a:ext uri="{FF2B5EF4-FFF2-40B4-BE49-F238E27FC236}">
              <a16:creationId xmlns:a16="http://schemas.microsoft.com/office/drawing/2014/main" xmlns="" id="{00000000-0008-0000-0000-000097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52" name="Text Box 3086">
          <a:extLst>
            <a:ext uri="{FF2B5EF4-FFF2-40B4-BE49-F238E27FC236}">
              <a16:creationId xmlns:a16="http://schemas.microsoft.com/office/drawing/2014/main" xmlns="" id="{00000000-0008-0000-0000-000098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53" name="Text Box 3087">
          <a:extLst>
            <a:ext uri="{FF2B5EF4-FFF2-40B4-BE49-F238E27FC236}">
              <a16:creationId xmlns:a16="http://schemas.microsoft.com/office/drawing/2014/main" xmlns="" id="{00000000-0008-0000-0000-000099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54" name="Text Box 3088">
          <a:extLst>
            <a:ext uri="{FF2B5EF4-FFF2-40B4-BE49-F238E27FC236}">
              <a16:creationId xmlns:a16="http://schemas.microsoft.com/office/drawing/2014/main" xmlns="" id="{00000000-0008-0000-0000-00009A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55" name="Text Box 3089">
          <a:extLst>
            <a:ext uri="{FF2B5EF4-FFF2-40B4-BE49-F238E27FC236}">
              <a16:creationId xmlns:a16="http://schemas.microsoft.com/office/drawing/2014/main" xmlns="" id="{00000000-0008-0000-0000-00009B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56" name="Text Box 3090">
          <a:extLst>
            <a:ext uri="{FF2B5EF4-FFF2-40B4-BE49-F238E27FC236}">
              <a16:creationId xmlns:a16="http://schemas.microsoft.com/office/drawing/2014/main" xmlns="" id="{00000000-0008-0000-0000-00009C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57" name="Text Box 3091">
          <a:extLst>
            <a:ext uri="{FF2B5EF4-FFF2-40B4-BE49-F238E27FC236}">
              <a16:creationId xmlns:a16="http://schemas.microsoft.com/office/drawing/2014/main" xmlns="" id="{00000000-0008-0000-0000-00009D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58" name="Text Box 3092">
          <a:extLst>
            <a:ext uri="{FF2B5EF4-FFF2-40B4-BE49-F238E27FC236}">
              <a16:creationId xmlns:a16="http://schemas.microsoft.com/office/drawing/2014/main" xmlns="" id="{00000000-0008-0000-0000-00009E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59" name="Text Box 3093">
          <a:extLst>
            <a:ext uri="{FF2B5EF4-FFF2-40B4-BE49-F238E27FC236}">
              <a16:creationId xmlns:a16="http://schemas.microsoft.com/office/drawing/2014/main" xmlns="" id="{00000000-0008-0000-0000-00009F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60" name="Text Box 3094">
          <a:extLst>
            <a:ext uri="{FF2B5EF4-FFF2-40B4-BE49-F238E27FC236}">
              <a16:creationId xmlns:a16="http://schemas.microsoft.com/office/drawing/2014/main" xmlns="" id="{00000000-0008-0000-0000-0000A0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61" name="Text Box 3095">
          <a:extLst>
            <a:ext uri="{FF2B5EF4-FFF2-40B4-BE49-F238E27FC236}">
              <a16:creationId xmlns:a16="http://schemas.microsoft.com/office/drawing/2014/main" xmlns="" id="{00000000-0008-0000-0000-0000A1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62" name="Text Box 3096">
          <a:extLst>
            <a:ext uri="{FF2B5EF4-FFF2-40B4-BE49-F238E27FC236}">
              <a16:creationId xmlns:a16="http://schemas.microsoft.com/office/drawing/2014/main" xmlns="" id="{00000000-0008-0000-0000-0000A2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63" name="Text Box 3097">
          <a:extLst>
            <a:ext uri="{FF2B5EF4-FFF2-40B4-BE49-F238E27FC236}">
              <a16:creationId xmlns:a16="http://schemas.microsoft.com/office/drawing/2014/main" xmlns="" id="{00000000-0008-0000-0000-0000A3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64" name="Text Box 3098">
          <a:extLst>
            <a:ext uri="{FF2B5EF4-FFF2-40B4-BE49-F238E27FC236}">
              <a16:creationId xmlns:a16="http://schemas.microsoft.com/office/drawing/2014/main" xmlns="" id="{00000000-0008-0000-0000-0000A4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65" name="Text Box 3099">
          <a:extLst>
            <a:ext uri="{FF2B5EF4-FFF2-40B4-BE49-F238E27FC236}">
              <a16:creationId xmlns:a16="http://schemas.microsoft.com/office/drawing/2014/main" xmlns="" id="{00000000-0008-0000-0000-0000A5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66" name="Text Box 3100">
          <a:extLst>
            <a:ext uri="{FF2B5EF4-FFF2-40B4-BE49-F238E27FC236}">
              <a16:creationId xmlns:a16="http://schemas.microsoft.com/office/drawing/2014/main" xmlns="" id="{00000000-0008-0000-0000-0000A6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67" name="Text Box 3101">
          <a:extLst>
            <a:ext uri="{FF2B5EF4-FFF2-40B4-BE49-F238E27FC236}">
              <a16:creationId xmlns:a16="http://schemas.microsoft.com/office/drawing/2014/main" xmlns="" id="{00000000-0008-0000-0000-0000A7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168" name="Text Box 3102">
          <a:extLst>
            <a:ext uri="{FF2B5EF4-FFF2-40B4-BE49-F238E27FC236}">
              <a16:creationId xmlns:a16="http://schemas.microsoft.com/office/drawing/2014/main" xmlns="" id="{00000000-0008-0000-0000-0000A8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69" name="Text Box 59">
          <a:extLst>
            <a:ext uri="{FF2B5EF4-FFF2-40B4-BE49-F238E27FC236}">
              <a16:creationId xmlns:a16="http://schemas.microsoft.com/office/drawing/2014/main" xmlns="" id="{00000000-0008-0000-0000-0000A9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70" name="Text Box 60">
          <a:extLst>
            <a:ext uri="{FF2B5EF4-FFF2-40B4-BE49-F238E27FC236}">
              <a16:creationId xmlns:a16="http://schemas.microsoft.com/office/drawing/2014/main" xmlns="" id="{00000000-0008-0000-0000-0000AA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71" name="Text Box 61">
          <a:extLst>
            <a:ext uri="{FF2B5EF4-FFF2-40B4-BE49-F238E27FC236}">
              <a16:creationId xmlns:a16="http://schemas.microsoft.com/office/drawing/2014/main" xmlns="" id="{00000000-0008-0000-0000-0000AB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72" name="Text Box 62">
          <a:extLst>
            <a:ext uri="{FF2B5EF4-FFF2-40B4-BE49-F238E27FC236}">
              <a16:creationId xmlns:a16="http://schemas.microsoft.com/office/drawing/2014/main" xmlns="" id="{00000000-0008-0000-0000-0000AC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73" name="Text Box 63">
          <a:extLst>
            <a:ext uri="{FF2B5EF4-FFF2-40B4-BE49-F238E27FC236}">
              <a16:creationId xmlns:a16="http://schemas.microsoft.com/office/drawing/2014/main" xmlns="" id="{00000000-0008-0000-0000-0000AD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74" name="Text Box 64">
          <a:extLst>
            <a:ext uri="{FF2B5EF4-FFF2-40B4-BE49-F238E27FC236}">
              <a16:creationId xmlns:a16="http://schemas.microsoft.com/office/drawing/2014/main" xmlns="" id="{00000000-0008-0000-0000-0000AE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75" name="Text Box 65">
          <a:extLst>
            <a:ext uri="{FF2B5EF4-FFF2-40B4-BE49-F238E27FC236}">
              <a16:creationId xmlns:a16="http://schemas.microsoft.com/office/drawing/2014/main" xmlns="" id="{00000000-0008-0000-0000-0000AF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76" name="Text Box 66">
          <a:extLst>
            <a:ext uri="{FF2B5EF4-FFF2-40B4-BE49-F238E27FC236}">
              <a16:creationId xmlns:a16="http://schemas.microsoft.com/office/drawing/2014/main" xmlns="" id="{00000000-0008-0000-0000-0000B0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77" name="Text Box 67">
          <a:extLst>
            <a:ext uri="{FF2B5EF4-FFF2-40B4-BE49-F238E27FC236}">
              <a16:creationId xmlns:a16="http://schemas.microsoft.com/office/drawing/2014/main" xmlns="" id="{00000000-0008-0000-0000-0000B1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78" name="Text Box 68">
          <a:extLst>
            <a:ext uri="{FF2B5EF4-FFF2-40B4-BE49-F238E27FC236}">
              <a16:creationId xmlns:a16="http://schemas.microsoft.com/office/drawing/2014/main" xmlns="" id="{00000000-0008-0000-0000-0000B2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79" name="Text Box 69">
          <a:extLst>
            <a:ext uri="{FF2B5EF4-FFF2-40B4-BE49-F238E27FC236}">
              <a16:creationId xmlns:a16="http://schemas.microsoft.com/office/drawing/2014/main" xmlns="" id="{00000000-0008-0000-0000-0000B3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80" name="Text Box 70">
          <a:extLst>
            <a:ext uri="{FF2B5EF4-FFF2-40B4-BE49-F238E27FC236}">
              <a16:creationId xmlns:a16="http://schemas.microsoft.com/office/drawing/2014/main" xmlns="" id="{00000000-0008-0000-0000-0000B4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81" name="Text Box 71">
          <a:extLst>
            <a:ext uri="{FF2B5EF4-FFF2-40B4-BE49-F238E27FC236}">
              <a16:creationId xmlns:a16="http://schemas.microsoft.com/office/drawing/2014/main" xmlns="" id="{00000000-0008-0000-0000-0000B5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82" name="Text Box 72">
          <a:extLst>
            <a:ext uri="{FF2B5EF4-FFF2-40B4-BE49-F238E27FC236}">
              <a16:creationId xmlns:a16="http://schemas.microsoft.com/office/drawing/2014/main" xmlns="" id="{00000000-0008-0000-0000-0000B6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83" name="Text Box 73">
          <a:extLst>
            <a:ext uri="{FF2B5EF4-FFF2-40B4-BE49-F238E27FC236}">
              <a16:creationId xmlns:a16="http://schemas.microsoft.com/office/drawing/2014/main" xmlns="" id="{00000000-0008-0000-0000-0000B7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84" name="Text Box 74">
          <a:extLst>
            <a:ext uri="{FF2B5EF4-FFF2-40B4-BE49-F238E27FC236}">
              <a16:creationId xmlns:a16="http://schemas.microsoft.com/office/drawing/2014/main" xmlns="" id="{00000000-0008-0000-0000-0000B8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85" name="Text Box 75">
          <a:extLst>
            <a:ext uri="{FF2B5EF4-FFF2-40B4-BE49-F238E27FC236}">
              <a16:creationId xmlns:a16="http://schemas.microsoft.com/office/drawing/2014/main" xmlns="" id="{00000000-0008-0000-0000-0000B9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86" name="Text Box 76">
          <a:extLst>
            <a:ext uri="{FF2B5EF4-FFF2-40B4-BE49-F238E27FC236}">
              <a16:creationId xmlns:a16="http://schemas.microsoft.com/office/drawing/2014/main" xmlns="" id="{00000000-0008-0000-0000-0000BA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87" name="Text Box 77">
          <a:extLst>
            <a:ext uri="{FF2B5EF4-FFF2-40B4-BE49-F238E27FC236}">
              <a16:creationId xmlns:a16="http://schemas.microsoft.com/office/drawing/2014/main" xmlns="" id="{00000000-0008-0000-0000-0000BB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88" name="Text Box 78">
          <a:extLst>
            <a:ext uri="{FF2B5EF4-FFF2-40B4-BE49-F238E27FC236}">
              <a16:creationId xmlns:a16="http://schemas.microsoft.com/office/drawing/2014/main" xmlns="" id="{00000000-0008-0000-0000-0000BC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89" name="Text Box 79">
          <a:extLst>
            <a:ext uri="{FF2B5EF4-FFF2-40B4-BE49-F238E27FC236}">
              <a16:creationId xmlns:a16="http://schemas.microsoft.com/office/drawing/2014/main" xmlns="" id="{00000000-0008-0000-0000-0000BD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90" name="Text Box 80">
          <a:extLst>
            <a:ext uri="{FF2B5EF4-FFF2-40B4-BE49-F238E27FC236}">
              <a16:creationId xmlns:a16="http://schemas.microsoft.com/office/drawing/2014/main" xmlns="" id="{00000000-0008-0000-0000-0000BE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91" name="Text Box 81">
          <a:extLst>
            <a:ext uri="{FF2B5EF4-FFF2-40B4-BE49-F238E27FC236}">
              <a16:creationId xmlns:a16="http://schemas.microsoft.com/office/drawing/2014/main" xmlns="" id="{00000000-0008-0000-0000-0000BF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92" name="Text Box 3079">
          <a:extLst>
            <a:ext uri="{FF2B5EF4-FFF2-40B4-BE49-F238E27FC236}">
              <a16:creationId xmlns:a16="http://schemas.microsoft.com/office/drawing/2014/main" xmlns="" id="{00000000-0008-0000-0000-0000C0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93" name="Text Box 3080">
          <a:extLst>
            <a:ext uri="{FF2B5EF4-FFF2-40B4-BE49-F238E27FC236}">
              <a16:creationId xmlns:a16="http://schemas.microsoft.com/office/drawing/2014/main" xmlns="" id="{00000000-0008-0000-0000-0000C1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94" name="Text Box 3081">
          <a:extLst>
            <a:ext uri="{FF2B5EF4-FFF2-40B4-BE49-F238E27FC236}">
              <a16:creationId xmlns:a16="http://schemas.microsoft.com/office/drawing/2014/main" xmlns="" id="{00000000-0008-0000-0000-0000C2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95" name="Text Box 3082">
          <a:extLst>
            <a:ext uri="{FF2B5EF4-FFF2-40B4-BE49-F238E27FC236}">
              <a16:creationId xmlns:a16="http://schemas.microsoft.com/office/drawing/2014/main" xmlns="" id="{00000000-0008-0000-0000-0000C3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96" name="Text Box 3083">
          <a:extLst>
            <a:ext uri="{FF2B5EF4-FFF2-40B4-BE49-F238E27FC236}">
              <a16:creationId xmlns:a16="http://schemas.microsoft.com/office/drawing/2014/main" xmlns="" id="{00000000-0008-0000-0000-0000C4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97" name="Text Box 3084">
          <a:extLst>
            <a:ext uri="{FF2B5EF4-FFF2-40B4-BE49-F238E27FC236}">
              <a16:creationId xmlns:a16="http://schemas.microsoft.com/office/drawing/2014/main" xmlns="" id="{00000000-0008-0000-0000-0000C5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98" name="Text Box 3085">
          <a:extLst>
            <a:ext uri="{FF2B5EF4-FFF2-40B4-BE49-F238E27FC236}">
              <a16:creationId xmlns:a16="http://schemas.microsoft.com/office/drawing/2014/main" xmlns="" id="{00000000-0008-0000-0000-0000C6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99" name="Text Box 3086">
          <a:extLst>
            <a:ext uri="{FF2B5EF4-FFF2-40B4-BE49-F238E27FC236}">
              <a16:creationId xmlns:a16="http://schemas.microsoft.com/office/drawing/2014/main" xmlns="" id="{00000000-0008-0000-0000-0000C7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00" name="Text Box 3087">
          <a:extLst>
            <a:ext uri="{FF2B5EF4-FFF2-40B4-BE49-F238E27FC236}">
              <a16:creationId xmlns:a16="http://schemas.microsoft.com/office/drawing/2014/main" xmlns="" id="{00000000-0008-0000-0000-0000C8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01" name="Text Box 3088">
          <a:extLst>
            <a:ext uri="{FF2B5EF4-FFF2-40B4-BE49-F238E27FC236}">
              <a16:creationId xmlns:a16="http://schemas.microsoft.com/office/drawing/2014/main" xmlns="" id="{00000000-0008-0000-0000-0000C9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02" name="Text Box 3089">
          <a:extLst>
            <a:ext uri="{FF2B5EF4-FFF2-40B4-BE49-F238E27FC236}">
              <a16:creationId xmlns:a16="http://schemas.microsoft.com/office/drawing/2014/main" xmlns="" id="{00000000-0008-0000-0000-0000CA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03" name="Text Box 3090">
          <a:extLst>
            <a:ext uri="{FF2B5EF4-FFF2-40B4-BE49-F238E27FC236}">
              <a16:creationId xmlns:a16="http://schemas.microsoft.com/office/drawing/2014/main" xmlns="" id="{00000000-0008-0000-0000-0000CB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04" name="Text Box 3091">
          <a:extLst>
            <a:ext uri="{FF2B5EF4-FFF2-40B4-BE49-F238E27FC236}">
              <a16:creationId xmlns:a16="http://schemas.microsoft.com/office/drawing/2014/main" xmlns="" id="{00000000-0008-0000-0000-0000CC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05" name="Text Box 3092">
          <a:extLst>
            <a:ext uri="{FF2B5EF4-FFF2-40B4-BE49-F238E27FC236}">
              <a16:creationId xmlns:a16="http://schemas.microsoft.com/office/drawing/2014/main" xmlns="" id="{00000000-0008-0000-0000-0000CD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06" name="Text Box 3093">
          <a:extLst>
            <a:ext uri="{FF2B5EF4-FFF2-40B4-BE49-F238E27FC236}">
              <a16:creationId xmlns:a16="http://schemas.microsoft.com/office/drawing/2014/main" xmlns="" id="{00000000-0008-0000-0000-0000CE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07" name="Text Box 3094">
          <a:extLst>
            <a:ext uri="{FF2B5EF4-FFF2-40B4-BE49-F238E27FC236}">
              <a16:creationId xmlns:a16="http://schemas.microsoft.com/office/drawing/2014/main" xmlns="" id="{00000000-0008-0000-0000-0000CF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08" name="Text Box 3095">
          <a:extLst>
            <a:ext uri="{FF2B5EF4-FFF2-40B4-BE49-F238E27FC236}">
              <a16:creationId xmlns:a16="http://schemas.microsoft.com/office/drawing/2014/main" xmlns="" id="{00000000-0008-0000-0000-0000D0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09" name="Text Box 3096">
          <a:extLst>
            <a:ext uri="{FF2B5EF4-FFF2-40B4-BE49-F238E27FC236}">
              <a16:creationId xmlns:a16="http://schemas.microsoft.com/office/drawing/2014/main" xmlns="" id="{00000000-0008-0000-0000-0000D1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10" name="Text Box 3097">
          <a:extLst>
            <a:ext uri="{FF2B5EF4-FFF2-40B4-BE49-F238E27FC236}">
              <a16:creationId xmlns:a16="http://schemas.microsoft.com/office/drawing/2014/main" xmlns="" id="{00000000-0008-0000-0000-0000D2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11" name="Text Box 3098">
          <a:extLst>
            <a:ext uri="{FF2B5EF4-FFF2-40B4-BE49-F238E27FC236}">
              <a16:creationId xmlns:a16="http://schemas.microsoft.com/office/drawing/2014/main" xmlns="" id="{00000000-0008-0000-0000-0000D3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12" name="Text Box 3099">
          <a:extLst>
            <a:ext uri="{FF2B5EF4-FFF2-40B4-BE49-F238E27FC236}">
              <a16:creationId xmlns:a16="http://schemas.microsoft.com/office/drawing/2014/main" xmlns="" id="{00000000-0008-0000-0000-0000D4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13" name="Text Box 3100">
          <a:extLst>
            <a:ext uri="{FF2B5EF4-FFF2-40B4-BE49-F238E27FC236}">
              <a16:creationId xmlns:a16="http://schemas.microsoft.com/office/drawing/2014/main" xmlns="" id="{00000000-0008-0000-0000-0000D5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14" name="Text Box 3101">
          <a:extLst>
            <a:ext uri="{FF2B5EF4-FFF2-40B4-BE49-F238E27FC236}">
              <a16:creationId xmlns:a16="http://schemas.microsoft.com/office/drawing/2014/main" xmlns="" id="{00000000-0008-0000-0000-0000D6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215" name="Text Box 3102">
          <a:extLst>
            <a:ext uri="{FF2B5EF4-FFF2-40B4-BE49-F238E27FC236}">
              <a16:creationId xmlns:a16="http://schemas.microsoft.com/office/drawing/2014/main" xmlns="" id="{00000000-0008-0000-0000-0000D7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16" name="Text Box 59">
          <a:extLst>
            <a:ext uri="{FF2B5EF4-FFF2-40B4-BE49-F238E27FC236}">
              <a16:creationId xmlns:a16="http://schemas.microsoft.com/office/drawing/2014/main" xmlns="" id="{00000000-0008-0000-0000-0000D8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17" name="Text Box 60">
          <a:extLst>
            <a:ext uri="{FF2B5EF4-FFF2-40B4-BE49-F238E27FC236}">
              <a16:creationId xmlns:a16="http://schemas.microsoft.com/office/drawing/2014/main" xmlns="" id="{00000000-0008-0000-0000-0000D9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18" name="Text Box 61">
          <a:extLst>
            <a:ext uri="{FF2B5EF4-FFF2-40B4-BE49-F238E27FC236}">
              <a16:creationId xmlns:a16="http://schemas.microsoft.com/office/drawing/2014/main" xmlns="" id="{00000000-0008-0000-0000-0000DA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19" name="Text Box 62">
          <a:extLst>
            <a:ext uri="{FF2B5EF4-FFF2-40B4-BE49-F238E27FC236}">
              <a16:creationId xmlns:a16="http://schemas.microsoft.com/office/drawing/2014/main" xmlns="" id="{00000000-0008-0000-0000-0000DB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20" name="Text Box 63">
          <a:extLst>
            <a:ext uri="{FF2B5EF4-FFF2-40B4-BE49-F238E27FC236}">
              <a16:creationId xmlns:a16="http://schemas.microsoft.com/office/drawing/2014/main" xmlns="" id="{00000000-0008-0000-0000-0000DC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21" name="Text Box 64">
          <a:extLst>
            <a:ext uri="{FF2B5EF4-FFF2-40B4-BE49-F238E27FC236}">
              <a16:creationId xmlns:a16="http://schemas.microsoft.com/office/drawing/2014/main" xmlns="" id="{00000000-0008-0000-0000-0000DD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22" name="Text Box 65">
          <a:extLst>
            <a:ext uri="{FF2B5EF4-FFF2-40B4-BE49-F238E27FC236}">
              <a16:creationId xmlns:a16="http://schemas.microsoft.com/office/drawing/2014/main" xmlns="" id="{00000000-0008-0000-0000-0000DE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23" name="Text Box 66">
          <a:extLst>
            <a:ext uri="{FF2B5EF4-FFF2-40B4-BE49-F238E27FC236}">
              <a16:creationId xmlns:a16="http://schemas.microsoft.com/office/drawing/2014/main" xmlns="" id="{00000000-0008-0000-0000-0000DF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24" name="Text Box 67">
          <a:extLst>
            <a:ext uri="{FF2B5EF4-FFF2-40B4-BE49-F238E27FC236}">
              <a16:creationId xmlns:a16="http://schemas.microsoft.com/office/drawing/2014/main" xmlns="" id="{00000000-0008-0000-0000-0000E0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25" name="Text Box 68">
          <a:extLst>
            <a:ext uri="{FF2B5EF4-FFF2-40B4-BE49-F238E27FC236}">
              <a16:creationId xmlns:a16="http://schemas.microsoft.com/office/drawing/2014/main" xmlns="" id="{00000000-0008-0000-0000-0000E1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26" name="Text Box 69">
          <a:extLst>
            <a:ext uri="{FF2B5EF4-FFF2-40B4-BE49-F238E27FC236}">
              <a16:creationId xmlns:a16="http://schemas.microsoft.com/office/drawing/2014/main" xmlns="" id="{00000000-0008-0000-0000-0000E2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27" name="Text Box 70">
          <a:extLst>
            <a:ext uri="{FF2B5EF4-FFF2-40B4-BE49-F238E27FC236}">
              <a16:creationId xmlns:a16="http://schemas.microsoft.com/office/drawing/2014/main" xmlns="" id="{00000000-0008-0000-0000-0000E3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28" name="Text Box 71">
          <a:extLst>
            <a:ext uri="{FF2B5EF4-FFF2-40B4-BE49-F238E27FC236}">
              <a16:creationId xmlns:a16="http://schemas.microsoft.com/office/drawing/2014/main" xmlns="" id="{00000000-0008-0000-0000-0000E4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29" name="Text Box 72">
          <a:extLst>
            <a:ext uri="{FF2B5EF4-FFF2-40B4-BE49-F238E27FC236}">
              <a16:creationId xmlns:a16="http://schemas.microsoft.com/office/drawing/2014/main" xmlns="" id="{00000000-0008-0000-0000-0000E5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30" name="Text Box 73">
          <a:extLst>
            <a:ext uri="{FF2B5EF4-FFF2-40B4-BE49-F238E27FC236}">
              <a16:creationId xmlns:a16="http://schemas.microsoft.com/office/drawing/2014/main" xmlns="" id="{00000000-0008-0000-0000-0000E6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31" name="Text Box 74">
          <a:extLst>
            <a:ext uri="{FF2B5EF4-FFF2-40B4-BE49-F238E27FC236}">
              <a16:creationId xmlns:a16="http://schemas.microsoft.com/office/drawing/2014/main" xmlns="" id="{00000000-0008-0000-0000-0000E7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32" name="Text Box 75">
          <a:extLst>
            <a:ext uri="{FF2B5EF4-FFF2-40B4-BE49-F238E27FC236}">
              <a16:creationId xmlns:a16="http://schemas.microsoft.com/office/drawing/2014/main" xmlns="" id="{00000000-0008-0000-0000-0000E8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33" name="Text Box 76">
          <a:extLst>
            <a:ext uri="{FF2B5EF4-FFF2-40B4-BE49-F238E27FC236}">
              <a16:creationId xmlns:a16="http://schemas.microsoft.com/office/drawing/2014/main" xmlns="" id="{00000000-0008-0000-0000-0000E9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34" name="Text Box 77">
          <a:extLst>
            <a:ext uri="{FF2B5EF4-FFF2-40B4-BE49-F238E27FC236}">
              <a16:creationId xmlns:a16="http://schemas.microsoft.com/office/drawing/2014/main" xmlns="" id="{00000000-0008-0000-0000-0000EA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35" name="Text Box 78">
          <a:extLst>
            <a:ext uri="{FF2B5EF4-FFF2-40B4-BE49-F238E27FC236}">
              <a16:creationId xmlns:a16="http://schemas.microsoft.com/office/drawing/2014/main" xmlns="" id="{00000000-0008-0000-0000-0000EB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36" name="Text Box 79">
          <a:extLst>
            <a:ext uri="{FF2B5EF4-FFF2-40B4-BE49-F238E27FC236}">
              <a16:creationId xmlns:a16="http://schemas.microsoft.com/office/drawing/2014/main" xmlns="" id="{00000000-0008-0000-0000-0000EC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37" name="Text Box 80">
          <a:extLst>
            <a:ext uri="{FF2B5EF4-FFF2-40B4-BE49-F238E27FC236}">
              <a16:creationId xmlns:a16="http://schemas.microsoft.com/office/drawing/2014/main" xmlns="" id="{00000000-0008-0000-0000-0000ED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38" name="Text Box 81">
          <a:extLst>
            <a:ext uri="{FF2B5EF4-FFF2-40B4-BE49-F238E27FC236}">
              <a16:creationId xmlns:a16="http://schemas.microsoft.com/office/drawing/2014/main" xmlns="" id="{00000000-0008-0000-0000-0000EE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47625"/>
    <xdr:sp macro="" textlink="">
      <xdr:nvSpPr>
        <xdr:cNvPr id="239" name="Text Box 82">
          <a:extLst>
            <a:ext uri="{FF2B5EF4-FFF2-40B4-BE49-F238E27FC236}">
              <a16:creationId xmlns:a16="http://schemas.microsoft.com/office/drawing/2014/main" xmlns="" id="{00000000-0008-0000-0000-0000EF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40" name="Text Box 3079">
          <a:extLst>
            <a:ext uri="{FF2B5EF4-FFF2-40B4-BE49-F238E27FC236}">
              <a16:creationId xmlns:a16="http://schemas.microsoft.com/office/drawing/2014/main" xmlns="" id="{00000000-0008-0000-0000-0000F0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41" name="Text Box 3080">
          <a:extLst>
            <a:ext uri="{FF2B5EF4-FFF2-40B4-BE49-F238E27FC236}">
              <a16:creationId xmlns:a16="http://schemas.microsoft.com/office/drawing/2014/main" xmlns="" id="{00000000-0008-0000-0000-0000F1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42" name="Text Box 3081">
          <a:extLst>
            <a:ext uri="{FF2B5EF4-FFF2-40B4-BE49-F238E27FC236}">
              <a16:creationId xmlns:a16="http://schemas.microsoft.com/office/drawing/2014/main" xmlns="" id="{00000000-0008-0000-0000-0000F2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43" name="Text Box 3082">
          <a:extLst>
            <a:ext uri="{FF2B5EF4-FFF2-40B4-BE49-F238E27FC236}">
              <a16:creationId xmlns:a16="http://schemas.microsoft.com/office/drawing/2014/main" xmlns="" id="{00000000-0008-0000-0000-0000F3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44" name="Text Box 3083">
          <a:extLst>
            <a:ext uri="{FF2B5EF4-FFF2-40B4-BE49-F238E27FC236}">
              <a16:creationId xmlns:a16="http://schemas.microsoft.com/office/drawing/2014/main" xmlns="" id="{00000000-0008-0000-0000-0000F4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45" name="Text Box 3084">
          <a:extLst>
            <a:ext uri="{FF2B5EF4-FFF2-40B4-BE49-F238E27FC236}">
              <a16:creationId xmlns:a16="http://schemas.microsoft.com/office/drawing/2014/main" xmlns="" id="{00000000-0008-0000-0000-0000F5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46" name="Text Box 3085">
          <a:extLst>
            <a:ext uri="{FF2B5EF4-FFF2-40B4-BE49-F238E27FC236}">
              <a16:creationId xmlns:a16="http://schemas.microsoft.com/office/drawing/2014/main" xmlns="" id="{00000000-0008-0000-0000-0000F6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47" name="Text Box 3086">
          <a:extLst>
            <a:ext uri="{FF2B5EF4-FFF2-40B4-BE49-F238E27FC236}">
              <a16:creationId xmlns:a16="http://schemas.microsoft.com/office/drawing/2014/main" xmlns="" id="{00000000-0008-0000-0000-0000F7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48" name="Text Box 3087">
          <a:extLst>
            <a:ext uri="{FF2B5EF4-FFF2-40B4-BE49-F238E27FC236}">
              <a16:creationId xmlns:a16="http://schemas.microsoft.com/office/drawing/2014/main" xmlns="" id="{00000000-0008-0000-0000-0000F8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49" name="Text Box 3088">
          <a:extLst>
            <a:ext uri="{FF2B5EF4-FFF2-40B4-BE49-F238E27FC236}">
              <a16:creationId xmlns:a16="http://schemas.microsoft.com/office/drawing/2014/main" xmlns="" id="{00000000-0008-0000-0000-0000F9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50" name="Text Box 3089">
          <a:extLst>
            <a:ext uri="{FF2B5EF4-FFF2-40B4-BE49-F238E27FC236}">
              <a16:creationId xmlns:a16="http://schemas.microsoft.com/office/drawing/2014/main" xmlns="" id="{00000000-0008-0000-0000-0000FA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51" name="Text Box 3090">
          <a:extLst>
            <a:ext uri="{FF2B5EF4-FFF2-40B4-BE49-F238E27FC236}">
              <a16:creationId xmlns:a16="http://schemas.microsoft.com/office/drawing/2014/main" xmlns="" id="{00000000-0008-0000-0000-0000FB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52" name="Text Box 3091">
          <a:extLst>
            <a:ext uri="{FF2B5EF4-FFF2-40B4-BE49-F238E27FC236}">
              <a16:creationId xmlns:a16="http://schemas.microsoft.com/office/drawing/2014/main" xmlns="" id="{00000000-0008-0000-0000-0000FC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53" name="Text Box 3092">
          <a:extLst>
            <a:ext uri="{FF2B5EF4-FFF2-40B4-BE49-F238E27FC236}">
              <a16:creationId xmlns:a16="http://schemas.microsoft.com/office/drawing/2014/main" xmlns="" id="{00000000-0008-0000-0000-0000FD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54" name="Text Box 3093">
          <a:extLst>
            <a:ext uri="{FF2B5EF4-FFF2-40B4-BE49-F238E27FC236}">
              <a16:creationId xmlns:a16="http://schemas.microsoft.com/office/drawing/2014/main" xmlns="" id="{00000000-0008-0000-0000-0000FE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55" name="Text Box 3094">
          <a:extLst>
            <a:ext uri="{FF2B5EF4-FFF2-40B4-BE49-F238E27FC236}">
              <a16:creationId xmlns:a16="http://schemas.microsoft.com/office/drawing/2014/main" xmlns="" id="{00000000-0008-0000-0000-0000FF0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56" name="Text Box 3095">
          <a:extLst>
            <a:ext uri="{FF2B5EF4-FFF2-40B4-BE49-F238E27FC236}">
              <a16:creationId xmlns:a16="http://schemas.microsoft.com/office/drawing/2014/main" xmlns="" id="{00000000-0008-0000-0000-000000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57" name="Text Box 3096">
          <a:extLst>
            <a:ext uri="{FF2B5EF4-FFF2-40B4-BE49-F238E27FC236}">
              <a16:creationId xmlns:a16="http://schemas.microsoft.com/office/drawing/2014/main" xmlns="" id="{00000000-0008-0000-0000-000001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58" name="Text Box 3097">
          <a:extLst>
            <a:ext uri="{FF2B5EF4-FFF2-40B4-BE49-F238E27FC236}">
              <a16:creationId xmlns:a16="http://schemas.microsoft.com/office/drawing/2014/main" xmlns="" id="{00000000-0008-0000-0000-000002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59" name="Text Box 3098">
          <a:extLst>
            <a:ext uri="{FF2B5EF4-FFF2-40B4-BE49-F238E27FC236}">
              <a16:creationId xmlns:a16="http://schemas.microsoft.com/office/drawing/2014/main" xmlns="" id="{00000000-0008-0000-0000-000003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60" name="Text Box 3099">
          <a:extLst>
            <a:ext uri="{FF2B5EF4-FFF2-40B4-BE49-F238E27FC236}">
              <a16:creationId xmlns:a16="http://schemas.microsoft.com/office/drawing/2014/main" xmlns="" id="{00000000-0008-0000-0000-000004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61" name="Text Box 3100">
          <a:extLst>
            <a:ext uri="{FF2B5EF4-FFF2-40B4-BE49-F238E27FC236}">
              <a16:creationId xmlns:a16="http://schemas.microsoft.com/office/drawing/2014/main" xmlns="" id="{00000000-0008-0000-0000-000005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62" name="Text Box 3101">
          <a:extLst>
            <a:ext uri="{FF2B5EF4-FFF2-40B4-BE49-F238E27FC236}">
              <a16:creationId xmlns:a16="http://schemas.microsoft.com/office/drawing/2014/main" xmlns="" id="{00000000-0008-0000-0000-000006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263" name="Text Box 3102">
          <a:extLst>
            <a:ext uri="{FF2B5EF4-FFF2-40B4-BE49-F238E27FC236}">
              <a16:creationId xmlns:a16="http://schemas.microsoft.com/office/drawing/2014/main" xmlns="" id="{00000000-0008-0000-0000-000007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64" name="Text Box 59">
          <a:extLst>
            <a:ext uri="{FF2B5EF4-FFF2-40B4-BE49-F238E27FC236}">
              <a16:creationId xmlns:a16="http://schemas.microsoft.com/office/drawing/2014/main" xmlns="" id="{00000000-0008-0000-0000-000008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65" name="Text Box 60">
          <a:extLst>
            <a:ext uri="{FF2B5EF4-FFF2-40B4-BE49-F238E27FC236}">
              <a16:creationId xmlns:a16="http://schemas.microsoft.com/office/drawing/2014/main" xmlns="" id="{00000000-0008-0000-0000-000009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66" name="Text Box 61">
          <a:extLst>
            <a:ext uri="{FF2B5EF4-FFF2-40B4-BE49-F238E27FC236}">
              <a16:creationId xmlns:a16="http://schemas.microsoft.com/office/drawing/2014/main" xmlns="" id="{00000000-0008-0000-0000-00000A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67" name="Text Box 62">
          <a:extLst>
            <a:ext uri="{FF2B5EF4-FFF2-40B4-BE49-F238E27FC236}">
              <a16:creationId xmlns:a16="http://schemas.microsoft.com/office/drawing/2014/main" xmlns="" id="{00000000-0008-0000-0000-00000B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68" name="Text Box 63">
          <a:extLst>
            <a:ext uri="{FF2B5EF4-FFF2-40B4-BE49-F238E27FC236}">
              <a16:creationId xmlns:a16="http://schemas.microsoft.com/office/drawing/2014/main" xmlns="" id="{00000000-0008-0000-0000-00000C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69" name="Text Box 64">
          <a:extLst>
            <a:ext uri="{FF2B5EF4-FFF2-40B4-BE49-F238E27FC236}">
              <a16:creationId xmlns:a16="http://schemas.microsoft.com/office/drawing/2014/main" xmlns="" id="{00000000-0008-0000-0000-00000D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70" name="Text Box 65">
          <a:extLst>
            <a:ext uri="{FF2B5EF4-FFF2-40B4-BE49-F238E27FC236}">
              <a16:creationId xmlns:a16="http://schemas.microsoft.com/office/drawing/2014/main" xmlns="" id="{00000000-0008-0000-0000-00000E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71" name="Text Box 66">
          <a:extLst>
            <a:ext uri="{FF2B5EF4-FFF2-40B4-BE49-F238E27FC236}">
              <a16:creationId xmlns:a16="http://schemas.microsoft.com/office/drawing/2014/main" xmlns="" id="{00000000-0008-0000-0000-00000F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72" name="Text Box 67">
          <a:extLst>
            <a:ext uri="{FF2B5EF4-FFF2-40B4-BE49-F238E27FC236}">
              <a16:creationId xmlns:a16="http://schemas.microsoft.com/office/drawing/2014/main" xmlns="" id="{00000000-0008-0000-0000-000010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73" name="Text Box 68">
          <a:extLst>
            <a:ext uri="{FF2B5EF4-FFF2-40B4-BE49-F238E27FC236}">
              <a16:creationId xmlns:a16="http://schemas.microsoft.com/office/drawing/2014/main" xmlns="" id="{00000000-0008-0000-0000-000011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74" name="Text Box 69">
          <a:extLst>
            <a:ext uri="{FF2B5EF4-FFF2-40B4-BE49-F238E27FC236}">
              <a16:creationId xmlns:a16="http://schemas.microsoft.com/office/drawing/2014/main" xmlns="" id="{00000000-0008-0000-0000-000012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75" name="Text Box 70">
          <a:extLst>
            <a:ext uri="{FF2B5EF4-FFF2-40B4-BE49-F238E27FC236}">
              <a16:creationId xmlns:a16="http://schemas.microsoft.com/office/drawing/2014/main" xmlns="" id="{00000000-0008-0000-0000-000013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76" name="Text Box 71">
          <a:extLst>
            <a:ext uri="{FF2B5EF4-FFF2-40B4-BE49-F238E27FC236}">
              <a16:creationId xmlns:a16="http://schemas.microsoft.com/office/drawing/2014/main" xmlns="" id="{00000000-0008-0000-0000-000014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77" name="Text Box 72">
          <a:extLst>
            <a:ext uri="{FF2B5EF4-FFF2-40B4-BE49-F238E27FC236}">
              <a16:creationId xmlns:a16="http://schemas.microsoft.com/office/drawing/2014/main" xmlns="" id="{00000000-0008-0000-0000-000015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78" name="Text Box 73">
          <a:extLst>
            <a:ext uri="{FF2B5EF4-FFF2-40B4-BE49-F238E27FC236}">
              <a16:creationId xmlns:a16="http://schemas.microsoft.com/office/drawing/2014/main" xmlns="" id="{00000000-0008-0000-0000-000016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79" name="Text Box 74">
          <a:extLst>
            <a:ext uri="{FF2B5EF4-FFF2-40B4-BE49-F238E27FC236}">
              <a16:creationId xmlns:a16="http://schemas.microsoft.com/office/drawing/2014/main" xmlns="" id="{00000000-0008-0000-0000-000017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80" name="Text Box 75">
          <a:extLst>
            <a:ext uri="{FF2B5EF4-FFF2-40B4-BE49-F238E27FC236}">
              <a16:creationId xmlns:a16="http://schemas.microsoft.com/office/drawing/2014/main" xmlns="" id="{00000000-0008-0000-0000-000018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81" name="Text Box 76">
          <a:extLst>
            <a:ext uri="{FF2B5EF4-FFF2-40B4-BE49-F238E27FC236}">
              <a16:creationId xmlns:a16="http://schemas.microsoft.com/office/drawing/2014/main" xmlns="" id="{00000000-0008-0000-0000-000019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82" name="Text Box 77">
          <a:extLst>
            <a:ext uri="{FF2B5EF4-FFF2-40B4-BE49-F238E27FC236}">
              <a16:creationId xmlns:a16="http://schemas.microsoft.com/office/drawing/2014/main" xmlns="" id="{00000000-0008-0000-0000-00001A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83" name="Text Box 78">
          <a:extLst>
            <a:ext uri="{FF2B5EF4-FFF2-40B4-BE49-F238E27FC236}">
              <a16:creationId xmlns:a16="http://schemas.microsoft.com/office/drawing/2014/main" xmlns="" id="{00000000-0008-0000-0000-00001B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84" name="Text Box 79">
          <a:extLst>
            <a:ext uri="{FF2B5EF4-FFF2-40B4-BE49-F238E27FC236}">
              <a16:creationId xmlns:a16="http://schemas.microsoft.com/office/drawing/2014/main" xmlns="" id="{00000000-0008-0000-0000-00001C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85" name="Text Box 80">
          <a:extLst>
            <a:ext uri="{FF2B5EF4-FFF2-40B4-BE49-F238E27FC236}">
              <a16:creationId xmlns:a16="http://schemas.microsoft.com/office/drawing/2014/main" xmlns="" id="{00000000-0008-0000-0000-00001D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86" name="Text Box 81">
          <a:extLst>
            <a:ext uri="{FF2B5EF4-FFF2-40B4-BE49-F238E27FC236}">
              <a16:creationId xmlns:a16="http://schemas.microsoft.com/office/drawing/2014/main" xmlns="" id="{00000000-0008-0000-0000-00001E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87" name="Text Box 3079">
          <a:extLst>
            <a:ext uri="{FF2B5EF4-FFF2-40B4-BE49-F238E27FC236}">
              <a16:creationId xmlns:a16="http://schemas.microsoft.com/office/drawing/2014/main" xmlns="" id="{00000000-0008-0000-0000-00001F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88" name="Text Box 3080">
          <a:extLst>
            <a:ext uri="{FF2B5EF4-FFF2-40B4-BE49-F238E27FC236}">
              <a16:creationId xmlns:a16="http://schemas.microsoft.com/office/drawing/2014/main" xmlns="" id="{00000000-0008-0000-0000-000020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89" name="Text Box 3081">
          <a:extLst>
            <a:ext uri="{FF2B5EF4-FFF2-40B4-BE49-F238E27FC236}">
              <a16:creationId xmlns:a16="http://schemas.microsoft.com/office/drawing/2014/main" xmlns="" id="{00000000-0008-0000-0000-000021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90" name="Text Box 3082">
          <a:extLst>
            <a:ext uri="{FF2B5EF4-FFF2-40B4-BE49-F238E27FC236}">
              <a16:creationId xmlns:a16="http://schemas.microsoft.com/office/drawing/2014/main" xmlns="" id="{00000000-0008-0000-0000-000022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91" name="Text Box 3083">
          <a:extLst>
            <a:ext uri="{FF2B5EF4-FFF2-40B4-BE49-F238E27FC236}">
              <a16:creationId xmlns:a16="http://schemas.microsoft.com/office/drawing/2014/main" xmlns="" id="{00000000-0008-0000-0000-000023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92" name="Text Box 3084">
          <a:extLst>
            <a:ext uri="{FF2B5EF4-FFF2-40B4-BE49-F238E27FC236}">
              <a16:creationId xmlns:a16="http://schemas.microsoft.com/office/drawing/2014/main" xmlns="" id="{00000000-0008-0000-0000-000024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93" name="Text Box 3085">
          <a:extLst>
            <a:ext uri="{FF2B5EF4-FFF2-40B4-BE49-F238E27FC236}">
              <a16:creationId xmlns:a16="http://schemas.microsoft.com/office/drawing/2014/main" xmlns="" id="{00000000-0008-0000-0000-000025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94" name="Text Box 3086">
          <a:extLst>
            <a:ext uri="{FF2B5EF4-FFF2-40B4-BE49-F238E27FC236}">
              <a16:creationId xmlns:a16="http://schemas.microsoft.com/office/drawing/2014/main" xmlns="" id="{00000000-0008-0000-0000-000026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95" name="Text Box 3087">
          <a:extLst>
            <a:ext uri="{FF2B5EF4-FFF2-40B4-BE49-F238E27FC236}">
              <a16:creationId xmlns:a16="http://schemas.microsoft.com/office/drawing/2014/main" xmlns="" id="{00000000-0008-0000-0000-000027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96" name="Text Box 3088">
          <a:extLst>
            <a:ext uri="{FF2B5EF4-FFF2-40B4-BE49-F238E27FC236}">
              <a16:creationId xmlns:a16="http://schemas.microsoft.com/office/drawing/2014/main" xmlns="" id="{00000000-0008-0000-0000-000028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97" name="Text Box 3089">
          <a:extLst>
            <a:ext uri="{FF2B5EF4-FFF2-40B4-BE49-F238E27FC236}">
              <a16:creationId xmlns:a16="http://schemas.microsoft.com/office/drawing/2014/main" xmlns="" id="{00000000-0008-0000-0000-000029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98" name="Text Box 3090">
          <a:extLst>
            <a:ext uri="{FF2B5EF4-FFF2-40B4-BE49-F238E27FC236}">
              <a16:creationId xmlns:a16="http://schemas.microsoft.com/office/drawing/2014/main" xmlns="" id="{00000000-0008-0000-0000-00002A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99" name="Text Box 3091">
          <a:extLst>
            <a:ext uri="{FF2B5EF4-FFF2-40B4-BE49-F238E27FC236}">
              <a16:creationId xmlns:a16="http://schemas.microsoft.com/office/drawing/2014/main" xmlns="" id="{00000000-0008-0000-0000-00002B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00" name="Text Box 3092">
          <a:extLst>
            <a:ext uri="{FF2B5EF4-FFF2-40B4-BE49-F238E27FC236}">
              <a16:creationId xmlns:a16="http://schemas.microsoft.com/office/drawing/2014/main" xmlns="" id="{00000000-0008-0000-0000-00002C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01" name="Text Box 3093">
          <a:extLst>
            <a:ext uri="{FF2B5EF4-FFF2-40B4-BE49-F238E27FC236}">
              <a16:creationId xmlns:a16="http://schemas.microsoft.com/office/drawing/2014/main" xmlns="" id="{00000000-0008-0000-0000-00002D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02" name="Text Box 3094">
          <a:extLst>
            <a:ext uri="{FF2B5EF4-FFF2-40B4-BE49-F238E27FC236}">
              <a16:creationId xmlns:a16="http://schemas.microsoft.com/office/drawing/2014/main" xmlns="" id="{00000000-0008-0000-0000-00002E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03" name="Text Box 3095">
          <a:extLst>
            <a:ext uri="{FF2B5EF4-FFF2-40B4-BE49-F238E27FC236}">
              <a16:creationId xmlns:a16="http://schemas.microsoft.com/office/drawing/2014/main" xmlns="" id="{00000000-0008-0000-0000-00002F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04" name="Text Box 3096">
          <a:extLst>
            <a:ext uri="{FF2B5EF4-FFF2-40B4-BE49-F238E27FC236}">
              <a16:creationId xmlns:a16="http://schemas.microsoft.com/office/drawing/2014/main" xmlns="" id="{00000000-0008-0000-0000-000030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05" name="Text Box 3097">
          <a:extLst>
            <a:ext uri="{FF2B5EF4-FFF2-40B4-BE49-F238E27FC236}">
              <a16:creationId xmlns:a16="http://schemas.microsoft.com/office/drawing/2014/main" xmlns="" id="{00000000-0008-0000-0000-000031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06" name="Text Box 3098">
          <a:extLst>
            <a:ext uri="{FF2B5EF4-FFF2-40B4-BE49-F238E27FC236}">
              <a16:creationId xmlns:a16="http://schemas.microsoft.com/office/drawing/2014/main" xmlns="" id="{00000000-0008-0000-0000-000032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07" name="Text Box 3099">
          <a:extLst>
            <a:ext uri="{FF2B5EF4-FFF2-40B4-BE49-F238E27FC236}">
              <a16:creationId xmlns:a16="http://schemas.microsoft.com/office/drawing/2014/main" xmlns="" id="{00000000-0008-0000-0000-000033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08" name="Text Box 3100">
          <a:extLst>
            <a:ext uri="{FF2B5EF4-FFF2-40B4-BE49-F238E27FC236}">
              <a16:creationId xmlns:a16="http://schemas.microsoft.com/office/drawing/2014/main" xmlns="" id="{00000000-0008-0000-0000-000034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09" name="Text Box 3101">
          <a:extLst>
            <a:ext uri="{FF2B5EF4-FFF2-40B4-BE49-F238E27FC236}">
              <a16:creationId xmlns:a16="http://schemas.microsoft.com/office/drawing/2014/main" xmlns="" id="{00000000-0008-0000-0000-000035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310" name="Text Box 3102">
          <a:extLst>
            <a:ext uri="{FF2B5EF4-FFF2-40B4-BE49-F238E27FC236}">
              <a16:creationId xmlns:a16="http://schemas.microsoft.com/office/drawing/2014/main" xmlns="" id="{00000000-0008-0000-0000-000036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11" name="Text Box 59">
          <a:extLst>
            <a:ext uri="{FF2B5EF4-FFF2-40B4-BE49-F238E27FC236}">
              <a16:creationId xmlns:a16="http://schemas.microsoft.com/office/drawing/2014/main" xmlns="" id="{00000000-0008-0000-0000-000037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12" name="Text Box 60">
          <a:extLst>
            <a:ext uri="{FF2B5EF4-FFF2-40B4-BE49-F238E27FC236}">
              <a16:creationId xmlns:a16="http://schemas.microsoft.com/office/drawing/2014/main" xmlns="" id="{00000000-0008-0000-0000-000038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13" name="Text Box 61">
          <a:extLst>
            <a:ext uri="{FF2B5EF4-FFF2-40B4-BE49-F238E27FC236}">
              <a16:creationId xmlns:a16="http://schemas.microsoft.com/office/drawing/2014/main" xmlns="" id="{00000000-0008-0000-0000-000039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14" name="Text Box 62">
          <a:extLst>
            <a:ext uri="{FF2B5EF4-FFF2-40B4-BE49-F238E27FC236}">
              <a16:creationId xmlns:a16="http://schemas.microsoft.com/office/drawing/2014/main" xmlns="" id="{00000000-0008-0000-0000-00003A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15" name="Text Box 63">
          <a:extLst>
            <a:ext uri="{FF2B5EF4-FFF2-40B4-BE49-F238E27FC236}">
              <a16:creationId xmlns:a16="http://schemas.microsoft.com/office/drawing/2014/main" xmlns="" id="{00000000-0008-0000-0000-00003B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16" name="Text Box 64">
          <a:extLst>
            <a:ext uri="{FF2B5EF4-FFF2-40B4-BE49-F238E27FC236}">
              <a16:creationId xmlns:a16="http://schemas.microsoft.com/office/drawing/2014/main" xmlns="" id="{00000000-0008-0000-0000-00003C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17" name="Text Box 65">
          <a:extLst>
            <a:ext uri="{FF2B5EF4-FFF2-40B4-BE49-F238E27FC236}">
              <a16:creationId xmlns:a16="http://schemas.microsoft.com/office/drawing/2014/main" xmlns="" id="{00000000-0008-0000-0000-00003D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18" name="Text Box 66">
          <a:extLst>
            <a:ext uri="{FF2B5EF4-FFF2-40B4-BE49-F238E27FC236}">
              <a16:creationId xmlns:a16="http://schemas.microsoft.com/office/drawing/2014/main" xmlns="" id="{00000000-0008-0000-0000-00003E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19" name="Text Box 67">
          <a:extLst>
            <a:ext uri="{FF2B5EF4-FFF2-40B4-BE49-F238E27FC236}">
              <a16:creationId xmlns:a16="http://schemas.microsoft.com/office/drawing/2014/main" xmlns="" id="{00000000-0008-0000-0000-00003F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20" name="Text Box 68">
          <a:extLst>
            <a:ext uri="{FF2B5EF4-FFF2-40B4-BE49-F238E27FC236}">
              <a16:creationId xmlns:a16="http://schemas.microsoft.com/office/drawing/2014/main" xmlns="" id="{00000000-0008-0000-0000-000040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21" name="Text Box 69">
          <a:extLst>
            <a:ext uri="{FF2B5EF4-FFF2-40B4-BE49-F238E27FC236}">
              <a16:creationId xmlns:a16="http://schemas.microsoft.com/office/drawing/2014/main" xmlns="" id="{00000000-0008-0000-0000-000041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22" name="Text Box 70">
          <a:extLst>
            <a:ext uri="{FF2B5EF4-FFF2-40B4-BE49-F238E27FC236}">
              <a16:creationId xmlns:a16="http://schemas.microsoft.com/office/drawing/2014/main" xmlns="" id="{00000000-0008-0000-0000-000042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23" name="Text Box 71">
          <a:extLst>
            <a:ext uri="{FF2B5EF4-FFF2-40B4-BE49-F238E27FC236}">
              <a16:creationId xmlns:a16="http://schemas.microsoft.com/office/drawing/2014/main" xmlns="" id="{00000000-0008-0000-0000-000043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24" name="Text Box 72">
          <a:extLst>
            <a:ext uri="{FF2B5EF4-FFF2-40B4-BE49-F238E27FC236}">
              <a16:creationId xmlns:a16="http://schemas.microsoft.com/office/drawing/2014/main" xmlns="" id="{00000000-0008-0000-0000-000044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25" name="Text Box 73">
          <a:extLst>
            <a:ext uri="{FF2B5EF4-FFF2-40B4-BE49-F238E27FC236}">
              <a16:creationId xmlns:a16="http://schemas.microsoft.com/office/drawing/2014/main" xmlns="" id="{00000000-0008-0000-0000-000045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26" name="Text Box 74">
          <a:extLst>
            <a:ext uri="{FF2B5EF4-FFF2-40B4-BE49-F238E27FC236}">
              <a16:creationId xmlns:a16="http://schemas.microsoft.com/office/drawing/2014/main" xmlns="" id="{00000000-0008-0000-0000-000046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27" name="Text Box 75">
          <a:extLst>
            <a:ext uri="{FF2B5EF4-FFF2-40B4-BE49-F238E27FC236}">
              <a16:creationId xmlns:a16="http://schemas.microsoft.com/office/drawing/2014/main" xmlns="" id="{00000000-0008-0000-0000-000047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28" name="Text Box 76">
          <a:extLst>
            <a:ext uri="{FF2B5EF4-FFF2-40B4-BE49-F238E27FC236}">
              <a16:creationId xmlns:a16="http://schemas.microsoft.com/office/drawing/2014/main" xmlns="" id="{00000000-0008-0000-0000-000048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29" name="Text Box 77">
          <a:extLst>
            <a:ext uri="{FF2B5EF4-FFF2-40B4-BE49-F238E27FC236}">
              <a16:creationId xmlns:a16="http://schemas.microsoft.com/office/drawing/2014/main" xmlns="" id="{00000000-0008-0000-0000-000049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30" name="Text Box 78">
          <a:extLst>
            <a:ext uri="{FF2B5EF4-FFF2-40B4-BE49-F238E27FC236}">
              <a16:creationId xmlns:a16="http://schemas.microsoft.com/office/drawing/2014/main" xmlns="" id="{00000000-0008-0000-0000-00004A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31" name="Text Box 79">
          <a:extLst>
            <a:ext uri="{FF2B5EF4-FFF2-40B4-BE49-F238E27FC236}">
              <a16:creationId xmlns:a16="http://schemas.microsoft.com/office/drawing/2014/main" xmlns="" id="{00000000-0008-0000-0000-00004B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32" name="Text Box 80">
          <a:extLst>
            <a:ext uri="{FF2B5EF4-FFF2-40B4-BE49-F238E27FC236}">
              <a16:creationId xmlns:a16="http://schemas.microsoft.com/office/drawing/2014/main" xmlns="" id="{00000000-0008-0000-0000-00004C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33" name="Text Box 81">
          <a:extLst>
            <a:ext uri="{FF2B5EF4-FFF2-40B4-BE49-F238E27FC236}">
              <a16:creationId xmlns:a16="http://schemas.microsoft.com/office/drawing/2014/main" xmlns="" id="{00000000-0008-0000-0000-00004D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47625"/>
    <xdr:sp macro="" textlink="">
      <xdr:nvSpPr>
        <xdr:cNvPr id="334" name="Text Box 82">
          <a:extLst>
            <a:ext uri="{FF2B5EF4-FFF2-40B4-BE49-F238E27FC236}">
              <a16:creationId xmlns:a16="http://schemas.microsoft.com/office/drawing/2014/main" xmlns="" id="{00000000-0008-0000-0000-00004E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35" name="Text Box 3079">
          <a:extLst>
            <a:ext uri="{FF2B5EF4-FFF2-40B4-BE49-F238E27FC236}">
              <a16:creationId xmlns:a16="http://schemas.microsoft.com/office/drawing/2014/main" xmlns="" id="{00000000-0008-0000-0000-00004F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36" name="Text Box 3080">
          <a:extLst>
            <a:ext uri="{FF2B5EF4-FFF2-40B4-BE49-F238E27FC236}">
              <a16:creationId xmlns:a16="http://schemas.microsoft.com/office/drawing/2014/main" xmlns="" id="{00000000-0008-0000-0000-000050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37" name="Text Box 3081">
          <a:extLst>
            <a:ext uri="{FF2B5EF4-FFF2-40B4-BE49-F238E27FC236}">
              <a16:creationId xmlns:a16="http://schemas.microsoft.com/office/drawing/2014/main" xmlns="" id="{00000000-0008-0000-0000-000051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38" name="Text Box 3082">
          <a:extLst>
            <a:ext uri="{FF2B5EF4-FFF2-40B4-BE49-F238E27FC236}">
              <a16:creationId xmlns:a16="http://schemas.microsoft.com/office/drawing/2014/main" xmlns="" id="{00000000-0008-0000-0000-000052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39" name="Text Box 3083">
          <a:extLst>
            <a:ext uri="{FF2B5EF4-FFF2-40B4-BE49-F238E27FC236}">
              <a16:creationId xmlns:a16="http://schemas.microsoft.com/office/drawing/2014/main" xmlns="" id="{00000000-0008-0000-0000-000053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40" name="Text Box 3084">
          <a:extLst>
            <a:ext uri="{FF2B5EF4-FFF2-40B4-BE49-F238E27FC236}">
              <a16:creationId xmlns:a16="http://schemas.microsoft.com/office/drawing/2014/main" xmlns="" id="{00000000-0008-0000-0000-000054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41" name="Text Box 3085">
          <a:extLst>
            <a:ext uri="{FF2B5EF4-FFF2-40B4-BE49-F238E27FC236}">
              <a16:creationId xmlns:a16="http://schemas.microsoft.com/office/drawing/2014/main" xmlns="" id="{00000000-0008-0000-0000-000055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42" name="Text Box 3086">
          <a:extLst>
            <a:ext uri="{FF2B5EF4-FFF2-40B4-BE49-F238E27FC236}">
              <a16:creationId xmlns:a16="http://schemas.microsoft.com/office/drawing/2014/main" xmlns="" id="{00000000-0008-0000-0000-000056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43" name="Text Box 3087">
          <a:extLst>
            <a:ext uri="{FF2B5EF4-FFF2-40B4-BE49-F238E27FC236}">
              <a16:creationId xmlns:a16="http://schemas.microsoft.com/office/drawing/2014/main" xmlns="" id="{00000000-0008-0000-0000-000057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44" name="Text Box 3088">
          <a:extLst>
            <a:ext uri="{FF2B5EF4-FFF2-40B4-BE49-F238E27FC236}">
              <a16:creationId xmlns:a16="http://schemas.microsoft.com/office/drawing/2014/main" xmlns="" id="{00000000-0008-0000-0000-000058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45" name="Text Box 3089">
          <a:extLst>
            <a:ext uri="{FF2B5EF4-FFF2-40B4-BE49-F238E27FC236}">
              <a16:creationId xmlns:a16="http://schemas.microsoft.com/office/drawing/2014/main" xmlns="" id="{00000000-0008-0000-0000-000059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46" name="Text Box 3090">
          <a:extLst>
            <a:ext uri="{FF2B5EF4-FFF2-40B4-BE49-F238E27FC236}">
              <a16:creationId xmlns:a16="http://schemas.microsoft.com/office/drawing/2014/main" xmlns="" id="{00000000-0008-0000-0000-00005A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47" name="Text Box 3091">
          <a:extLst>
            <a:ext uri="{FF2B5EF4-FFF2-40B4-BE49-F238E27FC236}">
              <a16:creationId xmlns:a16="http://schemas.microsoft.com/office/drawing/2014/main" xmlns="" id="{00000000-0008-0000-0000-00005B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48" name="Text Box 3092">
          <a:extLst>
            <a:ext uri="{FF2B5EF4-FFF2-40B4-BE49-F238E27FC236}">
              <a16:creationId xmlns:a16="http://schemas.microsoft.com/office/drawing/2014/main" xmlns="" id="{00000000-0008-0000-0000-00005C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49" name="Text Box 3093">
          <a:extLst>
            <a:ext uri="{FF2B5EF4-FFF2-40B4-BE49-F238E27FC236}">
              <a16:creationId xmlns:a16="http://schemas.microsoft.com/office/drawing/2014/main" xmlns="" id="{00000000-0008-0000-0000-00005D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50" name="Text Box 3094">
          <a:extLst>
            <a:ext uri="{FF2B5EF4-FFF2-40B4-BE49-F238E27FC236}">
              <a16:creationId xmlns:a16="http://schemas.microsoft.com/office/drawing/2014/main" xmlns="" id="{00000000-0008-0000-0000-00005E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51" name="Text Box 3095">
          <a:extLst>
            <a:ext uri="{FF2B5EF4-FFF2-40B4-BE49-F238E27FC236}">
              <a16:creationId xmlns:a16="http://schemas.microsoft.com/office/drawing/2014/main" xmlns="" id="{00000000-0008-0000-0000-00005F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52" name="Text Box 3096">
          <a:extLst>
            <a:ext uri="{FF2B5EF4-FFF2-40B4-BE49-F238E27FC236}">
              <a16:creationId xmlns:a16="http://schemas.microsoft.com/office/drawing/2014/main" xmlns="" id="{00000000-0008-0000-0000-000060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53" name="Text Box 3097">
          <a:extLst>
            <a:ext uri="{FF2B5EF4-FFF2-40B4-BE49-F238E27FC236}">
              <a16:creationId xmlns:a16="http://schemas.microsoft.com/office/drawing/2014/main" xmlns="" id="{00000000-0008-0000-0000-000061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54" name="Text Box 3098">
          <a:extLst>
            <a:ext uri="{FF2B5EF4-FFF2-40B4-BE49-F238E27FC236}">
              <a16:creationId xmlns:a16="http://schemas.microsoft.com/office/drawing/2014/main" xmlns="" id="{00000000-0008-0000-0000-000062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55" name="Text Box 3099">
          <a:extLst>
            <a:ext uri="{FF2B5EF4-FFF2-40B4-BE49-F238E27FC236}">
              <a16:creationId xmlns:a16="http://schemas.microsoft.com/office/drawing/2014/main" xmlns="" id="{00000000-0008-0000-0000-000063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56" name="Text Box 3100">
          <a:extLst>
            <a:ext uri="{FF2B5EF4-FFF2-40B4-BE49-F238E27FC236}">
              <a16:creationId xmlns:a16="http://schemas.microsoft.com/office/drawing/2014/main" xmlns="" id="{00000000-0008-0000-0000-000064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57" name="Text Box 3101">
          <a:extLst>
            <a:ext uri="{FF2B5EF4-FFF2-40B4-BE49-F238E27FC236}">
              <a16:creationId xmlns:a16="http://schemas.microsoft.com/office/drawing/2014/main" xmlns="" id="{00000000-0008-0000-0000-000065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358" name="Text Box 3102">
          <a:extLst>
            <a:ext uri="{FF2B5EF4-FFF2-40B4-BE49-F238E27FC236}">
              <a16:creationId xmlns:a16="http://schemas.microsoft.com/office/drawing/2014/main" xmlns="" id="{00000000-0008-0000-0000-000066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59" name="Text Box 59">
          <a:extLst>
            <a:ext uri="{FF2B5EF4-FFF2-40B4-BE49-F238E27FC236}">
              <a16:creationId xmlns:a16="http://schemas.microsoft.com/office/drawing/2014/main" xmlns="" id="{00000000-0008-0000-0000-000067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60" name="Text Box 60">
          <a:extLst>
            <a:ext uri="{FF2B5EF4-FFF2-40B4-BE49-F238E27FC236}">
              <a16:creationId xmlns:a16="http://schemas.microsoft.com/office/drawing/2014/main" xmlns="" id="{00000000-0008-0000-0000-000068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61" name="Text Box 61">
          <a:extLst>
            <a:ext uri="{FF2B5EF4-FFF2-40B4-BE49-F238E27FC236}">
              <a16:creationId xmlns:a16="http://schemas.microsoft.com/office/drawing/2014/main" xmlns="" id="{00000000-0008-0000-0000-000069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62" name="Text Box 62">
          <a:extLst>
            <a:ext uri="{FF2B5EF4-FFF2-40B4-BE49-F238E27FC236}">
              <a16:creationId xmlns:a16="http://schemas.microsoft.com/office/drawing/2014/main" xmlns="" id="{00000000-0008-0000-0000-00006A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63" name="Text Box 63">
          <a:extLst>
            <a:ext uri="{FF2B5EF4-FFF2-40B4-BE49-F238E27FC236}">
              <a16:creationId xmlns:a16="http://schemas.microsoft.com/office/drawing/2014/main" xmlns="" id="{00000000-0008-0000-0000-00006B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64" name="Text Box 64">
          <a:extLst>
            <a:ext uri="{FF2B5EF4-FFF2-40B4-BE49-F238E27FC236}">
              <a16:creationId xmlns:a16="http://schemas.microsoft.com/office/drawing/2014/main" xmlns="" id="{00000000-0008-0000-0000-00006C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65" name="Text Box 65">
          <a:extLst>
            <a:ext uri="{FF2B5EF4-FFF2-40B4-BE49-F238E27FC236}">
              <a16:creationId xmlns:a16="http://schemas.microsoft.com/office/drawing/2014/main" xmlns="" id="{00000000-0008-0000-0000-00006D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66" name="Text Box 66">
          <a:extLst>
            <a:ext uri="{FF2B5EF4-FFF2-40B4-BE49-F238E27FC236}">
              <a16:creationId xmlns:a16="http://schemas.microsoft.com/office/drawing/2014/main" xmlns="" id="{00000000-0008-0000-0000-00006E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67" name="Text Box 67">
          <a:extLst>
            <a:ext uri="{FF2B5EF4-FFF2-40B4-BE49-F238E27FC236}">
              <a16:creationId xmlns:a16="http://schemas.microsoft.com/office/drawing/2014/main" xmlns="" id="{00000000-0008-0000-0000-00006F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68" name="Text Box 68">
          <a:extLst>
            <a:ext uri="{FF2B5EF4-FFF2-40B4-BE49-F238E27FC236}">
              <a16:creationId xmlns:a16="http://schemas.microsoft.com/office/drawing/2014/main" xmlns="" id="{00000000-0008-0000-0000-000070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69" name="Text Box 69">
          <a:extLst>
            <a:ext uri="{FF2B5EF4-FFF2-40B4-BE49-F238E27FC236}">
              <a16:creationId xmlns:a16="http://schemas.microsoft.com/office/drawing/2014/main" xmlns="" id="{00000000-0008-0000-0000-000071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70" name="Text Box 70">
          <a:extLst>
            <a:ext uri="{FF2B5EF4-FFF2-40B4-BE49-F238E27FC236}">
              <a16:creationId xmlns:a16="http://schemas.microsoft.com/office/drawing/2014/main" xmlns="" id="{00000000-0008-0000-0000-000072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71" name="Text Box 71">
          <a:extLst>
            <a:ext uri="{FF2B5EF4-FFF2-40B4-BE49-F238E27FC236}">
              <a16:creationId xmlns:a16="http://schemas.microsoft.com/office/drawing/2014/main" xmlns="" id="{00000000-0008-0000-0000-000073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72" name="Text Box 72">
          <a:extLst>
            <a:ext uri="{FF2B5EF4-FFF2-40B4-BE49-F238E27FC236}">
              <a16:creationId xmlns:a16="http://schemas.microsoft.com/office/drawing/2014/main" xmlns="" id="{00000000-0008-0000-0000-000074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73" name="Text Box 73">
          <a:extLst>
            <a:ext uri="{FF2B5EF4-FFF2-40B4-BE49-F238E27FC236}">
              <a16:creationId xmlns:a16="http://schemas.microsoft.com/office/drawing/2014/main" xmlns="" id="{00000000-0008-0000-0000-000075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74" name="Text Box 74">
          <a:extLst>
            <a:ext uri="{FF2B5EF4-FFF2-40B4-BE49-F238E27FC236}">
              <a16:creationId xmlns:a16="http://schemas.microsoft.com/office/drawing/2014/main" xmlns="" id="{00000000-0008-0000-0000-000076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75" name="Text Box 75">
          <a:extLst>
            <a:ext uri="{FF2B5EF4-FFF2-40B4-BE49-F238E27FC236}">
              <a16:creationId xmlns:a16="http://schemas.microsoft.com/office/drawing/2014/main" xmlns="" id="{00000000-0008-0000-0000-000077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76" name="Text Box 76">
          <a:extLst>
            <a:ext uri="{FF2B5EF4-FFF2-40B4-BE49-F238E27FC236}">
              <a16:creationId xmlns:a16="http://schemas.microsoft.com/office/drawing/2014/main" xmlns="" id="{00000000-0008-0000-0000-000078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77" name="Text Box 77">
          <a:extLst>
            <a:ext uri="{FF2B5EF4-FFF2-40B4-BE49-F238E27FC236}">
              <a16:creationId xmlns:a16="http://schemas.microsoft.com/office/drawing/2014/main" xmlns="" id="{00000000-0008-0000-0000-000079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78" name="Text Box 78">
          <a:extLst>
            <a:ext uri="{FF2B5EF4-FFF2-40B4-BE49-F238E27FC236}">
              <a16:creationId xmlns:a16="http://schemas.microsoft.com/office/drawing/2014/main" xmlns="" id="{00000000-0008-0000-0000-00007A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79" name="Text Box 79">
          <a:extLst>
            <a:ext uri="{FF2B5EF4-FFF2-40B4-BE49-F238E27FC236}">
              <a16:creationId xmlns:a16="http://schemas.microsoft.com/office/drawing/2014/main" xmlns="" id="{00000000-0008-0000-0000-00007B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80" name="Text Box 80">
          <a:extLst>
            <a:ext uri="{FF2B5EF4-FFF2-40B4-BE49-F238E27FC236}">
              <a16:creationId xmlns:a16="http://schemas.microsoft.com/office/drawing/2014/main" xmlns="" id="{00000000-0008-0000-0000-00007C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81" name="Text Box 81">
          <a:extLst>
            <a:ext uri="{FF2B5EF4-FFF2-40B4-BE49-F238E27FC236}">
              <a16:creationId xmlns:a16="http://schemas.microsoft.com/office/drawing/2014/main" xmlns="" id="{00000000-0008-0000-0000-00007D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82" name="Text Box 3079">
          <a:extLst>
            <a:ext uri="{FF2B5EF4-FFF2-40B4-BE49-F238E27FC236}">
              <a16:creationId xmlns:a16="http://schemas.microsoft.com/office/drawing/2014/main" xmlns="" id="{00000000-0008-0000-0000-00007E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83" name="Text Box 3080">
          <a:extLst>
            <a:ext uri="{FF2B5EF4-FFF2-40B4-BE49-F238E27FC236}">
              <a16:creationId xmlns:a16="http://schemas.microsoft.com/office/drawing/2014/main" xmlns="" id="{00000000-0008-0000-0000-00007F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84" name="Text Box 3081">
          <a:extLst>
            <a:ext uri="{FF2B5EF4-FFF2-40B4-BE49-F238E27FC236}">
              <a16:creationId xmlns:a16="http://schemas.microsoft.com/office/drawing/2014/main" xmlns="" id="{00000000-0008-0000-0000-000080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85" name="Text Box 3082">
          <a:extLst>
            <a:ext uri="{FF2B5EF4-FFF2-40B4-BE49-F238E27FC236}">
              <a16:creationId xmlns:a16="http://schemas.microsoft.com/office/drawing/2014/main" xmlns="" id="{00000000-0008-0000-0000-000081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86" name="Text Box 3083">
          <a:extLst>
            <a:ext uri="{FF2B5EF4-FFF2-40B4-BE49-F238E27FC236}">
              <a16:creationId xmlns:a16="http://schemas.microsoft.com/office/drawing/2014/main" xmlns="" id="{00000000-0008-0000-0000-000082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87" name="Text Box 3084">
          <a:extLst>
            <a:ext uri="{FF2B5EF4-FFF2-40B4-BE49-F238E27FC236}">
              <a16:creationId xmlns:a16="http://schemas.microsoft.com/office/drawing/2014/main" xmlns="" id="{00000000-0008-0000-0000-000083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88" name="Text Box 3085">
          <a:extLst>
            <a:ext uri="{FF2B5EF4-FFF2-40B4-BE49-F238E27FC236}">
              <a16:creationId xmlns:a16="http://schemas.microsoft.com/office/drawing/2014/main" xmlns="" id="{00000000-0008-0000-0000-000084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89" name="Text Box 3086">
          <a:extLst>
            <a:ext uri="{FF2B5EF4-FFF2-40B4-BE49-F238E27FC236}">
              <a16:creationId xmlns:a16="http://schemas.microsoft.com/office/drawing/2014/main" xmlns="" id="{00000000-0008-0000-0000-000085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90" name="Text Box 3087">
          <a:extLst>
            <a:ext uri="{FF2B5EF4-FFF2-40B4-BE49-F238E27FC236}">
              <a16:creationId xmlns:a16="http://schemas.microsoft.com/office/drawing/2014/main" xmlns="" id="{00000000-0008-0000-0000-000086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91" name="Text Box 3088">
          <a:extLst>
            <a:ext uri="{FF2B5EF4-FFF2-40B4-BE49-F238E27FC236}">
              <a16:creationId xmlns:a16="http://schemas.microsoft.com/office/drawing/2014/main" xmlns="" id="{00000000-0008-0000-0000-000087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92" name="Text Box 3089">
          <a:extLst>
            <a:ext uri="{FF2B5EF4-FFF2-40B4-BE49-F238E27FC236}">
              <a16:creationId xmlns:a16="http://schemas.microsoft.com/office/drawing/2014/main" xmlns="" id="{00000000-0008-0000-0000-000088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93" name="Text Box 3090">
          <a:extLst>
            <a:ext uri="{FF2B5EF4-FFF2-40B4-BE49-F238E27FC236}">
              <a16:creationId xmlns:a16="http://schemas.microsoft.com/office/drawing/2014/main" xmlns="" id="{00000000-0008-0000-0000-000089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94" name="Text Box 3091">
          <a:extLst>
            <a:ext uri="{FF2B5EF4-FFF2-40B4-BE49-F238E27FC236}">
              <a16:creationId xmlns:a16="http://schemas.microsoft.com/office/drawing/2014/main" xmlns="" id="{00000000-0008-0000-0000-00008A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95" name="Text Box 3092">
          <a:extLst>
            <a:ext uri="{FF2B5EF4-FFF2-40B4-BE49-F238E27FC236}">
              <a16:creationId xmlns:a16="http://schemas.microsoft.com/office/drawing/2014/main" xmlns="" id="{00000000-0008-0000-0000-00008B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96" name="Text Box 3093">
          <a:extLst>
            <a:ext uri="{FF2B5EF4-FFF2-40B4-BE49-F238E27FC236}">
              <a16:creationId xmlns:a16="http://schemas.microsoft.com/office/drawing/2014/main" xmlns="" id="{00000000-0008-0000-0000-00008C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97" name="Text Box 3094">
          <a:extLst>
            <a:ext uri="{FF2B5EF4-FFF2-40B4-BE49-F238E27FC236}">
              <a16:creationId xmlns:a16="http://schemas.microsoft.com/office/drawing/2014/main" xmlns="" id="{00000000-0008-0000-0000-00008D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98" name="Text Box 3095">
          <a:extLst>
            <a:ext uri="{FF2B5EF4-FFF2-40B4-BE49-F238E27FC236}">
              <a16:creationId xmlns:a16="http://schemas.microsoft.com/office/drawing/2014/main" xmlns="" id="{00000000-0008-0000-0000-00008E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99" name="Text Box 3096">
          <a:extLst>
            <a:ext uri="{FF2B5EF4-FFF2-40B4-BE49-F238E27FC236}">
              <a16:creationId xmlns:a16="http://schemas.microsoft.com/office/drawing/2014/main" xmlns="" id="{00000000-0008-0000-0000-00008F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00" name="Text Box 3097">
          <a:extLst>
            <a:ext uri="{FF2B5EF4-FFF2-40B4-BE49-F238E27FC236}">
              <a16:creationId xmlns:a16="http://schemas.microsoft.com/office/drawing/2014/main" xmlns="" id="{00000000-0008-0000-0000-000090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01" name="Text Box 3098">
          <a:extLst>
            <a:ext uri="{FF2B5EF4-FFF2-40B4-BE49-F238E27FC236}">
              <a16:creationId xmlns:a16="http://schemas.microsoft.com/office/drawing/2014/main" xmlns="" id="{00000000-0008-0000-0000-000091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02" name="Text Box 3099">
          <a:extLst>
            <a:ext uri="{FF2B5EF4-FFF2-40B4-BE49-F238E27FC236}">
              <a16:creationId xmlns:a16="http://schemas.microsoft.com/office/drawing/2014/main" xmlns="" id="{00000000-0008-0000-0000-000092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03" name="Text Box 3100">
          <a:extLst>
            <a:ext uri="{FF2B5EF4-FFF2-40B4-BE49-F238E27FC236}">
              <a16:creationId xmlns:a16="http://schemas.microsoft.com/office/drawing/2014/main" xmlns="" id="{00000000-0008-0000-0000-000093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04" name="Text Box 3101">
          <a:extLst>
            <a:ext uri="{FF2B5EF4-FFF2-40B4-BE49-F238E27FC236}">
              <a16:creationId xmlns:a16="http://schemas.microsoft.com/office/drawing/2014/main" xmlns="" id="{00000000-0008-0000-0000-000094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405" name="Text Box 3102">
          <a:extLst>
            <a:ext uri="{FF2B5EF4-FFF2-40B4-BE49-F238E27FC236}">
              <a16:creationId xmlns:a16="http://schemas.microsoft.com/office/drawing/2014/main" xmlns="" id="{00000000-0008-0000-0000-000095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06" name="Text Box 59">
          <a:extLst>
            <a:ext uri="{FF2B5EF4-FFF2-40B4-BE49-F238E27FC236}">
              <a16:creationId xmlns:a16="http://schemas.microsoft.com/office/drawing/2014/main" xmlns="" id="{00000000-0008-0000-0000-000096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07" name="Text Box 60">
          <a:extLst>
            <a:ext uri="{FF2B5EF4-FFF2-40B4-BE49-F238E27FC236}">
              <a16:creationId xmlns:a16="http://schemas.microsoft.com/office/drawing/2014/main" xmlns="" id="{00000000-0008-0000-0000-000097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08" name="Text Box 61">
          <a:extLst>
            <a:ext uri="{FF2B5EF4-FFF2-40B4-BE49-F238E27FC236}">
              <a16:creationId xmlns:a16="http://schemas.microsoft.com/office/drawing/2014/main" xmlns="" id="{00000000-0008-0000-0000-000098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09" name="Text Box 62">
          <a:extLst>
            <a:ext uri="{FF2B5EF4-FFF2-40B4-BE49-F238E27FC236}">
              <a16:creationId xmlns:a16="http://schemas.microsoft.com/office/drawing/2014/main" xmlns="" id="{00000000-0008-0000-0000-000099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10" name="Text Box 63">
          <a:extLst>
            <a:ext uri="{FF2B5EF4-FFF2-40B4-BE49-F238E27FC236}">
              <a16:creationId xmlns:a16="http://schemas.microsoft.com/office/drawing/2014/main" xmlns="" id="{00000000-0008-0000-0000-00009A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11" name="Text Box 64">
          <a:extLst>
            <a:ext uri="{FF2B5EF4-FFF2-40B4-BE49-F238E27FC236}">
              <a16:creationId xmlns:a16="http://schemas.microsoft.com/office/drawing/2014/main" xmlns="" id="{00000000-0008-0000-0000-00009B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12" name="Text Box 65">
          <a:extLst>
            <a:ext uri="{FF2B5EF4-FFF2-40B4-BE49-F238E27FC236}">
              <a16:creationId xmlns:a16="http://schemas.microsoft.com/office/drawing/2014/main" xmlns="" id="{00000000-0008-0000-0000-00009C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13" name="Text Box 66">
          <a:extLst>
            <a:ext uri="{FF2B5EF4-FFF2-40B4-BE49-F238E27FC236}">
              <a16:creationId xmlns:a16="http://schemas.microsoft.com/office/drawing/2014/main" xmlns="" id="{00000000-0008-0000-0000-00009D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14" name="Text Box 67">
          <a:extLst>
            <a:ext uri="{FF2B5EF4-FFF2-40B4-BE49-F238E27FC236}">
              <a16:creationId xmlns:a16="http://schemas.microsoft.com/office/drawing/2014/main" xmlns="" id="{00000000-0008-0000-0000-00009E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15" name="Text Box 68">
          <a:extLst>
            <a:ext uri="{FF2B5EF4-FFF2-40B4-BE49-F238E27FC236}">
              <a16:creationId xmlns:a16="http://schemas.microsoft.com/office/drawing/2014/main" xmlns="" id="{00000000-0008-0000-0000-00009F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16" name="Text Box 69">
          <a:extLst>
            <a:ext uri="{FF2B5EF4-FFF2-40B4-BE49-F238E27FC236}">
              <a16:creationId xmlns:a16="http://schemas.microsoft.com/office/drawing/2014/main" xmlns="" id="{00000000-0008-0000-0000-0000A0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17" name="Text Box 70">
          <a:extLst>
            <a:ext uri="{FF2B5EF4-FFF2-40B4-BE49-F238E27FC236}">
              <a16:creationId xmlns:a16="http://schemas.microsoft.com/office/drawing/2014/main" xmlns="" id="{00000000-0008-0000-0000-0000A1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18" name="Text Box 71">
          <a:extLst>
            <a:ext uri="{FF2B5EF4-FFF2-40B4-BE49-F238E27FC236}">
              <a16:creationId xmlns:a16="http://schemas.microsoft.com/office/drawing/2014/main" xmlns="" id="{00000000-0008-0000-0000-0000A2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19" name="Text Box 72">
          <a:extLst>
            <a:ext uri="{FF2B5EF4-FFF2-40B4-BE49-F238E27FC236}">
              <a16:creationId xmlns:a16="http://schemas.microsoft.com/office/drawing/2014/main" xmlns="" id="{00000000-0008-0000-0000-0000A3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20" name="Text Box 73">
          <a:extLst>
            <a:ext uri="{FF2B5EF4-FFF2-40B4-BE49-F238E27FC236}">
              <a16:creationId xmlns:a16="http://schemas.microsoft.com/office/drawing/2014/main" xmlns="" id="{00000000-0008-0000-0000-0000A4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21" name="Text Box 74">
          <a:extLst>
            <a:ext uri="{FF2B5EF4-FFF2-40B4-BE49-F238E27FC236}">
              <a16:creationId xmlns:a16="http://schemas.microsoft.com/office/drawing/2014/main" xmlns="" id="{00000000-0008-0000-0000-0000A5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22" name="Text Box 75">
          <a:extLst>
            <a:ext uri="{FF2B5EF4-FFF2-40B4-BE49-F238E27FC236}">
              <a16:creationId xmlns:a16="http://schemas.microsoft.com/office/drawing/2014/main" xmlns="" id="{00000000-0008-0000-0000-0000A6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23" name="Text Box 76">
          <a:extLst>
            <a:ext uri="{FF2B5EF4-FFF2-40B4-BE49-F238E27FC236}">
              <a16:creationId xmlns:a16="http://schemas.microsoft.com/office/drawing/2014/main" xmlns="" id="{00000000-0008-0000-0000-0000A7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24" name="Text Box 77">
          <a:extLst>
            <a:ext uri="{FF2B5EF4-FFF2-40B4-BE49-F238E27FC236}">
              <a16:creationId xmlns:a16="http://schemas.microsoft.com/office/drawing/2014/main" xmlns="" id="{00000000-0008-0000-0000-0000A8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25" name="Text Box 78">
          <a:extLst>
            <a:ext uri="{FF2B5EF4-FFF2-40B4-BE49-F238E27FC236}">
              <a16:creationId xmlns:a16="http://schemas.microsoft.com/office/drawing/2014/main" xmlns="" id="{00000000-0008-0000-0000-0000A9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26" name="Text Box 79">
          <a:extLst>
            <a:ext uri="{FF2B5EF4-FFF2-40B4-BE49-F238E27FC236}">
              <a16:creationId xmlns:a16="http://schemas.microsoft.com/office/drawing/2014/main" xmlns="" id="{00000000-0008-0000-0000-0000AA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27" name="Text Box 80">
          <a:extLst>
            <a:ext uri="{FF2B5EF4-FFF2-40B4-BE49-F238E27FC236}">
              <a16:creationId xmlns:a16="http://schemas.microsoft.com/office/drawing/2014/main" xmlns="" id="{00000000-0008-0000-0000-0000AB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28" name="Text Box 81">
          <a:extLst>
            <a:ext uri="{FF2B5EF4-FFF2-40B4-BE49-F238E27FC236}">
              <a16:creationId xmlns:a16="http://schemas.microsoft.com/office/drawing/2014/main" xmlns="" id="{00000000-0008-0000-0000-0000AC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47625"/>
    <xdr:sp macro="" textlink="">
      <xdr:nvSpPr>
        <xdr:cNvPr id="429" name="Text Box 82">
          <a:extLst>
            <a:ext uri="{FF2B5EF4-FFF2-40B4-BE49-F238E27FC236}">
              <a16:creationId xmlns:a16="http://schemas.microsoft.com/office/drawing/2014/main" xmlns="" id="{00000000-0008-0000-0000-0000AD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30" name="Text Box 3079">
          <a:extLst>
            <a:ext uri="{FF2B5EF4-FFF2-40B4-BE49-F238E27FC236}">
              <a16:creationId xmlns:a16="http://schemas.microsoft.com/office/drawing/2014/main" xmlns="" id="{00000000-0008-0000-0000-0000AE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31" name="Text Box 3080">
          <a:extLst>
            <a:ext uri="{FF2B5EF4-FFF2-40B4-BE49-F238E27FC236}">
              <a16:creationId xmlns:a16="http://schemas.microsoft.com/office/drawing/2014/main" xmlns="" id="{00000000-0008-0000-0000-0000AF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32" name="Text Box 3081">
          <a:extLst>
            <a:ext uri="{FF2B5EF4-FFF2-40B4-BE49-F238E27FC236}">
              <a16:creationId xmlns:a16="http://schemas.microsoft.com/office/drawing/2014/main" xmlns="" id="{00000000-0008-0000-0000-0000B0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33" name="Text Box 3082">
          <a:extLst>
            <a:ext uri="{FF2B5EF4-FFF2-40B4-BE49-F238E27FC236}">
              <a16:creationId xmlns:a16="http://schemas.microsoft.com/office/drawing/2014/main" xmlns="" id="{00000000-0008-0000-0000-0000B1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34" name="Text Box 3083">
          <a:extLst>
            <a:ext uri="{FF2B5EF4-FFF2-40B4-BE49-F238E27FC236}">
              <a16:creationId xmlns:a16="http://schemas.microsoft.com/office/drawing/2014/main" xmlns="" id="{00000000-0008-0000-0000-0000B2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35" name="Text Box 3084">
          <a:extLst>
            <a:ext uri="{FF2B5EF4-FFF2-40B4-BE49-F238E27FC236}">
              <a16:creationId xmlns:a16="http://schemas.microsoft.com/office/drawing/2014/main" xmlns="" id="{00000000-0008-0000-0000-0000B3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36" name="Text Box 3085">
          <a:extLst>
            <a:ext uri="{FF2B5EF4-FFF2-40B4-BE49-F238E27FC236}">
              <a16:creationId xmlns:a16="http://schemas.microsoft.com/office/drawing/2014/main" xmlns="" id="{00000000-0008-0000-0000-0000B4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37" name="Text Box 3086">
          <a:extLst>
            <a:ext uri="{FF2B5EF4-FFF2-40B4-BE49-F238E27FC236}">
              <a16:creationId xmlns:a16="http://schemas.microsoft.com/office/drawing/2014/main" xmlns="" id="{00000000-0008-0000-0000-0000B5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38" name="Text Box 3087">
          <a:extLst>
            <a:ext uri="{FF2B5EF4-FFF2-40B4-BE49-F238E27FC236}">
              <a16:creationId xmlns:a16="http://schemas.microsoft.com/office/drawing/2014/main" xmlns="" id="{00000000-0008-0000-0000-0000B6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39" name="Text Box 3088">
          <a:extLst>
            <a:ext uri="{FF2B5EF4-FFF2-40B4-BE49-F238E27FC236}">
              <a16:creationId xmlns:a16="http://schemas.microsoft.com/office/drawing/2014/main" xmlns="" id="{00000000-0008-0000-0000-0000B7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40" name="Text Box 3089">
          <a:extLst>
            <a:ext uri="{FF2B5EF4-FFF2-40B4-BE49-F238E27FC236}">
              <a16:creationId xmlns:a16="http://schemas.microsoft.com/office/drawing/2014/main" xmlns="" id="{00000000-0008-0000-0000-0000B8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41" name="Text Box 3090">
          <a:extLst>
            <a:ext uri="{FF2B5EF4-FFF2-40B4-BE49-F238E27FC236}">
              <a16:creationId xmlns:a16="http://schemas.microsoft.com/office/drawing/2014/main" xmlns="" id="{00000000-0008-0000-0000-0000B9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42" name="Text Box 3091">
          <a:extLst>
            <a:ext uri="{FF2B5EF4-FFF2-40B4-BE49-F238E27FC236}">
              <a16:creationId xmlns:a16="http://schemas.microsoft.com/office/drawing/2014/main" xmlns="" id="{00000000-0008-0000-0000-0000BA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43" name="Text Box 3092">
          <a:extLst>
            <a:ext uri="{FF2B5EF4-FFF2-40B4-BE49-F238E27FC236}">
              <a16:creationId xmlns:a16="http://schemas.microsoft.com/office/drawing/2014/main" xmlns="" id="{00000000-0008-0000-0000-0000BB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44" name="Text Box 3093">
          <a:extLst>
            <a:ext uri="{FF2B5EF4-FFF2-40B4-BE49-F238E27FC236}">
              <a16:creationId xmlns:a16="http://schemas.microsoft.com/office/drawing/2014/main" xmlns="" id="{00000000-0008-0000-0000-0000BC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45" name="Text Box 3094">
          <a:extLst>
            <a:ext uri="{FF2B5EF4-FFF2-40B4-BE49-F238E27FC236}">
              <a16:creationId xmlns:a16="http://schemas.microsoft.com/office/drawing/2014/main" xmlns="" id="{00000000-0008-0000-0000-0000BD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46" name="Text Box 3095">
          <a:extLst>
            <a:ext uri="{FF2B5EF4-FFF2-40B4-BE49-F238E27FC236}">
              <a16:creationId xmlns:a16="http://schemas.microsoft.com/office/drawing/2014/main" xmlns="" id="{00000000-0008-0000-0000-0000BE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47" name="Text Box 3096">
          <a:extLst>
            <a:ext uri="{FF2B5EF4-FFF2-40B4-BE49-F238E27FC236}">
              <a16:creationId xmlns:a16="http://schemas.microsoft.com/office/drawing/2014/main" xmlns="" id="{00000000-0008-0000-0000-0000BF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48" name="Text Box 3097">
          <a:extLst>
            <a:ext uri="{FF2B5EF4-FFF2-40B4-BE49-F238E27FC236}">
              <a16:creationId xmlns:a16="http://schemas.microsoft.com/office/drawing/2014/main" xmlns="" id="{00000000-0008-0000-0000-0000C0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49" name="Text Box 3098">
          <a:extLst>
            <a:ext uri="{FF2B5EF4-FFF2-40B4-BE49-F238E27FC236}">
              <a16:creationId xmlns:a16="http://schemas.microsoft.com/office/drawing/2014/main" xmlns="" id="{00000000-0008-0000-0000-0000C1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50" name="Text Box 3099">
          <a:extLst>
            <a:ext uri="{FF2B5EF4-FFF2-40B4-BE49-F238E27FC236}">
              <a16:creationId xmlns:a16="http://schemas.microsoft.com/office/drawing/2014/main" xmlns="" id="{00000000-0008-0000-0000-0000C2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51" name="Text Box 3100">
          <a:extLst>
            <a:ext uri="{FF2B5EF4-FFF2-40B4-BE49-F238E27FC236}">
              <a16:creationId xmlns:a16="http://schemas.microsoft.com/office/drawing/2014/main" xmlns="" id="{00000000-0008-0000-0000-0000C3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52" name="Text Box 3101">
          <a:extLst>
            <a:ext uri="{FF2B5EF4-FFF2-40B4-BE49-F238E27FC236}">
              <a16:creationId xmlns:a16="http://schemas.microsoft.com/office/drawing/2014/main" xmlns="" id="{00000000-0008-0000-0000-0000C4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453" name="Text Box 3102">
          <a:extLst>
            <a:ext uri="{FF2B5EF4-FFF2-40B4-BE49-F238E27FC236}">
              <a16:creationId xmlns:a16="http://schemas.microsoft.com/office/drawing/2014/main" xmlns="" id="{00000000-0008-0000-0000-0000C5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54" name="Text Box 59">
          <a:extLst>
            <a:ext uri="{FF2B5EF4-FFF2-40B4-BE49-F238E27FC236}">
              <a16:creationId xmlns:a16="http://schemas.microsoft.com/office/drawing/2014/main" xmlns="" id="{00000000-0008-0000-0000-0000C6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55" name="Text Box 60">
          <a:extLst>
            <a:ext uri="{FF2B5EF4-FFF2-40B4-BE49-F238E27FC236}">
              <a16:creationId xmlns:a16="http://schemas.microsoft.com/office/drawing/2014/main" xmlns="" id="{00000000-0008-0000-0000-0000C7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56" name="Text Box 61">
          <a:extLst>
            <a:ext uri="{FF2B5EF4-FFF2-40B4-BE49-F238E27FC236}">
              <a16:creationId xmlns:a16="http://schemas.microsoft.com/office/drawing/2014/main" xmlns="" id="{00000000-0008-0000-0000-0000C8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57" name="Text Box 62">
          <a:extLst>
            <a:ext uri="{FF2B5EF4-FFF2-40B4-BE49-F238E27FC236}">
              <a16:creationId xmlns:a16="http://schemas.microsoft.com/office/drawing/2014/main" xmlns="" id="{00000000-0008-0000-0000-0000C9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58" name="Text Box 63">
          <a:extLst>
            <a:ext uri="{FF2B5EF4-FFF2-40B4-BE49-F238E27FC236}">
              <a16:creationId xmlns:a16="http://schemas.microsoft.com/office/drawing/2014/main" xmlns="" id="{00000000-0008-0000-0000-0000CA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59" name="Text Box 64">
          <a:extLst>
            <a:ext uri="{FF2B5EF4-FFF2-40B4-BE49-F238E27FC236}">
              <a16:creationId xmlns:a16="http://schemas.microsoft.com/office/drawing/2014/main" xmlns="" id="{00000000-0008-0000-0000-0000CB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60" name="Text Box 65">
          <a:extLst>
            <a:ext uri="{FF2B5EF4-FFF2-40B4-BE49-F238E27FC236}">
              <a16:creationId xmlns:a16="http://schemas.microsoft.com/office/drawing/2014/main" xmlns="" id="{00000000-0008-0000-0000-0000CC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61" name="Text Box 66">
          <a:extLst>
            <a:ext uri="{FF2B5EF4-FFF2-40B4-BE49-F238E27FC236}">
              <a16:creationId xmlns:a16="http://schemas.microsoft.com/office/drawing/2014/main" xmlns="" id="{00000000-0008-0000-0000-0000CD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62" name="Text Box 67">
          <a:extLst>
            <a:ext uri="{FF2B5EF4-FFF2-40B4-BE49-F238E27FC236}">
              <a16:creationId xmlns:a16="http://schemas.microsoft.com/office/drawing/2014/main" xmlns="" id="{00000000-0008-0000-0000-0000CE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63" name="Text Box 68">
          <a:extLst>
            <a:ext uri="{FF2B5EF4-FFF2-40B4-BE49-F238E27FC236}">
              <a16:creationId xmlns:a16="http://schemas.microsoft.com/office/drawing/2014/main" xmlns="" id="{00000000-0008-0000-0000-0000CF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64" name="Text Box 69">
          <a:extLst>
            <a:ext uri="{FF2B5EF4-FFF2-40B4-BE49-F238E27FC236}">
              <a16:creationId xmlns:a16="http://schemas.microsoft.com/office/drawing/2014/main" xmlns="" id="{00000000-0008-0000-0000-0000D0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65" name="Text Box 70">
          <a:extLst>
            <a:ext uri="{FF2B5EF4-FFF2-40B4-BE49-F238E27FC236}">
              <a16:creationId xmlns:a16="http://schemas.microsoft.com/office/drawing/2014/main" xmlns="" id="{00000000-0008-0000-0000-0000D1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66" name="Text Box 71">
          <a:extLst>
            <a:ext uri="{FF2B5EF4-FFF2-40B4-BE49-F238E27FC236}">
              <a16:creationId xmlns:a16="http://schemas.microsoft.com/office/drawing/2014/main" xmlns="" id="{00000000-0008-0000-0000-0000D2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67" name="Text Box 72">
          <a:extLst>
            <a:ext uri="{FF2B5EF4-FFF2-40B4-BE49-F238E27FC236}">
              <a16:creationId xmlns:a16="http://schemas.microsoft.com/office/drawing/2014/main" xmlns="" id="{00000000-0008-0000-0000-0000D3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68" name="Text Box 73">
          <a:extLst>
            <a:ext uri="{FF2B5EF4-FFF2-40B4-BE49-F238E27FC236}">
              <a16:creationId xmlns:a16="http://schemas.microsoft.com/office/drawing/2014/main" xmlns="" id="{00000000-0008-0000-0000-0000D4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69" name="Text Box 74">
          <a:extLst>
            <a:ext uri="{FF2B5EF4-FFF2-40B4-BE49-F238E27FC236}">
              <a16:creationId xmlns:a16="http://schemas.microsoft.com/office/drawing/2014/main" xmlns="" id="{00000000-0008-0000-0000-0000D5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70" name="Text Box 75">
          <a:extLst>
            <a:ext uri="{FF2B5EF4-FFF2-40B4-BE49-F238E27FC236}">
              <a16:creationId xmlns:a16="http://schemas.microsoft.com/office/drawing/2014/main" xmlns="" id="{00000000-0008-0000-0000-0000D6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71" name="Text Box 76">
          <a:extLst>
            <a:ext uri="{FF2B5EF4-FFF2-40B4-BE49-F238E27FC236}">
              <a16:creationId xmlns:a16="http://schemas.microsoft.com/office/drawing/2014/main" xmlns="" id="{00000000-0008-0000-0000-0000D7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72" name="Text Box 77">
          <a:extLst>
            <a:ext uri="{FF2B5EF4-FFF2-40B4-BE49-F238E27FC236}">
              <a16:creationId xmlns:a16="http://schemas.microsoft.com/office/drawing/2014/main" xmlns="" id="{00000000-0008-0000-0000-0000D8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73" name="Text Box 78">
          <a:extLst>
            <a:ext uri="{FF2B5EF4-FFF2-40B4-BE49-F238E27FC236}">
              <a16:creationId xmlns:a16="http://schemas.microsoft.com/office/drawing/2014/main" xmlns="" id="{00000000-0008-0000-0000-0000D9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74" name="Text Box 79">
          <a:extLst>
            <a:ext uri="{FF2B5EF4-FFF2-40B4-BE49-F238E27FC236}">
              <a16:creationId xmlns:a16="http://schemas.microsoft.com/office/drawing/2014/main" xmlns="" id="{00000000-0008-0000-0000-0000DA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75" name="Text Box 80">
          <a:extLst>
            <a:ext uri="{FF2B5EF4-FFF2-40B4-BE49-F238E27FC236}">
              <a16:creationId xmlns:a16="http://schemas.microsoft.com/office/drawing/2014/main" xmlns="" id="{00000000-0008-0000-0000-0000DB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76" name="Text Box 81">
          <a:extLst>
            <a:ext uri="{FF2B5EF4-FFF2-40B4-BE49-F238E27FC236}">
              <a16:creationId xmlns:a16="http://schemas.microsoft.com/office/drawing/2014/main" xmlns="" id="{00000000-0008-0000-0000-0000DC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77" name="Text Box 3079">
          <a:extLst>
            <a:ext uri="{FF2B5EF4-FFF2-40B4-BE49-F238E27FC236}">
              <a16:creationId xmlns:a16="http://schemas.microsoft.com/office/drawing/2014/main" xmlns="" id="{00000000-0008-0000-0000-0000DD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78" name="Text Box 3080">
          <a:extLst>
            <a:ext uri="{FF2B5EF4-FFF2-40B4-BE49-F238E27FC236}">
              <a16:creationId xmlns:a16="http://schemas.microsoft.com/office/drawing/2014/main" xmlns="" id="{00000000-0008-0000-0000-0000DE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79" name="Text Box 3081">
          <a:extLst>
            <a:ext uri="{FF2B5EF4-FFF2-40B4-BE49-F238E27FC236}">
              <a16:creationId xmlns:a16="http://schemas.microsoft.com/office/drawing/2014/main" xmlns="" id="{00000000-0008-0000-0000-0000DF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80" name="Text Box 3082">
          <a:extLst>
            <a:ext uri="{FF2B5EF4-FFF2-40B4-BE49-F238E27FC236}">
              <a16:creationId xmlns:a16="http://schemas.microsoft.com/office/drawing/2014/main" xmlns="" id="{00000000-0008-0000-0000-0000E0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81" name="Text Box 3083">
          <a:extLst>
            <a:ext uri="{FF2B5EF4-FFF2-40B4-BE49-F238E27FC236}">
              <a16:creationId xmlns:a16="http://schemas.microsoft.com/office/drawing/2014/main" xmlns="" id="{00000000-0008-0000-0000-0000E1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82" name="Text Box 3084">
          <a:extLst>
            <a:ext uri="{FF2B5EF4-FFF2-40B4-BE49-F238E27FC236}">
              <a16:creationId xmlns:a16="http://schemas.microsoft.com/office/drawing/2014/main" xmlns="" id="{00000000-0008-0000-0000-0000E2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83" name="Text Box 3085">
          <a:extLst>
            <a:ext uri="{FF2B5EF4-FFF2-40B4-BE49-F238E27FC236}">
              <a16:creationId xmlns:a16="http://schemas.microsoft.com/office/drawing/2014/main" xmlns="" id="{00000000-0008-0000-0000-0000E3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84" name="Text Box 3086">
          <a:extLst>
            <a:ext uri="{FF2B5EF4-FFF2-40B4-BE49-F238E27FC236}">
              <a16:creationId xmlns:a16="http://schemas.microsoft.com/office/drawing/2014/main" xmlns="" id="{00000000-0008-0000-0000-0000E4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85" name="Text Box 3087">
          <a:extLst>
            <a:ext uri="{FF2B5EF4-FFF2-40B4-BE49-F238E27FC236}">
              <a16:creationId xmlns:a16="http://schemas.microsoft.com/office/drawing/2014/main" xmlns="" id="{00000000-0008-0000-0000-0000E5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86" name="Text Box 3088">
          <a:extLst>
            <a:ext uri="{FF2B5EF4-FFF2-40B4-BE49-F238E27FC236}">
              <a16:creationId xmlns:a16="http://schemas.microsoft.com/office/drawing/2014/main" xmlns="" id="{00000000-0008-0000-0000-0000E6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87" name="Text Box 3089">
          <a:extLst>
            <a:ext uri="{FF2B5EF4-FFF2-40B4-BE49-F238E27FC236}">
              <a16:creationId xmlns:a16="http://schemas.microsoft.com/office/drawing/2014/main" xmlns="" id="{00000000-0008-0000-0000-0000E7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88" name="Text Box 3090">
          <a:extLst>
            <a:ext uri="{FF2B5EF4-FFF2-40B4-BE49-F238E27FC236}">
              <a16:creationId xmlns:a16="http://schemas.microsoft.com/office/drawing/2014/main" xmlns="" id="{00000000-0008-0000-0000-0000E8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89" name="Text Box 3091">
          <a:extLst>
            <a:ext uri="{FF2B5EF4-FFF2-40B4-BE49-F238E27FC236}">
              <a16:creationId xmlns:a16="http://schemas.microsoft.com/office/drawing/2014/main" xmlns="" id="{00000000-0008-0000-0000-0000E9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90" name="Text Box 3092">
          <a:extLst>
            <a:ext uri="{FF2B5EF4-FFF2-40B4-BE49-F238E27FC236}">
              <a16:creationId xmlns:a16="http://schemas.microsoft.com/office/drawing/2014/main" xmlns="" id="{00000000-0008-0000-0000-0000EA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91" name="Text Box 3093">
          <a:extLst>
            <a:ext uri="{FF2B5EF4-FFF2-40B4-BE49-F238E27FC236}">
              <a16:creationId xmlns:a16="http://schemas.microsoft.com/office/drawing/2014/main" xmlns="" id="{00000000-0008-0000-0000-0000EB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92" name="Text Box 3094">
          <a:extLst>
            <a:ext uri="{FF2B5EF4-FFF2-40B4-BE49-F238E27FC236}">
              <a16:creationId xmlns:a16="http://schemas.microsoft.com/office/drawing/2014/main" xmlns="" id="{00000000-0008-0000-0000-0000EC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93" name="Text Box 3095">
          <a:extLst>
            <a:ext uri="{FF2B5EF4-FFF2-40B4-BE49-F238E27FC236}">
              <a16:creationId xmlns:a16="http://schemas.microsoft.com/office/drawing/2014/main" xmlns="" id="{00000000-0008-0000-0000-0000ED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94" name="Text Box 3096">
          <a:extLst>
            <a:ext uri="{FF2B5EF4-FFF2-40B4-BE49-F238E27FC236}">
              <a16:creationId xmlns:a16="http://schemas.microsoft.com/office/drawing/2014/main" xmlns="" id="{00000000-0008-0000-0000-0000EE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95" name="Text Box 3097">
          <a:extLst>
            <a:ext uri="{FF2B5EF4-FFF2-40B4-BE49-F238E27FC236}">
              <a16:creationId xmlns:a16="http://schemas.microsoft.com/office/drawing/2014/main" xmlns="" id="{00000000-0008-0000-0000-0000EF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96" name="Text Box 3098">
          <a:extLst>
            <a:ext uri="{FF2B5EF4-FFF2-40B4-BE49-F238E27FC236}">
              <a16:creationId xmlns:a16="http://schemas.microsoft.com/office/drawing/2014/main" xmlns="" id="{00000000-0008-0000-0000-0000F0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97" name="Text Box 3099">
          <a:extLst>
            <a:ext uri="{FF2B5EF4-FFF2-40B4-BE49-F238E27FC236}">
              <a16:creationId xmlns:a16="http://schemas.microsoft.com/office/drawing/2014/main" xmlns="" id="{00000000-0008-0000-0000-0000F1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98" name="Text Box 3100">
          <a:extLst>
            <a:ext uri="{FF2B5EF4-FFF2-40B4-BE49-F238E27FC236}">
              <a16:creationId xmlns:a16="http://schemas.microsoft.com/office/drawing/2014/main" xmlns="" id="{00000000-0008-0000-0000-0000F2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99" name="Text Box 3101">
          <a:extLst>
            <a:ext uri="{FF2B5EF4-FFF2-40B4-BE49-F238E27FC236}">
              <a16:creationId xmlns:a16="http://schemas.microsoft.com/office/drawing/2014/main" xmlns="" id="{00000000-0008-0000-0000-0000F3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500" name="Text Box 3102">
          <a:extLst>
            <a:ext uri="{FF2B5EF4-FFF2-40B4-BE49-F238E27FC236}">
              <a16:creationId xmlns:a16="http://schemas.microsoft.com/office/drawing/2014/main" xmlns="" id="{00000000-0008-0000-0000-0000F4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01" name="Text Box 59">
          <a:extLst>
            <a:ext uri="{FF2B5EF4-FFF2-40B4-BE49-F238E27FC236}">
              <a16:creationId xmlns:a16="http://schemas.microsoft.com/office/drawing/2014/main" xmlns="" id="{00000000-0008-0000-0000-0000F5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02" name="Text Box 60">
          <a:extLst>
            <a:ext uri="{FF2B5EF4-FFF2-40B4-BE49-F238E27FC236}">
              <a16:creationId xmlns:a16="http://schemas.microsoft.com/office/drawing/2014/main" xmlns="" id="{00000000-0008-0000-0000-0000F6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03" name="Text Box 61">
          <a:extLst>
            <a:ext uri="{FF2B5EF4-FFF2-40B4-BE49-F238E27FC236}">
              <a16:creationId xmlns:a16="http://schemas.microsoft.com/office/drawing/2014/main" xmlns="" id="{00000000-0008-0000-0000-0000F7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04" name="Text Box 62">
          <a:extLst>
            <a:ext uri="{FF2B5EF4-FFF2-40B4-BE49-F238E27FC236}">
              <a16:creationId xmlns:a16="http://schemas.microsoft.com/office/drawing/2014/main" xmlns="" id="{00000000-0008-0000-0000-0000F8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05" name="Text Box 63">
          <a:extLst>
            <a:ext uri="{FF2B5EF4-FFF2-40B4-BE49-F238E27FC236}">
              <a16:creationId xmlns:a16="http://schemas.microsoft.com/office/drawing/2014/main" xmlns="" id="{00000000-0008-0000-0000-0000F9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06" name="Text Box 64">
          <a:extLst>
            <a:ext uri="{FF2B5EF4-FFF2-40B4-BE49-F238E27FC236}">
              <a16:creationId xmlns:a16="http://schemas.microsoft.com/office/drawing/2014/main" xmlns="" id="{00000000-0008-0000-0000-0000FA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07" name="Text Box 65">
          <a:extLst>
            <a:ext uri="{FF2B5EF4-FFF2-40B4-BE49-F238E27FC236}">
              <a16:creationId xmlns:a16="http://schemas.microsoft.com/office/drawing/2014/main" xmlns="" id="{00000000-0008-0000-0000-0000FB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08" name="Text Box 66">
          <a:extLst>
            <a:ext uri="{FF2B5EF4-FFF2-40B4-BE49-F238E27FC236}">
              <a16:creationId xmlns:a16="http://schemas.microsoft.com/office/drawing/2014/main" xmlns="" id="{00000000-0008-0000-0000-0000FC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09" name="Text Box 67">
          <a:extLst>
            <a:ext uri="{FF2B5EF4-FFF2-40B4-BE49-F238E27FC236}">
              <a16:creationId xmlns:a16="http://schemas.microsoft.com/office/drawing/2014/main" xmlns="" id="{00000000-0008-0000-0000-0000FD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10" name="Text Box 68">
          <a:extLst>
            <a:ext uri="{FF2B5EF4-FFF2-40B4-BE49-F238E27FC236}">
              <a16:creationId xmlns:a16="http://schemas.microsoft.com/office/drawing/2014/main" xmlns="" id="{00000000-0008-0000-0000-0000FE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11" name="Text Box 69">
          <a:extLst>
            <a:ext uri="{FF2B5EF4-FFF2-40B4-BE49-F238E27FC236}">
              <a16:creationId xmlns:a16="http://schemas.microsoft.com/office/drawing/2014/main" xmlns="" id="{00000000-0008-0000-0000-0000FF0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12" name="Text Box 70">
          <a:extLst>
            <a:ext uri="{FF2B5EF4-FFF2-40B4-BE49-F238E27FC236}">
              <a16:creationId xmlns:a16="http://schemas.microsoft.com/office/drawing/2014/main" xmlns="" id="{00000000-0008-0000-0000-000000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13" name="Text Box 71">
          <a:extLst>
            <a:ext uri="{FF2B5EF4-FFF2-40B4-BE49-F238E27FC236}">
              <a16:creationId xmlns:a16="http://schemas.microsoft.com/office/drawing/2014/main" xmlns="" id="{00000000-0008-0000-0000-000001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14" name="Text Box 72">
          <a:extLst>
            <a:ext uri="{FF2B5EF4-FFF2-40B4-BE49-F238E27FC236}">
              <a16:creationId xmlns:a16="http://schemas.microsoft.com/office/drawing/2014/main" xmlns="" id="{00000000-0008-0000-0000-000002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15" name="Text Box 73">
          <a:extLst>
            <a:ext uri="{FF2B5EF4-FFF2-40B4-BE49-F238E27FC236}">
              <a16:creationId xmlns:a16="http://schemas.microsoft.com/office/drawing/2014/main" xmlns="" id="{00000000-0008-0000-0000-000003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16" name="Text Box 74">
          <a:extLst>
            <a:ext uri="{FF2B5EF4-FFF2-40B4-BE49-F238E27FC236}">
              <a16:creationId xmlns:a16="http://schemas.microsoft.com/office/drawing/2014/main" xmlns="" id="{00000000-0008-0000-0000-000004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17" name="Text Box 75">
          <a:extLst>
            <a:ext uri="{FF2B5EF4-FFF2-40B4-BE49-F238E27FC236}">
              <a16:creationId xmlns:a16="http://schemas.microsoft.com/office/drawing/2014/main" xmlns="" id="{00000000-0008-0000-0000-000005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18" name="Text Box 76">
          <a:extLst>
            <a:ext uri="{FF2B5EF4-FFF2-40B4-BE49-F238E27FC236}">
              <a16:creationId xmlns:a16="http://schemas.microsoft.com/office/drawing/2014/main" xmlns="" id="{00000000-0008-0000-0000-000006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19" name="Text Box 77">
          <a:extLst>
            <a:ext uri="{FF2B5EF4-FFF2-40B4-BE49-F238E27FC236}">
              <a16:creationId xmlns:a16="http://schemas.microsoft.com/office/drawing/2014/main" xmlns="" id="{00000000-0008-0000-0000-000007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20" name="Text Box 78">
          <a:extLst>
            <a:ext uri="{FF2B5EF4-FFF2-40B4-BE49-F238E27FC236}">
              <a16:creationId xmlns:a16="http://schemas.microsoft.com/office/drawing/2014/main" xmlns="" id="{00000000-0008-0000-0000-000008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21" name="Text Box 79">
          <a:extLst>
            <a:ext uri="{FF2B5EF4-FFF2-40B4-BE49-F238E27FC236}">
              <a16:creationId xmlns:a16="http://schemas.microsoft.com/office/drawing/2014/main" xmlns="" id="{00000000-0008-0000-0000-000009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22" name="Text Box 80">
          <a:extLst>
            <a:ext uri="{FF2B5EF4-FFF2-40B4-BE49-F238E27FC236}">
              <a16:creationId xmlns:a16="http://schemas.microsoft.com/office/drawing/2014/main" xmlns="" id="{00000000-0008-0000-0000-00000A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23" name="Text Box 81">
          <a:extLst>
            <a:ext uri="{FF2B5EF4-FFF2-40B4-BE49-F238E27FC236}">
              <a16:creationId xmlns:a16="http://schemas.microsoft.com/office/drawing/2014/main" xmlns="" id="{00000000-0008-0000-0000-00000B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47625"/>
    <xdr:sp macro="" textlink="">
      <xdr:nvSpPr>
        <xdr:cNvPr id="524" name="Text Box 82">
          <a:extLst>
            <a:ext uri="{FF2B5EF4-FFF2-40B4-BE49-F238E27FC236}">
              <a16:creationId xmlns:a16="http://schemas.microsoft.com/office/drawing/2014/main" xmlns="" id="{00000000-0008-0000-0000-00000C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25" name="Text Box 3079">
          <a:extLst>
            <a:ext uri="{FF2B5EF4-FFF2-40B4-BE49-F238E27FC236}">
              <a16:creationId xmlns:a16="http://schemas.microsoft.com/office/drawing/2014/main" xmlns="" id="{00000000-0008-0000-0000-00000D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26" name="Text Box 3080">
          <a:extLst>
            <a:ext uri="{FF2B5EF4-FFF2-40B4-BE49-F238E27FC236}">
              <a16:creationId xmlns:a16="http://schemas.microsoft.com/office/drawing/2014/main" xmlns="" id="{00000000-0008-0000-0000-00000E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27" name="Text Box 3081">
          <a:extLst>
            <a:ext uri="{FF2B5EF4-FFF2-40B4-BE49-F238E27FC236}">
              <a16:creationId xmlns:a16="http://schemas.microsoft.com/office/drawing/2014/main" xmlns="" id="{00000000-0008-0000-0000-00000F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28" name="Text Box 3082">
          <a:extLst>
            <a:ext uri="{FF2B5EF4-FFF2-40B4-BE49-F238E27FC236}">
              <a16:creationId xmlns:a16="http://schemas.microsoft.com/office/drawing/2014/main" xmlns="" id="{00000000-0008-0000-0000-000010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29" name="Text Box 3083">
          <a:extLst>
            <a:ext uri="{FF2B5EF4-FFF2-40B4-BE49-F238E27FC236}">
              <a16:creationId xmlns:a16="http://schemas.microsoft.com/office/drawing/2014/main" xmlns="" id="{00000000-0008-0000-0000-000011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30" name="Text Box 3084">
          <a:extLst>
            <a:ext uri="{FF2B5EF4-FFF2-40B4-BE49-F238E27FC236}">
              <a16:creationId xmlns:a16="http://schemas.microsoft.com/office/drawing/2014/main" xmlns="" id="{00000000-0008-0000-0000-000012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31" name="Text Box 3085">
          <a:extLst>
            <a:ext uri="{FF2B5EF4-FFF2-40B4-BE49-F238E27FC236}">
              <a16:creationId xmlns:a16="http://schemas.microsoft.com/office/drawing/2014/main" xmlns="" id="{00000000-0008-0000-0000-000013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32" name="Text Box 3086">
          <a:extLst>
            <a:ext uri="{FF2B5EF4-FFF2-40B4-BE49-F238E27FC236}">
              <a16:creationId xmlns:a16="http://schemas.microsoft.com/office/drawing/2014/main" xmlns="" id="{00000000-0008-0000-0000-000014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33" name="Text Box 3087">
          <a:extLst>
            <a:ext uri="{FF2B5EF4-FFF2-40B4-BE49-F238E27FC236}">
              <a16:creationId xmlns:a16="http://schemas.microsoft.com/office/drawing/2014/main" xmlns="" id="{00000000-0008-0000-0000-000015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34" name="Text Box 3088">
          <a:extLst>
            <a:ext uri="{FF2B5EF4-FFF2-40B4-BE49-F238E27FC236}">
              <a16:creationId xmlns:a16="http://schemas.microsoft.com/office/drawing/2014/main" xmlns="" id="{00000000-0008-0000-0000-000016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35" name="Text Box 3089">
          <a:extLst>
            <a:ext uri="{FF2B5EF4-FFF2-40B4-BE49-F238E27FC236}">
              <a16:creationId xmlns:a16="http://schemas.microsoft.com/office/drawing/2014/main" xmlns="" id="{00000000-0008-0000-0000-000017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36" name="Text Box 3090">
          <a:extLst>
            <a:ext uri="{FF2B5EF4-FFF2-40B4-BE49-F238E27FC236}">
              <a16:creationId xmlns:a16="http://schemas.microsoft.com/office/drawing/2014/main" xmlns="" id="{00000000-0008-0000-0000-000018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37" name="Text Box 3091">
          <a:extLst>
            <a:ext uri="{FF2B5EF4-FFF2-40B4-BE49-F238E27FC236}">
              <a16:creationId xmlns:a16="http://schemas.microsoft.com/office/drawing/2014/main" xmlns="" id="{00000000-0008-0000-0000-000019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38" name="Text Box 3092">
          <a:extLst>
            <a:ext uri="{FF2B5EF4-FFF2-40B4-BE49-F238E27FC236}">
              <a16:creationId xmlns:a16="http://schemas.microsoft.com/office/drawing/2014/main" xmlns="" id="{00000000-0008-0000-0000-00001A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39" name="Text Box 3093">
          <a:extLst>
            <a:ext uri="{FF2B5EF4-FFF2-40B4-BE49-F238E27FC236}">
              <a16:creationId xmlns:a16="http://schemas.microsoft.com/office/drawing/2014/main" xmlns="" id="{00000000-0008-0000-0000-00001B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40" name="Text Box 3094">
          <a:extLst>
            <a:ext uri="{FF2B5EF4-FFF2-40B4-BE49-F238E27FC236}">
              <a16:creationId xmlns:a16="http://schemas.microsoft.com/office/drawing/2014/main" xmlns="" id="{00000000-0008-0000-0000-00001C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41" name="Text Box 3095">
          <a:extLst>
            <a:ext uri="{FF2B5EF4-FFF2-40B4-BE49-F238E27FC236}">
              <a16:creationId xmlns:a16="http://schemas.microsoft.com/office/drawing/2014/main" xmlns="" id="{00000000-0008-0000-0000-00001D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42" name="Text Box 3096">
          <a:extLst>
            <a:ext uri="{FF2B5EF4-FFF2-40B4-BE49-F238E27FC236}">
              <a16:creationId xmlns:a16="http://schemas.microsoft.com/office/drawing/2014/main" xmlns="" id="{00000000-0008-0000-0000-00001E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43" name="Text Box 3097">
          <a:extLst>
            <a:ext uri="{FF2B5EF4-FFF2-40B4-BE49-F238E27FC236}">
              <a16:creationId xmlns:a16="http://schemas.microsoft.com/office/drawing/2014/main" xmlns="" id="{00000000-0008-0000-0000-00001F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44" name="Text Box 3098">
          <a:extLst>
            <a:ext uri="{FF2B5EF4-FFF2-40B4-BE49-F238E27FC236}">
              <a16:creationId xmlns:a16="http://schemas.microsoft.com/office/drawing/2014/main" xmlns="" id="{00000000-0008-0000-0000-000020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45" name="Text Box 3099">
          <a:extLst>
            <a:ext uri="{FF2B5EF4-FFF2-40B4-BE49-F238E27FC236}">
              <a16:creationId xmlns:a16="http://schemas.microsoft.com/office/drawing/2014/main" xmlns="" id="{00000000-0008-0000-0000-000021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46" name="Text Box 3100">
          <a:extLst>
            <a:ext uri="{FF2B5EF4-FFF2-40B4-BE49-F238E27FC236}">
              <a16:creationId xmlns:a16="http://schemas.microsoft.com/office/drawing/2014/main" xmlns="" id="{00000000-0008-0000-0000-000022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47" name="Text Box 3101">
          <a:extLst>
            <a:ext uri="{FF2B5EF4-FFF2-40B4-BE49-F238E27FC236}">
              <a16:creationId xmlns:a16="http://schemas.microsoft.com/office/drawing/2014/main" xmlns="" id="{00000000-0008-0000-0000-000023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548" name="Text Box 3102">
          <a:extLst>
            <a:ext uri="{FF2B5EF4-FFF2-40B4-BE49-F238E27FC236}">
              <a16:creationId xmlns:a16="http://schemas.microsoft.com/office/drawing/2014/main" xmlns="" id="{00000000-0008-0000-0000-000024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49" name="Text Box 59">
          <a:extLst>
            <a:ext uri="{FF2B5EF4-FFF2-40B4-BE49-F238E27FC236}">
              <a16:creationId xmlns:a16="http://schemas.microsoft.com/office/drawing/2014/main" xmlns="" id="{00000000-0008-0000-0000-000025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50" name="Text Box 60">
          <a:extLst>
            <a:ext uri="{FF2B5EF4-FFF2-40B4-BE49-F238E27FC236}">
              <a16:creationId xmlns:a16="http://schemas.microsoft.com/office/drawing/2014/main" xmlns="" id="{00000000-0008-0000-0000-000026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51" name="Text Box 61">
          <a:extLst>
            <a:ext uri="{FF2B5EF4-FFF2-40B4-BE49-F238E27FC236}">
              <a16:creationId xmlns:a16="http://schemas.microsoft.com/office/drawing/2014/main" xmlns="" id="{00000000-0008-0000-0000-000027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52" name="Text Box 62">
          <a:extLst>
            <a:ext uri="{FF2B5EF4-FFF2-40B4-BE49-F238E27FC236}">
              <a16:creationId xmlns:a16="http://schemas.microsoft.com/office/drawing/2014/main" xmlns="" id="{00000000-0008-0000-0000-000028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53" name="Text Box 63">
          <a:extLst>
            <a:ext uri="{FF2B5EF4-FFF2-40B4-BE49-F238E27FC236}">
              <a16:creationId xmlns:a16="http://schemas.microsoft.com/office/drawing/2014/main" xmlns="" id="{00000000-0008-0000-0000-000029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54" name="Text Box 64">
          <a:extLst>
            <a:ext uri="{FF2B5EF4-FFF2-40B4-BE49-F238E27FC236}">
              <a16:creationId xmlns:a16="http://schemas.microsoft.com/office/drawing/2014/main" xmlns="" id="{00000000-0008-0000-0000-00002A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55" name="Text Box 65">
          <a:extLst>
            <a:ext uri="{FF2B5EF4-FFF2-40B4-BE49-F238E27FC236}">
              <a16:creationId xmlns:a16="http://schemas.microsoft.com/office/drawing/2014/main" xmlns="" id="{00000000-0008-0000-0000-00002B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56" name="Text Box 66">
          <a:extLst>
            <a:ext uri="{FF2B5EF4-FFF2-40B4-BE49-F238E27FC236}">
              <a16:creationId xmlns:a16="http://schemas.microsoft.com/office/drawing/2014/main" xmlns="" id="{00000000-0008-0000-0000-00002C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57" name="Text Box 67">
          <a:extLst>
            <a:ext uri="{FF2B5EF4-FFF2-40B4-BE49-F238E27FC236}">
              <a16:creationId xmlns:a16="http://schemas.microsoft.com/office/drawing/2014/main" xmlns="" id="{00000000-0008-0000-0000-00002D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58" name="Text Box 68">
          <a:extLst>
            <a:ext uri="{FF2B5EF4-FFF2-40B4-BE49-F238E27FC236}">
              <a16:creationId xmlns:a16="http://schemas.microsoft.com/office/drawing/2014/main" xmlns="" id="{00000000-0008-0000-0000-00002E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59" name="Text Box 69">
          <a:extLst>
            <a:ext uri="{FF2B5EF4-FFF2-40B4-BE49-F238E27FC236}">
              <a16:creationId xmlns:a16="http://schemas.microsoft.com/office/drawing/2014/main" xmlns="" id="{00000000-0008-0000-0000-00002F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60" name="Text Box 70">
          <a:extLst>
            <a:ext uri="{FF2B5EF4-FFF2-40B4-BE49-F238E27FC236}">
              <a16:creationId xmlns:a16="http://schemas.microsoft.com/office/drawing/2014/main" xmlns="" id="{00000000-0008-0000-0000-000030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61" name="Text Box 71">
          <a:extLst>
            <a:ext uri="{FF2B5EF4-FFF2-40B4-BE49-F238E27FC236}">
              <a16:creationId xmlns:a16="http://schemas.microsoft.com/office/drawing/2014/main" xmlns="" id="{00000000-0008-0000-0000-000031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62" name="Text Box 72">
          <a:extLst>
            <a:ext uri="{FF2B5EF4-FFF2-40B4-BE49-F238E27FC236}">
              <a16:creationId xmlns:a16="http://schemas.microsoft.com/office/drawing/2014/main" xmlns="" id="{00000000-0008-0000-0000-000032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63" name="Text Box 73">
          <a:extLst>
            <a:ext uri="{FF2B5EF4-FFF2-40B4-BE49-F238E27FC236}">
              <a16:creationId xmlns:a16="http://schemas.microsoft.com/office/drawing/2014/main" xmlns="" id="{00000000-0008-0000-0000-000033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64" name="Text Box 74">
          <a:extLst>
            <a:ext uri="{FF2B5EF4-FFF2-40B4-BE49-F238E27FC236}">
              <a16:creationId xmlns:a16="http://schemas.microsoft.com/office/drawing/2014/main" xmlns="" id="{00000000-0008-0000-0000-000034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65" name="Text Box 75">
          <a:extLst>
            <a:ext uri="{FF2B5EF4-FFF2-40B4-BE49-F238E27FC236}">
              <a16:creationId xmlns:a16="http://schemas.microsoft.com/office/drawing/2014/main" xmlns="" id="{00000000-0008-0000-0000-000035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66" name="Text Box 76">
          <a:extLst>
            <a:ext uri="{FF2B5EF4-FFF2-40B4-BE49-F238E27FC236}">
              <a16:creationId xmlns:a16="http://schemas.microsoft.com/office/drawing/2014/main" xmlns="" id="{00000000-0008-0000-0000-000036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67" name="Text Box 77">
          <a:extLst>
            <a:ext uri="{FF2B5EF4-FFF2-40B4-BE49-F238E27FC236}">
              <a16:creationId xmlns:a16="http://schemas.microsoft.com/office/drawing/2014/main" xmlns="" id="{00000000-0008-0000-0000-000037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68" name="Text Box 78">
          <a:extLst>
            <a:ext uri="{FF2B5EF4-FFF2-40B4-BE49-F238E27FC236}">
              <a16:creationId xmlns:a16="http://schemas.microsoft.com/office/drawing/2014/main" xmlns="" id="{00000000-0008-0000-0000-000038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69" name="Text Box 79">
          <a:extLst>
            <a:ext uri="{FF2B5EF4-FFF2-40B4-BE49-F238E27FC236}">
              <a16:creationId xmlns:a16="http://schemas.microsoft.com/office/drawing/2014/main" xmlns="" id="{00000000-0008-0000-0000-000039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70" name="Text Box 80">
          <a:extLst>
            <a:ext uri="{FF2B5EF4-FFF2-40B4-BE49-F238E27FC236}">
              <a16:creationId xmlns:a16="http://schemas.microsoft.com/office/drawing/2014/main" xmlns="" id="{00000000-0008-0000-0000-00003A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71" name="Text Box 81">
          <a:extLst>
            <a:ext uri="{FF2B5EF4-FFF2-40B4-BE49-F238E27FC236}">
              <a16:creationId xmlns:a16="http://schemas.microsoft.com/office/drawing/2014/main" xmlns="" id="{00000000-0008-0000-0000-00003B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72" name="Text Box 3079">
          <a:extLst>
            <a:ext uri="{FF2B5EF4-FFF2-40B4-BE49-F238E27FC236}">
              <a16:creationId xmlns:a16="http://schemas.microsoft.com/office/drawing/2014/main" xmlns="" id="{00000000-0008-0000-0000-00003C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73" name="Text Box 3080">
          <a:extLst>
            <a:ext uri="{FF2B5EF4-FFF2-40B4-BE49-F238E27FC236}">
              <a16:creationId xmlns:a16="http://schemas.microsoft.com/office/drawing/2014/main" xmlns="" id="{00000000-0008-0000-0000-00003D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74" name="Text Box 3081">
          <a:extLst>
            <a:ext uri="{FF2B5EF4-FFF2-40B4-BE49-F238E27FC236}">
              <a16:creationId xmlns:a16="http://schemas.microsoft.com/office/drawing/2014/main" xmlns="" id="{00000000-0008-0000-0000-00003E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75" name="Text Box 3082">
          <a:extLst>
            <a:ext uri="{FF2B5EF4-FFF2-40B4-BE49-F238E27FC236}">
              <a16:creationId xmlns:a16="http://schemas.microsoft.com/office/drawing/2014/main" xmlns="" id="{00000000-0008-0000-0000-00003F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76" name="Text Box 3083">
          <a:extLst>
            <a:ext uri="{FF2B5EF4-FFF2-40B4-BE49-F238E27FC236}">
              <a16:creationId xmlns:a16="http://schemas.microsoft.com/office/drawing/2014/main" xmlns="" id="{00000000-0008-0000-0000-000040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77" name="Text Box 3084">
          <a:extLst>
            <a:ext uri="{FF2B5EF4-FFF2-40B4-BE49-F238E27FC236}">
              <a16:creationId xmlns:a16="http://schemas.microsoft.com/office/drawing/2014/main" xmlns="" id="{00000000-0008-0000-0000-000041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78" name="Text Box 3085">
          <a:extLst>
            <a:ext uri="{FF2B5EF4-FFF2-40B4-BE49-F238E27FC236}">
              <a16:creationId xmlns:a16="http://schemas.microsoft.com/office/drawing/2014/main" xmlns="" id="{00000000-0008-0000-0000-000042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79" name="Text Box 3086">
          <a:extLst>
            <a:ext uri="{FF2B5EF4-FFF2-40B4-BE49-F238E27FC236}">
              <a16:creationId xmlns:a16="http://schemas.microsoft.com/office/drawing/2014/main" xmlns="" id="{00000000-0008-0000-0000-000043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80" name="Text Box 3087">
          <a:extLst>
            <a:ext uri="{FF2B5EF4-FFF2-40B4-BE49-F238E27FC236}">
              <a16:creationId xmlns:a16="http://schemas.microsoft.com/office/drawing/2014/main" xmlns="" id="{00000000-0008-0000-0000-000044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81" name="Text Box 3088">
          <a:extLst>
            <a:ext uri="{FF2B5EF4-FFF2-40B4-BE49-F238E27FC236}">
              <a16:creationId xmlns:a16="http://schemas.microsoft.com/office/drawing/2014/main" xmlns="" id="{00000000-0008-0000-0000-000045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82" name="Text Box 3089">
          <a:extLst>
            <a:ext uri="{FF2B5EF4-FFF2-40B4-BE49-F238E27FC236}">
              <a16:creationId xmlns:a16="http://schemas.microsoft.com/office/drawing/2014/main" xmlns="" id="{00000000-0008-0000-0000-000046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83" name="Text Box 3090">
          <a:extLst>
            <a:ext uri="{FF2B5EF4-FFF2-40B4-BE49-F238E27FC236}">
              <a16:creationId xmlns:a16="http://schemas.microsoft.com/office/drawing/2014/main" xmlns="" id="{00000000-0008-0000-0000-000047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84" name="Text Box 3091">
          <a:extLst>
            <a:ext uri="{FF2B5EF4-FFF2-40B4-BE49-F238E27FC236}">
              <a16:creationId xmlns:a16="http://schemas.microsoft.com/office/drawing/2014/main" xmlns="" id="{00000000-0008-0000-0000-000048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85" name="Text Box 3092">
          <a:extLst>
            <a:ext uri="{FF2B5EF4-FFF2-40B4-BE49-F238E27FC236}">
              <a16:creationId xmlns:a16="http://schemas.microsoft.com/office/drawing/2014/main" xmlns="" id="{00000000-0008-0000-0000-000049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86" name="Text Box 3093">
          <a:extLst>
            <a:ext uri="{FF2B5EF4-FFF2-40B4-BE49-F238E27FC236}">
              <a16:creationId xmlns:a16="http://schemas.microsoft.com/office/drawing/2014/main" xmlns="" id="{00000000-0008-0000-0000-00004A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87" name="Text Box 3094">
          <a:extLst>
            <a:ext uri="{FF2B5EF4-FFF2-40B4-BE49-F238E27FC236}">
              <a16:creationId xmlns:a16="http://schemas.microsoft.com/office/drawing/2014/main" xmlns="" id="{00000000-0008-0000-0000-00004B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88" name="Text Box 3095">
          <a:extLst>
            <a:ext uri="{FF2B5EF4-FFF2-40B4-BE49-F238E27FC236}">
              <a16:creationId xmlns:a16="http://schemas.microsoft.com/office/drawing/2014/main" xmlns="" id="{00000000-0008-0000-0000-00004C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89" name="Text Box 3096">
          <a:extLst>
            <a:ext uri="{FF2B5EF4-FFF2-40B4-BE49-F238E27FC236}">
              <a16:creationId xmlns:a16="http://schemas.microsoft.com/office/drawing/2014/main" xmlns="" id="{00000000-0008-0000-0000-00004D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90" name="Text Box 3097">
          <a:extLst>
            <a:ext uri="{FF2B5EF4-FFF2-40B4-BE49-F238E27FC236}">
              <a16:creationId xmlns:a16="http://schemas.microsoft.com/office/drawing/2014/main" xmlns="" id="{00000000-0008-0000-0000-00004E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91" name="Text Box 3098">
          <a:extLst>
            <a:ext uri="{FF2B5EF4-FFF2-40B4-BE49-F238E27FC236}">
              <a16:creationId xmlns:a16="http://schemas.microsoft.com/office/drawing/2014/main" xmlns="" id="{00000000-0008-0000-0000-00004F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92" name="Text Box 3099">
          <a:extLst>
            <a:ext uri="{FF2B5EF4-FFF2-40B4-BE49-F238E27FC236}">
              <a16:creationId xmlns:a16="http://schemas.microsoft.com/office/drawing/2014/main" xmlns="" id="{00000000-0008-0000-0000-000050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93" name="Text Box 3100">
          <a:extLst>
            <a:ext uri="{FF2B5EF4-FFF2-40B4-BE49-F238E27FC236}">
              <a16:creationId xmlns:a16="http://schemas.microsoft.com/office/drawing/2014/main" xmlns="" id="{00000000-0008-0000-0000-000051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94" name="Text Box 3101">
          <a:extLst>
            <a:ext uri="{FF2B5EF4-FFF2-40B4-BE49-F238E27FC236}">
              <a16:creationId xmlns:a16="http://schemas.microsoft.com/office/drawing/2014/main" xmlns="" id="{00000000-0008-0000-0000-000052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595" name="Text Box 3102">
          <a:extLst>
            <a:ext uri="{FF2B5EF4-FFF2-40B4-BE49-F238E27FC236}">
              <a16:creationId xmlns:a16="http://schemas.microsoft.com/office/drawing/2014/main" xmlns="" id="{00000000-0008-0000-0000-000053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96" name="Text Box 59">
          <a:extLst>
            <a:ext uri="{FF2B5EF4-FFF2-40B4-BE49-F238E27FC236}">
              <a16:creationId xmlns:a16="http://schemas.microsoft.com/office/drawing/2014/main" xmlns="" id="{00000000-0008-0000-0000-000054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97" name="Text Box 60">
          <a:extLst>
            <a:ext uri="{FF2B5EF4-FFF2-40B4-BE49-F238E27FC236}">
              <a16:creationId xmlns:a16="http://schemas.microsoft.com/office/drawing/2014/main" xmlns="" id="{00000000-0008-0000-0000-000055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98" name="Text Box 61">
          <a:extLst>
            <a:ext uri="{FF2B5EF4-FFF2-40B4-BE49-F238E27FC236}">
              <a16:creationId xmlns:a16="http://schemas.microsoft.com/office/drawing/2014/main" xmlns="" id="{00000000-0008-0000-0000-000056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99" name="Text Box 62">
          <a:extLst>
            <a:ext uri="{FF2B5EF4-FFF2-40B4-BE49-F238E27FC236}">
              <a16:creationId xmlns:a16="http://schemas.microsoft.com/office/drawing/2014/main" xmlns="" id="{00000000-0008-0000-0000-000057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600" name="Text Box 63">
          <a:extLst>
            <a:ext uri="{FF2B5EF4-FFF2-40B4-BE49-F238E27FC236}">
              <a16:creationId xmlns:a16="http://schemas.microsoft.com/office/drawing/2014/main" xmlns="" id="{00000000-0008-0000-0000-000058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601" name="Text Box 64">
          <a:extLst>
            <a:ext uri="{FF2B5EF4-FFF2-40B4-BE49-F238E27FC236}">
              <a16:creationId xmlns:a16="http://schemas.microsoft.com/office/drawing/2014/main" xmlns="" id="{00000000-0008-0000-0000-000059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602" name="Text Box 65">
          <a:extLst>
            <a:ext uri="{FF2B5EF4-FFF2-40B4-BE49-F238E27FC236}">
              <a16:creationId xmlns:a16="http://schemas.microsoft.com/office/drawing/2014/main" xmlns="" id="{00000000-0008-0000-0000-00005A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603" name="Text Box 66">
          <a:extLst>
            <a:ext uri="{FF2B5EF4-FFF2-40B4-BE49-F238E27FC236}">
              <a16:creationId xmlns:a16="http://schemas.microsoft.com/office/drawing/2014/main" xmlns="" id="{00000000-0008-0000-0000-00005B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604" name="Text Box 67">
          <a:extLst>
            <a:ext uri="{FF2B5EF4-FFF2-40B4-BE49-F238E27FC236}">
              <a16:creationId xmlns:a16="http://schemas.microsoft.com/office/drawing/2014/main" xmlns="" id="{00000000-0008-0000-0000-00005C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605" name="Text Box 68">
          <a:extLst>
            <a:ext uri="{FF2B5EF4-FFF2-40B4-BE49-F238E27FC236}">
              <a16:creationId xmlns:a16="http://schemas.microsoft.com/office/drawing/2014/main" xmlns="" id="{00000000-0008-0000-0000-00005D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606" name="Text Box 69">
          <a:extLst>
            <a:ext uri="{FF2B5EF4-FFF2-40B4-BE49-F238E27FC236}">
              <a16:creationId xmlns:a16="http://schemas.microsoft.com/office/drawing/2014/main" xmlns="" id="{00000000-0008-0000-0000-00005E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607" name="Text Box 70">
          <a:extLst>
            <a:ext uri="{FF2B5EF4-FFF2-40B4-BE49-F238E27FC236}">
              <a16:creationId xmlns:a16="http://schemas.microsoft.com/office/drawing/2014/main" xmlns="" id="{00000000-0008-0000-0000-00005F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608" name="Text Box 71">
          <a:extLst>
            <a:ext uri="{FF2B5EF4-FFF2-40B4-BE49-F238E27FC236}">
              <a16:creationId xmlns:a16="http://schemas.microsoft.com/office/drawing/2014/main" xmlns="" id="{00000000-0008-0000-0000-000060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609" name="Text Box 72">
          <a:extLst>
            <a:ext uri="{FF2B5EF4-FFF2-40B4-BE49-F238E27FC236}">
              <a16:creationId xmlns:a16="http://schemas.microsoft.com/office/drawing/2014/main" xmlns="" id="{00000000-0008-0000-0000-000061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610" name="Text Box 73">
          <a:extLst>
            <a:ext uri="{FF2B5EF4-FFF2-40B4-BE49-F238E27FC236}">
              <a16:creationId xmlns:a16="http://schemas.microsoft.com/office/drawing/2014/main" xmlns="" id="{00000000-0008-0000-0000-000062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611" name="Text Box 74">
          <a:extLst>
            <a:ext uri="{FF2B5EF4-FFF2-40B4-BE49-F238E27FC236}">
              <a16:creationId xmlns:a16="http://schemas.microsoft.com/office/drawing/2014/main" xmlns="" id="{00000000-0008-0000-0000-000063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612" name="Text Box 75">
          <a:extLst>
            <a:ext uri="{FF2B5EF4-FFF2-40B4-BE49-F238E27FC236}">
              <a16:creationId xmlns:a16="http://schemas.microsoft.com/office/drawing/2014/main" xmlns="" id="{00000000-0008-0000-0000-000064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613" name="Text Box 76">
          <a:extLst>
            <a:ext uri="{FF2B5EF4-FFF2-40B4-BE49-F238E27FC236}">
              <a16:creationId xmlns:a16="http://schemas.microsoft.com/office/drawing/2014/main" xmlns="" id="{00000000-0008-0000-0000-000065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614" name="Text Box 77">
          <a:extLst>
            <a:ext uri="{FF2B5EF4-FFF2-40B4-BE49-F238E27FC236}">
              <a16:creationId xmlns:a16="http://schemas.microsoft.com/office/drawing/2014/main" xmlns="" id="{00000000-0008-0000-0000-000066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615" name="Text Box 78">
          <a:extLst>
            <a:ext uri="{FF2B5EF4-FFF2-40B4-BE49-F238E27FC236}">
              <a16:creationId xmlns:a16="http://schemas.microsoft.com/office/drawing/2014/main" xmlns="" id="{00000000-0008-0000-0000-000067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616" name="Text Box 79">
          <a:extLst>
            <a:ext uri="{FF2B5EF4-FFF2-40B4-BE49-F238E27FC236}">
              <a16:creationId xmlns:a16="http://schemas.microsoft.com/office/drawing/2014/main" xmlns="" id="{00000000-0008-0000-0000-000068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617" name="Text Box 80">
          <a:extLst>
            <a:ext uri="{FF2B5EF4-FFF2-40B4-BE49-F238E27FC236}">
              <a16:creationId xmlns:a16="http://schemas.microsoft.com/office/drawing/2014/main" xmlns="" id="{00000000-0008-0000-0000-000069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618" name="Text Box 81">
          <a:extLst>
            <a:ext uri="{FF2B5EF4-FFF2-40B4-BE49-F238E27FC236}">
              <a16:creationId xmlns:a16="http://schemas.microsoft.com/office/drawing/2014/main" xmlns="" id="{00000000-0008-0000-0000-00006A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47625"/>
    <xdr:sp macro="" textlink="">
      <xdr:nvSpPr>
        <xdr:cNvPr id="619" name="Text Box 82">
          <a:extLst>
            <a:ext uri="{FF2B5EF4-FFF2-40B4-BE49-F238E27FC236}">
              <a16:creationId xmlns:a16="http://schemas.microsoft.com/office/drawing/2014/main" xmlns="" id="{00000000-0008-0000-0000-00006B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620" name="Text Box 3079">
          <a:extLst>
            <a:ext uri="{FF2B5EF4-FFF2-40B4-BE49-F238E27FC236}">
              <a16:creationId xmlns:a16="http://schemas.microsoft.com/office/drawing/2014/main" xmlns="" id="{00000000-0008-0000-0000-00006C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621" name="Text Box 3080">
          <a:extLst>
            <a:ext uri="{FF2B5EF4-FFF2-40B4-BE49-F238E27FC236}">
              <a16:creationId xmlns:a16="http://schemas.microsoft.com/office/drawing/2014/main" xmlns="" id="{00000000-0008-0000-0000-00006D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622" name="Text Box 3081">
          <a:extLst>
            <a:ext uri="{FF2B5EF4-FFF2-40B4-BE49-F238E27FC236}">
              <a16:creationId xmlns:a16="http://schemas.microsoft.com/office/drawing/2014/main" xmlns="" id="{00000000-0008-0000-0000-00006E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623" name="Text Box 3082">
          <a:extLst>
            <a:ext uri="{FF2B5EF4-FFF2-40B4-BE49-F238E27FC236}">
              <a16:creationId xmlns:a16="http://schemas.microsoft.com/office/drawing/2014/main" xmlns="" id="{00000000-0008-0000-0000-00006F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624" name="Text Box 3083">
          <a:extLst>
            <a:ext uri="{FF2B5EF4-FFF2-40B4-BE49-F238E27FC236}">
              <a16:creationId xmlns:a16="http://schemas.microsoft.com/office/drawing/2014/main" xmlns="" id="{00000000-0008-0000-0000-000070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625" name="Text Box 3084">
          <a:extLst>
            <a:ext uri="{FF2B5EF4-FFF2-40B4-BE49-F238E27FC236}">
              <a16:creationId xmlns:a16="http://schemas.microsoft.com/office/drawing/2014/main" xmlns="" id="{00000000-0008-0000-0000-000071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626" name="Text Box 3085">
          <a:extLst>
            <a:ext uri="{FF2B5EF4-FFF2-40B4-BE49-F238E27FC236}">
              <a16:creationId xmlns:a16="http://schemas.microsoft.com/office/drawing/2014/main" xmlns="" id="{00000000-0008-0000-0000-000072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627" name="Text Box 3086">
          <a:extLst>
            <a:ext uri="{FF2B5EF4-FFF2-40B4-BE49-F238E27FC236}">
              <a16:creationId xmlns:a16="http://schemas.microsoft.com/office/drawing/2014/main" xmlns="" id="{00000000-0008-0000-0000-000073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628" name="Text Box 3087">
          <a:extLst>
            <a:ext uri="{FF2B5EF4-FFF2-40B4-BE49-F238E27FC236}">
              <a16:creationId xmlns:a16="http://schemas.microsoft.com/office/drawing/2014/main" xmlns="" id="{00000000-0008-0000-0000-000074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629" name="Text Box 3088">
          <a:extLst>
            <a:ext uri="{FF2B5EF4-FFF2-40B4-BE49-F238E27FC236}">
              <a16:creationId xmlns:a16="http://schemas.microsoft.com/office/drawing/2014/main" xmlns="" id="{00000000-0008-0000-0000-000075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630" name="Text Box 3089">
          <a:extLst>
            <a:ext uri="{FF2B5EF4-FFF2-40B4-BE49-F238E27FC236}">
              <a16:creationId xmlns:a16="http://schemas.microsoft.com/office/drawing/2014/main" xmlns="" id="{00000000-0008-0000-0000-000076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631" name="Text Box 3090">
          <a:extLst>
            <a:ext uri="{FF2B5EF4-FFF2-40B4-BE49-F238E27FC236}">
              <a16:creationId xmlns:a16="http://schemas.microsoft.com/office/drawing/2014/main" xmlns="" id="{00000000-0008-0000-0000-000077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632" name="Text Box 3091">
          <a:extLst>
            <a:ext uri="{FF2B5EF4-FFF2-40B4-BE49-F238E27FC236}">
              <a16:creationId xmlns:a16="http://schemas.microsoft.com/office/drawing/2014/main" xmlns="" id="{00000000-0008-0000-0000-000078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633" name="Text Box 3092">
          <a:extLst>
            <a:ext uri="{FF2B5EF4-FFF2-40B4-BE49-F238E27FC236}">
              <a16:creationId xmlns:a16="http://schemas.microsoft.com/office/drawing/2014/main" xmlns="" id="{00000000-0008-0000-0000-000079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634" name="Text Box 3093">
          <a:extLst>
            <a:ext uri="{FF2B5EF4-FFF2-40B4-BE49-F238E27FC236}">
              <a16:creationId xmlns:a16="http://schemas.microsoft.com/office/drawing/2014/main" xmlns="" id="{00000000-0008-0000-0000-00007A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635" name="Text Box 3094">
          <a:extLst>
            <a:ext uri="{FF2B5EF4-FFF2-40B4-BE49-F238E27FC236}">
              <a16:creationId xmlns:a16="http://schemas.microsoft.com/office/drawing/2014/main" xmlns="" id="{00000000-0008-0000-0000-00007B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636" name="Text Box 3095">
          <a:extLst>
            <a:ext uri="{FF2B5EF4-FFF2-40B4-BE49-F238E27FC236}">
              <a16:creationId xmlns:a16="http://schemas.microsoft.com/office/drawing/2014/main" xmlns="" id="{00000000-0008-0000-0000-00007C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637" name="Text Box 3096">
          <a:extLst>
            <a:ext uri="{FF2B5EF4-FFF2-40B4-BE49-F238E27FC236}">
              <a16:creationId xmlns:a16="http://schemas.microsoft.com/office/drawing/2014/main" xmlns="" id="{00000000-0008-0000-0000-00007D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638" name="Text Box 3097">
          <a:extLst>
            <a:ext uri="{FF2B5EF4-FFF2-40B4-BE49-F238E27FC236}">
              <a16:creationId xmlns:a16="http://schemas.microsoft.com/office/drawing/2014/main" xmlns="" id="{00000000-0008-0000-0000-00007E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639" name="Text Box 3098">
          <a:extLst>
            <a:ext uri="{FF2B5EF4-FFF2-40B4-BE49-F238E27FC236}">
              <a16:creationId xmlns:a16="http://schemas.microsoft.com/office/drawing/2014/main" xmlns="" id="{00000000-0008-0000-0000-00007F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640" name="Text Box 3099">
          <a:extLst>
            <a:ext uri="{FF2B5EF4-FFF2-40B4-BE49-F238E27FC236}">
              <a16:creationId xmlns:a16="http://schemas.microsoft.com/office/drawing/2014/main" xmlns="" id="{00000000-0008-0000-0000-000080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641" name="Text Box 3100">
          <a:extLst>
            <a:ext uri="{FF2B5EF4-FFF2-40B4-BE49-F238E27FC236}">
              <a16:creationId xmlns:a16="http://schemas.microsoft.com/office/drawing/2014/main" xmlns="" id="{00000000-0008-0000-0000-000081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642" name="Text Box 3101">
          <a:extLst>
            <a:ext uri="{FF2B5EF4-FFF2-40B4-BE49-F238E27FC236}">
              <a16:creationId xmlns:a16="http://schemas.microsoft.com/office/drawing/2014/main" xmlns="" id="{00000000-0008-0000-0000-000082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643" name="Text Box 3102">
          <a:extLst>
            <a:ext uri="{FF2B5EF4-FFF2-40B4-BE49-F238E27FC236}">
              <a16:creationId xmlns:a16="http://schemas.microsoft.com/office/drawing/2014/main" xmlns="" id="{00000000-0008-0000-0000-000083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644" name="Text Box 59">
          <a:extLst>
            <a:ext uri="{FF2B5EF4-FFF2-40B4-BE49-F238E27FC236}">
              <a16:creationId xmlns:a16="http://schemas.microsoft.com/office/drawing/2014/main" xmlns="" id="{00000000-0008-0000-0000-000084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645" name="Text Box 60">
          <a:extLst>
            <a:ext uri="{FF2B5EF4-FFF2-40B4-BE49-F238E27FC236}">
              <a16:creationId xmlns:a16="http://schemas.microsoft.com/office/drawing/2014/main" xmlns="" id="{00000000-0008-0000-0000-000085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646" name="Text Box 61">
          <a:extLst>
            <a:ext uri="{FF2B5EF4-FFF2-40B4-BE49-F238E27FC236}">
              <a16:creationId xmlns:a16="http://schemas.microsoft.com/office/drawing/2014/main" xmlns="" id="{00000000-0008-0000-0000-000086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647" name="Text Box 62">
          <a:extLst>
            <a:ext uri="{FF2B5EF4-FFF2-40B4-BE49-F238E27FC236}">
              <a16:creationId xmlns:a16="http://schemas.microsoft.com/office/drawing/2014/main" xmlns="" id="{00000000-0008-0000-0000-000087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648" name="Text Box 63">
          <a:extLst>
            <a:ext uri="{FF2B5EF4-FFF2-40B4-BE49-F238E27FC236}">
              <a16:creationId xmlns:a16="http://schemas.microsoft.com/office/drawing/2014/main" xmlns="" id="{00000000-0008-0000-0000-000088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649" name="Text Box 64">
          <a:extLst>
            <a:ext uri="{FF2B5EF4-FFF2-40B4-BE49-F238E27FC236}">
              <a16:creationId xmlns:a16="http://schemas.microsoft.com/office/drawing/2014/main" xmlns="" id="{00000000-0008-0000-0000-000089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650" name="Text Box 65">
          <a:extLst>
            <a:ext uri="{FF2B5EF4-FFF2-40B4-BE49-F238E27FC236}">
              <a16:creationId xmlns:a16="http://schemas.microsoft.com/office/drawing/2014/main" xmlns="" id="{00000000-0008-0000-0000-00008A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651" name="Text Box 66">
          <a:extLst>
            <a:ext uri="{FF2B5EF4-FFF2-40B4-BE49-F238E27FC236}">
              <a16:creationId xmlns:a16="http://schemas.microsoft.com/office/drawing/2014/main" xmlns="" id="{00000000-0008-0000-0000-00008B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652" name="Text Box 67">
          <a:extLst>
            <a:ext uri="{FF2B5EF4-FFF2-40B4-BE49-F238E27FC236}">
              <a16:creationId xmlns:a16="http://schemas.microsoft.com/office/drawing/2014/main" xmlns="" id="{00000000-0008-0000-0000-00008C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653" name="Text Box 68">
          <a:extLst>
            <a:ext uri="{FF2B5EF4-FFF2-40B4-BE49-F238E27FC236}">
              <a16:creationId xmlns:a16="http://schemas.microsoft.com/office/drawing/2014/main" xmlns="" id="{00000000-0008-0000-0000-00008D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654" name="Text Box 69">
          <a:extLst>
            <a:ext uri="{FF2B5EF4-FFF2-40B4-BE49-F238E27FC236}">
              <a16:creationId xmlns:a16="http://schemas.microsoft.com/office/drawing/2014/main" xmlns="" id="{00000000-0008-0000-0000-00008E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655" name="Text Box 70">
          <a:extLst>
            <a:ext uri="{FF2B5EF4-FFF2-40B4-BE49-F238E27FC236}">
              <a16:creationId xmlns:a16="http://schemas.microsoft.com/office/drawing/2014/main" xmlns="" id="{00000000-0008-0000-0000-00008F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656" name="Text Box 71">
          <a:extLst>
            <a:ext uri="{FF2B5EF4-FFF2-40B4-BE49-F238E27FC236}">
              <a16:creationId xmlns:a16="http://schemas.microsoft.com/office/drawing/2014/main" xmlns="" id="{00000000-0008-0000-0000-000090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657" name="Text Box 72">
          <a:extLst>
            <a:ext uri="{FF2B5EF4-FFF2-40B4-BE49-F238E27FC236}">
              <a16:creationId xmlns:a16="http://schemas.microsoft.com/office/drawing/2014/main" xmlns="" id="{00000000-0008-0000-0000-000091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658" name="Text Box 73">
          <a:extLst>
            <a:ext uri="{FF2B5EF4-FFF2-40B4-BE49-F238E27FC236}">
              <a16:creationId xmlns:a16="http://schemas.microsoft.com/office/drawing/2014/main" xmlns="" id="{00000000-0008-0000-0000-000092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659" name="Text Box 74">
          <a:extLst>
            <a:ext uri="{FF2B5EF4-FFF2-40B4-BE49-F238E27FC236}">
              <a16:creationId xmlns:a16="http://schemas.microsoft.com/office/drawing/2014/main" xmlns="" id="{00000000-0008-0000-0000-000093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660" name="Text Box 75">
          <a:extLst>
            <a:ext uri="{FF2B5EF4-FFF2-40B4-BE49-F238E27FC236}">
              <a16:creationId xmlns:a16="http://schemas.microsoft.com/office/drawing/2014/main" xmlns="" id="{00000000-0008-0000-0000-000094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661" name="Text Box 76">
          <a:extLst>
            <a:ext uri="{FF2B5EF4-FFF2-40B4-BE49-F238E27FC236}">
              <a16:creationId xmlns:a16="http://schemas.microsoft.com/office/drawing/2014/main" xmlns="" id="{00000000-0008-0000-0000-000095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662" name="Text Box 77">
          <a:extLst>
            <a:ext uri="{FF2B5EF4-FFF2-40B4-BE49-F238E27FC236}">
              <a16:creationId xmlns:a16="http://schemas.microsoft.com/office/drawing/2014/main" xmlns="" id="{00000000-0008-0000-0000-000096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663" name="Text Box 78">
          <a:extLst>
            <a:ext uri="{FF2B5EF4-FFF2-40B4-BE49-F238E27FC236}">
              <a16:creationId xmlns:a16="http://schemas.microsoft.com/office/drawing/2014/main" xmlns="" id="{00000000-0008-0000-0000-000097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664" name="Text Box 79">
          <a:extLst>
            <a:ext uri="{FF2B5EF4-FFF2-40B4-BE49-F238E27FC236}">
              <a16:creationId xmlns:a16="http://schemas.microsoft.com/office/drawing/2014/main" xmlns="" id="{00000000-0008-0000-0000-000098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665" name="Text Box 80">
          <a:extLst>
            <a:ext uri="{FF2B5EF4-FFF2-40B4-BE49-F238E27FC236}">
              <a16:creationId xmlns:a16="http://schemas.microsoft.com/office/drawing/2014/main" xmlns="" id="{00000000-0008-0000-0000-000099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666" name="Text Box 81">
          <a:extLst>
            <a:ext uri="{FF2B5EF4-FFF2-40B4-BE49-F238E27FC236}">
              <a16:creationId xmlns:a16="http://schemas.microsoft.com/office/drawing/2014/main" xmlns="" id="{00000000-0008-0000-0000-00009A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667" name="Text Box 3079">
          <a:extLst>
            <a:ext uri="{FF2B5EF4-FFF2-40B4-BE49-F238E27FC236}">
              <a16:creationId xmlns:a16="http://schemas.microsoft.com/office/drawing/2014/main" xmlns="" id="{00000000-0008-0000-0000-00009B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668" name="Text Box 3080">
          <a:extLst>
            <a:ext uri="{FF2B5EF4-FFF2-40B4-BE49-F238E27FC236}">
              <a16:creationId xmlns:a16="http://schemas.microsoft.com/office/drawing/2014/main" xmlns="" id="{00000000-0008-0000-0000-00009C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669" name="Text Box 3081">
          <a:extLst>
            <a:ext uri="{FF2B5EF4-FFF2-40B4-BE49-F238E27FC236}">
              <a16:creationId xmlns:a16="http://schemas.microsoft.com/office/drawing/2014/main" xmlns="" id="{00000000-0008-0000-0000-00009D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670" name="Text Box 3082">
          <a:extLst>
            <a:ext uri="{FF2B5EF4-FFF2-40B4-BE49-F238E27FC236}">
              <a16:creationId xmlns:a16="http://schemas.microsoft.com/office/drawing/2014/main" xmlns="" id="{00000000-0008-0000-0000-00009E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671" name="Text Box 3083">
          <a:extLst>
            <a:ext uri="{FF2B5EF4-FFF2-40B4-BE49-F238E27FC236}">
              <a16:creationId xmlns:a16="http://schemas.microsoft.com/office/drawing/2014/main" xmlns="" id="{00000000-0008-0000-0000-00009F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672" name="Text Box 3084">
          <a:extLst>
            <a:ext uri="{FF2B5EF4-FFF2-40B4-BE49-F238E27FC236}">
              <a16:creationId xmlns:a16="http://schemas.microsoft.com/office/drawing/2014/main" xmlns="" id="{00000000-0008-0000-0000-0000A0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673" name="Text Box 3085">
          <a:extLst>
            <a:ext uri="{FF2B5EF4-FFF2-40B4-BE49-F238E27FC236}">
              <a16:creationId xmlns:a16="http://schemas.microsoft.com/office/drawing/2014/main" xmlns="" id="{00000000-0008-0000-0000-0000A1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674" name="Text Box 3086">
          <a:extLst>
            <a:ext uri="{FF2B5EF4-FFF2-40B4-BE49-F238E27FC236}">
              <a16:creationId xmlns:a16="http://schemas.microsoft.com/office/drawing/2014/main" xmlns="" id="{00000000-0008-0000-0000-0000A2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675" name="Text Box 3087">
          <a:extLst>
            <a:ext uri="{FF2B5EF4-FFF2-40B4-BE49-F238E27FC236}">
              <a16:creationId xmlns:a16="http://schemas.microsoft.com/office/drawing/2014/main" xmlns="" id="{00000000-0008-0000-0000-0000A3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676" name="Text Box 3088">
          <a:extLst>
            <a:ext uri="{FF2B5EF4-FFF2-40B4-BE49-F238E27FC236}">
              <a16:creationId xmlns:a16="http://schemas.microsoft.com/office/drawing/2014/main" xmlns="" id="{00000000-0008-0000-0000-0000A4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677" name="Text Box 3089">
          <a:extLst>
            <a:ext uri="{FF2B5EF4-FFF2-40B4-BE49-F238E27FC236}">
              <a16:creationId xmlns:a16="http://schemas.microsoft.com/office/drawing/2014/main" xmlns="" id="{00000000-0008-0000-0000-0000A5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678" name="Text Box 3090">
          <a:extLst>
            <a:ext uri="{FF2B5EF4-FFF2-40B4-BE49-F238E27FC236}">
              <a16:creationId xmlns:a16="http://schemas.microsoft.com/office/drawing/2014/main" xmlns="" id="{00000000-0008-0000-0000-0000A6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679" name="Text Box 3091">
          <a:extLst>
            <a:ext uri="{FF2B5EF4-FFF2-40B4-BE49-F238E27FC236}">
              <a16:creationId xmlns:a16="http://schemas.microsoft.com/office/drawing/2014/main" xmlns="" id="{00000000-0008-0000-0000-0000A7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680" name="Text Box 3092">
          <a:extLst>
            <a:ext uri="{FF2B5EF4-FFF2-40B4-BE49-F238E27FC236}">
              <a16:creationId xmlns:a16="http://schemas.microsoft.com/office/drawing/2014/main" xmlns="" id="{00000000-0008-0000-0000-0000A8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681" name="Text Box 3093">
          <a:extLst>
            <a:ext uri="{FF2B5EF4-FFF2-40B4-BE49-F238E27FC236}">
              <a16:creationId xmlns:a16="http://schemas.microsoft.com/office/drawing/2014/main" xmlns="" id="{00000000-0008-0000-0000-0000A9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682" name="Text Box 3094">
          <a:extLst>
            <a:ext uri="{FF2B5EF4-FFF2-40B4-BE49-F238E27FC236}">
              <a16:creationId xmlns:a16="http://schemas.microsoft.com/office/drawing/2014/main" xmlns="" id="{00000000-0008-0000-0000-0000AA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683" name="Text Box 3095">
          <a:extLst>
            <a:ext uri="{FF2B5EF4-FFF2-40B4-BE49-F238E27FC236}">
              <a16:creationId xmlns:a16="http://schemas.microsoft.com/office/drawing/2014/main" xmlns="" id="{00000000-0008-0000-0000-0000AB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684" name="Text Box 3096">
          <a:extLst>
            <a:ext uri="{FF2B5EF4-FFF2-40B4-BE49-F238E27FC236}">
              <a16:creationId xmlns:a16="http://schemas.microsoft.com/office/drawing/2014/main" xmlns="" id="{00000000-0008-0000-0000-0000AC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685" name="Text Box 3097">
          <a:extLst>
            <a:ext uri="{FF2B5EF4-FFF2-40B4-BE49-F238E27FC236}">
              <a16:creationId xmlns:a16="http://schemas.microsoft.com/office/drawing/2014/main" xmlns="" id="{00000000-0008-0000-0000-0000AD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686" name="Text Box 3098">
          <a:extLst>
            <a:ext uri="{FF2B5EF4-FFF2-40B4-BE49-F238E27FC236}">
              <a16:creationId xmlns:a16="http://schemas.microsoft.com/office/drawing/2014/main" xmlns="" id="{00000000-0008-0000-0000-0000AE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687" name="Text Box 3099">
          <a:extLst>
            <a:ext uri="{FF2B5EF4-FFF2-40B4-BE49-F238E27FC236}">
              <a16:creationId xmlns:a16="http://schemas.microsoft.com/office/drawing/2014/main" xmlns="" id="{00000000-0008-0000-0000-0000AF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688" name="Text Box 3100">
          <a:extLst>
            <a:ext uri="{FF2B5EF4-FFF2-40B4-BE49-F238E27FC236}">
              <a16:creationId xmlns:a16="http://schemas.microsoft.com/office/drawing/2014/main" xmlns="" id="{00000000-0008-0000-0000-0000B0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689" name="Text Box 3101">
          <a:extLst>
            <a:ext uri="{FF2B5EF4-FFF2-40B4-BE49-F238E27FC236}">
              <a16:creationId xmlns:a16="http://schemas.microsoft.com/office/drawing/2014/main" xmlns="" id="{00000000-0008-0000-0000-0000B1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690" name="Text Box 3102">
          <a:extLst>
            <a:ext uri="{FF2B5EF4-FFF2-40B4-BE49-F238E27FC236}">
              <a16:creationId xmlns:a16="http://schemas.microsoft.com/office/drawing/2014/main" xmlns="" id="{00000000-0008-0000-0000-0000B2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691" name="Text Box 59">
          <a:extLst>
            <a:ext uri="{FF2B5EF4-FFF2-40B4-BE49-F238E27FC236}">
              <a16:creationId xmlns:a16="http://schemas.microsoft.com/office/drawing/2014/main" xmlns="" id="{00000000-0008-0000-0000-0000B3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692" name="Text Box 60">
          <a:extLst>
            <a:ext uri="{FF2B5EF4-FFF2-40B4-BE49-F238E27FC236}">
              <a16:creationId xmlns:a16="http://schemas.microsoft.com/office/drawing/2014/main" xmlns="" id="{00000000-0008-0000-0000-0000B4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693" name="Text Box 61">
          <a:extLst>
            <a:ext uri="{FF2B5EF4-FFF2-40B4-BE49-F238E27FC236}">
              <a16:creationId xmlns:a16="http://schemas.microsoft.com/office/drawing/2014/main" xmlns="" id="{00000000-0008-0000-0000-0000B5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694" name="Text Box 62">
          <a:extLst>
            <a:ext uri="{FF2B5EF4-FFF2-40B4-BE49-F238E27FC236}">
              <a16:creationId xmlns:a16="http://schemas.microsoft.com/office/drawing/2014/main" xmlns="" id="{00000000-0008-0000-0000-0000B6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695" name="Text Box 63">
          <a:extLst>
            <a:ext uri="{FF2B5EF4-FFF2-40B4-BE49-F238E27FC236}">
              <a16:creationId xmlns:a16="http://schemas.microsoft.com/office/drawing/2014/main" xmlns="" id="{00000000-0008-0000-0000-0000B7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696" name="Text Box 64">
          <a:extLst>
            <a:ext uri="{FF2B5EF4-FFF2-40B4-BE49-F238E27FC236}">
              <a16:creationId xmlns:a16="http://schemas.microsoft.com/office/drawing/2014/main" xmlns="" id="{00000000-0008-0000-0000-0000B8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697" name="Text Box 65">
          <a:extLst>
            <a:ext uri="{FF2B5EF4-FFF2-40B4-BE49-F238E27FC236}">
              <a16:creationId xmlns:a16="http://schemas.microsoft.com/office/drawing/2014/main" xmlns="" id="{00000000-0008-0000-0000-0000B9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698" name="Text Box 66">
          <a:extLst>
            <a:ext uri="{FF2B5EF4-FFF2-40B4-BE49-F238E27FC236}">
              <a16:creationId xmlns:a16="http://schemas.microsoft.com/office/drawing/2014/main" xmlns="" id="{00000000-0008-0000-0000-0000BA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699" name="Text Box 67">
          <a:extLst>
            <a:ext uri="{FF2B5EF4-FFF2-40B4-BE49-F238E27FC236}">
              <a16:creationId xmlns:a16="http://schemas.microsoft.com/office/drawing/2014/main" xmlns="" id="{00000000-0008-0000-0000-0000BB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700" name="Text Box 68">
          <a:extLst>
            <a:ext uri="{FF2B5EF4-FFF2-40B4-BE49-F238E27FC236}">
              <a16:creationId xmlns:a16="http://schemas.microsoft.com/office/drawing/2014/main" xmlns="" id="{00000000-0008-0000-0000-0000BC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701" name="Text Box 69">
          <a:extLst>
            <a:ext uri="{FF2B5EF4-FFF2-40B4-BE49-F238E27FC236}">
              <a16:creationId xmlns:a16="http://schemas.microsoft.com/office/drawing/2014/main" xmlns="" id="{00000000-0008-0000-0000-0000BD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702" name="Text Box 70">
          <a:extLst>
            <a:ext uri="{FF2B5EF4-FFF2-40B4-BE49-F238E27FC236}">
              <a16:creationId xmlns:a16="http://schemas.microsoft.com/office/drawing/2014/main" xmlns="" id="{00000000-0008-0000-0000-0000BE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703" name="Text Box 71">
          <a:extLst>
            <a:ext uri="{FF2B5EF4-FFF2-40B4-BE49-F238E27FC236}">
              <a16:creationId xmlns:a16="http://schemas.microsoft.com/office/drawing/2014/main" xmlns="" id="{00000000-0008-0000-0000-0000BF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704" name="Text Box 72">
          <a:extLst>
            <a:ext uri="{FF2B5EF4-FFF2-40B4-BE49-F238E27FC236}">
              <a16:creationId xmlns:a16="http://schemas.microsoft.com/office/drawing/2014/main" xmlns="" id="{00000000-0008-0000-0000-0000C0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705" name="Text Box 73">
          <a:extLst>
            <a:ext uri="{FF2B5EF4-FFF2-40B4-BE49-F238E27FC236}">
              <a16:creationId xmlns:a16="http://schemas.microsoft.com/office/drawing/2014/main" xmlns="" id="{00000000-0008-0000-0000-0000C1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706" name="Text Box 74">
          <a:extLst>
            <a:ext uri="{FF2B5EF4-FFF2-40B4-BE49-F238E27FC236}">
              <a16:creationId xmlns:a16="http://schemas.microsoft.com/office/drawing/2014/main" xmlns="" id="{00000000-0008-0000-0000-0000C2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707" name="Text Box 75">
          <a:extLst>
            <a:ext uri="{FF2B5EF4-FFF2-40B4-BE49-F238E27FC236}">
              <a16:creationId xmlns:a16="http://schemas.microsoft.com/office/drawing/2014/main" xmlns="" id="{00000000-0008-0000-0000-0000C3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708" name="Text Box 76">
          <a:extLst>
            <a:ext uri="{FF2B5EF4-FFF2-40B4-BE49-F238E27FC236}">
              <a16:creationId xmlns:a16="http://schemas.microsoft.com/office/drawing/2014/main" xmlns="" id="{00000000-0008-0000-0000-0000C4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709" name="Text Box 77">
          <a:extLst>
            <a:ext uri="{FF2B5EF4-FFF2-40B4-BE49-F238E27FC236}">
              <a16:creationId xmlns:a16="http://schemas.microsoft.com/office/drawing/2014/main" xmlns="" id="{00000000-0008-0000-0000-0000C5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710" name="Text Box 78">
          <a:extLst>
            <a:ext uri="{FF2B5EF4-FFF2-40B4-BE49-F238E27FC236}">
              <a16:creationId xmlns:a16="http://schemas.microsoft.com/office/drawing/2014/main" xmlns="" id="{00000000-0008-0000-0000-0000C6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711" name="Text Box 79">
          <a:extLst>
            <a:ext uri="{FF2B5EF4-FFF2-40B4-BE49-F238E27FC236}">
              <a16:creationId xmlns:a16="http://schemas.microsoft.com/office/drawing/2014/main" xmlns="" id="{00000000-0008-0000-0000-0000C7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712" name="Text Box 80">
          <a:extLst>
            <a:ext uri="{FF2B5EF4-FFF2-40B4-BE49-F238E27FC236}">
              <a16:creationId xmlns:a16="http://schemas.microsoft.com/office/drawing/2014/main" xmlns="" id="{00000000-0008-0000-0000-0000C8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713" name="Text Box 81">
          <a:extLst>
            <a:ext uri="{FF2B5EF4-FFF2-40B4-BE49-F238E27FC236}">
              <a16:creationId xmlns:a16="http://schemas.microsoft.com/office/drawing/2014/main" xmlns="" id="{00000000-0008-0000-0000-0000C9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47625"/>
    <xdr:sp macro="" textlink="">
      <xdr:nvSpPr>
        <xdr:cNvPr id="714" name="Text Box 82">
          <a:extLst>
            <a:ext uri="{FF2B5EF4-FFF2-40B4-BE49-F238E27FC236}">
              <a16:creationId xmlns:a16="http://schemas.microsoft.com/office/drawing/2014/main" xmlns="" id="{00000000-0008-0000-0000-0000CA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715" name="Text Box 3079">
          <a:extLst>
            <a:ext uri="{FF2B5EF4-FFF2-40B4-BE49-F238E27FC236}">
              <a16:creationId xmlns:a16="http://schemas.microsoft.com/office/drawing/2014/main" xmlns="" id="{00000000-0008-0000-0000-0000CB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716" name="Text Box 3080">
          <a:extLst>
            <a:ext uri="{FF2B5EF4-FFF2-40B4-BE49-F238E27FC236}">
              <a16:creationId xmlns:a16="http://schemas.microsoft.com/office/drawing/2014/main" xmlns="" id="{00000000-0008-0000-0000-0000CC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717" name="Text Box 3081">
          <a:extLst>
            <a:ext uri="{FF2B5EF4-FFF2-40B4-BE49-F238E27FC236}">
              <a16:creationId xmlns:a16="http://schemas.microsoft.com/office/drawing/2014/main" xmlns="" id="{00000000-0008-0000-0000-0000CD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718" name="Text Box 3082">
          <a:extLst>
            <a:ext uri="{FF2B5EF4-FFF2-40B4-BE49-F238E27FC236}">
              <a16:creationId xmlns:a16="http://schemas.microsoft.com/office/drawing/2014/main" xmlns="" id="{00000000-0008-0000-0000-0000CE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719" name="Text Box 3083">
          <a:extLst>
            <a:ext uri="{FF2B5EF4-FFF2-40B4-BE49-F238E27FC236}">
              <a16:creationId xmlns:a16="http://schemas.microsoft.com/office/drawing/2014/main" xmlns="" id="{00000000-0008-0000-0000-0000CF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720" name="Text Box 3084">
          <a:extLst>
            <a:ext uri="{FF2B5EF4-FFF2-40B4-BE49-F238E27FC236}">
              <a16:creationId xmlns:a16="http://schemas.microsoft.com/office/drawing/2014/main" xmlns="" id="{00000000-0008-0000-0000-0000D0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721" name="Text Box 3085">
          <a:extLst>
            <a:ext uri="{FF2B5EF4-FFF2-40B4-BE49-F238E27FC236}">
              <a16:creationId xmlns:a16="http://schemas.microsoft.com/office/drawing/2014/main" xmlns="" id="{00000000-0008-0000-0000-0000D1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722" name="Text Box 3086">
          <a:extLst>
            <a:ext uri="{FF2B5EF4-FFF2-40B4-BE49-F238E27FC236}">
              <a16:creationId xmlns:a16="http://schemas.microsoft.com/office/drawing/2014/main" xmlns="" id="{00000000-0008-0000-0000-0000D2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723" name="Text Box 3087">
          <a:extLst>
            <a:ext uri="{FF2B5EF4-FFF2-40B4-BE49-F238E27FC236}">
              <a16:creationId xmlns:a16="http://schemas.microsoft.com/office/drawing/2014/main" xmlns="" id="{00000000-0008-0000-0000-0000D3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724" name="Text Box 3088">
          <a:extLst>
            <a:ext uri="{FF2B5EF4-FFF2-40B4-BE49-F238E27FC236}">
              <a16:creationId xmlns:a16="http://schemas.microsoft.com/office/drawing/2014/main" xmlns="" id="{00000000-0008-0000-0000-0000D4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725" name="Text Box 3089">
          <a:extLst>
            <a:ext uri="{FF2B5EF4-FFF2-40B4-BE49-F238E27FC236}">
              <a16:creationId xmlns:a16="http://schemas.microsoft.com/office/drawing/2014/main" xmlns="" id="{00000000-0008-0000-0000-0000D5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726" name="Text Box 3090">
          <a:extLst>
            <a:ext uri="{FF2B5EF4-FFF2-40B4-BE49-F238E27FC236}">
              <a16:creationId xmlns:a16="http://schemas.microsoft.com/office/drawing/2014/main" xmlns="" id="{00000000-0008-0000-0000-0000D6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727" name="Text Box 3091">
          <a:extLst>
            <a:ext uri="{FF2B5EF4-FFF2-40B4-BE49-F238E27FC236}">
              <a16:creationId xmlns:a16="http://schemas.microsoft.com/office/drawing/2014/main" xmlns="" id="{00000000-0008-0000-0000-0000D7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728" name="Text Box 3092">
          <a:extLst>
            <a:ext uri="{FF2B5EF4-FFF2-40B4-BE49-F238E27FC236}">
              <a16:creationId xmlns:a16="http://schemas.microsoft.com/office/drawing/2014/main" xmlns="" id="{00000000-0008-0000-0000-0000D8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729" name="Text Box 3093">
          <a:extLst>
            <a:ext uri="{FF2B5EF4-FFF2-40B4-BE49-F238E27FC236}">
              <a16:creationId xmlns:a16="http://schemas.microsoft.com/office/drawing/2014/main" xmlns="" id="{00000000-0008-0000-0000-0000D9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730" name="Text Box 3094">
          <a:extLst>
            <a:ext uri="{FF2B5EF4-FFF2-40B4-BE49-F238E27FC236}">
              <a16:creationId xmlns:a16="http://schemas.microsoft.com/office/drawing/2014/main" xmlns="" id="{00000000-0008-0000-0000-0000DA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731" name="Text Box 3095">
          <a:extLst>
            <a:ext uri="{FF2B5EF4-FFF2-40B4-BE49-F238E27FC236}">
              <a16:creationId xmlns:a16="http://schemas.microsoft.com/office/drawing/2014/main" xmlns="" id="{00000000-0008-0000-0000-0000DB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732" name="Text Box 3096">
          <a:extLst>
            <a:ext uri="{FF2B5EF4-FFF2-40B4-BE49-F238E27FC236}">
              <a16:creationId xmlns:a16="http://schemas.microsoft.com/office/drawing/2014/main" xmlns="" id="{00000000-0008-0000-0000-0000DC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733" name="Text Box 3097">
          <a:extLst>
            <a:ext uri="{FF2B5EF4-FFF2-40B4-BE49-F238E27FC236}">
              <a16:creationId xmlns:a16="http://schemas.microsoft.com/office/drawing/2014/main" xmlns="" id="{00000000-0008-0000-0000-0000DD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734" name="Text Box 3098">
          <a:extLst>
            <a:ext uri="{FF2B5EF4-FFF2-40B4-BE49-F238E27FC236}">
              <a16:creationId xmlns:a16="http://schemas.microsoft.com/office/drawing/2014/main" xmlns="" id="{00000000-0008-0000-0000-0000DE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735" name="Text Box 3099">
          <a:extLst>
            <a:ext uri="{FF2B5EF4-FFF2-40B4-BE49-F238E27FC236}">
              <a16:creationId xmlns:a16="http://schemas.microsoft.com/office/drawing/2014/main" xmlns="" id="{00000000-0008-0000-0000-0000DF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736" name="Text Box 3100">
          <a:extLst>
            <a:ext uri="{FF2B5EF4-FFF2-40B4-BE49-F238E27FC236}">
              <a16:creationId xmlns:a16="http://schemas.microsoft.com/office/drawing/2014/main" xmlns="" id="{00000000-0008-0000-0000-0000E0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737" name="Text Box 3101">
          <a:extLst>
            <a:ext uri="{FF2B5EF4-FFF2-40B4-BE49-F238E27FC236}">
              <a16:creationId xmlns:a16="http://schemas.microsoft.com/office/drawing/2014/main" xmlns="" id="{00000000-0008-0000-0000-0000E1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738" name="Text Box 3102">
          <a:extLst>
            <a:ext uri="{FF2B5EF4-FFF2-40B4-BE49-F238E27FC236}">
              <a16:creationId xmlns:a16="http://schemas.microsoft.com/office/drawing/2014/main" xmlns="" id="{00000000-0008-0000-0000-0000E2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739" name="Text Box 59">
          <a:extLst>
            <a:ext uri="{FF2B5EF4-FFF2-40B4-BE49-F238E27FC236}">
              <a16:creationId xmlns:a16="http://schemas.microsoft.com/office/drawing/2014/main" xmlns="" id="{00000000-0008-0000-0000-0000E3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740" name="Text Box 60">
          <a:extLst>
            <a:ext uri="{FF2B5EF4-FFF2-40B4-BE49-F238E27FC236}">
              <a16:creationId xmlns:a16="http://schemas.microsoft.com/office/drawing/2014/main" xmlns="" id="{00000000-0008-0000-0000-0000E4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741" name="Text Box 61">
          <a:extLst>
            <a:ext uri="{FF2B5EF4-FFF2-40B4-BE49-F238E27FC236}">
              <a16:creationId xmlns:a16="http://schemas.microsoft.com/office/drawing/2014/main" xmlns="" id="{00000000-0008-0000-0000-0000E5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742" name="Text Box 62">
          <a:extLst>
            <a:ext uri="{FF2B5EF4-FFF2-40B4-BE49-F238E27FC236}">
              <a16:creationId xmlns:a16="http://schemas.microsoft.com/office/drawing/2014/main" xmlns="" id="{00000000-0008-0000-0000-0000E6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743" name="Text Box 63">
          <a:extLst>
            <a:ext uri="{FF2B5EF4-FFF2-40B4-BE49-F238E27FC236}">
              <a16:creationId xmlns:a16="http://schemas.microsoft.com/office/drawing/2014/main" xmlns="" id="{00000000-0008-0000-0000-0000E7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744" name="Text Box 64">
          <a:extLst>
            <a:ext uri="{FF2B5EF4-FFF2-40B4-BE49-F238E27FC236}">
              <a16:creationId xmlns:a16="http://schemas.microsoft.com/office/drawing/2014/main" xmlns="" id="{00000000-0008-0000-0000-0000E8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745" name="Text Box 65">
          <a:extLst>
            <a:ext uri="{FF2B5EF4-FFF2-40B4-BE49-F238E27FC236}">
              <a16:creationId xmlns:a16="http://schemas.microsoft.com/office/drawing/2014/main" xmlns="" id="{00000000-0008-0000-0000-0000E9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746" name="Text Box 66">
          <a:extLst>
            <a:ext uri="{FF2B5EF4-FFF2-40B4-BE49-F238E27FC236}">
              <a16:creationId xmlns:a16="http://schemas.microsoft.com/office/drawing/2014/main" xmlns="" id="{00000000-0008-0000-0000-0000EA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747" name="Text Box 67">
          <a:extLst>
            <a:ext uri="{FF2B5EF4-FFF2-40B4-BE49-F238E27FC236}">
              <a16:creationId xmlns:a16="http://schemas.microsoft.com/office/drawing/2014/main" xmlns="" id="{00000000-0008-0000-0000-0000EB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748" name="Text Box 68">
          <a:extLst>
            <a:ext uri="{FF2B5EF4-FFF2-40B4-BE49-F238E27FC236}">
              <a16:creationId xmlns:a16="http://schemas.microsoft.com/office/drawing/2014/main" xmlns="" id="{00000000-0008-0000-0000-0000EC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749" name="Text Box 69">
          <a:extLst>
            <a:ext uri="{FF2B5EF4-FFF2-40B4-BE49-F238E27FC236}">
              <a16:creationId xmlns:a16="http://schemas.microsoft.com/office/drawing/2014/main" xmlns="" id="{00000000-0008-0000-0000-0000ED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750" name="Text Box 70">
          <a:extLst>
            <a:ext uri="{FF2B5EF4-FFF2-40B4-BE49-F238E27FC236}">
              <a16:creationId xmlns:a16="http://schemas.microsoft.com/office/drawing/2014/main" xmlns="" id="{00000000-0008-0000-0000-0000EE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751" name="Text Box 71">
          <a:extLst>
            <a:ext uri="{FF2B5EF4-FFF2-40B4-BE49-F238E27FC236}">
              <a16:creationId xmlns:a16="http://schemas.microsoft.com/office/drawing/2014/main" xmlns="" id="{00000000-0008-0000-0000-0000EF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752" name="Text Box 72">
          <a:extLst>
            <a:ext uri="{FF2B5EF4-FFF2-40B4-BE49-F238E27FC236}">
              <a16:creationId xmlns:a16="http://schemas.microsoft.com/office/drawing/2014/main" xmlns="" id="{00000000-0008-0000-0000-0000F0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753" name="Text Box 73">
          <a:extLst>
            <a:ext uri="{FF2B5EF4-FFF2-40B4-BE49-F238E27FC236}">
              <a16:creationId xmlns:a16="http://schemas.microsoft.com/office/drawing/2014/main" xmlns="" id="{00000000-0008-0000-0000-0000F1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754" name="Text Box 74">
          <a:extLst>
            <a:ext uri="{FF2B5EF4-FFF2-40B4-BE49-F238E27FC236}">
              <a16:creationId xmlns:a16="http://schemas.microsoft.com/office/drawing/2014/main" xmlns="" id="{00000000-0008-0000-0000-0000F2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755" name="Text Box 75">
          <a:extLst>
            <a:ext uri="{FF2B5EF4-FFF2-40B4-BE49-F238E27FC236}">
              <a16:creationId xmlns:a16="http://schemas.microsoft.com/office/drawing/2014/main" xmlns="" id="{00000000-0008-0000-0000-0000F3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756" name="Text Box 76">
          <a:extLst>
            <a:ext uri="{FF2B5EF4-FFF2-40B4-BE49-F238E27FC236}">
              <a16:creationId xmlns:a16="http://schemas.microsoft.com/office/drawing/2014/main" xmlns="" id="{00000000-0008-0000-0000-0000F4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757" name="Text Box 77">
          <a:extLst>
            <a:ext uri="{FF2B5EF4-FFF2-40B4-BE49-F238E27FC236}">
              <a16:creationId xmlns:a16="http://schemas.microsoft.com/office/drawing/2014/main" xmlns="" id="{00000000-0008-0000-0000-0000F5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758" name="Text Box 78">
          <a:extLst>
            <a:ext uri="{FF2B5EF4-FFF2-40B4-BE49-F238E27FC236}">
              <a16:creationId xmlns:a16="http://schemas.microsoft.com/office/drawing/2014/main" xmlns="" id="{00000000-0008-0000-0000-0000F6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759" name="Text Box 79">
          <a:extLst>
            <a:ext uri="{FF2B5EF4-FFF2-40B4-BE49-F238E27FC236}">
              <a16:creationId xmlns:a16="http://schemas.microsoft.com/office/drawing/2014/main" xmlns="" id="{00000000-0008-0000-0000-0000F7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760" name="Text Box 80">
          <a:extLst>
            <a:ext uri="{FF2B5EF4-FFF2-40B4-BE49-F238E27FC236}">
              <a16:creationId xmlns:a16="http://schemas.microsoft.com/office/drawing/2014/main" xmlns="" id="{00000000-0008-0000-0000-0000F8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761" name="Text Box 81">
          <a:extLst>
            <a:ext uri="{FF2B5EF4-FFF2-40B4-BE49-F238E27FC236}">
              <a16:creationId xmlns:a16="http://schemas.microsoft.com/office/drawing/2014/main" xmlns="" id="{00000000-0008-0000-0000-0000F9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762" name="Text Box 3079">
          <a:extLst>
            <a:ext uri="{FF2B5EF4-FFF2-40B4-BE49-F238E27FC236}">
              <a16:creationId xmlns:a16="http://schemas.microsoft.com/office/drawing/2014/main" xmlns="" id="{00000000-0008-0000-0000-0000FA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763" name="Text Box 3080">
          <a:extLst>
            <a:ext uri="{FF2B5EF4-FFF2-40B4-BE49-F238E27FC236}">
              <a16:creationId xmlns:a16="http://schemas.microsoft.com/office/drawing/2014/main" xmlns="" id="{00000000-0008-0000-0000-0000FB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764" name="Text Box 3081">
          <a:extLst>
            <a:ext uri="{FF2B5EF4-FFF2-40B4-BE49-F238E27FC236}">
              <a16:creationId xmlns:a16="http://schemas.microsoft.com/office/drawing/2014/main" xmlns="" id="{00000000-0008-0000-0000-0000FC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765" name="Text Box 3082">
          <a:extLst>
            <a:ext uri="{FF2B5EF4-FFF2-40B4-BE49-F238E27FC236}">
              <a16:creationId xmlns:a16="http://schemas.microsoft.com/office/drawing/2014/main" xmlns="" id="{00000000-0008-0000-0000-0000FD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766" name="Text Box 3083">
          <a:extLst>
            <a:ext uri="{FF2B5EF4-FFF2-40B4-BE49-F238E27FC236}">
              <a16:creationId xmlns:a16="http://schemas.microsoft.com/office/drawing/2014/main" xmlns="" id="{00000000-0008-0000-0000-0000FE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767" name="Text Box 3084">
          <a:extLst>
            <a:ext uri="{FF2B5EF4-FFF2-40B4-BE49-F238E27FC236}">
              <a16:creationId xmlns:a16="http://schemas.microsoft.com/office/drawing/2014/main" xmlns="" id="{00000000-0008-0000-0000-0000FF0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768" name="Text Box 3085">
          <a:extLst>
            <a:ext uri="{FF2B5EF4-FFF2-40B4-BE49-F238E27FC236}">
              <a16:creationId xmlns:a16="http://schemas.microsoft.com/office/drawing/2014/main" xmlns="" id="{00000000-0008-0000-0000-000000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769" name="Text Box 3086">
          <a:extLst>
            <a:ext uri="{FF2B5EF4-FFF2-40B4-BE49-F238E27FC236}">
              <a16:creationId xmlns:a16="http://schemas.microsoft.com/office/drawing/2014/main" xmlns="" id="{00000000-0008-0000-0000-000001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770" name="Text Box 3087">
          <a:extLst>
            <a:ext uri="{FF2B5EF4-FFF2-40B4-BE49-F238E27FC236}">
              <a16:creationId xmlns:a16="http://schemas.microsoft.com/office/drawing/2014/main" xmlns="" id="{00000000-0008-0000-0000-000002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771" name="Text Box 3088">
          <a:extLst>
            <a:ext uri="{FF2B5EF4-FFF2-40B4-BE49-F238E27FC236}">
              <a16:creationId xmlns:a16="http://schemas.microsoft.com/office/drawing/2014/main" xmlns="" id="{00000000-0008-0000-0000-000003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772" name="Text Box 3089">
          <a:extLst>
            <a:ext uri="{FF2B5EF4-FFF2-40B4-BE49-F238E27FC236}">
              <a16:creationId xmlns:a16="http://schemas.microsoft.com/office/drawing/2014/main" xmlns="" id="{00000000-0008-0000-0000-000004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773" name="Text Box 3090">
          <a:extLst>
            <a:ext uri="{FF2B5EF4-FFF2-40B4-BE49-F238E27FC236}">
              <a16:creationId xmlns:a16="http://schemas.microsoft.com/office/drawing/2014/main" xmlns="" id="{00000000-0008-0000-0000-000005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774" name="Text Box 3091">
          <a:extLst>
            <a:ext uri="{FF2B5EF4-FFF2-40B4-BE49-F238E27FC236}">
              <a16:creationId xmlns:a16="http://schemas.microsoft.com/office/drawing/2014/main" xmlns="" id="{00000000-0008-0000-0000-000006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775" name="Text Box 3092">
          <a:extLst>
            <a:ext uri="{FF2B5EF4-FFF2-40B4-BE49-F238E27FC236}">
              <a16:creationId xmlns:a16="http://schemas.microsoft.com/office/drawing/2014/main" xmlns="" id="{00000000-0008-0000-0000-000007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776" name="Text Box 3093">
          <a:extLst>
            <a:ext uri="{FF2B5EF4-FFF2-40B4-BE49-F238E27FC236}">
              <a16:creationId xmlns:a16="http://schemas.microsoft.com/office/drawing/2014/main" xmlns="" id="{00000000-0008-0000-0000-000008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777" name="Text Box 3094">
          <a:extLst>
            <a:ext uri="{FF2B5EF4-FFF2-40B4-BE49-F238E27FC236}">
              <a16:creationId xmlns:a16="http://schemas.microsoft.com/office/drawing/2014/main" xmlns="" id="{00000000-0008-0000-0000-000009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778" name="Text Box 3095">
          <a:extLst>
            <a:ext uri="{FF2B5EF4-FFF2-40B4-BE49-F238E27FC236}">
              <a16:creationId xmlns:a16="http://schemas.microsoft.com/office/drawing/2014/main" xmlns="" id="{00000000-0008-0000-0000-00000A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779" name="Text Box 3096">
          <a:extLst>
            <a:ext uri="{FF2B5EF4-FFF2-40B4-BE49-F238E27FC236}">
              <a16:creationId xmlns:a16="http://schemas.microsoft.com/office/drawing/2014/main" xmlns="" id="{00000000-0008-0000-0000-00000B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780" name="Text Box 3097">
          <a:extLst>
            <a:ext uri="{FF2B5EF4-FFF2-40B4-BE49-F238E27FC236}">
              <a16:creationId xmlns:a16="http://schemas.microsoft.com/office/drawing/2014/main" xmlns="" id="{00000000-0008-0000-0000-00000C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781" name="Text Box 3098">
          <a:extLst>
            <a:ext uri="{FF2B5EF4-FFF2-40B4-BE49-F238E27FC236}">
              <a16:creationId xmlns:a16="http://schemas.microsoft.com/office/drawing/2014/main" xmlns="" id="{00000000-0008-0000-0000-00000D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782" name="Text Box 3099">
          <a:extLst>
            <a:ext uri="{FF2B5EF4-FFF2-40B4-BE49-F238E27FC236}">
              <a16:creationId xmlns:a16="http://schemas.microsoft.com/office/drawing/2014/main" xmlns="" id="{00000000-0008-0000-0000-00000E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783" name="Text Box 3100">
          <a:extLst>
            <a:ext uri="{FF2B5EF4-FFF2-40B4-BE49-F238E27FC236}">
              <a16:creationId xmlns:a16="http://schemas.microsoft.com/office/drawing/2014/main" xmlns="" id="{00000000-0008-0000-0000-00000F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784" name="Text Box 3101">
          <a:extLst>
            <a:ext uri="{FF2B5EF4-FFF2-40B4-BE49-F238E27FC236}">
              <a16:creationId xmlns:a16="http://schemas.microsoft.com/office/drawing/2014/main" xmlns="" id="{00000000-0008-0000-0000-000010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785" name="Text Box 3102">
          <a:extLst>
            <a:ext uri="{FF2B5EF4-FFF2-40B4-BE49-F238E27FC236}">
              <a16:creationId xmlns:a16="http://schemas.microsoft.com/office/drawing/2014/main" xmlns="" id="{00000000-0008-0000-0000-000011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786" name="Text Box 59">
          <a:extLst>
            <a:ext uri="{FF2B5EF4-FFF2-40B4-BE49-F238E27FC236}">
              <a16:creationId xmlns:a16="http://schemas.microsoft.com/office/drawing/2014/main" xmlns="" id="{00000000-0008-0000-0000-000012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787" name="Text Box 60">
          <a:extLst>
            <a:ext uri="{FF2B5EF4-FFF2-40B4-BE49-F238E27FC236}">
              <a16:creationId xmlns:a16="http://schemas.microsoft.com/office/drawing/2014/main" xmlns="" id="{00000000-0008-0000-0000-000013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788" name="Text Box 61">
          <a:extLst>
            <a:ext uri="{FF2B5EF4-FFF2-40B4-BE49-F238E27FC236}">
              <a16:creationId xmlns:a16="http://schemas.microsoft.com/office/drawing/2014/main" xmlns="" id="{00000000-0008-0000-0000-000014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789" name="Text Box 62">
          <a:extLst>
            <a:ext uri="{FF2B5EF4-FFF2-40B4-BE49-F238E27FC236}">
              <a16:creationId xmlns:a16="http://schemas.microsoft.com/office/drawing/2014/main" xmlns="" id="{00000000-0008-0000-0000-000015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790" name="Text Box 63">
          <a:extLst>
            <a:ext uri="{FF2B5EF4-FFF2-40B4-BE49-F238E27FC236}">
              <a16:creationId xmlns:a16="http://schemas.microsoft.com/office/drawing/2014/main" xmlns="" id="{00000000-0008-0000-0000-000016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791" name="Text Box 64">
          <a:extLst>
            <a:ext uri="{FF2B5EF4-FFF2-40B4-BE49-F238E27FC236}">
              <a16:creationId xmlns:a16="http://schemas.microsoft.com/office/drawing/2014/main" xmlns="" id="{00000000-0008-0000-0000-000017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792" name="Text Box 65">
          <a:extLst>
            <a:ext uri="{FF2B5EF4-FFF2-40B4-BE49-F238E27FC236}">
              <a16:creationId xmlns:a16="http://schemas.microsoft.com/office/drawing/2014/main" xmlns="" id="{00000000-0008-0000-0000-000018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793" name="Text Box 66">
          <a:extLst>
            <a:ext uri="{FF2B5EF4-FFF2-40B4-BE49-F238E27FC236}">
              <a16:creationId xmlns:a16="http://schemas.microsoft.com/office/drawing/2014/main" xmlns="" id="{00000000-0008-0000-0000-000019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794" name="Text Box 67">
          <a:extLst>
            <a:ext uri="{FF2B5EF4-FFF2-40B4-BE49-F238E27FC236}">
              <a16:creationId xmlns:a16="http://schemas.microsoft.com/office/drawing/2014/main" xmlns="" id="{00000000-0008-0000-0000-00001A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795" name="Text Box 68">
          <a:extLst>
            <a:ext uri="{FF2B5EF4-FFF2-40B4-BE49-F238E27FC236}">
              <a16:creationId xmlns:a16="http://schemas.microsoft.com/office/drawing/2014/main" xmlns="" id="{00000000-0008-0000-0000-00001B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796" name="Text Box 69">
          <a:extLst>
            <a:ext uri="{FF2B5EF4-FFF2-40B4-BE49-F238E27FC236}">
              <a16:creationId xmlns:a16="http://schemas.microsoft.com/office/drawing/2014/main" xmlns="" id="{00000000-0008-0000-0000-00001C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797" name="Text Box 70">
          <a:extLst>
            <a:ext uri="{FF2B5EF4-FFF2-40B4-BE49-F238E27FC236}">
              <a16:creationId xmlns:a16="http://schemas.microsoft.com/office/drawing/2014/main" xmlns="" id="{00000000-0008-0000-0000-00001D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798" name="Text Box 71">
          <a:extLst>
            <a:ext uri="{FF2B5EF4-FFF2-40B4-BE49-F238E27FC236}">
              <a16:creationId xmlns:a16="http://schemas.microsoft.com/office/drawing/2014/main" xmlns="" id="{00000000-0008-0000-0000-00001E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799" name="Text Box 72">
          <a:extLst>
            <a:ext uri="{FF2B5EF4-FFF2-40B4-BE49-F238E27FC236}">
              <a16:creationId xmlns:a16="http://schemas.microsoft.com/office/drawing/2014/main" xmlns="" id="{00000000-0008-0000-0000-00001F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800" name="Text Box 73">
          <a:extLst>
            <a:ext uri="{FF2B5EF4-FFF2-40B4-BE49-F238E27FC236}">
              <a16:creationId xmlns:a16="http://schemas.microsoft.com/office/drawing/2014/main" xmlns="" id="{00000000-0008-0000-0000-000020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801" name="Text Box 74">
          <a:extLst>
            <a:ext uri="{FF2B5EF4-FFF2-40B4-BE49-F238E27FC236}">
              <a16:creationId xmlns:a16="http://schemas.microsoft.com/office/drawing/2014/main" xmlns="" id="{00000000-0008-0000-0000-000021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802" name="Text Box 75">
          <a:extLst>
            <a:ext uri="{FF2B5EF4-FFF2-40B4-BE49-F238E27FC236}">
              <a16:creationId xmlns:a16="http://schemas.microsoft.com/office/drawing/2014/main" xmlns="" id="{00000000-0008-0000-0000-000022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803" name="Text Box 76">
          <a:extLst>
            <a:ext uri="{FF2B5EF4-FFF2-40B4-BE49-F238E27FC236}">
              <a16:creationId xmlns:a16="http://schemas.microsoft.com/office/drawing/2014/main" xmlns="" id="{00000000-0008-0000-0000-000023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804" name="Text Box 77">
          <a:extLst>
            <a:ext uri="{FF2B5EF4-FFF2-40B4-BE49-F238E27FC236}">
              <a16:creationId xmlns:a16="http://schemas.microsoft.com/office/drawing/2014/main" xmlns="" id="{00000000-0008-0000-0000-000024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805" name="Text Box 78">
          <a:extLst>
            <a:ext uri="{FF2B5EF4-FFF2-40B4-BE49-F238E27FC236}">
              <a16:creationId xmlns:a16="http://schemas.microsoft.com/office/drawing/2014/main" xmlns="" id="{00000000-0008-0000-0000-000025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806" name="Text Box 79">
          <a:extLst>
            <a:ext uri="{FF2B5EF4-FFF2-40B4-BE49-F238E27FC236}">
              <a16:creationId xmlns:a16="http://schemas.microsoft.com/office/drawing/2014/main" xmlns="" id="{00000000-0008-0000-0000-000026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807" name="Text Box 80">
          <a:extLst>
            <a:ext uri="{FF2B5EF4-FFF2-40B4-BE49-F238E27FC236}">
              <a16:creationId xmlns:a16="http://schemas.microsoft.com/office/drawing/2014/main" xmlns="" id="{00000000-0008-0000-0000-000027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808" name="Text Box 81">
          <a:extLst>
            <a:ext uri="{FF2B5EF4-FFF2-40B4-BE49-F238E27FC236}">
              <a16:creationId xmlns:a16="http://schemas.microsoft.com/office/drawing/2014/main" xmlns="" id="{00000000-0008-0000-0000-000028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47625"/>
    <xdr:sp macro="" textlink="">
      <xdr:nvSpPr>
        <xdr:cNvPr id="809" name="Text Box 82">
          <a:extLst>
            <a:ext uri="{FF2B5EF4-FFF2-40B4-BE49-F238E27FC236}">
              <a16:creationId xmlns:a16="http://schemas.microsoft.com/office/drawing/2014/main" xmlns="" id="{00000000-0008-0000-0000-000029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810" name="Text Box 3079">
          <a:extLst>
            <a:ext uri="{FF2B5EF4-FFF2-40B4-BE49-F238E27FC236}">
              <a16:creationId xmlns:a16="http://schemas.microsoft.com/office/drawing/2014/main" xmlns="" id="{00000000-0008-0000-0000-00002A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811" name="Text Box 3080">
          <a:extLst>
            <a:ext uri="{FF2B5EF4-FFF2-40B4-BE49-F238E27FC236}">
              <a16:creationId xmlns:a16="http://schemas.microsoft.com/office/drawing/2014/main" xmlns="" id="{00000000-0008-0000-0000-00002B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812" name="Text Box 3081">
          <a:extLst>
            <a:ext uri="{FF2B5EF4-FFF2-40B4-BE49-F238E27FC236}">
              <a16:creationId xmlns:a16="http://schemas.microsoft.com/office/drawing/2014/main" xmlns="" id="{00000000-0008-0000-0000-00002C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813" name="Text Box 3082">
          <a:extLst>
            <a:ext uri="{FF2B5EF4-FFF2-40B4-BE49-F238E27FC236}">
              <a16:creationId xmlns:a16="http://schemas.microsoft.com/office/drawing/2014/main" xmlns="" id="{00000000-0008-0000-0000-00002D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814" name="Text Box 3083">
          <a:extLst>
            <a:ext uri="{FF2B5EF4-FFF2-40B4-BE49-F238E27FC236}">
              <a16:creationId xmlns:a16="http://schemas.microsoft.com/office/drawing/2014/main" xmlns="" id="{00000000-0008-0000-0000-00002E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815" name="Text Box 3084">
          <a:extLst>
            <a:ext uri="{FF2B5EF4-FFF2-40B4-BE49-F238E27FC236}">
              <a16:creationId xmlns:a16="http://schemas.microsoft.com/office/drawing/2014/main" xmlns="" id="{00000000-0008-0000-0000-00002F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816" name="Text Box 3085">
          <a:extLst>
            <a:ext uri="{FF2B5EF4-FFF2-40B4-BE49-F238E27FC236}">
              <a16:creationId xmlns:a16="http://schemas.microsoft.com/office/drawing/2014/main" xmlns="" id="{00000000-0008-0000-0000-000030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817" name="Text Box 3086">
          <a:extLst>
            <a:ext uri="{FF2B5EF4-FFF2-40B4-BE49-F238E27FC236}">
              <a16:creationId xmlns:a16="http://schemas.microsoft.com/office/drawing/2014/main" xmlns="" id="{00000000-0008-0000-0000-000031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818" name="Text Box 3087">
          <a:extLst>
            <a:ext uri="{FF2B5EF4-FFF2-40B4-BE49-F238E27FC236}">
              <a16:creationId xmlns:a16="http://schemas.microsoft.com/office/drawing/2014/main" xmlns="" id="{00000000-0008-0000-0000-000032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819" name="Text Box 3088">
          <a:extLst>
            <a:ext uri="{FF2B5EF4-FFF2-40B4-BE49-F238E27FC236}">
              <a16:creationId xmlns:a16="http://schemas.microsoft.com/office/drawing/2014/main" xmlns="" id="{00000000-0008-0000-0000-000033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820" name="Text Box 3089">
          <a:extLst>
            <a:ext uri="{FF2B5EF4-FFF2-40B4-BE49-F238E27FC236}">
              <a16:creationId xmlns:a16="http://schemas.microsoft.com/office/drawing/2014/main" xmlns="" id="{00000000-0008-0000-0000-000034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821" name="Text Box 3090">
          <a:extLst>
            <a:ext uri="{FF2B5EF4-FFF2-40B4-BE49-F238E27FC236}">
              <a16:creationId xmlns:a16="http://schemas.microsoft.com/office/drawing/2014/main" xmlns="" id="{00000000-0008-0000-0000-000035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822" name="Text Box 3091">
          <a:extLst>
            <a:ext uri="{FF2B5EF4-FFF2-40B4-BE49-F238E27FC236}">
              <a16:creationId xmlns:a16="http://schemas.microsoft.com/office/drawing/2014/main" xmlns="" id="{00000000-0008-0000-0000-000036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823" name="Text Box 3092">
          <a:extLst>
            <a:ext uri="{FF2B5EF4-FFF2-40B4-BE49-F238E27FC236}">
              <a16:creationId xmlns:a16="http://schemas.microsoft.com/office/drawing/2014/main" xmlns="" id="{00000000-0008-0000-0000-000037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824" name="Text Box 3093">
          <a:extLst>
            <a:ext uri="{FF2B5EF4-FFF2-40B4-BE49-F238E27FC236}">
              <a16:creationId xmlns:a16="http://schemas.microsoft.com/office/drawing/2014/main" xmlns="" id="{00000000-0008-0000-0000-000038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825" name="Text Box 3094">
          <a:extLst>
            <a:ext uri="{FF2B5EF4-FFF2-40B4-BE49-F238E27FC236}">
              <a16:creationId xmlns:a16="http://schemas.microsoft.com/office/drawing/2014/main" xmlns="" id="{00000000-0008-0000-0000-000039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826" name="Text Box 3095">
          <a:extLst>
            <a:ext uri="{FF2B5EF4-FFF2-40B4-BE49-F238E27FC236}">
              <a16:creationId xmlns:a16="http://schemas.microsoft.com/office/drawing/2014/main" xmlns="" id="{00000000-0008-0000-0000-00003A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827" name="Text Box 3096">
          <a:extLst>
            <a:ext uri="{FF2B5EF4-FFF2-40B4-BE49-F238E27FC236}">
              <a16:creationId xmlns:a16="http://schemas.microsoft.com/office/drawing/2014/main" xmlns="" id="{00000000-0008-0000-0000-00003B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828" name="Text Box 3097">
          <a:extLst>
            <a:ext uri="{FF2B5EF4-FFF2-40B4-BE49-F238E27FC236}">
              <a16:creationId xmlns:a16="http://schemas.microsoft.com/office/drawing/2014/main" xmlns="" id="{00000000-0008-0000-0000-00003C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829" name="Text Box 3098">
          <a:extLst>
            <a:ext uri="{FF2B5EF4-FFF2-40B4-BE49-F238E27FC236}">
              <a16:creationId xmlns:a16="http://schemas.microsoft.com/office/drawing/2014/main" xmlns="" id="{00000000-0008-0000-0000-00003D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830" name="Text Box 3099">
          <a:extLst>
            <a:ext uri="{FF2B5EF4-FFF2-40B4-BE49-F238E27FC236}">
              <a16:creationId xmlns:a16="http://schemas.microsoft.com/office/drawing/2014/main" xmlns="" id="{00000000-0008-0000-0000-00003E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831" name="Text Box 3100">
          <a:extLst>
            <a:ext uri="{FF2B5EF4-FFF2-40B4-BE49-F238E27FC236}">
              <a16:creationId xmlns:a16="http://schemas.microsoft.com/office/drawing/2014/main" xmlns="" id="{00000000-0008-0000-0000-00003F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832" name="Text Box 3101">
          <a:extLst>
            <a:ext uri="{FF2B5EF4-FFF2-40B4-BE49-F238E27FC236}">
              <a16:creationId xmlns:a16="http://schemas.microsoft.com/office/drawing/2014/main" xmlns="" id="{00000000-0008-0000-0000-000040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833" name="Text Box 3102">
          <a:extLst>
            <a:ext uri="{FF2B5EF4-FFF2-40B4-BE49-F238E27FC236}">
              <a16:creationId xmlns:a16="http://schemas.microsoft.com/office/drawing/2014/main" xmlns="" id="{00000000-0008-0000-0000-000041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834" name="Text Box 59">
          <a:extLst>
            <a:ext uri="{FF2B5EF4-FFF2-40B4-BE49-F238E27FC236}">
              <a16:creationId xmlns:a16="http://schemas.microsoft.com/office/drawing/2014/main" xmlns="" id="{00000000-0008-0000-0000-000042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835" name="Text Box 60">
          <a:extLst>
            <a:ext uri="{FF2B5EF4-FFF2-40B4-BE49-F238E27FC236}">
              <a16:creationId xmlns:a16="http://schemas.microsoft.com/office/drawing/2014/main" xmlns="" id="{00000000-0008-0000-0000-000043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836" name="Text Box 61">
          <a:extLst>
            <a:ext uri="{FF2B5EF4-FFF2-40B4-BE49-F238E27FC236}">
              <a16:creationId xmlns:a16="http://schemas.microsoft.com/office/drawing/2014/main" xmlns="" id="{00000000-0008-0000-0000-000044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837" name="Text Box 62">
          <a:extLst>
            <a:ext uri="{FF2B5EF4-FFF2-40B4-BE49-F238E27FC236}">
              <a16:creationId xmlns:a16="http://schemas.microsoft.com/office/drawing/2014/main" xmlns="" id="{00000000-0008-0000-0000-000045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838" name="Text Box 63">
          <a:extLst>
            <a:ext uri="{FF2B5EF4-FFF2-40B4-BE49-F238E27FC236}">
              <a16:creationId xmlns:a16="http://schemas.microsoft.com/office/drawing/2014/main" xmlns="" id="{00000000-0008-0000-0000-000046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839" name="Text Box 64">
          <a:extLst>
            <a:ext uri="{FF2B5EF4-FFF2-40B4-BE49-F238E27FC236}">
              <a16:creationId xmlns:a16="http://schemas.microsoft.com/office/drawing/2014/main" xmlns="" id="{00000000-0008-0000-0000-000047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840" name="Text Box 65">
          <a:extLst>
            <a:ext uri="{FF2B5EF4-FFF2-40B4-BE49-F238E27FC236}">
              <a16:creationId xmlns:a16="http://schemas.microsoft.com/office/drawing/2014/main" xmlns="" id="{00000000-0008-0000-0000-000048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841" name="Text Box 66">
          <a:extLst>
            <a:ext uri="{FF2B5EF4-FFF2-40B4-BE49-F238E27FC236}">
              <a16:creationId xmlns:a16="http://schemas.microsoft.com/office/drawing/2014/main" xmlns="" id="{00000000-0008-0000-0000-000049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842" name="Text Box 67">
          <a:extLst>
            <a:ext uri="{FF2B5EF4-FFF2-40B4-BE49-F238E27FC236}">
              <a16:creationId xmlns:a16="http://schemas.microsoft.com/office/drawing/2014/main" xmlns="" id="{00000000-0008-0000-0000-00004A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843" name="Text Box 68">
          <a:extLst>
            <a:ext uri="{FF2B5EF4-FFF2-40B4-BE49-F238E27FC236}">
              <a16:creationId xmlns:a16="http://schemas.microsoft.com/office/drawing/2014/main" xmlns="" id="{00000000-0008-0000-0000-00004B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844" name="Text Box 69">
          <a:extLst>
            <a:ext uri="{FF2B5EF4-FFF2-40B4-BE49-F238E27FC236}">
              <a16:creationId xmlns:a16="http://schemas.microsoft.com/office/drawing/2014/main" xmlns="" id="{00000000-0008-0000-0000-00004C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845" name="Text Box 70">
          <a:extLst>
            <a:ext uri="{FF2B5EF4-FFF2-40B4-BE49-F238E27FC236}">
              <a16:creationId xmlns:a16="http://schemas.microsoft.com/office/drawing/2014/main" xmlns="" id="{00000000-0008-0000-0000-00004D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846" name="Text Box 71">
          <a:extLst>
            <a:ext uri="{FF2B5EF4-FFF2-40B4-BE49-F238E27FC236}">
              <a16:creationId xmlns:a16="http://schemas.microsoft.com/office/drawing/2014/main" xmlns="" id="{00000000-0008-0000-0000-00004E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847" name="Text Box 72">
          <a:extLst>
            <a:ext uri="{FF2B5EF4-FFF2-40B4-BE49-F238E27FC236}">
              <a16:creationId xmlns:a16="http://schemas.microsoft.com/office/drawing/2014/main" xmlns="" id="{00000000-0008-0000-0000-00004F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848" name="Text Box 73">
          <a:extLst>
            <a:ext uri="{FF2B5EF4-FFF2-40B4-BE49-F238E27FC236}">
              <a16:creationId xmlns:a16="http://schemas.microsoft.com/office/drawing/2014/main" xmlns="" id="{00000000-0008-0000-0000-000050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849" name="Text Box 74">
          <a:extLst>
            <a:ext uri="{FF2B5EF4-FFF2-40B4-BE49-F238E27FC236}">
              <a16:creationId xmlns:a16="http://schemas.microsoft.com/office/drawing/2014/main" xmlns="" id="{00000000-0008-0000-0000-000051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850" name="Text Box 75">
          <a:extLst>
            <a:ext uri="{FF2B5EF4-FFF2-40B4-BE49-F238E27FC236}">
              <a16:creationId xmlns:a16="http://schemas.microsoft.com/office/drawing/2014/main" xmlns="" id="{00000000-0008-0000-0000-000052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851" name="Text Box 76">
          <a:extLst>
            <a:ext uri="{FF2B5EF4-FFF2-40B4-BE49-F238E27FC236}">
              <a16:creationId xmlns:a16="http://schemas.microsoft.com/office/drawing/2014/main" xmlns="" id="{00000000-0008-0000-0000-000053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852" name="Text Box 77">
          <a:extLst>
            <a:ext uri="{FF2B5EF4-FFF2-40B4-BE49-F238E27FC236}">
              <a16:creationId xmlns:a16="http://schemas.microsoft.com/office/drawing/2014/main" xmlns="" id="{00000000-0008-0000-0000-000054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853" name="Text Box 78">
          <a:extLst>
            <a:ext uri="{FF2B5EF4-FFF2-40B4-BE49-F238E27FC236}">
              <a16:creationId xmlns:a16="http://schemas.microsoft.com/office/drawing/2014/main" xmlns="" id="{00000000-0008-0000-0000-000055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854" name="Text Box 79">
          <a:extLst>
            <a:ext uri="{FF2B5EF4-FFF2-40B4-BE49-F238E27FC236}">
              <a16:creationId xmlns:a16="http://schemas.microsoft.com/office/drawing/2014/main" xmlns="" id="{00000000-0008-0000-0000-000056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855" name="Text Box 80">
          <a:extLst>
            <a:ext uri="{FF2B5EF4-FFF2-40B4-BE49-F238E27FC236}">
              <a16:creationId xmlns:a16="http://schemas.microsoft.com/office/drawing/2014/main" xmlns="" id="{00000000-0008-0000-0000-000057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856" name="Text Box 81">
          <a:extLst>
            <a:ext uri="{FF2B5EF4-FFF2-40B4-BE49-F238E27FC236}">
              <a16:creationId xmlns:a16="http://schemas.microsoft.com/office/drawing/2014/main" xmlns="" id="{00000000-0008-0000-0000-000058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857" name="Text Box 3079">
          <a:extLst>
            <a:ext uri="{FF2B5EF4-FFF2-40B4-BE49-F238E27FC236}">
              <a16:creationId xmlns:a16="http://schemas.microsoft.com/office/drawing/2014/main" xmlns="" id="{00000000-0008-0000-0000-000059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858" name="Text Box 3080">
          <a:extLst>
            <a:ext uri="{FF2B5EF4-FFF2-40B4-BE49-F238E27FC236}">
              <a16:creationId xmlns:a16="http://schemas.microsoft.com/office/drawing/2014/main" xmlns="" id="{00000000-0008-0000-0000-00005A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859" name="Text Box 3081">
          <a:extLst>
            <a:ext uri="{FF2B5EF4-FFF2-40B4-BE49-F238E27FC236}">
              <a16:creationId xmlns:a16="http://schemas.microsoft.com/office/drawing/2014/main" xmlns="" id="{00000000-0008-0000-0000-00005B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860" name="Text Box 3082">
          <a:extLst>
            <a:ext uri="{FF2B5EF4-FFF2-40B4-BE49-F238E27FC236}">
              <a16:creationId xmlns:a16="http://schemas.microsoft.com/office/drawing/2014/main" xmlns="" id="{00000000-0008-0000-0000-00005C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861" name="Text Box 3083">
          <a:extLst>
            <a:ext uri="{FF2B5EF4-FFF2-40B4-BE49-F238E27FC236}">
              <a16:creationId xmlns:a16="http://schemas.microsoft.com/office/drawing/2014/main" xmlns="" id="{00000000-0008-0000-0000-00005D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862" name="Text Box 3084">
          <a:extLst>
            <a:ext uri="{FF2B5EF4-FFF2-40B4-BE49-F238E27FC236}">
              <a16:creationId xmlns:a16="http://schemas.microsoft.com/office/drawing/2014/main" xmlns="" id="{00000000-0008-0000-0000-00005E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863" name="Text Box 3085">
          <a:extLst>
            <a:ext uri="{FF2B5EF4-FFF2-40B4-BE49-F238E27FC236}">
              <a16:creationId xmlns:a16="http://schemas.microsoft.com/office/drawing/2014/main" xmlns="" id="{00000000-0008-0000-0000-00005F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864" name="Text Box 3086">
          <a:extLst>
            <a:ext uri="{FF2B5EF4-FFF2-40B4-BE49-F238E27FC236}">
              <a16:creationId xmlns:a16="http://schemas.microsoft.com/office/drawing/2014/main" xmlns="" id="{00000000-0008-0000-0000-000060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865" name="Text Box 3087">
          <a:extLst>
            <a:ext uri="{FF2B5EF4-FFF2-40B4-BE49-F238E27FC236}">
              <a16:creationId xmlns:a16="http://schemas.microsoft.com/office/drawing/2014/main" xmlns="" id="{00000000-0008-0000-0000-000061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866" name="Text Box 3088">
          <a:extLst>
            <a:ext uri="{FF2B5EF4-FFF2-40B4-BE49-F238E27FC236}">
              <a16:creationId xmlns:a16="http://schemas.microsoft.com/office/drawing/2014/main" xmlns="" id="{00000000-0008-0000-0000-000062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867" name="Text Box 3089">
          <a:extLst>
            <a:ext uri="{FF2B5EF4-FFF2-40B4-BE49-F238E27FC236}">
              <a16:creationId xmlns:a16="http://schemas.microsoft.com/office/drawing/2014/main" xmlns="" id="{00000000-0008-0000-0000-000063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868" name="Text Box 3090">
          <a:extLst>
            <a:ext uri="{FF2B5EF4-FFF2-40B4-BE49-F238E27FC236}">
              <a16:creationId xmlns:a16="http://schemas.microsoft.com/office/drawing/2014/main" xmlns="" id="{00000000-0008-0000-0000-000064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869" name="Text Box 3091">
          <a:extLst>
            <a:ext uri="{FF2B5EF4-FFF2-40B4-BE49-F238E27FC236}">
              <a16:creationId xmlns:a16="http://schemas.microsoft.com/office/drawing/2014/main" xmlns="" id="{00000000-0008-0000-0000-000065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870" name="Text Box 3092">
          <a:extLst>
            <a:ext uri="{FF2B5EF4-FFF2-40B4-BE49-F238E27FC236}">
              <a16:creationId xmlns:a16="http://schemas.microsoft.com/office/drawing/2014/main" xmlns="" id="{00000000-0008-0000-0000-000066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871" name="Text Box 3093">
          <a:extLst>
            <a:ext uri="{FF2B5EF4-FFF2-40B4-BE49-F238E27FC236}">
              <a16:creationId xmlns:a16="http://schemas.microsoft.com/office/drawing/2014/main" xmlns="" id="{00000000-0008-0000-0000-000067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872" name="Text Box 3094">
          <a:extLst>
            <a:ext uri="{FF2B5EF4-FFF2-40B4-BE49-F238E27FC236}">
              <a16:creationId xmlns:a16="http://schemas.microsoft.com/office/drawing/2014/main" xmlns="" id="{00000000-0008-0000-0000-000068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873" name="Text Box 3095">
          <a:extLst>
            <a:ext uri="{FF2B5EF4-FFF2-40B4-BE49-F238E27FC236}">
              <a16:creationId xmlns:a16="http://schemas.microsoft.com/office/drawing/2014/main" xmlns="" id="{00000000-0008-0000-0000-000069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874" name="Text Box 3096">
          <a:extLst>
            <a:ext uri="{FF2B5EF4-FFF2-40B4-BE49-F238E27FC236}">
              <a16:creationId xmlns:a16="http://schemas.microsoft.com/office/drawing/2014/main" xmlns="" id="{00000000-0008-0000-0000-00006A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875" name="Text Box 3097">
          <a:extLst>
            <a:ext uri="{FF2B5EF4-FFF2-40B4-BE49-F238E27FC236}">
              <a16:creationId xmlns:a16="http://schemas.microsoft.com/office/drawing/2014/main" xmlns="" id="{00000000-0008-0000-0000-00006B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876" name="Text Box 3098">
          <a:extLst>
            <a:ext uri="{FF2B5EF4-FFF2-40B4-BE49-F238E27FC236}">
              <a16:creationId xmlns:a16="http://schemas.microsoft.com/office/drawing/2014/main" xmlns="" id="{00000000-0008-0000-0000-00006C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877" name="Text Box 3099">
          <a:extLst>
            <a:ext uri="{FF2B5EF4-FFF2-40B4-BE49-F238E27FC236}">
              <a16:creationId xmlns:a16="http://schemas.microsoft.com/office/drawing/2014/main" xmlns="" id="{00000000-0008-0000-0000-00006D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878" name="Text Box 3100">
          <a:extLst>
            <a:ext uri="{FF2B5EF4-FFF2-40B4-BE49-F238E27FC236}">
              <a16:creationId xmlns:a16="http://schemas.microsoft.com/office/drawing/2014/main" xmlns="" id="{00000000-0008-0000-0000-00006E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879" name="Text Box 3101">
          <a:extLst>
            <a:ext uri="{FF2B5EF4-FFF2-40B4-BE49-F238E27FC236}">
              <a16:creationId xmlns:a16="http://schemas.microsoft.com/office/drawing/2014/main" xmlns="" id="{00000000-0008-0000-0000-00006F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880" name="Text Box 3102">
          <a:extLst>
            <a:ext uri="{FF2B5EF4-FFF2-40B4-BE49-F238E27FC236}">
              <a16:creationId xmlns:a16="http://schemas.microsoft.com/office/drawing/2014/main" xmlns="" id="{00000000-0008-0000-0000-000070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881" name="Text Box 59">
          <a:extLst>
            <a:ext uri="{FF2B5EF4-FFF2-40B4-BE49-F238E27FC236}">
              <a16:creationId xmlns:a16="http://schemas.microsoft.com/office/drawing/2014/main" xmlns="" id="{00000000-0008-0000-0000-000071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882" name="Text Box 60">
          <a:extLst>
            <a:ext uri="{FF2B5EF4-FFF2-40B4-BE49-F238E27FC236}">
              <a16:creationId xmlns:a16="http://schemas.microsoft.com/office/drawing/2014/main" xmlns="" id="{00000000-0008-0000-0000-000072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883" name="Text Box 61">
          <a:extLst>
            <a:ext uri="{FF2B5EF4-FFF2-40B4-BE49-F238E27FC236}">
              <a16:creationId xmlns:a16="http://schemas.microsoft.com/office/drawing/2014/main" xmlns="" id="{00000000-0008-0000-0000-000073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884" name="Text Box 62">
          <a:extLst>
            <a:ext uri="{FF2B5EF4-FFF2-40B4-BE49-F238E27FC236}">
              <a16:creationId xmlns:a16="http://schemas.microsoft.com/office/drawing/2014/main" xmlns="" id="{00000000-0008-0000-0000-000074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885" name="Text Box 63">
          <a:extLst>
            <a:ext uri="{FF2B5EF4-FFF2-40B4-BE49-F238E27FC236}">
              <a16:creationId xmlns:a16="http://schemas.microsoft.com/office/drawing/2014/main" xmlns="" id="{00000000-0008-0000-0000-000075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886" name="Text Box 64">
          <a:extLst>
            <a:ext uri="{FF2B5EF4-FFF2-40B4-BE49-F238E27FC236}">
              <a16:creationId xmlns:a16="http://schemas.microsoft.com/office/drawing/2014/main" xmlns="" id="{00000000-0008-0000-0000-000076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887" name="Text Box 65">
          <a:extLst>
            <a:ext uri="{FF2B5EF4-FFF2-40B4-BE49-F238E27FC236}">
              <a16:creationId xmlns:a16="http://schemas.microsoft.com/office/drawing/2014/main" xmlns="" id="{00000000-0008-0000-0000-000077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888" name="Text Box 66">
          <a:extLst>
            <a:ext uri="{FF2B5EF4-FFF2-40B4-BE49-F238E27FC236}">
              <a16:creationId xmlns:a16="http://schemas.microsoft.com/office/drawing/2014/main" xmlns="" id="{00000000-0008-0000-0000-000078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889" name="Text Box 67">
          <a:extLst>
            <a:ext uri="{FF2B5EF4-FFF2-40B4-BE49-F238E27FC236}">
              <a16:creationId xmlns:a16="http://schemas.microsoft.com/office/drawing/2014/main" xmlns="" id="{00000000-0008-0000-0000-000079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890" name="Text Box 68">
          <a:extLst>
            <a:ext uri="{FF2B5EF4-FFF2-40B4-BE49-F238E27FC236}">
              <a16:creationId xmlns:a16="http://schemas.microsoft.com/office/drawing/2014/main" xmlns="" id="{00000000-0008-0000-0000-00007A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891" name="Text Box 69">
          <a:extLst>
            <a:ext uri="{FF2B5EF4-FFF2-40B4-BE49-F238E27FC236}">
              <a16:creationId xmlns:a16="http://schemas.microsoft.com/office/drawing/2014/main" xmlns="" id="{00000000-0008-0000-0000-00007B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892" name="Text Box 70">
          <a:extLst>
            <a:ext uri="{FF2B5EF4-FFF2-40B4-BE49-F238E27FC236}">
              <a16:creationId xmlns:a16="http://schemas.microsoft.com/office/drawing/2014/main" xmlns="" id="{00000000-0008-0000-0000-00007C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893" name="Text Box 71">
          <a:extLst>
            <a:ext uri="{FF2B5EF4-FFF2-40B4-BE49-F238E27FC236}">
              <a16:creationId xmlns:a16="http://schemas.microsoft.com/office/drawing/2014/main" xmlns="" id="{00000000-0008-0000-0000-00007D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894" name="Text Box 72">
          <a:extLst>
            <a:ext uri="{FF2B5EF4-FFF2-40B4-BE49-F238E27FC236}">
              <a16:creationId xmlns:a16="http://schemas.microsoft.com/office/drawing/2014/main" xmlns="" id="{00000000-0008-0000-0000-00007E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895" name="Text Box 73">
          <a:extLst>
            <a:ext uri="{FF2B5EF4-FFF2-40B4-BE49-F238E27FC236}">
              <a16:creationId xmlns:a16="http://schemas.microsoft.com/office/drawing/2014/main" xmlns="" id="{00000000-0008-0000-0000-00007F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896" name="Text Box 74">
          <a:extLst>
            <a:ext uri="{FF2B5EF4-FFF2-40B4-BE49-F238E27FC236}">
              <a16:creationId xmlns:a16="http://schemas.microsoft.com/office/drawing/2014/main" xmlns="" id="{00000000-0008-0000-0000-000080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897" name="Text Box 75">
          <a:extLst>
            <a:ext uri="{FF2B5EF4-FFF2-40B4-BE49-F238E27FC236}">
              <a16:creationId xmlns:a16="http://schemas.microsoft.com/office/drawing/2014/main" xmlns="" id="{00000000-0008-0000-0000-000081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898" name="Text Box 76">
          <a:extLst>
            <a:ext uri="{FF2B5EF4-FFF2-40B4-BE49-F238E27FC236}">
              <a16:creationId xmlns:a16="http://schemas.microsoft.com/office/drawing/2014/main" xmlns="" id="{00000000-0008-0000-0000-000082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899" name="Text Box 77">
          <a:extLst>
            <a:ext uri="{FF2B5EF4-FFF2-40B4-BE49-F238E27FC236}">
              <a16:creationId xmlns:a16="http://schemas.microsoft.com/office/drawing/2014/main" xmlns="" id="{00000000-0008-0000-0000-000083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900" name="Text Box 78">
          <a:extLst>
            <a:ext uri="{FF2B5EF4-FFF2-40B4-BE49-F238E27FC236}">
              <a16:creationId xmlns:a16="http://schemas.microsoft.com/office/drawing/2014/main" xmlns="" id="{00000000-0008-0000-0000-000084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901" name="Text Box 79">
          <a:extLst>
            <a:ext uri="{FF2B5EF4-FFF2-40B4-BE49-F238E27FC236}">
              <a16:creationId xmlns:a16="http://schemas.microsoft.com/office/drawing/2014/main" xmlns="" id="{00000000-0008-0000-0000-000085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902" name="Text Box 80">
          <a:extLst>
            <a:ext uri="{FF2B5EF4-FFF2-40B4-BE49-F238E27FC236}">
              <a16:creationId xmlns:a16="http://schemas.microsoft.com/office/drawing/2014/main" xmlns="" id="{00000000-0008-0000-0000-000086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903" name="Text Box 81">
          <a:extLst>
            <a:ext uri="{FF2B5EF4-FFF2-40B4-BE49-F238E27FC236}">
              <a16:creationId xmlns:a16="http://schemas.microsoft.com/office/drawing/2014/main" xmlns="" id="{00000000-0008-0000-0000-000087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47625"/>
    <xdr:sp macro="" textlink="">
      <xdr:nvSpPr>
        <xdr:cNvPr id="904" name="Text Box 82">
          <a:extLst>
            <a:ext uri="{FF2B5EF4-FFF2-40B4-BE49-F238E27FC236}">
              <a16:creationId xmlns:a16="http://schemas.microsoft.com/office/drawing/2014/main" xmlns="" id="{00000000-0008-0000-0000-000088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905" name="Text Box 3079">
          <a:extLst>
            <a:ext uri="{FF2B5EF4-FFF2-40B4-BE49-F238E27FC236}">
              <a16:creationId xmlns:a16="http://schemas.microsoft.com/office/drawing/2014/main" xmlns="" id="{00000000-0008-0000-0000-000089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906" name="Text Box 3080">
          <a:extLst>
            <a:ext uri="{FF2B5EF4-FFF2-40B4-BE49-F238E27FC236}">
              <a16:creationId xmlns:a16="http://schemas.microsoft.com/office/drawing/2014/main" xmlns="" id="{00000000-0008-0000-0000-00008A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907" name="Text Box 3081">
          <a:extLst>
            <a:ext uri="{FF2B5EF4-FFF2-40B4-BE49-F238E27FC236}">
              <a16:creationId xmlns:a16="http://schemas.microsoft.com/office/drawing/2014/main" xmlns="" id="{00000000-0008-0000-0000-00008B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908" name="Text Box 3082">
          <a:extLst>
            <a:ext uri="{FF2B5EF4-FFF2-40B4-BE49-F238E27FC236}">
              <a16:creationId xmlns:a16="http://schemas.microsoft.com/office/drawing/2014/main" xmlns="" id="{00000000-0008-0000-0000-00008C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909" name="Text Box 3083">
          <a:extLst>
            <a:ext uri="{FF2B5EF4-FFF2-40B4-BE49-F238E27FC236}">
              <a16:creationId xmlns:a16="http://schemas.microsoft.com/office/drawing/2014/main" xmlns="" id="{00000000-0008-0000-0000-00008D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910" name="Text Box 3084">
          <a:extLst>
            <a:ext uri="{FF2B5EF4-FFF2-40B4-BE49-F238E27FC236}">
              <a16:creationId xmlns:a16="http://schemas.microsoft.com/office/drawing/2014/main" xmlns="" id="{00000000-0008-0000-0000-00008E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911" name="Text Box 3085">
          <a:extLst>
            <a:ext uri="{FF2B5EF4-FFF2-40B4-BE49-F238E27FC236}">
              <a16:creationId xmlns:a16="http://schemas.microsoft.com/office/drawing/2014/main" xmlns="" id="{00000000-0008-0000-0000-00008F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912" name="Text Box 3086">
          <a:extLst>
            <a:ext uri="{FF2B5EF4-FFF2-40B4-BE49-F238E27FC236}">
              <a16:creationId xmlns:a16="http://schemas.microsoft.com/office/drawing/2014/main" xmlns="" id="{00000000-0008-0000-0000-000090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913" name="Text Box 3087">
          <a:extLst>
            <a:ext uri="{FF2B5EF4-FFF2-40B4-BE49-F238E27FC236}">
              <a16:creationId xmlns:a16="http://schemas.microsoft.com/office/drawing/2014/main" xmlns="" id="{00000000-0008-0000-0000-000091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914" name="Text Box 3088">
          <a:extLst>
            <a:ext uri="{FF2B5EF4-FFF2-40B4-BE49-F238E27FC236}">
              <a16:creationId xmlns:a16="http://schemas.microsoft.com/office/drawing/2014/main" xmlns="" id="{00000000-0008-0000-0000-000092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915" name="Text Box 3089">
          <a:extLst>
            <a:ext uri="{FF2B5EF4-FFF2-40B4-BE49-F238E27FC236}">
              <a16:creationId xmlns:a16="http://schemas.microsoft.com/office/drawing/2014/main" xmlns="" id="{00000000-0008-0000-0000-000093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916" name="Text Box 3090">
          <a:extLst>
            <a:ext uri="{FF2B5EF4-FFF2-40B4-BE49-F238E27FC236}">
              <a16:creationId xmlns:a16="http://schemas.microsoft.com/office/drawing/2014/main" xmlns="" id="{00000000-0008-0000-0000-000094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917" name="Text Box 3091">
          <a:extLst>
            <a:ext uri="{FF2B5EF4-FFF2-40B4-BE49-F238E27FC236}">
              <a16:creationId xmlns:a16="http://schemas.microsoft.com/office/drawing/2014/main" xmlns="" id="{00000000-0008-0000-0000-000095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918" name="Text Box 3092">
          <a:extLst>
            <a:ext uri="{FF2B5EF4-FFF2-40B4-BE49-F238E27FC236}">
              <a16:creationId xmlns:a16="http://schemas.microsoft.com/office/drawing/2014/main" xmlns="" id="{00000000-0008-0000-0000-000096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919" name="Text Box 3093">
          <a:extLst>
            <a:ext uri="{FF2B5EF4-FFF2-40B4-BE49-F238E27FC236}">
              <a16:creationId xmlns:a16="http://schemas.microsoft.com/office/drawing/2014/main" xmlns="" id="{00000000-0008-0000-0000-000097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920" name="Text Box 3094">
          <a:extLst>
            <a:ext uri="{FF2B5EF4-FFF2-40B4-BE49-F238E27FC236}">
              <a16:creationId xmlns:a16="http://schemas.microsoft.com/office/drawing/2014/main" xmlns="" id="{00000000-0008-0000-0000-000098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921" name="Text Box 3095">
          <a:extLst>
            <a:ext uri="{FF2B5EF4-FFF2-40B4-BE49-F238E27FC236}">
              <a16:creationId xmlns:a16="http://schemas.microsoft.com/office/drawing/2014/main" xmlns="" id="{00000000-0008-0000-0000-000099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922" name="Text Box 3096">
          <a:extLst>
            <a:ext uri="{FF2B5EF4-FFF2-40B4-BE49-F238E27FC236}">
              <a16:creationId xmlns:a16="http://schemas.microsoft.com/office/drawing/2014/main" xmlns="" id="{00000000-0008-0000-0000-00009A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923" name="Text Box 3097">
          <a:extLst>
            <a:ext uri="{FF2B5EF4-FFF2-40B4-BE49-F238E27FC236}">
              <a16:creationId xmlns:a16="http://schemas.microsoft.com/office/drawing/2014/main" xmlns="" id="{00000000-0008-0000-0000-00009B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924" name="Text Box 3098">
          <a:extLst>
            <a:ext uri="{FF2B5EF4-FFF2-40B4-BE49-F238E27FC236}">
              <a16:creationId xmlns:a16="http://schemas.microsoft.com/office/drawing/2014/main" xmlns="" id="{00000000-0008-0000-0000-00009C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925" name="Text Box 3099">
          <a:extLst>
            <a:ext uri="{FF2B5EF4-FFF2-40B4-BE49-F238E27FC236}">
              <a16:creationId xmlns:a16="http://schemas.microsoft.com/office/drawing/2014/main" xmlns="" id="{00000000-0008-0000-0000-00009D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926" name="Text Box 3100">
          <a:extLst>
            <a:ext uri="{FF2B5EF4-FFF2-40B4-BE49-F238E27FC236}">
              <a16:creationId xmlns:a16="http://schemas.microsoft.com/office/drawing/2014/main" xmlns="" id="{00000000-0008-0000-0000-00009E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927" name="Text Box 3101">
          <a:extLst>
            <a:ext uri="{FF2B5EF4-FFF2-40B4-BE49-F238E27FC236}">
              <a16:creationId xmlns:a16="http://schemas.microsoft.com/office/drawing/2014/main" xmlns="" id="{00000000-0008-0000-0000-00009F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928" name="Text Box 3102">
          <a:extLst>
            <a:ext uri="{FF2B5EF4-FFF2-40B4-BE49-F238E27FC236}">
              <a16:creationId xmlns:a16="http://schemas.microsoft.com/office/drawing/2014/main" xmlns="" id="{00000000-0008-0000-0000-0000A0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929" name="Text Box 59">
          <a:extLst>
            <a:ext uri="{FF2B5EF4-FFF2-40B4-BE49-F238E27FC236}">
              <a16:creationId xmlns:a16="http://schemas.microsoft.com/office/drawing/2014/main" xmlns="" id="{00000000-0008-0000-0000-0000A1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930" name="Text Box 60">
          <a:extLst>
            <a:ext uri="{FF2B5EF4-FFF2-40B4-BE49-F238E27FC236}">
              <a16:creationId xmlns:a16="http://schemas.microsoft.com/office/drawing/2014/main" xmlns="" id="{00000000-0008-0000-0000-0000A2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931" name="Text Box 61">
          <a:extLst>
            <a:ext uri="{FF2B5EF4-FFF2-40B4-BE49-F238E27FC236}">
              <a16:creationId xmlns:a16="http://schemas.microsoft.com/office/drawing/2014/main" xmlns="" id="{00000000-0008-0000-0000-0000A3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932" name="Text Box 62">
          <a:extLst>
            <a:ext uri="{FF2B5EF4-FFF2-40B4-BE49-F238E27FC236}">
              <a16:creationId xmlns:a16="http://schemas.microsoft.com/office/drawing/2014/main" xmlns="" id="{00000000-0008-0000-0000-0000A4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933" name="Text Box 63">
          <a:extLst>
            <a:ext uri="{FF2B5EF4-FFF2-40B4-BE49-F238E27FC236}">
              <a16:creationId xmlns:a16="http://schemas.microsoft.com/office/drawing/2014/main" xmlns="" id="{00000000-0008-0000-0000-0000A5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934" name="Text Box 64">
          <a:extLst>
            <a:ext uri="{FF2B5EF4-FFF2-40B4-BE49-F238E27FC236}">
              <a16:creationId xmlns:a16="http://schemas.microsoft.com/office/drawing/2014/main" xmlns="" id="{00000000-0008-0000-0000-0000A6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935" name="Text Box 65">
          <a:extLst>
            <a:ext uri="{FF2B5EF4-FFF2-40B4-BE49-F238E27FC236}">
              <a16:creationId xmlns:a16="http://schemas.microsoft.com/office/drawing/2014/main" xmlns="" id="{00000000-0008-0000-0000-0000A7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936" name="Text Box 66">
          <a:extLst>
            <a:ext uri="{FF2B5EF4-FFF2-40B4-BE49-F238E27FC236}">
              <a16:creationId xmlns:a16="http://schemas.microsoft.com/office/drawing/2014/main" xmlns="" id="{00000000-0008-0000-0000-0000A8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937" name="Text Box 67">
          <a:extLst>
            <a:ext uri="{FF2B5EF4-FFF2-40B4-BE49-F238E27FC236}">
              <a16:creationId xmlns:a16="http://schemas.microsoft.com/office/drawing/2014/main" xmlns="" id="{00000000-0008-0000-0000-0000A9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938" name="Text Box 68">
          <a:extLst>
            <a:ext uri="{FF2B5EF4-FFF2-40B4-BE49-F238E27FC236}">
              <a16:creationId xmlns:a16="http://schemas.microsoft.com/office/drawing/2014/main" xmlns="" id="{00000000-0008-0000-0000-0000AA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939" name="Text Box 69">
          <a:extLst>
            <a:ext uri="{FF2B5EF4-FFF2-40B4-BE49-F238E27FC236}">
              <a16:creationId xmlns:a16="http://schemas.microsoft.com/office/drawing/2014/main" xmlns="" id="{00000000-0008-0000-0000-0000AB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940" name="Text Box 70">
          <a:extLst>
            <a:ext uri="{FF2B5EF4-FFF2-40B4-BE49-F238E27FC236}">
              <a16:creationId xmlns:a16="http://schemas.microsoft.com/office/drawing/2014/main" xmlns="" id="{00000000-0008-0000-0000-0000AC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941" name="Text Box 71">
          <a:extLst>
            <a:ext uri="{FF2B5EF4-FFF2-40B4-BE49-F238E27FC236}">
              <a16:creationId xmlns:a16="http://schemas.microsoft.com/office/drawing/2014/main" xmlns="" id="{00000000-0008-0000-0000-0000AD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942" name="Text Box 72">
          <a:extLst>
            <a:ext uri="{FF2B5EF4-FFF2-40B4-BE49-F238E27FC236}">
              <a16:creationId xmlns:a16="http://schemas.microsoft.com/office/drawing/2014/main" xmlns="" id="{00000000-0008-0000-0000-0000AE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943" name="Text Box 73">
          <a:extLst>
            <a:ext uri="{FF2B5EF4-FFF2-40B4-BE49-F238E27FC236}">
              <a16:creationId xmlns:a16="http://schemas.microsoft.com/office/drawing/2014/main" xmlns="" id="{00000000-0008-0000-0000-0000AF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944" name="Text Box 74">
          <a:extLst>
            <a:ext uri="{FF2B5EF4-FFF2-40B4-BE49-F238E27FC236}">
              <a16:creationId xmlns:a16="http://schemas.microsoft.com/office/drawing/2014/main" xmlns="" id="{00000000-0008-0000-0000-0000B0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945" name="Text Box 75">
          <a:extLst>
            <a:ext uri="{FF2B5EF4-FFF2-40B4-BE49-F238E27FC236}">
              <a16:creationId xmlns:a16="http://schemas.microsoft.com/office/drawing/2014/main" xmlns="" id="{00000000-0008-0000-0000-0000B1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946" name="Text Box 76">
          <a:extLst>
            <a:ext uri="{FF2B5EF4-FFF2-40B4-BE49-F238E27FC236}">
              <a16:creationId xmlns:a16="http://schemas.microsoft.com/office/drawing/2014/main" xmlns="" id="{00000000-0008-0000-0000-0000B2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947" name="Text Box 77">
          <a:extLst>
            <a:ext uri="{FF2B5EF4-FFF2-40B4-BE49-F238E27FC236}">
              <a16:creationId xmlns:a16="http://schemas.microsoft.com/office/drawing/2014/main" xmlns="" id="{00000000-0008-0000-0000-0000B3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948" name="Text Box 78">
          <a:extLst>
            <a:ext uri="{FF2B5EF4-FFF2-40B4-BE49-F238E27FC236}">
              <a16:creationId xmlns:a16="http://schemas.microsoft.com/office/drawing/2014/main" xmlns="" id="{00000000-0008-0000-0000-0000B4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949" name="Text Box 79">
          <a:extLst>
            <a:ext uri="{FF2B5EF4-FFF2-40B4-BE49-F238E27FC236}">
              <a16:creationId xmlns:a16="http://schemas.microsoft.com/office/drawing/2014/main" xmlns="" id="{00000000-0008-0000-0000-0000B5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950" name="Text Box 80">
          <a:extLst>
            <a:ext uri="{FF2B5EF4-FFF2-40B4-BE49-F238E27FC236}">
              <a16:creationId xmlns:a16="http://schemas.microsoft.com/office/drawing/2014/main" xmlns="" id="{00000000-0008-0000-0000-0000B6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951" name="Text Box 81">
          <a:extLst>
            <a:ext uri="{FF2B5EF4-FFF2-40B4-BE49-F238E27FC236}">
              <a16:creationId xmlns:a16="http://schemas.microsoft.com/office/drawing/2014/main" xmlns="" id="{00000000-0008-0000-0000-0000B7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952" name="Text Box 3079">
          <a:extLst>
            <a:ext uri="{FF2B5EF4-FFF2-40B4-BE49-F238E27FC236}">
              <a16:creationId xmlns:a16="http://schemas.microsoft.com/office/drawing/2014/main" xmlns="" id="{00000000-0008-0000-0000-0000B8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953" name="Text Box 3080">
          <a:extLst>
            <a:ext uri="{FF2B5EF4-FFF2-40B4-BE49-F238E27FC236}">
              <a16:creationId xmlns:a16="http://schemas.microsoft.com/office/drawing/2014/main" xmlns="" id="{00000000-0008-0000-0000-0000B9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954" name="Text Box 3081">
          <a:extLst>
            <a:ext uri="{FF2B5EF4-FFF2-40B4-BE49-F238E27FC236}">
              <a16:creationId xmlns:a16="http://schemas.microsoft.com/office/drawing/2014/main" xmlns="" id="{00000000-0008-0000-0000-0000BA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955" name="Text Box 3082">
          <a:extLst>
            <a:ext uri="{FF2B5EF4-FFF2-40B4-BE49-F238E27FC236}">
              <a16:creationId xmlns:a16="http://schemas.microsoft.com/office/drawing/2014/main" xmlns="" id="{00000000-0008-0000-0000-0000BB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956" name="Text Box 3083">
          <a:extLst>
            <a:ext uri="{FF2B5EF4-FFF2-40B4-BE49-F238E27FC236}">
              <a16:creationId xmlns:a16="http://schemas.microsoft.com/office/drawing/2014/main" xmlns="" id="{00000000-0008-0000-0000-0000BC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957" name="Text Box 3084">
          <a:extLst>
            <a:ext uri="{FF2B5EF4-FFF2-40B4-BE49-F238E27FC236}">
              <a16:creationId xmlns:a16="http://schemas.microsoft.com/office/drawing/2014/main" xmlns="" id="{00000000-0008-0000-0000-0000BD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958" name="Text Box 3085">
          <a:extLst>
            <a:ext uri="{FF2B5EF4-FFF2-40B4-BE49-F238E27FC236}">
              <a16:creationId xmlns:a16="http://schemas.microsoft.com/office/drawing/2014/main" xmlns="" id="{00000000-0008-0000-0000-0000BE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959" name="Text Box 3086">
          <a:extLst>
            <a:ext uri="{FF2B5EF4-FFF2-40B4-BE49-F238E27FC236}">
              <a16:creationId xmlns:a16="http://schemas.microsoft.com/office/drawing/2014/main" xmlns="" id="{00000000-0008-0000-0000-0000BF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960" name="Text Box 3087">
          <a:extLst>
            <a:ext uri="{FF2B5EF4-FFF2-40B4-BE49-F238E27FC236}">
              <a16:creationId xmlns:a16="http://schemas.microsoft.com/office/drawing/2014/main" xmlns="" id="{00000000-0008-0000-0000-0000C0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961" name="Text Box 3088">
          <a:extLst>
            <a:ext uri="{FF2B5EF4-FFF2-40B4-BE49-F238E27FC236}">
              <a16:creationId xmlns:a16="http://schemas.microsoft.com/office/drawing/2014/main" xmlns="" id="{00000000-0008-0000-0000-0000C1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962" name="Text Box 3089">
          <a:extLst>
            <a:ext uri="{FF2B5EF4-FFF2-40B4-BE49-F238E27FC236}">
              <a16:creationId xmlns:a16="http://schemas.microsoft.com/office/drawing/2014/main" xmlns="" id="{00000000-0008-0000-0000-0000C2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963" name="Text Box 3090">
          <a:extLst>
            <a:ext uri="{FF2B5EF4-FFF2-40B4-BE49-F238E27FC236}">
              <a16:creationId xmlns:a16="http://schemas.microsoft.com/office/drawing/2014/main" xmlns="" id="{00000000-0008-0000-0000-0000C3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964" name="Text Box 3091">
          <a:extLst>
            <a:ext uri="{FF2B5EF4-FFF2-40B4-BE49-F238E27FC236}">
              <a16:creationId xmlns:a16="http://schemas.microsoft.com/office/drawing/2014/main" xmlns="" id="{00000000-0008-0000-0000-0000C4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965" name="Text Box 3092">
          <a:extLst>
            <a:ext uri="{FF2B5EF4-FFF2-40B4-BE49-F238E27FC236}">
              <a16:creationId xmlns:a16="http://schemas.microsoft.com/office/drawing/2014/main" xmlns="" id="{00000000-0008-0000-0000-0000C5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966" name="Text Box 3093">
          <a:extLst>
            <a:ext uri="{FF2B5EF4-FFF2-40B4-BE49-F238E27FC236}">
              <a16:creationId xmlns:a16="http://schemas.microsoft.com/office/drawing/2014/main" xmlns="" id="{00000000-0008-0000-0000-0000C6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967" name="Text Box 3094">
          <a:extLst>
            <a:ext uri="{FF2B5EF4-FFF2-40B4-BE49-F238E27FC236}">
              <a16:creationId xmlns:a16="http://schemas.microsoft.com/office/drawing/2014/main" xmlns="" id="{00000000-0008-0000-0000-0000C7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968" name="Text Box 3095">
          <a:extLst>
            <a:ext uri="{FF2B5EF4-FFF2-40B4-BE49-F238E27FC236}">
              <a16:creationId xmlns:a16="http://schemas.microsoft.com/office/drawing/2014/main" xmlns="" id="{00000000-0008-0000-0000-0000C8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969" name="Text Box 3096">
          <a:extLst>
            <a:ext uri="{FF2B5EF4-FFF2-40B4-BE49-F238E27FC236}">
              <a16:creationId xmlns:a16="http://schemas.microsoft.com/office/drawing/2014/main" xmlns="" id="{00000000-0008-0000-0000-0000C9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970" name="Text Box 3097">
          <a:extLst>
            <a:ext uri="{FF2B5EF4-FFF2-40B4-BE49-F238E27FC236}">
              <a16:creationId xmlns:a16="http://schemas.microsoft.com/office/drawing/2014/main" xmlns="" id="{00000000-0008-0000-0000-0000CA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971" name="Text Box 3098">
          <a:extLst>
            <a:ext uri="{FF2B5EF4-FFF2-40B4-BE49-F238E27FC236}">
              <a16:creationId xmlns:a16="http://schemas.microsoft.com/office/drawing/2014/main" xmlns="" id="{00000000-0008-0000-0000-0000CB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972" name="Text Box 3099">
          <a:extLst>
            <a:ext uri="{FF2B5EF4-FFF2-40B4-BE49-F238E27FC236}">
              <a16:creationId xmlns:a16="http://schemas.microsoft.com/office/drawing/2014/main" xmlns="" id="{00000000-0008-0000-0000-0000CC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973" name="Text Box 3100">
          <a:extLst>
            <a:ext uri="{FF2B5EF4-FFF2-40B4-BE49-F238E27FC236}">
              <a16:creationId xmlns:a16="http://schemas.microsoft.com/office/drawing/2014/main" xmlns="" id="{00000000-0008-0000-0000-0000CD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974" name="Text Box 3101">
          <a:extLst>
            <a:ext uri="{FF2B5EF4-FFF2-40B4-BE49-F238E27FC236}">
              <a16:creationId xmlns:a16="http://schemas.microsoft.com/office/drawing/2014/main" xmlns="" id="{00000000-0008-0000-0000-0000CE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975" name="Text Box 3102">
          <a:extLst>
            <a:ext uri="{FF2B5EF4-FFF2-40B4-BE49-F238E27FC236}">
              <a16:creationId xmlns:a16="http://schemas.microsoft.com/office/drawing/2014/main" xmlns="" id="{00000000-0008-0000-0000-0000CF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976" name="Text Box 59">
          <a:extLst>
            <a:ext uri="{FF2B5EF4-FFF2-40B4-BE49-F238E27FC236}">
              <a16:creationId xmlns:a16="http://schemas.microsoft.com/office/drawing/2014/main" xmlns="" id="{00000000-0008-0000-0000-0000D0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977" name="Text Box 60">
          <a:extLst>
            <a:ext uri="{FF2B5EF4-FFF2-40B4-BE49-F238E27FC236}">
              <a16:creationId xmlns:a16="http://schemas.microsoft.com/office/drawing/2014/main" xmlns="" id="{00000000-0008-0000-0000-0000D1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978" name="Text Box 61">
          <a:extLst>
            <a:ext uri="{FF2B5EF4-FFF2-40B4-BE49-F238E27FC236}">
              <a16:creationId xmlns:a16="http://schemas.microsoft.com/office/drawing/2014/main" xmlns="" id="{00000000-0008-0000-0000-0000D2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979" name="Text Box 62">
          <a:extLst>
            <a:ext uri="{FF2B5EF4-FFF2-40B4-BE49-F238E27FC236}">
              <a16:creationId xmlns:a16="http://schemas.microsoft.com/office/drawing/2014/main" xmlns="" id="{00000000-0008-0000-0000-0000D3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980" name="Text Box 63">
          <a:extLst>
            <a:ext uri="{FF2B5EF4-FFF2-40B4-BE49-F238E27FC236}">
              <a16:creationId xmlns:a16="http://schemas.microsoft.com/office/drawing/2014/main" xmlns="" id="{00000000-0008-0000-0000-0000D4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981" name="Text Box 64">
          <a:extLst>
            <a:ext uri="{FF2B5EF4-FFF2-40B4-BE49-F238E27FC236}">
              <a16:creationId xmlns:a16="http://schemas.microsoft.com/office/drawing/2014/main" xmlns="" id="{00000000-0008-0000-0000-0000D5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982" name="Text Box 65">
          <a:extLst>
            <a:ext uri="{FF2B5EF4-FFF2-40B4-BE49-F238E27FC236}">
              <a16:creationId xmlns:a16="http://schemas.microsoft.com/office/drawing/2014/main" xmlns="" id="{00000000-0008-0000-0000-0000D6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983" name="Text Box 66">
          <a:extLst>
            <a:ext uri="{FF2B5EF4-FFF2-40B4-BE49-F238E27FC236}">
              <a16:creationId xmlns:a16="http://schemas.microsoft.com/office/drawing/2014/main" xmlns="" id="{00000000-0008-0000-0000-0000D7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984" name="Text Box 67">
          <a:extLst>
            <a:ext uri="{FF2B5EF4-FFF2-40B4-BE49-F238E27FC236}">
              <a16:creationId xmlns:a16="http://schemas.microsoft.com/office/drawing/2014/main" xmlns="" id="{00000000-0008-0000-0000-0000D8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985" name="Text Box 68">
          <a:extLst>
            <a:ext uri="{FF2B5EF4-FFF2-40B4-BE49-F238E27FC236}">
              <a16:creationId xmlns:a16="http://schemas.microsoft.com/office/drawing/2014/main" xmlns="" id="{00000000-0008-0000-0000-0000D9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986" name="Text Box 69">
          <a:extLst>
            <a:ext uri="{FF2B5EF4-FFF2-40B4-BE49-F238E27FC236}">
              <a16:creationId xmlns:a16="http://schemas.microsoft.com/office/drawing/2014/main" xmlns="" id="{00000000-0008-0000-0000-0000DA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987" name="Text Box 70">
          <a:extLst>
            <a:ext uri="{FF2B5EF4-FFF2-40B4-BE49-F238E27FC236}">
              <a16:creationId xmlns:a16="http://schemas.microsoft.com/office/drawing/2014/main" xmlns="" id="{00000000-0008-0000-0000-0000DB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988" name="Text Box 71">
          <a:extLst>
            <a:ext uri="{FF2B5EF4-FFF2-40B4-BE49-F238E27FC236}">
              <a16:creationId xmlns:a16="http://schemas.microsoft.com/office/drawing/2014/main" xmlns="" id="{00000000-0008-0000-0000-0000DC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989" name="Text Box 72">
          <a:extLst>
            <a:ext uri="{FF2B5EF4-FFF2-40B4-BE49-F238E27FC236}">
              <a16:creationId xmlns:a16="http://schemas.microsoft.com/office/drawing/2014/main" xmlns="" id="{00000000-0008-0000-0000-0000DD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990" name="Text Box 73">
          <a:extLst>
            <a:ext uri="{FF2B5EF4-FFF2-40B4-BE49-F238E27FC236}">
              <a16:creationId xmlns:a16="http://schemas.microsoft.com/office/drawing/2014/main" xmlns="" id="{00000000-0008-0000-0000-0000DE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991" name="Text Box 74">
          <a:extLst>
            <a:ext uri="{FF2B5EF4-FFF2-40B4-BE49-F238E27FC236}">
              <a16:creationId xmlns:a16="http://schemas.microsoft.com/office/drawing/2014/main" xmlns="" id="{00000000-0008-0000-0000-0000DF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992" name="Text Box 75">
          <a:extLst>
            <a:ext uri="{FF2B5EF4-FFF2-40B4-BE49-F238E27FC236}">
              <a16:creationId xmlns:a16="http://schemas.microsoft.com/office/drawing/2014/main" xmlns="" id="{00000000-0008-0000-0000-0000E0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993" name="Text Box 76">
          <a:extLst>
            <a:ext uri="{FF2B5EF4-FFF2-40B4-BE49-F238E27FC236}">
              <a16:creationId xmlns:a16="http://schemas.microsoft.com/office/drawing/2014/main" xmlns="" id="{00000000-0008-0000-0000-0000E1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994" name="Text Box 77">
          <a:extLst>
            <a:ext uri="{FF2B5EF4-FFF2-40B4-BE49-F238E27FC236}">
              <a16:creationId xmlns:a16="http://schemas.microsoft.com/office/drawing/2014/main" xmlns="" id="{00000000-0008-0000-0000-0000E2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995" name="Text Box 78">
          <a:extLst>
            <a:ext uri="{FF2B5EF4-FFF2-40B4-BE49-F238E27FC236}">
              <a16:creationId xmlns:a16="http://schemas.microsoft.com/office/drawing/2014/main" xmlns="" id="{00000000-0008-0000-0000-0000E3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996" name="Text Box 79">
          <a:extLst>
            <a:ext uri="{FF2B5EF4-FFF2-40B4-BE49-F238E27FC236}">
              <a16:creationId xmlns:a16="http://schemas.microsoft.com/office/drawing/2014/main" xmlns="" id="{00000000-0008-0000-0000-0000E4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997" name="Text Box 80">
          <a:extLst>
            <a:ext uri="{FF2B5EF4-FFF2-40B4-BE49-F238E27FC236}">
              <a16:creationId xmlns:a16="http://schemas.microsoft.com/office/drawing/2014/main" xmlns="" id="{00000000-0008-0000-0000-0000E5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998" name="Text Box 81">
          <a:extLst>
            <a:ext uri="{FF2B5EF4-FFF2-40B4-BE49-F238E27FC236}">
              <a16:creationId xmlns:a16="http://schemas.microsoft.com/office/drawing/2014/main" xmlns="" id="{00000000-0008-0000-0000-0000E6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47625"/>
    <xdr:sp macro="" textlink="">
      <xdr:nvSpPr>
        <xdr:cNvPr id="999" name="Text Box 82">
          <a:extLst>
            <a:ext uri="{FF2B5EF4-FFF2-40B4-BE49-F238E27FC236}">
              <a16:creationId xmlns:a16="http://schemas.microsoft.com/office/drawing/2014/main" xmlns="" id="{00000000-0008-0000-0000-0000E7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000" name="Text Box 3079">
          <a:extLst>
            <a:ext uri="{FF2B5EF4-FFF2-40B4-BE49-F238E27FC236}">
              <a16:creationId xmlns:a16="http://schemas.microsoft.com/office/drawing/2014/main" xmlns="" id="{00000000-0008-0000-0000-0000E8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001" name="Text Box 3080">
          <a:extLst>
            <a:ext uri="{FF2B5EF4-FFF2-40B4-BE49-F238E27FC236}">
              <a16:creationId xmlns:a16="http://schemas.microsoft.com/office/drawing/2014/main" xmlns="" id="{00000000-0008-0000-0000-0000E9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002" name="Text Box 3081">
          <a:extLst>
            <a:ext uri="{FF2B5EF4-FFF2-40B4-BE49-F238E27FC236}">
              <a16:creationId xmlns:a16="http://schemas.microsoft.com/office/drawing/2014/main" xmlns="" id="{00000000-0008-0000-0000-0000EA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003" name="Text Box 3082">
          <a:extLst>
            <a:ext uri="{FF2B5EF4-FFF2-40B4-BE49-F238E27FC236}">
              <a16:creationId xmlns:a16="http://schemas.microsoft.com/office/drawing/2014/main" xmlns="" id="{00000000-0008-0000-0000-0000EB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004" name="Text Box 3083">
          <a:extLst>
            <a:ext uri="{FF2B5EF4-FFF2-40B4-BE49-F238E27FC236}">
              <a16:creationId xmlns:a16="http://schemas.microsoft.com/office/drawing/2014/main" xmlns="" id="{00000000-0008-0000-0000-0000EC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005" name="Text Box 3084">
          <a:extLst>
            <a:ext uri="{FF2B5EF4-FFF2-40B4-BE49-F238E27FC236}">
              <a16:creationId xmlns:a16="http://schemas.microsoft.com/office/drawing/2014/main" xmlns="" id="{00000000-0008-0000-0000-0000ED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006" name="Text Box 3085">
          <a:extLst>
            <a:ext uri="{FF2B5EF4-FFF2-40B4-BE49-F238E27FC236}">
              <a16:creationId xmlns:a16="http://schemas.microsoft.com/office/drawing/2014/main" xmlns="" id="{00000000-0008-0000-0000-0000EE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007" name="Text Box 3086">
          <a:extLst>
            <a:ext uri="{FF2B5EF4-FFF2-40B4-BE49-F238E27FC236}">
              <a16:creationId xmlns:a16="http://schemas.microsoft.com/office/drawing/2014/main" xmlns="" id="{00000000-0008-0000-0000-0000EF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008" name="Text Box 3087">
          <a:extLst>
            <a:ext uri="{FF2B5EF4-FFF2-40B4-BE49-F238E27FC236}">
              <a16:creationId xmlns:a16="http://schemas.microsoft.com/office/drawing/2014/main" xmlns="" id="{00000000-0008-0000-0000-0000F0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009" name="Text Box 3088">
          <a:extLst>
            <a:ext uri="{FF2B5EF4-FFF2-40B4-BE49-F238E27FC236}">
              <a16:creationId xmlns:a16="http://schemas.microsoft.com/office/drawing/2014/main" xmlns="" id="{00000000-0008-0000-0000-0000F1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010" name="Text Box 3089">
          <a:extLst>
            <a:ext uri="{FF2B5EF4-FFF2-40B4-BE49-F238E27FC236}">
              <a16:creationId xmlns:a16="http://schemas.microsoft.com/office/drawing/2014/main" xmlns="" id="{00000000-0008-0000-0000-0000F2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011" name="Text Box 3090">
          <a:extLst>
            <a:ext uri="{FF2B5EF4-FFF2-40B4-BE49-F238E27FC236}">
              <a16:creationId xmlns:a16="http://schemas.microsoft.com/office/drawing/2014/main" xmlns="" id="{00000000-0008-0000-0000-0000F3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012" name="Text Box 3091">
          <a:extLst>
            <a:ext uri="{FF2B5EF4-FFF2-40B4-BE49-F238E27FC236}">
              <a16:creationId xmlns:a16="http://schemas.microsoft.com/office/drawing/2014/main" xmlns="" id="{00000000-0008-0000-0000-0000F4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013" name="Text Box 3092">
          <a:extLst>
            <a:ext uri="{FF2B5EF4-FFF2-40B4-BE49-F238E27FC236}">
              <a16:creationId xmlns:a16="http://schemas.microsoft.com/office/drawing/2014/main" xmlns="" id="{00000000-0008-0000-0000-0000F5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014" name="Text Box 3093">
          <a:extLst>
            <a:ext uri="{FF2B5EF4-FFF2-40B4-BE49-F238E27FC236}">
              <a16:creationId xmlns:a16="http://schemas.microsoft.com/office/drawing/2014/main" xmlns="" id="{00000000-0008-0000-0000-0000F6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015" name="Text Box 3094">
          <a:extLst>
            <a:ext uri="{FF2B5EF4-FFF2-40B4-BE49-F238E27FC236}">
              <a16:creationId xmlns:a16="http://schemas.microsoft.com/office/drawing/2014/main" xmlns="" id="{00000000-0008-0000-0000-0000F7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016" name="Text Box 3095">
          <a:extLst>
            <a:ext uri="{FF2B5EF4-FFF2-40B4-BE49-F238E27FC236}">
              <a16:creationId xmlns:a16="http://schemas.microsoft.com/office/drawing/2014/main" xmlns="" id="{00000000-0008-0000-0000-0000F8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017" name="Text Box 3096">
          <a:extLst>
            <a:ext uri="{FF2B5EF4-FFF2-40B4-BE49-F238E27FC236}">
              <a16:creationId xmlns:a16="http://schemas.microsoft.com/office/drawing/2014/main" xmlns="" id="{00000000-0008-0000-0000-0000F9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018" name="Text Box 3097">
          <a:extLst>
            <a:ext uri="{FF2B5EF4-FFF2-40B4-BE49-F238E27FC236}">
              <a16:creationId xmlns:a16="http://schemas.microsoft.com/office/drawing/2014/main" xmlns="" id="{00000000-0008-0000-0000-0000FA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019" name="Text Box 3098">
          <a:extLst>
            <a:ext uri="{FF2B5EF4-FFF2-40B4-BE49-F238E27FC236}">
              <a16:creationId xmlns:a16="http://schemas.microsoft.com/office/drawing/2014/main" xmlns="" id="{00000000-0008-0000-0000-0000FB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020" name="Text Box 3099">
          <a:extLst>
            <a:ext uri="{FF2B5EF4-FFF2-40B4-BE49-F238E27FC236}">
              <a16:creationId xmlns:a16="http://schemas.microsoft.com/office/drawing/2014/main" xmlns="" id="{00000000-0008-0000-0000-0000FC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021" name="Text Box 3100">
          <a:extLst>
            <a:ext uri="{FF2B5EF4-FFF2-40B4-BE49-F238E27FC236}">
              <a16:creationId xmlns:a16="http://schemas.microsoft.com/office/drawing/2014/main" xmlns="" id="{00000000-0008-0000-0000-0000FD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022" name="Text Box 3101">
          <a:extLst>
            <a:ext uri="{FF2B5EF4-FFF2-40B4-BE49-F238E27FC236}">
              <a16:creationId xmlns:a16="http://schemas.microsoft.com/office/drawing/2014/main" xmlns="" id="{00000000-0008-0000-0000-0000FE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1023" name="Text Box 3102">
          <a:extLst>
            <a:ext uri="{FF2B5EF4-FFF2-40B4-BE49-F238E27FC236}">
              <a16:creationId xmlns:a16="http://schemas.microsoft.com/office/drawing/2014/main" xmlns="" id="{00000000-0008-0000-0000-0000FF0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024" name="Text Box 59">
          <a:extLst>
            <a:ext uri="{FF2B5EF4-FFF2-40B4-BE49-F238E27FC236}">
              <a16:creationId xmlns:a16="http://schemas.microsoft.com/office/drawing/2014/main" xmlns="" id="{00000000-0008-0000-0000-000000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025" name="Text Box 60">
          <a:extLst>
            <a:ext uri="{FF2B5EF4-FFF2-40B4-BE49-F238E27FC236}">
              <a16:creationId xmlns:a16="http://schemas.microsoft.com/office/drawing/2014/main" xmlns="" id="{00000000-0008-0000-0000-000001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026" name="Text Box 61">
          <a:extLst>
            <a:ext uri="{FF2B5EF4-FFF2-40B4-BE49-F238E27FC236}">
              <a16:creationId xmlns:a16="http://schemas.microsoft.com/office/drawing/2014/main" xmlns="" id="{00000000-0008-0000-0000-000002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027" name="Text Box 62">
          <a:extLst>
            <a:ext uri="{FF2B5EF4-FFF2-40B4-BE49-F238E27FC236}">
              <a16:creationId xmlns:a16="http://schemas.microsoft.com/office/drawing/2014/main" xmlns="" id="{00000000-0008-0000-0000-000003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028" name="Text Box 63">
          <a:extLst>
            <a:ext uri="{FF2B5EF4-FFF2-40B4-BE49-F238E27FC236}">
              <a16:creationId xmlns:a16="http://schemas.microsoft.com/office/drawing/2014/main" xmlns="" id="{00000000-0008-0000-0000-000004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029" name="Text Box 64">
          <a:extLst>
            <a:ext uri="{FF2B5EF4-FFF2-40B4-BE49-F238E27FC236}">
              <a16:creationId xmlns:a16="http://schemas.microsoft.com/office/drawing/2014/main" xmlns="" id="{00000000-0008-0000-0000-000005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030" name="Text Box 65">
          <a:extLst>
            <a:ext uri="{FF2B5EF4-FFF2-40B4-BE49-F238E27FC236}">
              <a16:creationId xmlns:a16="http://schemas.microsoft.com/office/drawing/2014/main" xmlns="" id="{00000000-0008-0000-0000-000006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031" name="Text Box 66">
          <a:extLst>
            <a:ext uri="{FF2B5EF4-FFF2-40B4-BE49-F238E27FC236}">
              <a16:creationId xmlns:a16="http://schemas.microsoft.com/office/drawing/2014/main" xmlns="" id="{00000000-0008-0000-0000-000007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032" name="Text Box 67">
          <a:extLst>
            <a:ext uri="{FF2B5EF4-FFF2-40B4-BE49-F238E27FC236}">
              <a16:creationId xmlns:a16="http://schemas.microsoft.com/office/drawing/2014/main" xmlns="" id="{00000000-0008-0000-0000-000008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033" name="Text Box 68">
          <a:extLst>
            <a:ext uri="{FF2B5EF4-FFF2-40B4-BE49-F238E27FC236}">
              <a16:creationId xmlns:a16="http://schemas.microsoft.com/office/drawing/2014/main" xmlns="" id="{00000000-0008-0000-0000-000009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034" name="Text Box 69">
          <a:extLst>
            <a:ext uri="{FF2B5EF4-FFF2-40B4-BE49-F238E27FC236}">
              <a16:creationId xmlns:a16="http://schemas.microsoft.com/office/drawing/2014/main" xmlns="" id="{00000000-0008-0000-0000-00000A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035" name="Text Box 70">
          <a:extLst>
            <a:ext uri="{FF2B5EF4-FFF2-40B4-BE49-F238E27FC236}">
              <a16:creationId xmlns:a16="http://schemas.microsoft.com/office/drawing/2014/main" xmlns="" id="{00000000-0008-0000-0000-00000B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036" name="Text Box 71">
          <a:extLst>
            <a:ext uri="{FF2B5EF4-FFF2-40B4-BE49-F238E27FC236}">
              <a16:creationId xmlns:a16="http://schemas.microsoft.com/office/drawing/2014/main" xmlns="" id="{00000000-0008-0000-0000-00000C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037" name="Text Box 72">
          <a:extLst>
            <a:ext uri="{FF2B5EF4-FFF2-40B4-BE49-F238E27FC236}">
              <a16:creationId xmlns:a16="http://schemas.microsoft.com/office/drawing/2014/main" xmlns="" id="{00000000-0008-0000-0000-00000D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038" name="Text Box 73">
          <a:extLst>
            <a:ext uri="{FF2B5EF4-FFF2-40B4-BE49-F238E27FC236}">
              <a16:creationId xmlns:a16="http://schemas.microsoft.com/office/drawing/2014/main" xmlns="" id="{00000000-0008-0000-0000-00000E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039" name="Text Box 74">
          <a:extLst>
            <a:ext uri="{FF2B5EF4-FFF2-40B4-BE49-F238E27FC236}">
              <a16:creationId xmlns:a16="http://schemas.microsoft.com/office/drawing/2014/main" xmlns="" id="{00000000-0008-0000-0000-00000F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040" name="Text Box 75">
          <a:extLst>
            <a:ext uri="{FF2B5EF4-FFF2-40B4-BE49-F238E27FC236}">
              <a16:creationId xmlns:a16="http://schemas.microsoft.com/office/drawing/2014/main" xmlns="" id="{00000000-0008-0000-0000-000010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041" name="Text Box 76">
          <a:extLst>
            <a:ext uri="{FF2B5EF4-FFF2-40B4-BE49-F238E27FC236}">
              <a16:creationId xmlns:a16="http://schemas.microsoft.com/office/drawing/2014/main" xmlns="" id="{00000000-0008-0000-0000-000011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042" name="Text Box 77">
          <a:extLst>
            <a:ext uri="{FF2B5EF4-FFF2-40B4-BE49-F238E27FC236}">
              <a16:creationId xmlns:a16="http://schemas.microsoft.com/office/drawing/2014/main" xmlns="" id="{00000000-0008-0000-0000-000012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043" name="Text Box 78">
          <a:extLst>
            <a:ext uri="{FF2B5EF4-FFF2-40B4-BE49-F238E27FC236}">
              <a16:creationId xmlns:a16="http://schemas.microsoft.com/office/drawing/2014/main" xmlns="" id="{00000000-0008-0000-0000-000013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044" name="Text Box 79">
          <a:extLst>
            <a:ext uri="{FF2B5EF4-FFF2-40B4-BE49-F238E27FC236}">
              <a16:creationId xmlns:a16="http://schemas.microsoft.com/office/drawing/2014/main" xmlns="" id="{00000000-0008-0000-0000-000014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045" name="Text Box 80">
          <a:extLst>
            <a:ext uri="{FF2B5EF4-FFF2-40B4-BE49-F238E27FC236}">
              <a16:creationId xmlns:a16="http://schemas.microsoft.com/office/drawing/2014/main" xmlns="" id="{00000000-0008-0000-0000-000015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046" name="Text Box 81">
          <a:extLst>
            <a:ext uri="{FF2B5EF4-FFF2-40B4-BE49-F238E27FC236}">
              <a16:creationId xmlns:a16="http://schemas.microsoft.com/office/drawing/2014/main" xmlns="" id="{00000000-0008-0000-0000-000016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047" name="Text Box 3079">
          <a:extLst>
            <a:ext uri="{FF2B5EF4-FFF2-40B4-BE49-F238E27FC236}">
              <a16:creationId xmlns:a16="http://schemas.microsoft.com/office/drawing/2014/main" xmlns="" id="{00000000-0008-0000-0000-000017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048" name="Text Box 3080">
          <a:extLst>
            <a:ext uri="{FF2B5EF4-FFF2-40B4-BE49-F238E27FC236}">
              <a16:creationId xmlns:a16="http://schemas.microsoft.com/office/drawing/2014/main" xmlns="" id="{00000000-0008-0000-0000-000018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049" name="Text Box 3081">
          <a:extLst>
            <a:ext uri="{FF2B5EF4-FFF2-40B4-BE49-F238E27FC236}">
              <a16:creationId xmlns:a16="http://schemas.microsoft.com/office/drawing/2014/main" xmlns="" id="{00000000-0008-0000-0000-000019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050" name="Text Box 3082">
          <a:extLst>
            <a:ext uri="{FF2B5EF4-FFF2-40B4-BE49-F238E27FC236}">
              <a16:creationId xmlns:a16="http://schemas.microsoft.com/office/drawing/2014/main" xmlns="" id="{00000000-0008-0000-0000-00001A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051" name="Text Box 3083">
          <a:extLst>
            <a:ext uri="{FF2B5EF4-FFF2-40B4-BE49-F238E27FC236}">
              <a16:creationId xmlns:a16="http://schemas.microsoft.com/office/drawing/2014/main" xmlns="" id="{00000000-0008-0000-0000-00001B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052" name="Text Box 3084">
          <a:extLst>
            <a:ext uri="{FF2B5EF4-FFF2-40B4-BE49-F238E27FC236}">
              <a16:creationId xmlns:a16="http://schemas.microsoft.com/office/drawing/2014/main" xmlns="" id="{00000000-0008-0000-0000-00001C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053" name="Text Box 3085">
          <a:extLst>
            <a:ext uri="{FF2B5EF4-FFF2-40B4-BE49-F238E27FC236}">
              <a16:creationId xmlns:a16="http://schemas.microsoft.com/office/drawing/2014/main" xmlns="" id="{00000000-0008-0000-0000-00001D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054" name="Text Box 3086">
          <a:extLst>
            <a:ext uri="{FF2B5EF4-FFF2-40B4-BE49-F238E27FC236}">
              <a16:creationId xmlns:a16="http://schemas.microsoft.com/office/drawing/2014/main" xmlns="" id="{00000000-0008-0000-0000-00001E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055" name="Text Box 3087">
          <a:extLst>
            <a:ext uri="{FF2B5EF4-FFF2-40B4-BE49-F238E27FC236}">
              <a16:creationId xmlns:a16="http://schemas.microsoft.com/office/drawing/2014/main" xmlns="" id="{00000000-0008-0000-0000-00001F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056" name="Text Box 3088">
          <a:extLst>
            <a:ext uri="{FF2B5EF4-FFF2-40B4-BE49-F238E27FC236}">
              <a16:creationId xmlns:a16="http://schemas.microsoft.com/office/drawing/2014/main" xmlns="" id="{00000000-0008-0000-0000-000020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057" name="Text Box 3089">
          <a:extLst>
            <a:ext uri="{FF2B5EF4-FFF2-40B4-BE49-F238E27FC236}">
              <a16:creationId xmlns:a16="http://schemas.microsoft.com/office/drawing/2014/main" xmlns="" id="{00000000-0008-0000-0000-000021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058" name="Text Box 3090">
          <a:extLst>
            <a:ext uri="{FF2B5EF4-FFF2-40B4-BE49-F238E27FC236}">
              <a16:creationId xmlns:a16="http://schemas.microsoft.com/office/drawing/2014/main" xmlns="" id="{00000000-0008-0000-0000-000022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059" name="Text Box 3091">
          <a:extLst>
            <a:ext uri="{FF2B5EF4-FFF2-40B4-BE49-F238E27FC236}">
              <a16:creationId xmlns:a16="http://schemas.microsoft.com/office/drawing/2014/main" xmlns="" id="{00000000-0008-0000-0000-000023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060" name="Text Box 3092">
          <a:extLst>
            <a:ext uri="{FF2B5EF4-FFF2-40B4-BE49-F238E27FC236}">
              <a16:creationId xmlns:a16="http://schemas.microsoft.com/office/drawing/2014/main" xmlns="" id="{00000000-0008-0000-0000-000024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061" name="Text Box 3093">
          <a:extLst>
            <a:ext uri="{FF2B5EF4-FFF2-40B4-BE49-F238E27FC236}">
              <a16:creationId xmlns:a16="http://schemas.microsoft.com/office/drawing/2014/main" xmlns="" id="{00000000-0008-0000-0000-000025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062" name="Text Box 3094">
          <a:extLst>
            <a:ext uri="{FF2B5EF4-FFF2-40B4-BE49-F238E27FC236}">
              <a16:creationId xmlns:a16="http://schemas.microsoft.com/office/drawing/2014/main" xmlns="" id="{00000000-0008-0000-0000-000026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063" name="Text Box 3095">
          <a:extLst>
            <a:ext uri="{FF2B5EF4-FFF2-40B4-BE49-F238E27FC236}">
              <a16:creationId xmlns:a16="http://schemas.microsoft.com/office/drawing/2014/main" xmlns="" id="{00000000-0008-0000-0000-000027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064" name="Text Box 3096">
          <a:extLst>
            <a:ext uri="{FF2B5EF4-FFF2-40B4-BE49-F238E27FC236}">
              <a16:creationId xmlns:a16="http://schemas.microsoft.com/office/drawing/2014/main" xmlns="" id="{00000000-0008-0000-0000-000028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065" name="Text Box 3097">
          <a:extLst>
            <a:ext uri="{FF2B5EF4-FFF2-40B4-BE49-F238E27FC236}">
              <a16:creationId xmlns:a16="http://schemas.microsoft.com/office/drawing/2014/main" xmlns="" id="{00000000-0008-0000-0000-000029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066" name="Text Box 3098">
          <a:extLst>
            <a:ext uri="{FF2B5EF4-FFF2-40B4-BE49-F238E27FC236}">
              <a16:creationId xmlns:a16="http://schemas.microsoft.com/office/drawing/2014/main" xmlns="" id="{00000000-0008-0000-0000-00002A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067" name="Text Box 3099">
          <a:extLst>
            <a:ext uri="{FF2B5EF4-FFF2-40B4-BE49-F238E27FC236}">
              <a16:creationId xmlns:a16="http://schemas.microsoft.com/office/drawing/2014/main" xmlns="" id="{00000000-0008-0000-0000-00002B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068" name="Text Box 3100">
          <a:extLst>
            <a:ext uri="{FF2B5EF4-FFF2-40B4-BE49-F238E27FC236}">
              <a16:creationId xmlns:a16="http://schemas.microsoft.com/office/drawing/2014/main" xmlns="" id="{00000000-0008-0000-0000-00002C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069" name="Text Box 3101">
          <a:extLst>
            <a:ext uri="{FF2B5EF4-FFF2-40B4-BE49-F238E27FC236}">
              <a16:creationId xmlns:a16="http://schemas.microsoft.com/office/drawing/2014/main" xmlns="" id="{00000000-0008-0000-0000-00002D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1070" name="Text Box 3102">
          <a:extLst>
            <a:ext uri="{FF2B5EF4-FFF2-40B4-BE49-F238E27FC236}">
              <a16:creationId xmlns:a16="http://schemas.microsoft.com/office/drawing/2014/main" xmlns="" id="{00000000-0008-0000-0000-00002E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071" name="Text Box 59">
          <a:extLst>
            <a:ext uri="{FF2B5EF4-FFF2-40B4-BE49-F238E27FC236}">
              <a16:creationId xmlns:a16="http://schemas.microsoft.com/office/drawing/2014/main" xmlns="" id="{00000000-0008-0000-0000-00002F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072" name="Text Box 60">
          <a:extLst>
            <a:ext uri="{FF2B5EF4-FFF2-40B4-BE49-F238E27FC236}">
              <a16:creationId xmlns:a16="http://schemas.microsoft.com/office/drawing/2014/main" xmlns="" id="{00000000-0008-0000-0000-000030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073" name="Text Box 61">
          <a:extLst>
            <a:ext uri="{FF2B5EF4-FFF2-40B4-BE49-F238E27FC236}">
              <a16:creationId xmlns:a16="http://schemas.microsoft.com/office/drawing/2014/main" xmlns="" id="{00000000-0008-0000-0000-000031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074" name="Text Box 62">
          <a:extLst>
            <a:ext uri="{FF2B5EF4-FFF2-40B4-BE49-F238E27FC236}">
              <a16:creationId xmlns:a16="http://schemas.microsoft.com/office/drawing/2014/main" xmlns="" id="{00000000-0008-0000-0000-000032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075" name="Text Box 63">
          <a:extLst>
            <a:ext uri="{FF2B5EF4-FFF2-40B4-BE49-F238E27FC236}">
              <a16:creationId xmlns:a16="http://schemas.microsoft.com/office/drawing/2014/main" xmlns="" id="{00000000-0008-0000-0000-000033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076" name="Text Box 64">
          <a:extLst>
            <a:ext uri="{FF2B5EF4-FFF2-40B4-BE49-F238E27FC236}">
              <a16:creationId xmlns:a16="http://schemas.microsoft.com/office/drawing/2014/main" xmlns="" id="{00000000-0008-0000-0000-000034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077" name="Text Box 65">
          <a:extLst>
            <a:ext uri="{FF2B5EF4-FFF2-40B4-BE49-F238E27FC236}">
              <a16:creationId xmlns:a16="http://schemas.microsoft.com/office/drawing/2014/main" xmlns="" id="{00000000-0008-0000-0000-000035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078" name="Text Box 66">
          <a:extLst>
            <a:ext uri="{FF2B5EF4-FFF2-40B4-BE49-F238E27FC236}">
              <a16:creationId xmlns:a16="http://schemas.microsoft.com/office/drawing/2014/main" xmlns="" id="{00000000-0008-0000-0000-000036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079" name="Text Box 67">
          <a:extLst>
            <a:ext uri="{FF2B5EF4-FFF2-40B4-BE49-F238E27FC236}">
              <a16:creationId xmlns:a16="http://schemas.microsoft.com/office/drawing/2014/main" xmlns="" id="{00000000-0008-0000-0000-000037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080" name="Text Box 68">
          <a:extLst>
            <a:ext uri="{FF2B5EF4-FFF2-40B4-BE49-F238E27FC236}">
              <a16:creationId xmlns:a16="http://schemas.microsoft.com/office/drawing/2014/main" xmlns="" id="{00000000-0008-0000-0000-000038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081" name="Text Box 69">
          <a:extLst>
            <a:ext uri="{FF2B5EF4-FFF2-40B4-BE49-F238E27FC236}">
              <a16:creationId xmlns:a16="http://schemas.microsoft.com/office/drawing/2014/main" xmlns="" id="{00000000-0008-0000-0000-000039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082" name="Text Box 70">
          <a:extLst>
            <a:ext uri="{FF2B5EF4-FFF2-40B4-BE49-F238E27FC236}">
              <a16:creationId xmlns:a16="http://schemas.microsoft.com/office/drawing/2014/main" xmlns="" id="{00000000-0008-0000-0000-00003A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083" name="Text Box 71">
          <a:extLst>
            <a:ext uri="{FF2B5EF4-FFF2-40B4-BE49-F238E27FC236}">
              <a16:creationId xmlns:a16="http://schemas.microsoft.com/office/drawing/2014/main" xmlns="" id="{00000000-0008-0000-0000-00003B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084" name="Text Box 72">
          <a:extLst>
            <a:ext uri="{FF2B5EF4-FFF2-40B4-BE49-F238E27FC236}">
              <a16:creationId xmlns:a16="http://schemas.microsoft.com/office/drawing/2014/main" xmlns="" id="{00000000-0008-0000-0000-00003C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085" name="Text Box 73">
          <a:extLst>
            <a:ext uri="{FF2B5EF4-FFF2-40B4-BE49-F238E27FC236}">
              <a16:creationId xmlns:a16="http://schemas.microsoft.com/office/drawing/2014/main" xmlns="" id="{00000000-0008-0000-0000-00003D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086" name="Text Box 74">
          <a:extLst>
            <a:ext uri="{FF2B5EF4-FFF2-40B4-BE49-F238E27FC236}">
              <a16:creationId xmlns:a16="http://schemas.microsoft.com/office/drawing/2014/main" xmlns="" id="{00000000-0008-0000-0000-00003E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087" name="Text Box 75">
          <a:extLst>
            <a:ext uri="{FF2B5EF4-FFF2-40B4-BE49-F238E27FC236}">
              <a16:creationId xmlns:a16="http://schemas.microsoft.com/office/drawing/2014/main" xmlns="" id="{00000000-0008-0000-0000-00003F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088" name="Text Box 76">
          <a:extLst>
            <a:ext uri="{FF2B5EF4-FFF2-40B4-BE49-F238E27FC236}">
              <a16:creationId xmlns:a16="http://schemas.microsoft.com/office/drawing/2014/main" xmlns="" id="{00000000-0008-0000-0000-000040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089" name="Text Box 77">
          <a:extLst>
            <a:ext uri="{FF2B5EF4-FFF2-40B4-BE49-F238E27FC236}">
              <a16:creationId xmlns:a16="http://schemas.microsoft.com/office/drawing/2014/main" xmlns="" id="{00000000-0008-0000-0000-000041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090" name="Text Box 78">
          <a:extLst>
            <a:ext uri="{FF2B5EF4-FFF2-40B4-BE49-F238E27FC236}">
              <a16:creationId xmlns:a16="http://schemas.microsoft.com/office/drawing/2014/main" xmlns="" id="{00000000-0008-0000-0000-000042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091" name="Text Box 79">
          <a:extLst>
            <a:ext uri="{FF2B5EF4-FFF2-40B4-BE49-F238E27FC236}">
              <a16:creationId xmlns:a16="http://schemas.microsoft.com/office/drawing/2014/main" xmlns="" id="{00000000-0008-0000-0000-000043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092" name="Text Box 80">
          <a:extLst>
            <a:ext uri="{FF2B5EF4-FFF2-40B4-BE49-F238E27FC236}">
              <a16:creationId xmlns:a16="http://schemas.microsoft.com/office/drawing/2014/main" xmlns="" id="{00000000-0008-0000-0000-000044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093" name="Text Box 81">
          <a:extLst>
            <a:ext uri="{FF2B5EF4-FFF2-40B4-BE49-F238E27FC236}">
              <a16:creationId xmlns:a16="http://schemas.microsoft.com/office/drawing/2014/main" xmlns="" id="{00000000-0008-0000-0000-000045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47625"/>
    <xdr:sp macro="" textlink="">
      <xdr:nvSpPr>
        <xdr:cNvPr id="1094" name="Text Box 82">
          <a:extLst>
            <a:ext uri="{FF2B5EF4-FFF2-40B4-BE49-F238E27FC236}">
              <a16:creationId xmlns:a16="http://schemas.microsoft.com/office/drawing/2014/main" xmlns="" id="{00000000-0008-0000-0000-000046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095" name="Text Box 3079">
          <a:extLst>
            <a:ext uri="{FF2B5EF4-FFF2-40B4-BE49-F238E27FC236}">
              <a16:creationId xmlns:a16="http://schemas.microsoft.com/office/drawing/2014/main" xmlns="" id="{00000000-0008-0000-0000-000047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096" name="Text Box 3080">
          <a:extLst>
            <a:ext uri="{FF2B5EF4-FFF2-40B4-BE49-F238E27FC236}">
              <a16:creationId xmlns:a16="http://schemas.microsoft.com/office/drawing/2014/main" xmlns="" id="{00000000-0008-0000-0000-000048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097" name="Text Box 3081">
          <a:extLst>
            <a:ext uri="{FF2B5EF4-FFF2-40B4-BE49-F238E27FC236}">
              <a16:creationId xmlns:a16="http://schemas.microsoft.com/office/drawing/2014/main" xmlns="" id="{00000000-0008-0000-0000-000049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098" name="Text Box 3082">
          <a:extLst>
            <a:ext uri="{FF2B5EF4-FFF2-40B4-BE49-F238E27FC236}">
              <a16:creationId xmlns:a16="http://schemas.microsoft.com/office/drawing/2014/main" xmlns="" id="{00000000-0008-0000-0000-00004A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099" name="Text Box 3083">
          <a:extLst>
            <a:ext uri="{FF2B5EF4-FFF2-40B4-BE49-F238E27FC236}">
              <a16:creationId xmlns:a16="http://schemas.microsoft.com/office/drawing/2014/main" xmlns="" id="{00000000-0008-0000-0000-00004B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100" name="Text Box 3084">
          <a:extLst>
            <a:ext uri="{FF2B5EF4-FFF2-40B4-BE49-F238E27FC236}">
              <a16:creationId xmlns:a16="http://schemas.microsoft.com/office/drawing/2014/main" xmlns="" id="{00000000-0008-0000-0000-00004C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101" name="Text Box 3085">
          <a:extLst>
            <a:ext uri="{FF2B5EF4-FFF2-40B4-BE49-F238E27FC236}">
              <a16:creationId xmlns:a16="http://schemas.microsoft.com/office/drawing/2014/main" xmlns="" id="{00000000-0008-0000-0000-00004D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102" name="Text Box 3086">
          <a:extLst>
            <a:ext uri="{FF2B5EF4-FFF2-40B4-BE49-F238E27FC236}">
              <a16:creationId xmlns:a16="http://schemas.microsoft.com/office/drawing/2014/main" xmlns="" id="{00000000-0008-0000-0000-00004E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103" name="Text Box 3087">
          <a:extLst>
            <a:ext uri="{FF2B5EF4-FFF2-40B4-BE49-F238E27FC236}">
              <a16:creationId xmlns:a16="http://schemas.microsoft.com/office/drawing/2014/main" xmlns="" id="{00000000-0008-0000-0000-00004F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104" name="Text Box 3088">
          <a:extLst>
            <a:ext uri="{FF2B5EF4-FFF2-40B4-BE49-F238E27FC236}">
              <a16:creationId xmlns:a16="http://schemas.microsoft.com/office/drawing/2014/main" xmlns="" id="{00000000-0008-0000-0000-000050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105" name="Text Box 3089">
          <a:extLst>
            <a:ext uri="{FF2B5EF4-FFF2-40B4-BE49-F238E27FC236}">
              <a16:creationId xmlns:a16="http://schemas.microsoft.com/office/drawing/2014/main" xmlns="" id="{00000000-0008-0000-0000-000051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106" name="Text Box 3090">
          <a:extLst>
            <a:ext uri="{FF2B5EF4-FFF2-40B4-BE49-F238E27FC236}">
              <a16:creationId xmlns:a16="http://schemas.microsoft.com/office/drawing/2014/main" xmlns="" id="{00000000-0008-0000-0000-000052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107" name="Text Box 3091">
          <a:extLst>
            <a:ext uri="{FF2B5EF4-FFF2-40B4-BE49-F238E27FC236}">
              <a16:creationId xmlns:a16="http://schemas.microsoft.com/office/drawing/2014/main" xmlns="" id="{00000000-0008-0000-0000-000053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108" name="Text Box 3092">
          <a:extLst>
            <a:ext uri="{FF2B5EF4-FFF2-40B4-BE49-F238E27FC236}">
              <a16:creationId xmlns:a16="http://schemas.microsoft.com/office/drawing/2014/main" xmlns="" id="{00000000-0008-0000-0000-000054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109" name="Text Box 3093">
          <a:extLst>
            <a:ext uri="{FF2B5EF4-FFF2-40B4-BE49-F238E27FC236}">
              <a16:creationId xmlns:a16="http://schemas.microsoft.com/office/drawing/2014/main" xmlns="" id="{00000000-0008-0000-0000-000055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110" name="Text Box 3094">
          <a:extLst>
            <a:ext uri="{FF2B5EF4-FFF2-40B4-BE49-F238E27FC236}">
              <a16:creationId xmlns:a16="http://schemas.microsoft.com/office/drawing/2014/main" xmlns="" id="{00000000-0008-0000-0000-000056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111" name="Text Box 3095">
          <a:extLst>
            <a:ext uri="{FF2B5EF4-FFF2-40B4-BE49-F238E27FC236}">
              <a16:creationId xmlns:a16="http://schemas.microsoft.com/office/drawing/2014/main" xmlns="" id="{00000000-0008-0000-0000-000057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112" name="Text Box 3096">
          <a:extLst>
            <a:ext uri="{FF2B5EF4-FFF2-40B4-BE49-F238E27FC236}">
              <a16:creationId xmlns:a16="http://schemas.microsoft.com/office/drawing/2014/main" xmlns="" id="{00000000-0008-0000-0000-000058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113" name="Text Box 3097">
          <a:extLst>
            <a:ext uri="{FF2B5EF4-FFF2-40B4-BE49-F238E27FC236}">
              <a16:creationId xmlns:a16="http://schemas.microsoft.com/office/drawing/2014/main" xmlns="" id="{00000000-0008-0000-0000-000059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114" name="Text Box 3098">
          <a:extLst>
            <a:ext uri="{FF2B5EF4-FFF2-40B4-BE49-F238E27FC236}">
              <a16:creationId xmlns:a16="http://schemas.microsoft.com/office/drawing/2014/main" xmlns="" id="{00000000-0008-0000-0000-00005A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115" name="Text Box 3099">
          <a:extLst>
            <a:ext uri="{FF2B5EF4-FFF2-40B4-BE49-F238E27FC236}">
              <a16:creationId xmlns:a16="http://schemas.microsoft.com/office/drawing/2014/main" xmlns="" id="{00000000-0008-0000-0000-00005B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116" name="Text Box 3100">
          <a:extLst>
            <a:ext uri="{FF2B5EF4-FFF2-40B4-BE49-F238E27FC236}">
              <a16:creationId xmlns:a16="http://schemas.microsoft.com/office/drawing/2014/main" xmlns="" id="{00000000-0008-0000-0000-00005C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117" name="Text Box 3101">
          <a:extLst>
            <a:ext uri="{FF2B5EF4-FFF2-40B4-BE49-F238E27FC236}">
              <a16:creationId xmlns:a16="http://schemas.microsoft.com/office/drawing/2014/main" xmlns="" id="{00000000-0008-0000-0000-00005D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1118" name="Text Box 3102">
          <a:extLst>
            <a:ext uri="{FF2B5EF4-FFF2-40B4-BE49-F238E27FC236}">
              <a16:creationId xmlns:a16="http://schemas.microsoft.com/office/drawing/2014/main" xmlns="" id="{00000000-0008-0000-0000-00005E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119" name="Text Box 59">
          <a:extLst>
            <a:ext uri="{FF2B5EF4-FFF2-40B4-BE49-F238E27FC236}">
              <a16:creationId xmlns:a16="http://schemas.microsoft.com/office/drawing/2014/main" xmlns="" id="{00000000-0008-0000-0000-00005F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120" name="Text Box 60">
          <a:extLst>
            <a:ext uri="{FF2B5EF4-FFF2-40B4-BE49-F238E27FC236}">
              <a16:creationId xmlns:a16="http://schemas.microsoft.com/office/drawing/2014/main" xmlns="" id="{00000000-0008-0000-0000-000060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121" name="Text Box 61">
          <a:extLst>
            <a:ext uri="{FF2B5EF4-FFF2-40B4-BE49-F238E27FC236}">
              <a16:creationId xmlns:a16="http://schemas.microsoft.com/office/drawing/2014/main" xmlns="" id="{00000000-0008-0000-0000-000061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122" name="Text Box 62">
          <a:extLst>
            <a:ext uri="{FF2B5EF4-FFF2-40B4-BE49-F238E27FC236}">
              <a16:creationId xmlns:a16="http://schemas.microsoft.com/office/drawing/2014/main" xmlns="" id="{00000000-0008-0000-0000-000062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123" name="Text Box 63">
          <a:extLst>
            <a:ext uri="{FF2B5EF4-FFF2-40B4-BE49-F238E27FC236}">
              <a16:creationId xmlns:a16="http://schemas.microsoft.com/office/drawing/2014/main" xmlns="" id="{00000000-0008-0000-0000-000063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124" name="Text Box 64">
          <a:extLst>
            <a:ext uri="{FF2B5EF4-FFF2-40B4-BE49-F238E27FC236}">
              <a16:creationId xmlns:a16="http://schemas.microsoft.com/office/drawing/2014/main" xmlns="" id="{00000000-0008-0000-0000-000064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125" name="Text Box 65">
          <a:extLst>
            <a:ext uri="{FF2B5EF4-FFF2-40B4-BE49-F238E27FC236}">
              <a16:creationId xmlns:a16="http://schemas.microsoft.com/office/drawing/2014/main" xmlns="" id="{00000000-0008-0000-0000-000065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126" name="Text Box 66">
          <a:extLst>
            <a:ext uri="{FF2B5EF4-FFF2-40B4-BE49-F238E27FC236}">
              <a16:creationId xmlns:a16="http://schemas.microsoft.com/office/drawing/2014/main" xmlns="" id="{00000000-0008-0000-0000-000066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127" name="Text Box 67">
          <a:extLst>
            <a:ext uri="{FF2B5EF4-FFF2-40B4-BE49-F238E27FC236}">
              <a16:creationId xmlns:a16="http://schemas.microsoft.com/office/drawing/2014/main" xmlns="" id="{00000000-0008-0000-0000-000067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128" name="Text Box 68">
          <a:extLst>
            <a:ext uri="{FF2B5EF4-FFF2-40B4-BE49-F238E27FC236}">
              <a16:creationId xmlns:a16="http://schemas.microsoft.com/office/drawing/2014/main" xmlns="" id="{00000000-0008-0000-0000-000068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129" name="Text Box 69">
          <a:extLst>
            <a:ext uri="{FF2B5EF4-FFF2-40B4-BE49-F238E27FC236}">
              <a16:creationId xmlns:a16="http://schemas.microsoft.com/office/drawing/2014/main" xmlns="" id="{00000000-0008-0000-0000-000069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130" name="Text Box 70">
          <a:extLst>
            <a:ext uri="{FF2B5EF4-FFF2-40B4-BE49-F238E27FC236}">
              <a16:creationId xmlns:a16="http://schemas.microsoft.com/office/drawing/2014/main" xmlns="" id="{00000000-0008-0000-0000-00006A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131" name="Text Box 71">
          <a:extLst>
            <a:ext uri="{FF2B5EF4-FFF2-40B4-BE49-F238E27FC236}">
              <a16:creationId xmlns:a16="http://schemas.microsoft.com/office/drawing/2014/main" xmlns="" id="{00000000-0008-0000-0000-00006B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132" name="Text Box 72">
          <a:extLst>
            <a:ext uri="{FF2B5EF4-FFF2-40B4-BE49-F238E27FC236}">
              <a16:creationId xmlns:a16="http://schemas.microsoft.com/office/drawing/2014/main" xmlns="" id="{00000000-0008-0000-0000-00006C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133" name="Text Box 73">
          <a:extLst>
            <a:ext uri="{FF2B5EF4-FFF2-40B4-BE49-F238E27FC236}">
              <a16:creationId xmlns:a16="http://schemas.microsoft.com/office/drawing/2014/main" xmlns="" id="{00000000-0008-0000-0000-00006D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134" name="Text Box 74">
          <a:extLst>
            <a:ext uri="{FF2B5EF4-FFF2-40B4-BE49-F238E27FC236}">
              <a16:creationId xmlns:a16="http://schemas.microsoft.com/office/drawing/2014/main" xmlns="" id="{00000000-0008-0000-0000-00006E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135" name="Text Box 75">
          <a:extLst>
            <a:ext uri="{FF2B5EF4-FFF2-40B4-BE49-F238E27FC236}">
              <a16:creationId xmlns:a16="http://schemas.microsoft.com/office/drawing/2014/main" xmlns="" id="{00000000-0008-0000-0000-00006F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136" name="Text Box 76">
          <a:extLst>
            <a:ext uri="{FF2B5EF4-FFF2-40B4-BE49-F238E27FC236}">
              <a16:creationId xmlns:a16="http://schemas.microsoft.com/office/drawing/2014/main" xmlns="" id="{00000000-0008-0000-0000-000070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137" name="Text Box 77">
          <a:extLst>
            <a:ext uri="{FF2B5EF4-FFF2-40B4-BE49-F238E27FC236}">
              <a16:creationId xmlns:a16="http://schemas.microsoft.com/office/drawing/2014/main" xmlns="" id="{00000000-0008-0000-0000-000071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138" name="Text Box 78">
          <a:extLst>
            <a:ext uri="{FF2B5EF4-FFF2-40B4-BE49-F238E27FC236}">
              <a16:creationId xmlns:a16="http://schemas.microsoft.com/office/drawing/2014/main" xmlns="" id="{00000000-0008-0000-0000-000072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139" name="Text Box 79">
          <a:extLst>
            <a:ext uri="{FF2B5EF4-FFF2-40B4-BE49-F238E27FC236}">
              <a16:creationId xmlns:a16="http://schemas.microsoft.com/office/drawing/2014/main" xmlns="" id="{00000000-0008-0000-0000-000073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140" name="Text Box 80">
          <a:extLst>
            <a:ext uri="{FF2B5EF4-FFF2-40B4-BE49-F238E27FC236}">
              <a16:creationId xmlns:a16="http://schemas.microsoft.com/office/drawing/2014/main" xmlns="" id="{00000000-0008-0000-0000-000074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141" name="Text Box 81">
          <a:extLst>
            <a:ext uri="{FF2B5EF4-FFF2-40B4-BE49-F238E27FC236}">
              <a16:creationId xmlns:a16="http://schemas.microsoft.com/office/drawing/2014/main" xmlns="" id="{00000000-0008-0000-0000-000075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142" name="Text Box 3079">
          <a:extLst>
            <a:ext uri="{FF2B5EF4-FFF2-40B4-BE49-F238E27FC236}">
              <a16:creationId xmlns:a16="http://schemas.microsoft.com/office/drawing/2014/main" xmlns="" id="{00000000-0008-0000-0000-000076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143" name="Text Box 3080">
          <a:extLst>
            <a:ext uri="{FF2B5EF4-FFF2-40B4-BE49-F238E27FC236}">
              <a16:creationId xmlns:a16="http://schemas.microsoft.com/office/drawing/2014/main" xmlns="" id="{00000000-0008-0000-0000-000077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144" name="Text Box 3081">
          <a:extLst>
            <a:ext uri="{FF2B5EF4-FFF2-40B4-BE49-F238E27FC236}">
              <a16:creationId xmlns:a16="http://schemas.microsoft.com/office/drawing/2014/main" xmlns="" id="{00000000-0008-0000-0000-000078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145" name="Text Box 3082">
          <a:extLst>
            <a:ext uri="{FF2B5EF4-FFF2-40B4-BE49-F238E27FC236}">
              <a16:creationId xmlns:a16="http://schemas.microsoft.com/office/drawing/2014/main" xmlns="" id="{00000000-0008-0000-0000-000079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146" name="Text Box 3083">
          <a:extLst>
            <a:ext uri="{FF2B5EF4-FFF2-40B4-BE49-F238E27FC236}">
              <a16:creationId xmlns:a16="http://schemas.microsoft.com/office/drawing/2014/main" xmlns="" id="{00000000-0008-0000-0000-00007A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147" name="Text Box 3084">
          <a:extLst>
            <a:ext uri="{FF2B5EF4-FFF2-40B4-BE49-F238E27FC236}">
              <a16:creationId xmlns:a16="http://schemas.microsoft.com/office/drawing/2014/main" xmlns="" id="{00000000-0008-0000-0000-00007B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148" name="Text Box 3085">
          <a:extLst>
            <a:ext uri="{FF2B5EF4-FFF2-40B4-BE49-F238E27FC236}">
              <a16:creationId xmlns:a16="http://schemas.microsoft.com/office/drawing/2014/main" xmlns="" id="{00000000-0008-0000-0000-00007C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149" name="Text Box 3086">
          <a:extLst>
            <a:ext uri="{FF2B5EF4-FFF2-40B4-BE49-F238E27FC236}">
              <a16:creationId xmlns:a16="http://schemas.microsoft.com/office/drawing/2014/main" xmlns="" id="{00000000-0008-0000-0000-00007D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150" name="Text Box 3087">
          <a:extLst>
            <a:ext uri="{FF2B5EF4-FFF2-40B4-BE49-F238E27FC236}">
              <a16:creationId xmlns:a16="http://schemas.microsoft.com/office/drawing/2014/main" xmlns="" id="{00000000-0008-0000-0000-00007E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151" name="Text Box 3088">
          <a:extLst>
            <a:ext uri="{FF2B5EF4-FFF2-40B4-BE49-F238E27FC236}">
              <a16:creationId xmlns:a16="http://schemas.microsoft.com/office/drawing/2014/main" xmlns="" id="{00000000-0008-0000-0000-00007F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152" name="Text Box 3089">
          <a:extLst>
            <a:ext uri="{FF2B5EF4-FFF2-40B4-BE49-F238E27FC236}">
              <a16:creationId xmlns:a16="http://schemas.microsoft.com/office/drawing/2014/main" xmlns="" id="{00000000-0008-0000-0000-000080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153" name="Text Box 3090">
          <a:extLst>
            <a:ext uri="{FF2B5EF4-FFF2-40B4-BE49-F238E27FC236}">
              <a16:creationId xmlns:a16="http://schemas.microsoft.com/office/drawing/2014/main" xmlns="" id="{00000000-0008-0000-0000-000081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154" name="Text Box 3091">
          <a:extLst>
            <a:ext uri="{FF2B5EF4-FFF2-40B4-BE49-F238E27FC236}">
              <a16:creationId xmlns:a16="http://schemas.microsoft.com/office/drawing/2014/main" xmlns="" id="{00000000-0008-0000-0000-000082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155" name="Text Box 3092">
          <a:extLst>
            <a:ext uri="{FF2B5EF4-FFF2-40B4-BE49-F238E27FC236}">
              <a16:creationId xmlns:a16="http://schemas.microsoft.com/office/drawing/2014/main" xmlns="" id="{00000000-0008-0000-0000-000083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156" name="Text Box 3093">
          <a:extLst>
            <a:ext uri="{FF2B5EF4-FFF2-40B4-BE49-F238E27FC236}">
              <a16:creationId xmlns:a16="http://schemas.microsoft.com/office/drawing/2014/main" xmlns="" id="{00000000-0008-0000-0000-000084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157" name="Text Box 3094">
          <a:extLst>
            <a:ext uri="{FF2B5EF4-FFF2-40B4-BE49-F238E27FC236}">
              <a16:creationId xmlns:a16="http://schemas.microsoft.com/office/drawing/2014/main" xmlns="" id="{00000000-0008-0000-0000-000085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158" name="Text Box 3095">
          <a:extLst>
            <a:ext uri="{FF2B5EF4-FFF2-40B4-BE49-F238E27FC236}">
              <a16:creationId xmlns:a16="http://schemas.microsoft.com/office/drawing/2014/main" xmlns="" id="{00000000-0008-0000-0000-000086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159" name="Text Box 3096">
          <a:extLst>
            <a:ext uri="{FF2B5EF4-FFF2-40B4-BE49-F238E27FC236}">
              <a16:creationId xmlns:a16="http://schemas.microsoft.com/office/drawing/2014/main" xmlns="" id="{00000000-0008-0000-0000-000087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160" name="Text Box 3097">
          <a:extLst>
            <a:ext uri="{FF2B5EF4-FFF2-40B4-BE49-F238E27FC236}">
              <a16:creationId xmlns:a16="http://schemas.microsoft.com/office/drawing/2014/main" xmlns="" id="{00000000-0008-0000-0000-000088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161" name="Text Box 3098">
          <a:extLst>
            <a:ext uri="{FF2B5EF4-FFF2-40B4-BE49-F238E27FC236}">
              <a16:creationId xmlns:a16="http://schemas.microsoft.com/office/drawing/2014/main" xmlns="" id="{00000000-0008-0000-0000-000089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162" name="Text Box 3099">
          <a:extLst>
            <a:ext uri="{FF2B5EF4-FFF2-40B4-BE49-F238E27FC236}">
              <a16:creationId xmlns:a16="http://schemas.microsoft.com/office/drawing/2014/main" xmlns="" id="{00000000-0008-0000-0000-00008A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163" name="Text Box 3100">
          <a:extLst>
            <a:ext uri="{FF2B5EF4-FFF2-40B4-BE49-F238E27FC236}">
              <a16:creationId xmlns:a16="http://schemas.microsoft.com/office/drawing/2014/main" xmlns="" id="{00000000-0008-0000-0000-00008B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164" name="Text Box 3101">
          <a:extLst>
            <a:ext uri="{FF2B5EF4-FFF2-40B4-BE49-F238E27FC236}">
              <a16:creationId xmlns:a16="http://schemas.microsoft.com/office/drawing/2014/main" xmlns="" id="{00000000-0008-0000-0000-00008C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1165" name="Text Box 3102">
          <a:extLst>
            <a:ext uri="{FF2B5EF4-FFF2-40B4-BE49-F238E27FC236}">
              <a16:creationId xmlns:a16="http://schemas.microsoft.com/office/drawing/2014/main" xmlns="" id="{00000000-0008-0000-0000-00008D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166" name="Text Box 59">
          <a:extLst>
            <a:ext uri="{FF2B5EF4-FFF2-40B4-BE49-F238E27FC236}">
              <a16:creationId xmlns:a16="http://schemas.microsoft.com/office/drawing/2014/main" xmlns="" id="{00000000-0008-0000-0000-00008E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167" name="Text Box 60">
          <a:extLst>
            <a:ext uri="{FF2B5EF4-FFF2-40B4-BE49-F238E27FC236}">
              <a16:creationId xmlns:a16="http://schemas.microsoft.com/office/drawing/2014/main" xmlns="" id="{00000000-0008-0000-0000-00008F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168" name="Text Box 61">
          <a:extLst>
            <a:ext uri="{FF2B5EF4-FFF2-40B4-BE49-F238E27FC236}">
              <a16:creationId xmlns:a16="http://schemas.microsoft.com/office/drawing/2014/main" xmlns="" id="{00000000-0008-0000-0000-000090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169" name="Text Box 62">
          <a:extLst>
            <a:ext uri="{FF2B5EF4-FFF2-40B4-BE49-F238E27FC236}">
              <a16:creationId xmlns:a16="http://schemas.microsoft.com/office/drawing/2014/main" xmlns="" id="{00000000-0008-0000-0000-000091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170" name="Text Box 63">
          <a:extLst>
            <a:ext uri="{FF2B5EF4-FFF2-40B4-BE49-F238E27FC236}">
              <a16:creationId xmlns:a16="http://schemas.microsoft.com/office/drawing/2014/main" xmlns="" id="{00000000-0008-0000-0000-000092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171" name="Text Box 64">
          <a:extLst>
            <a:ext uri="{FF2B5EF4-FFF2-40B4-BE49-F238E27FC236}">
              <a16:creationId xmlns:a16="http://schemas.microsoft.com/office/drawing/2014/main" xmlns="" id="{00000000-0008-0000-0000-000093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172" name="Text Box 65">
          <a:extLst>
            <a:ext uri="{FF2B5EF4-FFF2-40B4-BE49-F238E27FC236}">
              <a16:creationId xmlns:a16="http://schemas.microsoft.com/office/drawing/2014/main" xmlns="" id="{00000000-0008-0000-0000-000094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173" name="Text Box 66">
          <a:extLst>
            <a:ext uri="{FF2B5EF4-FFF2-40B4-BE49-F238E27FC236}">
              <a16:creationId xmlns:a16="http://schemas.microsoft.com/office/drawing/2014/main" xmlns="" id="{00000000-0008-0000-0000-000095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174" name="Text Box 67">
          <a:extLst>
            <a:ext uri="{FF2B5EF4-FFF2-40B4-BE49-F238E27FC236}">
              <a16:creationId xmlns:a16="http://schemas.microsoft.com/office/drawing/2014/main" xmlns="" id="{00000000-0008-0000-0000-000096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175" name="Text Box 68">
          <a:extLst>
            <a:ext uri="{FF2B5EF4-FFF2-40B4-BE49-F238E27FC236}">
              <a16:creationId xmlns:a16="http://schemas.microsoft.com/office/drawing/2014/main" xmlns="" id="{00000000-0008-0000-0000-000097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176" name="Text Box 69">
          <a:extLst>
            <a:ext uri="{FF2B5EF4-FFF2-40B4-BE49-F238E27FC236}">
              <a16:creationId xmlns:a16="http://schemas.microsoft.com/office/drawing/2014/main" xmlns="" id="{00000000-0008-0000-0000-000098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177" name="Text Box 70">
          <a:extLst>
            <a:ext uri="{FF2B5EF4-FFF2-40B4-BE49-F238E27FC236}">
              <a16:creationId xmlns:a16="http://schemas.microsoft.com/office/drawing/2014/main" xmlns="" id="{00000000-0008-0000-0000-000099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178" name="Text Box 71">
          <a:extLst>
            <a:ext uri="{FF2B5EF4-FFF2-40B4-BE49-F238E27FC236}">
              <a16:creationId xmlns:a16="http://schemas.microsoft.com/office/drawing/2014/main" xmlns="" id="{00000000-0008-0000-0000-00009A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179" name="Text Box 72">
          <a:extLst>
            <a:ext uri="{FF2B5EF4-FFF2-40B4-BE49-F238E27FC236}">
              <a16:creationId xmlns:a16="http://schemas.microsoft.com/office/drawing/2014/main" xmlns="" id="{00000000-0008-0000-0000-00009B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180" name="Text Box 73">
          <a:extLst>
            <a:ext uri="{FF2B5EF4-FFF2-40B4-BE49-F238E27FC236}">
              <a16:creationId xmlns:a16="http://schemas.microsoft.com/office/drawing/2014/main" xmlns="" id="{00000000-0008-0000-0000-00009C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181" name="Text Box 74">
          <a:extLst>
            <a:ext uri="{FF2B5EF4-FFF2-40B4-BE49-F238E27FC236}">
              <a16:creationId xmlns:a16="http://schemas.microsoft.com/office/drawing/2014/main" xmlns="" id="{00000000-0008-0000-0000-00009D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182" name="Text Box 75">
          <a:extLst>
            <a:ext uri="{FF2B5EF4-FFF2-40B4-BE49-F238E27FC236}">
              <a16:creationId xmlns:a16="http://schemas.microsoft.com/office/drawing/2014/main" xmlns="" id="{00000000-0008-0000-0000-00009E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183" name="Text Box 76">
          <a:extLst>
            <a:ext uri="{FF2B5EF4-FFF2-40B4-BE49-F238E27FC236}">
              <a16:creationId xmlns:a16="http://schemas.microsoft.com/office/drawing/2014/main" xmlns="" id="{00000000-0008-0000-0000-00009F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184" name="Text Box 77">
          <a:extLst>
            <a:ext uri="{FF2B5EF4-FFF2-40B4-BE49-F238E27FC236}">
              <a16:creationId xmlns:a16="http://schemas.microsoft.com/office/drawing/2014/main" xmlns="" id="{00000000-0008-0000-0000-0000A0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185" name="Text Box 78">
          <a:extLst>
            <a:ext uri="{FF2B5EF4-FFF2-40B4-BE49-F238E27FC236}">
              <a16:creationId xmlns:a16="http://schemas.microsoft.com/office/drawing/2014/main" xmlns="" id="{00000000-0008-0000-0000-0000A1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186" name="Text Box 79">
          <a:extLst>
            <a:ext uri="{FF2B5EF4-FFF2-40B4-BE49-F238E27FC236}">
              <a16:creationId xmlns:a16="http://schemas.microsoft.com/office/drawing/2014/main" xmlns="" id="{00000000-0008-0000-0000-0000A2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187" name="Text Box 80">
          <a:extLst>
            <a:ext uri="{FF2B5EF4-FFF2-40B4-BE49-F238E27FC236}">
              <a16:creationId xmlns:a16="http://schemas.microsoft.com/office/drawing/2014/main" xmlns="" id="{00000000-0008-0000-0000-0000A3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188" name="Text Box 81">
          <a:extLst>
            <a:ext uri="{FF2B5EF4-FFF2-40B4-BE49-F238E27FC236}">
              <a16:creationId xmlns:a16="http://schemas.microsoft.com/office/drawing/2014/main" xmlns="" id="{00000000-0008-0000-0000-0000A4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47625"/>
    <xdr:sp macro="" textlink="">
      <xdr:nvSpPr>
        <xdr:cNvPr id="1189" name="Text Box 82">
          <a:extLst>
            <a:ext uri="{FF2B5EF4-FFF2-40B4-BE49-F238E27FC236}">
              <a16:creationId xmlns:a16="http://schemas.microsoft.com/office/drawing/2014/main" xmlns="" id="{00000000-0008-0000-0000-0000A5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190" name="Text Box 3079">
          <a:extLst>
            <a:ext uri="{FF2B5EF4-FFF2-40B4-BE49-F238E27FC236}">
              <a16:creationId xmlns:a16="http://schemas.microsoft.com/office/drawing/2014/main" xmlns="" id="{00000000-0008-0000-0000-0000A6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191" name="Text Box 3080">
          <a:extLst>
            <a:ext uri="{FF2B5EF4-FFF2-40B4-BE49-F238E27FC236}">
              <a16:creationId xmlns:a16="http://schemas.microsoft.com/office/drawing/2014/main" xmlns="" id="{00000000-0008-0000-0000-0000A7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192" name="Text Box 3081">
          <a:extLst>
            <a:ext uri="{FF2B5EF4-FFF2-40B4-BE49-F238E27FC236}">
              <a16:creationId xmlns:a16="http://schemas.microsoft.com/office/drawing/2014/main" xmlns="" id="{00000000-0008-0000-0000-0000A8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193" name="Text Box 3082">
          <a:extLst>
            <a:ext uri="{FF2B5EF4-FFF2-40B4-BE49-F238E27FC236}">
              <a16:creationId xmlns:a16="http://schemas.microsoft.com/office/drawing/2014/main" xmlns="" id="{00000000-0008-0000-0000-0000A9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194" name="Text Box 3083">
          <a:extLst>
            <a:ext uri="{FF2B5EF4-FFF2-40B4-BE49-F238E27FC236}">
              <a16:creationId xmlns:a16="http://schemas.microsoft.com/office/drawing/2014/main" xmlns="" id="{00000000-0008-0000-0000-0000AA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195" name="Text Box 3084">
          <a:extLst>
            <a:ext uri="{FF2B5EF4-FFF2-40B4-BE49-F238E27FC236}">
              <a16:creationId xmlns:a16="http://schemas.microsoft.com/office/drawing/2014/main" xmlns="" id="{00000000-0008-0000-0000-0000AB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196" name="Text Box 3085">
          <a:extLst>
            <a:ext uri="{FF2B5EF4-FFF2-40B4-BE49-F238E27FC236}">
              <a16:creationId xmlns:a16="http://schemas.microsoft.com/office/drawing/2014/main" xmlns="" id="{00000000-0008-0000-0000-0000AC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197" name="Text Box 3086">
          <a:extLst>
            <a:ext uri="{FF2B5EF4-FFF2-40B4-BE49-F238E27FC236}">
              <a16:creationId xmlns:a16="http://schemas.microsoft.com/office/drawing/2014/main" xmlns="" id="{00000000-0008-0000-0000-0000AD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198" name="Text Box 3087">
          <a:extLst>
            <a:ext uri="{FF2B5EF4-FFF2-40B4-BE49-F238E27FC236}">
              <a16:creationId xmlns:a16="http://schemas.microsoft.com/office/drawing/2014/main" xmlns="" id="{00000000-0008-0000-0000-0000AE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199" name="Text Box 3088">
          <a:extLst>
            <a:ext uri="{FF2B5EF4-FFF2-40B4-BE49-F238E27FC236}">
              <a16:creationId xmlns:a16="http://schemas.microsoft.com/office/drawing/2014/main" xmlns="" id="{00000000-0008-0000-0000-0000AF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200" name="Text Box 3089">
          <a:extLst>
            <a:ext uri="{FF2B5EF4-FFF2-40B4-BE49-F238E27FC236}">
              <a16:creationId xmlns:a16="http://schemas.microsoft.com/office/drawing/2014/main" xmlns="" id="{00000000-0008-0000-0000-0000B0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201" name="Text Box 3090">
          <a:extLst>
            <a:ext uri="{FF2B5EF4-FFF2-40B4-BE49-F238E27FC236}">
              <a16:creationId xmlns:a16="http://schemas.microsoft.com/office/drawing/2014/main" xmlns="" id="{00000000-0008-0000-0000-0000B1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202" name="Text Box 3091">
          <a:extLst>
            <a:ext uri="{FF2B5EF4-FFF2-40B4-BE49-F238E27FC236}">
              <a16:creationId xmlns:a16="http://schemas.microsoft.com/office/drawing/2014/main" xmlns="" id="{00000000-0008-0000-0000-0000B2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203" name="Text Box 3092">
          <a:extLst>
            <a:ext uri="{FF2B5EF4-FFF2-40B4-BE49-F238E27FC236}">
              <a16:creationId xmlns:a16="http://schemas.microsoft.com/office/drawing/2014/main" xmlns="" id="{00000000-0008-0000-0000-0000B3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204" name="Text Box 3093">
          <a:extLst>
            <a:ext uri="{FF2B5EF4-FFF2-40B4-BE49-F238E27FC236}">
              <a16:creationId xmlns:a16="http://schemas.microsoft.com/office/drawing/2014/main" xmlns="" id="{00000000-0008-0000-0000-0000B4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205" name="Text Box 3094">
          <a:extLst>
            <a:ext uri="{FF2B5EF4-FFF2-40B4-BE49-F238E27FC236}">
              <a16:creationId xmlns:a16="http://schemas.microsoft.com/office/drawing/2014/main" xmlns="" id="{00000000-0008-0000-0000-0000B5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206" name="Text Box 3095">
          <a:extLst>
            <a:ext uri="{FF2B5EF4-FFF2-40B4-BE49-F238E27FC236}">
              <a16:creationId xmlns:a16="http://schemas.microsoft.com/office/drawing/2014/main" xmlns="" id="{00000000-0008-0000-0000-0000B6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207" name="Text Box 3096">
          <a:extLst>
            <a:ext uri="{FF2B5EF4-FFF2-40B4-BE49-F238E27FC236}">
              <a16:creationId xmlns:a16="http://schemas.microsoft.com/office/drawing/2014/main" xmlns="" id="{00000000-0008-0000-0000-0000B7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208" name="Text Box 3097">
          <a:extLst>
            <a:ext uri="{FF2B5EF4-FFF2-40B4-BE49-F238E27FC236}">
              <a16:creationId xmlns:a16="http://schemas.microsoft.com/office/drawing/2014/main" xmlns="" id="{00000000-0008-0000-0000-0000B8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209" name="Text Box 3098">
          <a:extLst>
            <a:ext uri="{FF2B5EF4-FFF2-40B4-BE49-F238E27FC236}">
              <a16:creationId xmlns:a16="http://schemas.microsoft.com/office/drawing/2014/main" xmlns="" id="{00000000-0008-0000-0000-0000B9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210" name="Text Box 3099">
          <a:extLst>
            <a:ext uri="{FF2B5EF4-FFF2-40B4-BE49-F238E27FC236}">
              <a16:creationId xmlns:a16="http://schemas.microsoft.com/office/drawing/2014/main" xmlns="" id="{00000000-0008-0000-0000-0000BA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211" name="Text Box 3100">
          <a:extLst>
            <a:ext uri="{FF2B5EF4-FFF2-40B4-BE49-F238E27FC236}">
              <a16:creationId xmlns:a16="http://schemas.microsoft.com/office/drawing/2014/main" xmlns="" id="{00000000-0008-0000-0000-0000BB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212" name="Text Box 3101">
          <a:extLst>
            <a:ext uri="{FF2B5EF4-FFF2-40B4-BE49-F238E27FC236}">
              <a16:creationId xmlns:a16="http://schemas.microsoft.com/office/drawing/2014/main" xmlns="" id="{00000000-0008-0000-0000-0000BC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1213" name="Text Box 3102">
          <a:extLst>
            <a:ext uri="{FF2B5EF4-FFF2-40B4-BE49-F238E27FC236}">
              <a16:creationId xmlns:a16="http://schemas.microsoft.com/office/drawing/2014/main" xmlns="" id="{00000000-0008-0000-0000-0000BD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214" name="Text Box 59">
          <a:extLst>
            <a:ext uri="{FF2B5EF4-FFF2-40B4-BE49-F238E27FC236}">
              <a16:creationId xmlns:a16="http://schemas.microsoft.com/office/drawing/2014/main" xmlns="" id="{00000000-0008-0000-0000-0000BE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215" name="Text Box 60">
          <a:extLst>
            <a:ext uri="{FF2B5EF4-FFF2-40B4-BE49-F238E27FC236}">
              <a16:creationId xmlns:a16="http://schemas.microsoft.com/office/drawing/2014/main" xmlns="" id="{00000000-0008-0000-0000-0000BF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216" name="Text Box 61">
          <a:extLst>
            <a:ext uri="{FF2B5EF4-FFF2-40B4-BE49-F238E27FC236}">
              <a16:creationId xmlns:a16="http://schemas.microsoft.com/office/drawing/2014/main" xmlns="" id="{00000000-0008-0000-0000-0000C0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217" name="Text Box 62">
          <a:extLst>
            <a:ext uri="{FF2B5EF4-FFF2-40B4-BE49-F238E27FC236}">
              <a16:creationId xmlns:a16="http://schemas.microsoft.com/office/drawing/2014/main" xmlns="" id="{00000000-0008-0000-0000-0000C1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218" name="Text Box 63">
          <a:extLst>
            <a:ext uri="{FF2B5EF4-FFF2-40B4-BE49-F238E27FC236}">
              <a16:creationId xmlns:a16="http://schemas.microsoft.com/office/drawing/2014/main" xmlns="" id="{00000000-0008-0000-0000-0000C2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219" name="Text Box 64">
          <a:extLst>
            <a:ext uri="{FF2B5EF4-FFF2-40B4-BE49-F238E27FC236}">
              <a16:creationId xmlns:a16="http://schemas.microsoft.com/office/drawing/2014/main" xmlns="" id="{00000000-0008-0000-0000-0000C3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220" name="Text Box 65">
          <a:extLst>
            <a:ext uri="{FF2B5EF4-FFF2-40B4-BE49-F238E27FC236}">
              <a16:creationId xmlns:a16="http://schemas.microsoft.com/office/drawing/2014/main" xmlns="" id="{00000000-0008-0000-0000-0000C4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221" name="Text Box 66">
          <a:extLst>
            <a:ext uri="{FF2B5EF4-FFF2-40B4-BE49-F238E27FC236}">
              <a16:creationId xmlns:a16="http://schemas.microsoft.com/office/drawing/2014/main" xmlns="" id="{00000000-0008-0000-0000-0000C5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222" name="Text Box 67">
          <a:extLst>
            <a:ext uri="{FF2B5EF4-FFF2-40B4-BE49-F238E27FC236}">
              <a16:creationId xmlns:a16="http://schemas.microsoft.com/office/drawing/2014/main" xmlns="" id="{00000000-0008-0000-0000-0000C6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223" name="Text Box 68">
          <a:extLst>
            <a:ext uri="{FF2B5EF4-FFF2-40B4-BE49-F238E27FC236}">
              <a16:creationId xmlns:a16="http://schemas.microsoft.com/office/drawing/2014/main" xmlns="" id="{00000000-0008-0000-0000-0000C7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224" name="Text Box 69">
          <a:extLst>
            <a:ext uri="{FF2B5EF4-FFF2-40B4-BE49-F238E27FC236}">
              <a16:creationId xmlns:a16="http://schemas.microsoft.com/office/drawing/2014/main" xmlns="" id="{00000000-0008-0000-0000-0000C8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225" name="Text Box 70">
          <a:extLst>
            <a:ext uri="{FF2B5EF4-FFF2-40B4-BE49-F238E27FC236}">
              <a16:creationId xmlns:a16="http://schemas.microsoft.com/office/drawing/2014/main" xmlns="" id="{00000000-0008-0000-0000-0000C9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226" name="Text Box 71">
          <a:extLst>
            <a:ext uri="{FF2B5EF4-FFF2-40B4-BE49-F238E27FC236}">
              <a16:creationId xmlns:a16="http://schemas.microsoft.com/office/drawing/2014/main" xmlns="" id="{00000000-0008-0000-0000-0000CA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227" name="Text Box 72">
          <a:extLst>
            <a:ext uri="{FF2B5EF4-FFF2-40B4-BE49-F238E27FC236}">
              <a16:creationId xmlns:a16="http://schemas.microsoft.com/office/drawing/2014/main" xmlns="" id="{00000000-0008-0000-0000-0000CB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228" name="Text Box 73">
          <a:extLst>
            <a:ext uri="{FF2B5EF4-FFF2-40B4-BE49-F238E27FC236}">
              <a16:creationId xmlns:a16="http://schemas.microsoft.com/office/drawing/2014/main" xmlns="" id="{00000000-0008-0000-0000-0000CC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229" name="Text Box 74">
          <a:extLst>
            <a:ext uri="{FF2B5EF4-FFF2-40B4-BE49-F238E27FC236}">
              <a16:creationId xmlns:a16="http://schemas.microsoft.com/office/drawing/2014/main" xmlns="" id="{00000000-0008-0000-0000-0000CD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230" name="Text Box 75">
          <a:extLst>
            <a:ext uri="{FF2B5EF4-FFF2-40B4-BE49-F238E27FC236}">
              <a16:creationId xmlns:a16="http://schemas.microsoft.com/office/drawing/2014/main" xmlns="" id="{00000000-0008-0000-0000-0000CE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231" name="Text Box 76">
          <a:extLst>
            <a:ext uri="{FF2B5EF4-FFF2-40B4-BE49-F238E27FC236}">
              <a16:creationId xmlns:a16="http://schemas.microsoft.com/office/drawing/2014/main" xmlns="" id="{00000000-0008-0000-0000-0000CF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232" name="Text Box 77">
          <a:extLst>
            <a:ext uri="{FF2B5EF4-FFF2-40B4-BE49-F238E27FC236}">
              <a16:creationId xmlns:a16="http://schemas.microsoft.com/office/drawing/2014/main" xmlns="" id="{00000000-0008-0000-0000-0000D0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233" name="Text Box 78">
          <a:extLst>
            <a:ext uri="{FF2B5EF4-FFF2-40B4-BE49-F238E27FC236}">
              <a16:creationId xmlns:a16="http://schemas.microsoft.com/office/drawing/2014/main" xmlns="" id="{00000000-0008-0000-0000-0000D1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234" name="Text Box 79">
          <a:extLst>
            <a:ext uri="{FF2B5EF4-FFF2-40B4-BE49-F238E27FC236}">
              <a16:creationId xmlns:a16="http://schemas.microsoft.com/office/drawing/2014/main" xmlns="" id="{00000000-0008-0000-0000-0000D2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235" name="Text Box 80">
          <a:extLst>
            <a:ext uri="{FF2B5EF4-FFF2-40B4-BE49-F238E27FC236}">
              <a16:creationId xmlns:a16="http://schemas.microsoft.com/office/drawing/2014/main" xmlns="" id="{00000000-0008-0000-0000-0000D3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236" name="Text Box 81">
          <a:extLst>
            <a:ext uri="{FF2B5EF4-FFF2-40B4-BE49-F238E27FC236}">
              <a16:creationId xmlns:a16="http://schemas.microsoft.com/office/drawing/2014/main" xmlns="" id="{00000000-0008-0000-0000-0000D4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237" name="Text Box 3079">
          <a:extLst>
            <a:ext uri="{FF2B5EF4-FFF2-40B4-BE49-F238E27FC236}">
              <a16:creationId xmlns:a16="http://schemas.microsoft.com/office/drawing/2014/main" xmlns="" id="{00000000-0008-0000-0000-0000D5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238" name="Text Box 3080">
          <a:extLst>
            <a:ext uri="{FF2B5EF4-FFF2-40B4-BE49-F238E27FC236}">
              <a16:creationId xmlns:a16="http://schemas.microsoft.com/office/drawing/2014/main" xmlns="" id="{00000000-0008-0000-0000-0000D6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239" name="Text Box 3081">
          <a:extLst>
            <a:ext uri="{FF2B5EF4-FFF2-40B4-BE49-F238E27FC236}">
              <a16:creationId xmlns:a16="http://schemas.microsoft.com/office/drawing/2014/main" xmlns="" id="{00000000-0008-0000-0000-0000D7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240" name="Text Box 3082">
          <a:extLst>
            <a:ext uri="{FF2B5EF4-FFF2-40B4-BE49-F238E27FC236}">
              <a16:creationId xmlns:a16="http://schemas.microsoft.com/office/drawing/2014/main" xmlns="" id="{00000000-0008-0000-0000-0000D8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241" name="Text Box 3083">
          <a:extLst>
            <a:ext uri="{FF2B5EF4-FFF2-40B4-BE49-F238E27FC236}">
              <a16:creationId xmlns:a16="http://schemas.microsoft.com/office/drawing/2014/main" xmlns="" id="{00000000-0008-0000-0000-0000D9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242" name="Text Box 3084">
          <a:extLst>
            <a:ext uri="{FF2B5EF4-FFF2-40B4-BE49-F238E27FC236}">
              <a16:creationId xmlns:a16="http://schemas.microsoft.com/office/drawing/2014/main" xmlns="" id="{00000000-0008-0000-0000-0000DA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243" name="Text Box 3085">
          <a:extLst>
            <a:ext uri="{FF2B5EF4-FFF2-40B4-BE49-F238E27FC236}">
              <a16:creationId xmlns:a16="http://schemas.microsoft.com/office/drawing/2014/main" xmlns="" id="{00000000-0008-0000-0000-0000DB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244" name="Text Box 3086">
          <a:extLst>
            <a:ext uri="{FF2B5EF4-FFF2-40B4-BE49-F238E27FC236}">
              <a16:creationId xmlns:a16="http://schemas.microsoft.com/office/drawing/2014/main" xmlns="" id="{00000000-0008-0000-0000-0000DC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245" name="Text Box 3087">
          <a:extLst>
            <a:ext uri="{FF2B5EF4-FFF2-40B4-BE49-F238E27FC236}">
              <a16:creationId xmlns:a16="http://schemas.microsoft.com/office/drawing/2014/main" xmlns="" id="{00000000-0008-0000-0000-0000DD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246" name="Text Box 3088">
          <a:extLst>
            <a:ext uri="{FF2B5EF4-FFF2-40B4-BE49-F238E27FC236}">
              <a16:creationId xmlns:a16="http://schemas.microsoft.com/office/drawing/2014/main" xmlns="" id="{00000000-0008-0000-0000-0000DE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247" name="Text Box 3089">
          <a:extLst>
            <a:ext uri="{FF2B5EF4-FFF2-40B4-BE49-F238E27FC236}">
              <a16:creationId xmlns:a16="http://schemas.microsoft.com/office/drawing/2014/main" xmlns="" id="{00000000-0008-0000-0000-0000DF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248" name="Text Box 3090">
          <a:extLst>
            <a:ext uri="{FF2B5EF4-FFF2-40B4-BE49-F238E27FC236}">
              <a16:creationId xmlns:a16="http://schemas.microsoft.com/office/drawing/2014/main" xmlns="" id="{00000000-0008-0000-0000-0000E0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249" name="Text Box 3091">
          <a:extLst>
            <a:ext uri="{FF2B5EF4-FFF2-40B4-BE49-F238E27FC236}">
              <a16:creationId xmlns:a16="http://schemas.microsoft.com/office/drawing/2014/main" xmlns="" id="{00000000-0008-0000-0000-0000E1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250" name="Text Box 3092">
          <a:extLst>
            <a:ext uri="{FF2B5EF4-FFF2-40B4-BE49-F238E27FC236}">
              <a16:creationId xmlns:a16="http://schemas.microsoft.com/office/drawing/2014/main" xmlns="" id="{00000000-0008-0000-0000-0000E2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251" name="Text Box 3093">
          <a:extLst>
            <a:ext uri="{FF2B5EF4-FFF2-40B4-BE49-F238E27FC236}">
              <a16:creationId xmlns:a16="http://schemas.microsoft.com/office/drawing/2014/main" xmlns="" id="{00000000-0008-0000-0000-0000E3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252" name="Text Box 3094">
          <a:extLst>
            <a:ext uri="{FF2B5EF4-FFF2-40B4-BE49-F238E27FC236}">
              <a16:creationId xmlns:a16="http://schemas.microsoft.com/office/drawing/2014/main" xmlns="" id="{00000000-0008-0000-0000-0000E4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253" name="Text Box 3095">
          <a:extLst>
            <a:ext uri="{FF2B5EF4-FFF2-40B4-BE49-F238E27FC236}">
              <a16:creationId xmlns:a16="http://schemas.microsoft.com/office/drawing/2014/main" xmlns="" id="{00000000-0008-0000-0000-0000E5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254" name="Text Box 3096">
          <a:extLst>
            <a:ext uri="{FF2B5EF4-FFF2-40B4-BE49-F238E27FC236}">
              <a16:creationId xmlns:a16="http://schemas.microsoft.com/office/drawing/2014/main" xmlns="" id="{00000000-0008-0000-0000-0000E6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255" name="Text Box 3097">
          <a:extLst>
            <a:ext uri="{FF2B5EF4-FFF2-40B4-BE49-F238E27FC236}">
              <a16:creationId xmlns:a16="http://schemas.microsoft.com/office/drawing/2014/main" xmlns="" id="{00000000-0008-0000-0000-0000E7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256" name="Text Box 3098">
          <a:extLst>
            <a:ext uri="{FF2B5EF4-FFF2-40B4-BE49-F238E27FC236}">
              <a16:creationId xmlns:a16="http://schemas.microsoft.com/office/drawing/2014/main" xmlns="" id="{00000000-0008-0000-0000-0000E8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257" name="Text Box 3099">
          <a:extLst>
            <a:ext uri="{FF2B5EF4-FFF2-40B4-BE49-F238E27FC236}">
              <a16:creationId xmlns:a16="http://schemas.microsoft.com/office/drawing/2014/main" xmlns="" id="{00000000-0008-0000-0000-0000E9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258" name="Text Box 3100">
          <a:extLst>
            <a:ext uri="{FF2B5EF4-FFF2-40B4-BE49-F238E27FC236}">
              <a16:creationId xmlns:a16="http://schemas.microsoft.com/office/drawing/2014/main" xmlns="" id="{00000000-0008-0000-0000-0000EA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259" name="Text Box 3101">
          <a:extLst>
            <a:ext uri="{FF2B5EF4-FFF2-40B4-BE49-F238E27FC236}">
              <a16:creationId xmlns:a16="http://schemas.microsoft.com/office/drawing/2014/main" xmlns="" id="{00000000-0008-0000-0000-0000EB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1260" name="Text Box 3102">
          <a:extLst>
            <a:ext uri="{FF2B5EF4-FFF2-40B4-BE49-F238E27FC236}">
              <a16:creationId xmlns:a16="http://schemas.microsoft.com/office/drawing/2014/main" xmlns="" id="{00000000-0008-0000-0000-0000EC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261" name="Text Box 59">
          <a:extLst>
            <a:ext uri="{FF2B5EF4-FFF2-40B4-BE49-F238E27FC236}">
              <a16:creationId xmlns:a16="http://schemas.microsoft.com/office/drawing/2014/main" xmlns="" id="{00000000-0008-0000-0000-0000ED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262" name="Text Box 60">
          <a:extLst>
            <a:ext uri="{FF2B5EF4-FFF2-40B4-BE49-F238E27FC236}">
              <a16:creationId xmlns:a16="http://schemas.microsoft.com/office/drawing/2014/main" xmlns="" id="{00000000-0008-0000-0000-0000EE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263" name="Text Box 61">
          <a:extLst>
            <a:ext uri="{FF2B5EF4-FFF2-40B4-BE49-F238E27FC236}">
              <a16:creationId xmlns:a16="http://schemas.microsoft.com/office/drawing/2014/main" xmlns="" id="{00000000-0008-0000-0000-0000EF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264" name="Text Box 62">
          <a:extLst>
            <a:ext uri="{FF2B5EF4-FFF2-40B4-BE49-F238E27FC236}">
              <a16:creationId xmlns:a16="http://schemas.microsoft.com/office/drawing/2014/main" xmlns="" id="{00000000-0008-0000-0000-0000F0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265" name="Text Box 63">
          <a:extLst>
            <a:ext uri="{FF2B5EF4-FFF2-40B4-BE49-F238E27FC236}">
              <a16:creationId xmlns:a16="http://schemas.microsoft.com/office/drawing/2014/main" xmlns="" id="{00000000-0008-0000-0000-0000F1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266" name="Text Box 64">
          <a:extLst>
            <a:ext uri="{FF2B5EF4-FFF2-40B4-BE49-F238E27FC236}">
              <a16:creationId xmlns:a16="http://schemas.microsoft.com/office/drawing/2014/main" xmlns="" id="{00000000-0008-0000-0000-0000F2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267" name="Text Box 65">
          <a:extLst>
            <a:ext uri="{FF2B5EF4-FFF2-40B4-BE49-F238E27FC236}">
              <a16:creationId xmlns:a16="http://schemas.microsoft.com/office/drawing/2014/main" xmlns="" id="{00000000-0008-0000-0000-0000F3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268" name="Text Box 66">
          <a:extLst>
            <a:ext uri="{FF2B5EF4-FFF2-40B4-BE49-F238E27FC236}">
              <a16:creationId xmlns:a16="http://schemas.microsoft.com/office/drawing/2014/main" xmlns="" id="{00000000-0008-0000-0000-0000F4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269" name="Text Box 67">
          <a:extLst>
            <a:ext uri="{FF2B5EF4-FFF2-40B4-BE49-F238E27FC236}">
              <a16:creationId xmlns:a16="http://schemas.microsoft.com/office/drawing/2014/main" xmlns="" id="{00000000-0008-0000-0000-0000F5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270" name="Text Box 68">
          <a:extLst>
            <a:ext uri="{FF2B5EF4-FFF2-40B4-BE49-F238E27FC236}">
              <a16:creationId xmlns:a16="http://schemas.microsoft.com/office/drawing/2014/main" xmlns="" id="{00000000-0008-0000-0000-0000F6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271" name="Text Box 69">
          <a:extLst>
            <a:ext uri="{FF2B5EF4-FFF2-40B4-BE49-F238E27FC236}">
              <a16:creationId xmlns:a16="http://schemas.microsoft.com/office/drawing/2014/main" xmlns="" id="{00000000-0008-0000-0000-0000F7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272" name="Text Box 70">
          <a:extLst>
            <a:ext uri="{FF2B5EF4-FFF2-40B4-BE49-F238E27FC236}">
              <a16:creationId xmlns:a16="http://schemas.microsoft.com/office/drawing/2014/main" xmlns="" id="{00000000-0008-0000-0000-0000F8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273" name="Text Box 71">
          <a:extLst>
            <a:ext uri="{FF2B5EF4-FFF2-40B4-BE49-F238E27FC236}">
              <a16:creationId xmlns:a16="http://schemas.microsoft.com/office/drawing/2014/main" xmlns="" id="{00000000-0008-0000-0000-0000F9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274" name="Text Box 72">
          <a:extLst>
            <a:ext uri="{FF2B5EF4-FFF2-40B4-BE49-F238E27FC236}">
              <a16:creationId xmlns:a16="http://schemas.microsoft.com/office/drawing/2014/main" xmlns="" id="{00000000-0008-0000-0000-0000FA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275" name="Text Box 73">
          <a:extLst>
            <a:ext uri="{FF2B5EF4-FFF2-40B4-BE49-F238E27FC236}">
              <a16:creationId xmlns:a16="http://schemas.microsoft.com/office/drawing/2014/main" xmlns="" id="{00000000-0008-0000-0000-0000FB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276" name="Text Box 74">
          <a:extLst>
            <a:ext uri="{FF2B5EF4-FFF2-40B4-BE49-F238E27FC236}">
              <a16:creationId xmlns:a16="http://schemas.microsoft.com/office/drawing/2014/main" xmlns="" id="{00000000-0008-0000-0000-0000FC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277" name="Text Box 75">
          <a:extLst>
            <a:ext uri="{FF2B5EF4-FFF2-40B4-BE49-F238E27FC236}">
              <a16:creationId xmlns:a16="http://schemas.microsoft.com/office/drawing/2014/main" xmlns="" id="{00000000-0008-0000-0000-0000FD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278" name="Text Box 76">
          <a:extLst>
            <a:ext uri="{FF2B5EF4-FFF2-40B4-BE49-F238E27FC236}">
              <a16:creationId xmlns:a16="http://schemas.microsoft.com/office/drawing/2014/main" xmlns="" id="{00000000-0008-0000-0000-0000FE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279" name="Text Box 77">
          <a:extLst>
            <a:ext uri="{FF2B5EF4-FFF2-40B4-BE49-F238E27FC236}">
              <a16:creationId xmlns:a16="http://schemas.microsoft.com/office/drawing/2014/main" xmlns="" id="{00000000-0008-0000-0000-0000FF0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280" name="Text Box 78">
          <a:extLst>
            <a:ext uri="{FF2B5EF4-FFF2-40B4-BE49-F238E27FC236}">
              <a16:creationId xmlns:a16="http://schemas.microsoft.com/office/drawing/2014/main" xmlns="" id="{00000000-0008-0000-0000-000000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281" name="Text Box 79">
          <a:extLst>
            <a:ext uri="{FF2B5EF4-FFF2-40B4-BE49-F238E27FC236}">
              <a16:creationId xmlns:a16="http://schemas.microsoft.com/office/drawing/2014/main" xmlns="" id="{00000000-0008-0000-0000-000001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282" name="Text Box 80">
          <a:extLst>
            <a:ext uri="{FF2B5EF4-FFF2-40B4-BE49-F238E27FC236}">
              <a16:creationId xmlns:a16="http://schemas.microsoft.com/office/drawing/2014/main" xmlns="" id="{00000000-0008-0000-0000-000002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283" name="Text Box 81">
          <a:extLst>
            <a:ext uri="{FF2B5EF4-FFF2-40B4-BE49-F238E27FC236}">
              <a16:creationId xmlns:a16="http://schemas.microsoft.com/office/drawing/2014/main" xmlns="" id="{00000000-0008-0000-0000-000003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47625"/>
    <xdr:sp macro="" textlink="">
      <xdr:nvSpPr>
        <xdr:cNvPr id="1284" name="Text Box 82">
          <a:extLst>
            <a:ext uri="{FF2B5EF4-FFF2-40B4-BE49-F238E27FC236}">
              <a16:creationId xmlns:a16="http://schemas.microsoft.com/office/drawing/2014/main" xmlns="" id="{00000000-0008-0000-0000-000004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285" name="Text Box 3079">
          <a:extLst>
            <a:ext uri="{FF2B5EF4-FFF2-40B4-BE49-F238E27FC236}">
              <a16:creationId xmlns:a16="http://schemas.microsoft.com/office/drawing/2014/main" xmlns="" id="{00000000-0008-0000-0000-000005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286" name="Text Box 3080">
          <a:extLst>
            <a:ext uri="{FF2B5EF4-FFF2-40B4-BE49-F238E27FC236}">
              <a16:creationId xmlns:a16="http://schemas.microsoft.com/office/drawing/2014/main" xmlns="" id="{00000000-0008-0000-0000-000006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287" name="Text Box 3081">
          <a:extLst>
            <a:ext uri="{FF2B5EF4-FFF2-40B4-BE49-F238E27FC236}">
              <a16:creationId xmlns:a16="http://schemas.microsoft.com/office/drawing/2014/main" xmlns="" id="{00000000-0008-0000-0000-000007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288" name="Text Box 3082">
          <a:extLst>
            <a:ext uri="{FF2B5EF4-FFF2-40B4-BE49-F238E27FC236}">
              <a16:creationId xmlns:a16="http://schemas.microsoft.com/office/drawing/2014/main" xmlns="" id="{00000000-0008-0000-0000-000008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289" name="Text Box 3083">
          <a:extLst>
            <a:ext uri="{FF2B5EF4-FFF2-40B4-BE49-F238E27FC236}">
              <a16:creationId xmlns:a16="http://schemas.microsoft.com/office/drawing/2014/main" xmlns="" id="{00000000-0008-0000-0000-000009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290" name="Text Box 3084">
          <a:extLst>
            <a:ext uri="{FF2B5EF4-FFF2-40B4-BE49-F238E27FC236}">
              <a16:creationId xmlns:a16="http://schemas.microsoft.com/office/drawing/2014/main" xmlns="" id="{00000000-0008-0000-0000-00000A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291" name="Text Box 3085">
          <a:extLst>
            <a:ext uri="{FF2B5EF4-FFF2-40B4-BE49-F238E27FC236}">
              <a16:creationId xmlns:a16="http://schemas.microsoft.com/office/drawing/2014/main" xmlns="" id="{00000000-0008-0000-0000-00000B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292" name="Text Box 3086">
          <a:extLst>
            <a:ext uri="{FF2B5EF4-FFF2-40B4-BE49-F238E27FC236}">
              <a16:creationId xmlns:a16="http://schemas.microsoft.com/office/drawing/2014/main" xmlns="" id="{00000000-0008-0000-0000-00000C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293" name="Text Box 3087">
          <a:extLst>
            <a:ext uri="{FF2B5EF4-FFF2-40B4-BE49-F238E27FC236}">
              <a16:creationId xmlns:a16="http://schemas.microsoft.com/office/drawing/2014/main" xmlns="" id="{00000000-0008-0000-0000-00000D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294" name="Text Box 3088">
          <a:extLst>
            <a:ext uri="{FF2B5EF4-FFF2-40B4-BE49-F238E27FC236}">
              <a16:creationId xmlns:a16="http://schemas.microsoft.com/office/drawing/2014/main" xmlns="" id="{00000000-0008-0000-0000-00000E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295" name="Text Box 3089">
          <a:extLst>
            <a:ext uri="{FF2B5EF4-FFF2-40B4-BE49-F238E27FC236}">
              <a16:creationId xmlns:a16="http://schemas.microsoft.com/office/drawing/2014/main" xmlns="" id="{00000000-0008-0000-0000-00000F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296" name="Text Box 3090">
          <a:extLst>
            <a:ext uri="{FF2B5EF4-FFF2-40B4-BE49-F238E27FC236}">
              <a16:creationId xmlns:a16="http://schemas.microsoft.com/office/drawing/2014/main" xmlns="" id="{00000000-0008-0000-0000-000010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297" name="Text Box 3091">
          <a:extLst>
            <a:ext uri="{FF2B5EF4-FFF2-40B4-BE49-F238E27FC236}">
              <a16:creationId xmlns:a16="http://schemas.microsoft.com/office/drawing/2014/main" xmlns="" id="{00000000-0008-0000-0000-000011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298" name="Text Box 3092">
          <a:extLst>
            <a:ext uri="{FF2B5EF4-FFF2-40B4-BE49-F238E27FC236}">
              <a16:creationId xmlns:a16="http://schemas.microsoft.com/office/drawing/2014/main" xmlns="" id="{00000000-0008-0000-0000-000012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299" name="Text Box 3093">
          <a:extLst>
            <a:ext uri="{FF2B5EF4-FFF2-40B4-BE49-F238E27FC236}">
              <a16:creationId xmlns:a16="http://schemas.microsoft.com/office/drawing/2014/main" xmlns="" id="{00000000-0008-0000-0000-000013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300" name="Text Box 3094">
          <a:extLst>
            <a:ext uri="{FF2B5EF4-FFF2-40B4-BE49-F238E27FC236}">
              <a16:creationId xmlns:a16="http://schemas.microsoft.com/office/drawing/2014/main" xmlns="" id="{00000000-0008-0000-0000-000014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301" name="Text Box 3095">
          <a:extLst>
            <a:ext uri="{FF2B5EF4-FFF2-40B4-BE49-F238E27FC236}">
              <a16:creationId xmlns:a16="http://schemas.microsoft.com/office/drawing/2014/main" xmlns="" id="{00000000-0008-0000-0000-000015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302" name="Text Box 3096">
          <a:extLst>
            <a:ext uri="{FF2B5EF4-FFF2-40B4-BE49-F238E27FC236}">
              <a16:creationId xmlns:a16="http://schemas.microsoft.com/office/drawing/2014/main" xmlns="" id="{00000000-0008-0000-0000-000016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303" name="Text Box 3097">
          <a:extLst>
            <a:ext uri="{FF2B5EF4-FFF2-40B4-BE49-F238E27FC236}">
              <a16:creationId xmlns:a16="http://schemas.microsoft.com/office/drawing/2014/main" xmlns="" id="{00000000-0008-0000-0000-000017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304" name="Text Box 3098">
          <a:extLst>
            <a:ext uri="{FF2B5EF4-FFF2-40B4-BE49-F238E27FC236}">
              <a16:creationId xmlns:a16="http://schemas.microsoft.com/office/drawing/2014/main" xmlns="" id="{00000000-0008-0000-0000-000018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305" name="Text Box 3099">
          <a:extLst>
            <a:ext uri="{FF2B5EF4-FFF2-40B4-BE49-F238E27FC236}">
              <a16:creationId xmlns:a16="http://schemas.microsoft.com/office/drawing/2014/main" xmlns="" id="{00000000-0008-0000-0000-000019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306" name="Text Box 3100">
          <a:extLst>
            <a:ext uri="{FF2B5EF4-FFF2-40B4-BE49-F238E27FC236}">
              <a16:creationId xmlns:a16="http://schemas.microsoft.com/office/drawing/2014/main" xmlns="" id="{00000000-0008-0000-0000-00001A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307" name="Text Box 3101">
          <a:extLst>
            <a:ext uri="{FF2B5EF4-FFF2-40B4-BE49-F238E27FC236}">
              <a16:creationId xmlns:a16="http://schemas.microsoft.com/office/drawing/2014/main" xmlns="" id="{00000000-0008-0000-0000-00001B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1308" name="Text Box 3102">
          <a:extLst>
            <a:ext uri="{FF2B5EF4-FFF2-40B4-BE49-F238E27FC236}">
              <a16:creationId xmlns:a16="http://schemas.microsoft.com/office/drawing/2014/main" xmlns="" id="{00000000-0008-0000-0000-00001C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309" name="Text Box 59">
          <a:extLst>
            <a:ext uri="{FF2B5EF4-FFF2-40B4-BE49-F238E27FC236}">
              <a16:creationId xmlns:a16="http://schemas.microsoft.com/office/drawing/2014/main" xmlns="" id="{00000000-0008-0000-0000-00001D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310" name="Text Box 60">
          <a:extLst>
            <a:ext uri="{FF2B5EF4-FFF2-40B4-BE49-F238E27FC236}">
              <a16:creationId xmlns:a16="http://schemas.microsoft.com/office/drawing/2014/main" xmlns="" id="{00000000-0008-0000-0000-00001E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311" name="Text Box 61">
          <a:extLst>
            <a:ext uri="{FF2B5EF4-FFF2-40B4-BE49-F238E27FC236}">
              <a16:creationId xmlns:a16="http://schemas.microsoft.com/office/drawing/2014/main" xmlns="" id="{00000000-0008-0000-0000-00001F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312" name="Text Box 62">
          <a:extLst>
            <a:ext uri="{FF2B5EF4-FFF2-40B4-BE49-F238E27FC236}">
              <a16:creationId xmlns:a16="http://schemas.microsoft.com/office/drawing/2014/main" xmlns="" id="{00000000-0008-0000-0000-000020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313" name="Text Box 63">
          <a:extLst>
            <a:ext uri="{FF2B5EF4-FFF2-40B4-BE49-F238E27FC236}">
              <a16:creationId xmlns:a16="http://schemas.microsoft.com/office/drawing/2014/main" xmlns="" id="{00000000-0008-0000-0000-000021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314" name="Text Box 64">
          <a:extLst>
            <a:ext uri="{FF2B5EF4-FFF2-40B4-BE49-F238E27FC236}">
              <a16:creationId xmlns:a16="http://schemas.microsoft.com/office/drawing/2014/main" xmlns="" id="{00000000-0008-0000-0000-000022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315" name="Text Box 65">
          <a:extLst>
            <a:ext uri="{FF2B5EF4-FFF2-40B4-BE49-F238E27FC236}">
              <a16:creationId xmlns:a16="http://schemas.microsoft.com/office/drawing/2014/main" xmlns="" id="{00000000-0008-0000-0000-000023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316" name="Text Box 66">
          <a:extLst>
            <a:ext uri="{FF2B5EF4-FFF2-40B4-BE49-F238E27FC236}">
              <a16:creationId xmlns:a16="http://schemas.microsoft.com/office/drawing/2014/main" xmlns="" id="{00000000-0008-0000-0000-000024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317" name="Text Box 67">
          <a:extLst>
            <a:ext uri="{FF2B5EF4-FFF2-40B4-BE49-F238E27FC236}">
              <a16:creationId xmlns:a16="http://schemas.microsoft.com/office/drawing/2014/main" xmlns="" id="{00000000-0008-0000-0000-000025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318" name="Text Box 68">
          <a:extLst>
            <a:ext uri="{FF2B5EF4-FFF2-40B4-BE49-F238E27FC236}">
              <a16:creationId xmlns:a16="http://schemas.microsoft.com/office/drawing/2014/main" xmlns="" id="{00000000-0008-0000-0000-000026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319" name="Text Box 69">
          <a:extLst>
            <a:ext uri="{FF2B5EF4-FFF2-40B4-BE49-F238E27FC236}">
              <a16:creationId xmlns:a16="http://schemas.microsoft.com/office/drawing/2014/main" xmlns="" id="{00000000-0008-0000-0000-000027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320" name="Text Box 70">
          <a:extLst>
            <a:ext uri="{FF2B5EF4-FFF2-40B4-BE49-F238E27FC236}">
              <a16:creationId xmlns:a16="http://schemas.microsoft.com/office/drawing/2014/main" xmlns="" id="{00000000-0008-0000-0000-000028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321" name="Text Box 71">
          <a:extLst>
            <a:ext uri="{FF2B5EF4-FFF2-40B4-BE49-F238E27FC236}">
              <a16:creationId xmlns:a16="http://schemas.microsoft.com/office/drawing/2014/main" xmlns="" id="{00000000-0008-0000-0000-000029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322" name="Text Box 72">
          <a:extLst>
            <a:ext uri="{FF2B5EF4-FFF2-40B4-BE49-F238E27FC236}">
              <a16:creationId xmlns:a16="http://schemas.microsoft.com/office/drawing/2014/main" xmlns="" id="{00000000-0008-0000-0000-00002A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323" name="Text Box 73">
          <a:extLst>
            <a:ext uri="{FF2B5EF4-FFF2-40B4-BE49-F238E27FC236}">
              <a16:creationId xmlns:a16="http://schemas.microsoft.com/office/drawing/2014/main" xmlns="" id="{00000000-0008-0000-0000-00002B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324" name="Text Box 74">
          <a:extLst>
            <a:ext uri="{FF2B5EF4-FFF2-40B4-BE49-F238E27FC236}">
              <a16:creationId xmlns:a16="http://schemas.microsoft.com/office/drawing/2014/main" xmlns="" id="{00000000-0008-0000-0000-00002C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325" name="Text Box 75">
          <a:extLst>
            <a:ext uri="{FF2B5EF4-FFF2-40B4-BE49-F238E27FC236}">
              <a16:creationId xmlns:a16="http://schemas.microsoft.com/office/drawing/2014/main" xmlns="" id="{00000000-0008-0000-0000-00002D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326" name="Text Box 76">
          <a:extLst>
            <a:ext uri="{FF2B5EF4-FFF2-40B4-BE49-F238E27FC236}">
              <a16:creationId xmlns:a16="http://schemas.microsoft.com/office/drawing/2014/main" xmlns="" id="{00000000-0008-0000-0000-00002E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327" name="Text Box 77">
          <a:extLst>
            <a:ext uri="{FF2B5EF4-FFF2-40B4-BE49-F238E27FC236}">
              <a16:creationId xmlns:a16="http://schemas.microsoft.com/office/drawing/2014/main" xmlns="" id="{00000000-0008-0000-0000-00002F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328" name="Text Box 78">
          <a:extLst>
            <a:ext uri="{FF2B5EF4-FFF2-40B4-BE49-F238E27FC236}">
              <a16:creationId xmlns:a16="http://schemas.microsoft.com/office/drawing/2014/main" xmlns="" id="{00000000-0008-0000-0000-000030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329" name="Text Box 79">
          <a:extLst>
            <a:ext uri="{FF2B5EF4-FFF2-40B4-BE49-F238E27FC236}">
              <a16:creationId xmlns:a16="http://schemas.microsoft.com/office/drawing/2014/main" xmlns="" id="{00000000-0008-0000-0000-000031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330" name="Text Box 80">
          <a:extLst>
            <a:ext uri="{FF2B5EF4-FFF2-40B4-BE49-F238E27FC236}">
              <a16:creationId xmlns:a16="http://schemas.microsoft.com/office/drawing/2014/main" xmlns="" id="{00000000-0008-0000-0000-000032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331" name="Text Box 81">
          <a:extLst>
            <a:ext uri="{FF2B5EF4-FFF2-40B4-BE49-F238E27FC236}">
              <a16:creationId xmlns:a16="http://schemas.microsoft.com/office/drawing/2014/main" xmlns="" id="{00000000-0008-0000-0000-000033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332" name="Text Box 3079">
          <a:extLst>
            <a:ext uri="{FF2B5EF4-FFF2-40B4-BE49-F238E27FC236}">
              <a16:creationId xmlns:a16="http://schemas.microsoft.com/office/drawing/2014/main" xmlns="" id="{00000000-0008-0000-0000-000034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333" name="Text Box 3080">
          <a:extLst>
            <a:ext uri="{FF2B5EF4-FFF2-40B4-BE49-F238E27FC236}">
              <a16:creationId xmlns:a16="http://schemas.microsoft.com/office/drawing/2014/main" xmlns="" id="{00000000-0008-0000-0000-000035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334" name="Text Box 3081">
          <a:extLst>
            <a:ext uri="{FF2B5EF4-FFF2-40B4-BE49-F238E27FC236}">
              <a16:creationId xmlns:a16="http://schemas.microsoft.com/office/drawing/2014/main" xmlns="" id="{00000000-0008-0000-0000-000036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335" name="Text Box 3082">
          <a:extLst>
            <a:ext uri="{FF2B5EF4-FFF2-40B4-BE49-F238E27FC236}">
              <a16:creationId xmlns:a16="http://schemas.microsoft.com/office/drawing/2014/main" xmlns="" id="{00000000-0008-0000-0000-000037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336" name="Text Box 3083">
          <a:extLst>
            <a:ext uri="{FF2B5EF4-FFF2-40B4-BE49-F238E27FC236}">
              <a16:creationId xmlns:a16="http://schemas.microsoft.com/office/drawing/2014/main" xmlns="" id="{00000000-0008-0000-0000-000038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337" name="Text Box 3084">
          <a:extLst>
            <a:ext uri="{FF2B5EF4-FFF2-40B4-BE49-F238E27FC236}">
              <a16:creationId xmlns:a16="http://schemas.microsoft.com/office/drawing/2014/main" xmlns="" id="{00000000-0008-0000-0000-000039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338" name="Text Box 3085">
          <a:extLst>
            <a:ext uri="{FF2B5EF4-FFF2-40B4-BE49-F238E27FC236}">
              <a16:creationId xmlns:a16="http://schemas.microsoft.com/office/drawing/2014/main" xmlns="" id="{00000000-0008-0000-0000-00003A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339" name="Text Box 3086">
          <a:extLst>
            <a:ext uri="{FF2B5EF4-FFF2-40B4-BE49-F238E27FC236}">
              <a16:creationId xmlns:a16="http://schemas.microsoft.com/office/drawing/2014/main" xmlns="" id="{00000000-0008-0000-0000-00003B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340" name="Text Box 3087">
          <a:extLst>
            <a:ext uri="{FF2B5EF4-FFF2-40B4-BE49-F238E27FC236}">
              <a16:creationId xmlns:a16="http://schemas.microsoft.com/office/drawing/2014/main" xmlns="" id="{00000000-0008-0000-0000-00003C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341" name="Text Box 3088">
          <a:extLst>
            <a:ext uri="{FF2B5EF4-FFF2-40B4-BE49-F238E27FC236}">
              <a16:creationId xmlns:a16="http://schemas.microsoft.com/office/drawing/2014/main" xmlns="" id="{00000000-0008-0000-0000-00003D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342" name="Text Box 3089">
          <a:extLst>
            <a:ext uri="{FF2B5EF4-FFF2-40B4-BE49-F238E27FC236}">
              <a16:creationId xmlns:a16="http://schemas.microsoft.com/office/drawing/2014/main" xmlns="" id="{00000000-0008-0000-0000-00003E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343" name="Text Box 3090">
          <a:extLst>
            <a:ext uri="{FF2B5EF4-FFF2-40B4-BE49-F238E27FC236}">
              <a16:creationId xmlns:a16="http://schemas.microsoft.com/office/drawing/2014/main" xmlns="" id="{00000000-0008-0000-0000-00003F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344" name="Text Box 3091">
          <a:extLst>
            <a:ext uri="{FF2B5EF4-FFF2-40B4-BE49-F238E27FC236}">
              <a16:creationId xmlns:a16="http://schemas.microsoft.com/office/drawing/2014/main" xmlns="" id="{00000000-0008-0000-0000-000040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345" name="Text Box 3092">
          <a:extLst>
            <a:ext uri="{FF2B5EF4-FFF2-40B4-BE49-F238E27FC236}">
              <a16:creationId xmlns:a16="http://schemas.microsoft.com/office/drawing/2014/main" xmlns="" id="{00000000-0008-0000-0000-000041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346" name="Text Box 3093">
          <a:extLst>
            <a:ext uri="{FF2B5EF4-FFF2-40B4-BE49-F238E27FC236}">
              <a16:creationId xmlns:a16="http://schemas.microsoft.com/office/drawing/2014/main" xmlns="" id="{00000000-0008-0000-0000-000042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347" name="Text Box 3094">
          <a:extLst>
            <a:ext uri="{FF2B5EF4-FFF2-40B4-BE49-F238E27FC236}">
              <a16:creationId xmlns:a16="http://schemas.microsoft.com/office/drawing/2014/main" xmlns="" id="{00000000-0008-0000-0000-000043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348" name="Text Box 3095">
          <a:extLst>
            <a:ext uri="{FF2B5EF4-FFF2-40B4-BE49-F238E27FC236}">
              <a16:creationId xmlns:a16="http://schemas.microsoft.com/office/drawing/2014/main" xmlns="" id="{00000000-0008-0000-0000-000044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349" name="Text Box 3096">
          <a:extLst>
            <a:ext uri="{FF2B5EF4-FFF2-40B4-BE49-F238E27FC236}">
              <a16:creationId xmlns:a16="http://schemas.microsoft.com/office/drawing/2014/main" xmlns="" id="{00000000-0008-0000-0000-000045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350" name="Text Box 3097">
          <a:extLst>
            <a:ext uri="{FF2B5EF4-FFF2-40B4-BE49-F238E27FC236}">
              <a16:creationId xmlns:a16="http://schemas.microsoft.com/office/drawing/2014/main" xmlns="" id="{00000000-0008-0000-0000-000046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351" name="Text Box 3098">
          <a:extLst>
            <a:ext uri="{FF2B5EF4-FFF2-40B4-BE49-F238E27FC236}">
              <a16:creationId xmlns:a16="http://schemas.microsoft.com/office/drawing/2014/main" xmlns="" id="{00000000-0008-0000-0000-000047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352" name="Text Box 3099">
          <a:extLst>
            <a:ext uri="{FF2B5EF4-FFF2-40B4-BE49-F238E27FC236}">
              <a16:creationId xmlns:a16="http://schemas.microsoft.com/office/drawing/2014/main" xmlns="" id="{00000000-0008-0000-0000-000048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353" name="Text Box 3100">
          <a:extLst>
            <a:ext uri="{FF2B5EF4-FFF2-40B4-BE49-F238E27FC236}">
              <a16:creationId xmlns:a16="http://schemas.microsoft.com/office/drawing/2014/main" xmlns="" id="{00000000-0008-0000-0000-000049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354" name="Text Box 3101">
          <a:extLst>
            <a:ext uri="{FF2B5EF4-FFF2-40B4-BE49-F238E27FC236}">
              <a16:creationId xmlns:a16="http://schemas.microsoft.com/office/drawing/2014/main" xmlns="" id="{00000000-0008-0000-0000-00004A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1355" name="Text Box 3102">
          <a:extLst>
            <a:ext uri="{FF2B5EF4-FFF2-40B4-BE49-F238E27FC236}">
              <a16:creationId xmlns:a16="http://schemas.microsoft.com/office/drawing/2014/main" xmlns="" id="{00000000-0008-0000-0000-00004B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356" name="Text Box 59">
          <a:extLst>
            <a:ext uri="{FF2B5EF4-FFF2-40B4-BE49-F238E27FC236}">
              <a16:creationId xmlns:a16="http://schemas.microsoft.com/office/drawing/2014/main" xmlns="" id="{00000000-0008-0000-0000-00004C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357" name="Text Box 60">
          <a:extLst>
            <a:ext uri="{FF2B5EF4-FFF2-40B4-BE49-F238E27FC236}">
              <a16:creationId xmlns:a16="http://schemas.microsoft.com/office/drawing/2014/main" xmlns="" id="{00000000-0008-0000-0000-00004D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358" name="Text Box 61">
          <a:extLst>
            <a:ext uri="{FF2B5EF4-FFF2-40B4-BE49-F238E27FC236}">
              <a16:creationId xmlns:a16="http://schemas.microsoft.com/office/drawing/2014/main" xmlns="" id="{00000000-0008-0000-0000-00004E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359" name="Text Box 62">
          <a:extLst>
            <a:ext uri="{FF2B5EF4-FFF2-40B4-BE49-F238E27FC236}">
              <a16:creationId xmlns:a16="http://schemas.microsoft.com/office/drawing/2014/main" xmlns="" id="{00000000-0008-0000-0000-00004F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360" name="Text Box 63">
          <a:extLst>
            <a:ext uri="{FF2B5EF4-FFF2-40B4-BE49-F238E27FC236}">
              <a16:creationId xmlns:a16="http://schemas.microsoft.com/office/drawing/2014/main" xmlns="" id="{00000000-0008-0000-0000-000050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361" name="Text Box 64">
          <a:extLst>
            <a:ext uri="{FF2B5EF4-FFF2-40B4-BE49-F238E27FC236}">
              <a16:creationId xmlns:a16="http://schemas.microsoft.com/office/drawing/2014/main" xmlns="" id="{00000000-0008-0000-0000-000051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362" name="Text Box 65">
          <a:extLst>
            <a:ext uri="{FF2B5EF4-FFF2-40B4-BE49-F238E27FC236}">
              <a16:creationId xmlns:a16="http://schemas.microsoft.com/office/drawing/2014/main" xmlns="" id="{00000000-0008-0000-0000-000052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363" name="Text Box 66">
          <a:extLst>
            <a:ext uri="{FF2B5EF4-FFF2-40B4-BE49-F238E27FC236}">
              <a16:creationId xmlns:a16="http://schemas.microsoft.com/office/drawing/2014/main" xmlns="" id="{00000000-0008-0000-0000-000053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364" name="Text Box 67">
          <a:extLst>
            <a:ext uri="{FF2B5EF4-FFF2-40B4-BE49-F238E27FC236}">
              <a16:creationId xmlns:a16="http://schemas.microsoft.com/office/drawing/2014/main" xmlns="" id="{00000000-0008-0000-0000-000054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365" name="Text Box 68">
          <a:extLst>
            <a:ext uri="{FF2B5EF4-FFF2-40B4-BE49-F238E27FC236}">
              <a16:creationId xmlns:a16="http://schemas.microsoft.com/office/drawing/2014/main" xmlns="" id="{00000000-0008-0000-0000-000055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366" name="Text Box 69">
          <a:extLst>
            <a:ext uri="{FF2B5EF4-FFF2-40B4-BE49-F238E27FC236}">
              <a16:creationId xmlns:a16="http://schemas.microsoft.com/office/drawing/2014/main" xmlns="" id="{00000000-0008-0000-0000-000056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367" name="Text Box 70">
          <a:extLst>
            <a:ext uri="{FF2B5EF4-FFF2-40B4-BE49-F238E27FC236}">
              <a16:creationId xmlns:a16="http://schemas.microsoft.com/office/drawing/2014/main" xmlns="" id="{00000000-0008-0000-0000-000057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368" name="Text Box 71">
          <a:extLst>
            <a:ext uri="{FF2B5EF4-FFF2-40B4-BE49-F238E27FC236}">
              <a16:creationId xmlns:a16="http://schemas.microsoft.com/office/drawing/2014/main" xmlns="" id="{00000000-0008-0000-0000-000058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369" name="Text Box 72">
          <a:extLst>
            <a:ext uri="{FF2B5EF4-FFF2-40B4-BE49-F238E27FC236}">
              <a16:creationId xmlns:a16="http://schemas.microsoft.com/office/drawing/2014/main" xmlns="" id="{00000000-0008-0000-0000-000059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370" name="Text Box 73">
          <a:extLst>
            <a:ext uri="{FF2B5EF4-FFF2-40B4-BE49-F238E27FC236}">
              <a16:creationId xmlns:a16="http://schemas.microsoft.com/office/drawing/2014/main" xmlns="" id="{00000000-0008-0000-0000-00005A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371" name="Text Box 74">
          <a:extLst>
            <a:ext uri="{FF2B5EF4-FFF2-40B4-BE49-F238E27FC236}">
              <a16:creationId xmlns:a16="http://schemas.microsoft.com/office/drawing/2014/main" xmlns="" id="{00000000-0008-0000-0000-00005B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372" name="Text Box 75">
          <a:extLst>
            <a:ext uri="{FF2B5EF4-FFF2-40B4-BE49-F238E27FC236}">
              <a16:creationId xmlns:a16="http://schemas.microsoft.com/office/drawing/2014/main" xmlns="" id="{00000000-0008-0000-0000-00005C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373" name="Text Box 76">
          <a:extLst>
            <a:ext uri="{FF2B5EF4-FFF2-40B4-BE49-F238E27FC236}">
              <a16:creationId xmlns:a16="http://schemas.microsoft.com/office/drawing/2014/main" xmlns="" id="{00000000-0008-0000-0000-00005D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374" name="Text Box 77">
          <a:extLst>
            <a:ext uri="{FF2B5EF4-FFF2-40B4-BE49-F238E27FC236}">
              <a16:creationId xmlns:a16="http://schemas.microsoft.com/office/drawing/2014/main" xmlns="" id="{00000000-0008-0000-0000-00005E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375" name="Text Box 78">
          <a:extLst>
            <a:ext uri="{FF2B5EF4-FFF2-40B4-BE49-F238E27FC236}">
              <a16:creationId xmlns:a16="http://schemas.microsoft.com/office/drawing/2014/main" xmlns="" id="{00000000-0008-0000-0000-00005F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376" name="Text Box 79">
          <a:extLst>
            <a:ext uri="{FF2B5EF4-FFF2-40B4-BE49-F238E27FC236}">
              <a16:creationId xmlns:a16="http://schemas.microsoft.com/office/drawing/2014/main" xmlns="" id="{00000000-0008-0000-0000-000060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377" name="Text Box 80">
          <a:extLst>
            <a:ext uri="{FF2B5EF4-FFF2-40B4-BE49-F238E27FC236}">
              <a16:creationId xmlns:a16="http://schemas.microsoft.com/office/drawing/2014/main" xmlns="" id="{00000000-0008-0000-0000-000061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378" name="Text Box 81">
          <a:extLst>
            <a:ext uri="{FF2B5EF4-FFF2-40B4-BE49-F238E27FC236}">
              <a16:creationId xmlns:a16="http://schemas.microsoft.com/office/drawing/2014/main" xmlns="" id="{00000000-0008-0000-0000-000062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47625"/>
    <xdr:sp macro="" textlink="">
      <xdr:nvSpPr>
        <xdr:cNvPr id="1379" name="Text Box 82">
          <a:extLst>
            <a:ext uri="{FF2B5EF4-FFF2-40B4-BE49-F238E27FC236}">
              <a16:creationId xmlns:a16="http://schemas.microsoft.com/office/drawing/2014/main" xmlns="" id="{00000000-0008-0000-0000-000063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380" name="Text Box 3079">
          <a:extLst>
            <a:ext uri="{FF2B5EF4-FFF2-40B4-BE49-F238E27FC236}">
              <a16:creationId xmlns:a16="http://schemas.microsoft.com/office/drawing/2014/main" xmlns="" id="{00000000-0008-0000-0000-000064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381" name="Text Box 3080">
          <a:extLst>
            <a:ext uri="{FF2B5EF4-FFF2-40B4-BE49-F238E27FC236}">
              <a16:creationId xmlns:a16="http://schemas.microsoft.com/office/drawing/2014/main" xmlns="" id="{00000000-0008-0000-0000-000065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382" name="Text Box 3081">
          <a:extLst>
            <a:ext uri="{FF2B5EF4-FFF2-40B4-BE49-F238E27FC236}">
              <a16:creationId xmlns:a16="http://schemas.microsoft.com/office/drawing/2014/main" xmlns="" id="{00000000-0008-0000-0000-000066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383" name="Text Box 3082">
          <a:extLst>
            <a:ext uri="{FF2B5EF4-FFF2-40B4-BE49-F238E27FC236}">
              <a16:creationId xmlns:a16="http://schemas.microsoft.com/office/drawing/2014/main" xmlns="" id="{00000000-0008-0000-0000-000067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384" name="Text Box 3083">
          <a:extLst>
            <a:ext uri="{FF2B5EF4-FFF2-40B4-BE49-F238E27FC236}">
              <a16:creationId xmlns:a16="http://schemas.microsoft.com/office/drawing/2014/main" xmlns="" id="{00000000-0008-0000-0000-000068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385" name="Text Box 3084">
          <a:extLst>
            <a:ext uri="{FF2B5EF4-FFF2-40B4-BE49-F238E27FC236}">
              <a16:creationId xmlns:a16="http://schemas.microsoft.com/office/drawing/2014/main" xmlns="" id="{00000000-0008-0000-0000-000069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386" name="Text Box 3085">
          <a:extLst>
            <a:ext uri="{FF2B5EF4-FFF2-40B4-BE49-F238E27FC236}">
              <a16:creationId xmlns:a16="http://schemas.microsoft.com/office/drawing/2014/main" xmlns="" id="{00000000-0008-0000-0000-00006A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387" name="Text Box 3086">
          <a:extLst>
            <a:ext uri="{FF2B5EF4-FFF2-40B4-BE49-F238E27FC236}">
              <a16:creationId xmlns:a16="http://schemas.microsoft.com/office/drawing/2014/main" xmlns="" id="{00000000-0008-0000-0000-00006B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388" name="Text Box 3087">
          <a:extLst>
            <a:ext uri="{FF2B5EF4-FFF2-40B4-BE49-F238E27FC236}">
              <a16:creationId xmlns:a16="http://schemas.microsoft.com/office/drawing/2014/main" xmlns="" id="{00000000-0008-0000-0000-00006C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389" name="Text Box 3088">
          <a:extLst>
            <a:ext uri="{FF2B5EF4-FFF2-40B4-BE49-F238E27FC236}">
              <a16:creationId xmlns:a16="http://schemas.microsoft.com/office/drawing/2014/main" xmlns="" id="{00000000-0008-0000-0000-00006D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390" name="Text Box 3089">
          <a:extLst>
            <a:ext uri="{FF2B5EF4-FFF2-40B4-BE49-F238E27FC236}">
              <a16:creationId xmlns:a16="http://schemas.microsoft.com/office/drawing/2014/main" xmlns="" id="{00000000-0008-0000-0000-00006E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391" name="Text Box 3090">
          <a:extLst>
            <a:ext uri="{FF2B5EF4-FFF2-40B4-BE49-F238E27FC236}">
              <a16:creationId xmlns:a16="http://schemas.microsoft.com/office/drawing/2014/main" xmlns="" id="{00000000-0008-0000-0000-00006F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392" name="Text Box 3091">
          <a:extLst>
            <a:ext uri="{FF2B5EF4-FFF2-40B4-BE49-F238E27FC236}">
              <a16:creationId xmlns:a16="http://schemas.microsoft.com/office/drawing/2014/main" xmlns="" id="{00000000-0008-0000-0000-000070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393" name="Text Box 3092">
          <a:extLst>
            <a:ext uri="{FF2B5EF4-FFF2-40B4-BE49-F238E27FC236}">
              <a16:creationId xmlns:a16="http://schemas.microsoft.com/office/drawing/2014/main" xmlns="" id="{00000000-0008-0000-0000-000071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394" name="Text Box 3093">
          <a:extLst>
            <a:ext uri="{FF2B5EF4-FFF2-40B4-BE49-F238E27FC236}">
              <a16:creationId xmlns:a16="http://schemas.microsoft.com/office/drawing/2014/main" xmlns="" id="{00000000-0008-0000-0000-000072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395" name="Text Box 3094">
          <a:extLst>
            <a:ext uri="{FF2B5EF4-FFF2-40B4-BE49-F238E27FC236}">
              <a16:creationId xmlns:a16="http://schemas.microsoft.com/office/drawing/2014/main" xmlns="" id="{00000000-0008-0000-0000-000073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396" name="Text Box 3095">
          <a:extLst>
            <a:ext uri="{FF2B5EF4-FFF2-40B4-BE49-F238E27FC236}">
              <a16:creationId xmlns:a16="http://schemas.microsoft.com/office/drawing/2014/main" xmlns="" id="{00000000-0008-0000-0000-000074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397" name="Text Box 3096">
          <a:extLst>
            <a:ext uri="{FF2B5EF4-FFF2-40B4-BE49-F238E27FC236}">
              <a16:creationId xmlns:a16="http://schemas.microsoft.com/office/drawing/2014/main" xmlns="" id="{00000000-0008-0000-0000-000075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398" name="Text Box 3097">
          <a:extLst>
            <a:ext uri="{FF2B5EF4-FFF2-40B4-BE49-F238E27FC236}">
              <a16:creationId xmlns:a16="http://schemas.microsoft.com/office/drawing/2014/main" xmlns="" id="{00000000-0008-0000-0000-000076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399" name="Text Box 3098">
          <a:extLst>
            <a:ext uri="{FF2B5EF4-FFF2-40B4-BE49-F238E27FC236}">
              <a16:creationId xmlns:a16="http://schemas.microsoft.com/office/drawing/2014/main" xmlns="" id="{00000000-0008-0000-0000-000077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400" name="Text Box 3099">
          <a:extLst>
            <a:ext uri="{FF2B5EF4-FFF2-40B4-BE49-F238E27FC236}">
              <a16:creationId xmlns:a16="http://schemas.microsoft.com/office/drawing/2014/main" xmlns="" id="{00000000-0008-0000-0000-000078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401" name="Text Box 3100">
          <a:extLst>
            <a:ext uri="{FF2B5EF4-FFF2-40B4-BE49-F238E27FC236}">
              <a16:creationId xmlns:a16="http://schemas.microsoft.com/office/drawing/2014/main" xmlns="" id="{00000000-0008-0000-0000-000079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402" name="Text Box 3101">
          <a:extLst>
            <a:ext uri="{FF2B5EF4-FFF2-40B4-BE49-F238E27FC236}">
              <a16:creationId xmlns:a16="http://schemas.microsoft.com/office/drawing/2014/main" xmlns="" id="{00000000-0008-0000-0000-00007A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1403" name="Text Box 3102">
          <a:extLst>
            <a:ext uri="{FF2B5EF4-FFF2-40B4-BE49-F238E27FC236}">
              <a16:creationId xmlns:a16="http://schemas.microsoft.com/office/drawing/2014/main" xmlns="" id="{00000000-0008-0000-0000-00007B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404" name="Text Box 59">
          <a:extLst>
            <a:ext uri="{FF2B5EF4-FFF2-40B4-BE49-F238E27FC236}">
              <a16:creationId xmlns:a16="http://schemas.microsoft.com/office/drawing/2014/main" xmlns="" id="{00000000-0008-0000-0000-00007C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405" name="Text Box 60">
          <a:extLst>
            <a:ext uri="{FF2B5EF4-FFF2-40B4-BE49-F238E27FC236}">
              <a16:creationId xmlns:a16="http://schemas.microsoft.com/office/drawing/2014/main" xmlns="" id="{00000000-0008-0000-0000-00007D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406" name="Text Box 61">
          <a:extLst>
            <a:ext uri="{FF2B5EF4-FFF2-40B4-BE49-F238E27FC236}">
              <a16:creationId xmlns:a16="http://schemas.microsoft.com/office/drawing/2014/main" xmlns="" id="{00000000-0008-0000-0000-00007E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407" name="Text Box 62">
          <a:extLst>
            <a:ext uri="{FF2B5EF4-FFF2-40B4-BE49-F238E27FC236}">
              <a16:creationId xmlns:a16="http://schemas.microsoft.com/office/drawing/2014/main" xmlns="" id="{00000000-0008-0000-0000-00007F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408" name="Text Box 63">
          <a:extLst>
            <a:ext uri="{FF2B5EF4-FFF2-40B4-BE49-F238E27FC236}">
              <a16:creationId xmlns:a16="http://schemas.microsoft.com/office/drawing/2014/main" xmlns="" id="{00000000-0008-0000-0000-000080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409" name="Text Box 64">
          <a:extLst>
            <a:ext uri="{FF2B5EF4-FFF2-40B4-BE49-F238E27FC236}">
              <a16:creationId xmlns:a16="http://schemas.microsoft.com/office/drawing/2014/main" xmlns="" id="{00000000-0008-0000-0000-000081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410" name="Text Box 65">
          <a:extLst>
            <a:ext uri="{FF2B5EF4-FFF2-40B4-BE49-F238E27FC236}">
              <a16:creationId xmlns:a16="http://schemas.microsoft.com/office/drawing/2014/main" xmlns="" id="{00000000-0008-0000-0000-000082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411" name="Text Box 66">
          <a:extLst>
            <a:ext uri="{FF2B5EF4-FFF2-40B4-BE49-F238E27FC236}">
              <a16:creationId xmlns:a16="http://schemas.microsoft.com/office/drawing/2014/main" xmlns="" id="{00000000-0008-0000-0000-000083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412" name="Text Box 67">
          <a:extLst>
            <a:ext uri="{FF2B5EF4-FFF2-40B4-BE49-F238E27FC236}">
              <a16:creationId xmlns:a16="http://schemas.microsoft.com/office/drawing/2014/main" xmlns="" id="{00000000-0008-0000-0000-000084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413" name="Text Box 68">
          <a:extLst>
            <a:ext uri="{FF2B5EF4-FFF2-40B4-BE49-F238E27FC236}">
              <a16:creationId xmlns:a16="http://schemas.microsoft.com/office/drawing/2014/main" xmlns="" id="{00000000-0008-0000-0000-000085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414" name="Text Box 69">
          <a:extLst>
            <a:ext uri="{FF2B5EF4-FFF2-40B4-BE49-F238E27FC236}">
              <a16:creationId xmlns:a16="http://schemas.microsoft.com/office/drawing/2014/main" xmlns="" id="{00000000-0008-0000-0000-000086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415" name="Text Box 70">
          <a:extLst>
            <a:ext uri="{FF2B5EF4-FFF2-40B4-BE49-F238E27FC236}">
              <a16:creationId xmlns:a16="http://schemas.microsoft.com/office/drawing/2014/main" xmlns="" id="{00000000-0008-0000-0000-000087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416" name="Text Box 71">
          <a:extLst>
            <a:ext uri="{FF2B5EF4-FFF2-40B4-BE49-F238E27FC236}">
              <a16:creationId xmlns:a16="http://schemas.microsoft.com/office/drawing/2014/main" xmlns="" id="{00000000-0008-0000-0000-000088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417" name="Text Box 72">
          <a:extLst>
            <a:ext uri="{FF2B5EF4-FFF2-40B4-BE49-F238E27FC236}">
              <a16:creationId xmlns:a16="http://schemas.microsoft.com/office/drawing/2014/main" xmlns="" id="{00000000-0008-0000-0000-000089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418" name="Text Box 73">
          <a:extLst>
            <a:ext uri="{FF2B5EF4-FFF2-40B4-BE49-F238E27FC236}">
              <a16:creationId xmlns:a16="http://schemas.microsoft.com/office/drawing/2014/main" xmlns="" id="{00000000-0008-0000-0000-00008A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419" name="Text Box 74">
          <a:extLst>
            <a:ext uri="{FF2B5EF4-FFF2-40B4-BE49-F238E27FC236}">
              <a16:creationId xmlns:a16="http://schemas.microsoft.com/office/drawing/2014/main" xmlns="" id="{00000000-0008-0000-0000-00008B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420" name="Text Box 75">
          <a:extLst>
            <a:ext uri="{FF2B5EF4-FFF2-40B4-BE49-F238E27FC236}">
              <a16:creationId xmlns:a16="http://schemas.microsoft.com/office/drawing/2014/main" xmlns="" id="{00000000-0008-0000-0000-00008C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421" name="Text Box 76">
          <a:extLst>
            <a:ext uri="{FF2B5EF4-FFF2-40B4-BE49-F238E27FC236}">
              <a16:creationId xmlns:a16="http://schemas.microsoft.com/office/drawing/2014/main" xmlns="" id="{00000000-0008-0000-0000-00008D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422" name="Text Box 77">
          <a:extLst>
            <a:ext uri="{FF2B5EF4-FFF2-40B4-BE49-F238E27FC236}">
              <a16:creationId xmlns:a16="http://schemas.microsoft.com/office/drawing/2014/main" xmlns="" id="{00000000-0008-0000-0000-00008E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423" name="Text Box 78">
          <a:extLst>
            <a:ext uri="{FF2B5EF4-FFF2-40B4-BE49-F238E27FC236}">
              <a16:creationId xmlns:a16="http://schemas.microsoft.com/office/drawing/2014/main" xmlns="" id="{00000000-0008-0000-0000-00008F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424" name="Text Box 79">
          <a:extLst>
            <a:ext uri="{FF2B5EF4-FFF2-40B4-BE49-F238E27FC236}">
              <a16:creationId xmlns:a16="http://schemas.microsoft.com/office/drawing/2014/main" xmlns="" id="{00000000-0008-0000-0000-000090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425" name="Text Box 80">
          <a:extLst>
            <a:ext uri="{FF2B5EF4-FFF2-40B4-BE49-F238E27FC236}">
              <a16:creationId xmlns:a16="http://schemas.microsoft.com/office/drawing/2014/main" xmlns="" id="{00000000-0008-0000-0000-000091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426" name="Text Box 81">
          <a:extLst>
            <a:ext uri="{FF2B5EF4-FFF2-40B4-BE49-F238E27FC236}">
              <a16:creationId xmlns:a16="http://schemas.microsoft.com/office/drawing/2014/main" xmlns="" id="{00000000-0008-0000-0000-000092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427" name="Text Box 3079">
          <a:extLst>
            <a:ext uri="{FF2B5EF4-FFF2-40B4-BE49-F238E27FC236}">
              <a16:creationId xmlns:a16="http://schemas.microsoft.com/office/drawing/2014/main" xmlns="" id="{00000000-0008-0000-0000-000093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428" name="Text Box 3080">
          <a:extLst>
            <a:ext uri="{FF2B5EF4-FFF2-40B4-BE49-F238E27FC236}">
              <a16:creationId xmlns:a16="http://schemas.microsoft.com/office/drawing/2014/main" xmlns="" id="{00000000-0008-0000-0000-000094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429" name="Text Box 3081">
          <a:extLst>
            <a:ext uri="{FF2B5EF4-FFF2-40B4-BE49-F238E27FC236}">
              <a16:creationId xmlns:a16="http://schemas.microsoft.com/office/drawing/2014/main" xmlns="" id="{00000000-0008-0000-0000-000095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430" name="Text Box 3082">
          <a:extLst>
            <a:ext uri="{FF2B5EF4-FFF2-40B4-BE49-F238E27FC236}">
              <a16:creationId xmlns:a16="http://schemas.microsoft.com/office/drawing/2014/main" xmlns="" id="{00000000-0008-0000-0000-000096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431" name="Text Box 3083">
          <a:extLst>
            <a:ext uri="{FF2B5EF4-FFF2-40B4-BE49-F238E27FC236}">
              <a16:creationId xmlns:a16="http://schemas.microsoft.com/office/drawing/2014/main" xmlns="" id="{00000000-0008-0000-0000-000097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432" name="Text Box 3084">
          <a:extLst>
            <a:ext uri="{FF2B5EF4-FFF2-40B4-BE49-F238E27FC236}">
              <a16:creationId xmlns:a16="http://schemas.microsoft.com/office/drawing/2014/main" xmlns="" id="{00000000-0008-0000-0000-000098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433" name="Text Box 3085">
          <a:extLst>
            <a:ext uri="{FF2B5EF4-FFF2-40B4-BE49-F238E27FC236}">
              <a16:creationId xmlns:a16="http://schemas.microsoft.com/office/drawing/2014/main" xmlns="" id="{00000000-0008-0000-0000-000099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434" name="Text Box 3086">
          <a:extLst>
            <a:ext uri="{FF2B5EF4-FFF2-40B4-BE49-F238E27FC236}">
              <a16:creationId xmlns:a16="http://schemas.microsoft.com/office/drawing/2014/main" xmlns="" id="{00000000-0008-0000-0000-00009A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435" name="Text Box 3087">
          <a:extLst>
            <a:ext uri="{FF2B5EF4-FFF2-40B4-BE49-F238E27FC236}">
              <a16:creationId xmlns:a16="http://schemas.microsoft.com/office/drawing/2014/main" xmlns="" id="{00000000-0008-0000-0000-00009B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436" name="Text Box 3088">
          <a:extLst>
            <a:ext uri="{FF2B5EF4-FFF2-40B4-BE49-F238E27FC236}">
              <a16:creationId xmlns:a16="http://schemas.microsoft.com/office/drawing/2014/main" xmlns="" id="{00000000-0008-0000-0000-00009C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437" name="Text Box 3089">
          <a:extLst>
            <a:ext uri="{FF2B5EF4-FFF2-40B4-BE49-F238E27FC236}">
              <a16:creationId xmlns:a16="http://schemas.microsoft.com/office/drawing/2014/main" xmlns="" id="{00000000-0008-0000-0000-00009D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438" name="Text Box 3090">
          <a:extLst>
            <a:ext uri="{FF2B5EF4-FFF2-40B4-BE49-F238E27FC236}">
              <a16:creationId xmlns:a16="http://schemas.microsoft.com/office/drawing/2014/main" xmlns="" id="{00000000-0008-0000-0000-00009E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439" name="Text Box 3091">
          <a:extLst>
            <a:ext uri="{FF2B5EF4-FFF2-40B4-BE49-F238E27FC236}">
              <a16:creationId xmlns:a16="http://schemas.microsoft.com/office/drawing/2014/main" xmlns="" id="{00000000-0008-0000-0000-00009F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440" name="Text Box 3092">
          <a:extLst>
            <a:ext uri="{FF2B5EF4-FFF2-40B4-BE49-F238E27FC236}">
              <a16:creationId xmlns:a16="http://schemas.microsoft.com/office/drawing/2014/main" xmlns="" id="{00000000-0008-0000-0000-0000A0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441" name="Text Box 3093">
          <a:extLst>
            <a:ext uri="{FF2B5EF4-FFF2-40B4-BE49-F238E27FC236}">
              <a16:creationId xmlns:a16="http://schemas.microsoft.com/office/drawing/2014/main" xmlns="" id="{00000000-0008-0000-0000-0000A1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442" name="Text Box 3094">
          <a:extLst>
            <a:ext uri="{FF2B5EF4-FFF2-40B4-BE49-F238E27FC236}">
              <a16:creationId xmlns:a16="http://schemas.microsoft.com/office/drawing/2014/main" xmlns="" id="{00000000-0008-0000-0000-0000A2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443" name="Text Box 3095">
          <a:extLst>
            <a:ext uri="{FF2B5EF4-FFF2-40B4-BE49-F238E27FC236}">
              <a16:creationId xmlns:a16="http://schemas.microsoft.com/office/drawing/2014/main" xmlns="" id="{00000000-0008-0000-0000-0000A3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444" name="Text Box 3096">
          <a:extLst>
            <a:ext uri="{FF2B5EF4-FFF2-40B4-BE49-F238E27FC236}">
              <a16:creationId xmlns:a16="http://schemas.microsoft.com/office/drawing/2014/main" xmlns="" id="{00000000-0008-0000-0000-0000A4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445" name="Text Box 3097">
          <a:extLst>
            <a:ext uri="{FF2B5EF4-FFF2-40B4-BE49-F238E27FC236}">
              <a16:creationId xmlns:a16="http://schemas.microsoft.com/office/drawing/2014/main" xmlns="" id="{00000000-0008-0000-0000-0000A5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446" name="Text Box 3098">
          <a:extLst>
            <a:ext uri="{FF2B5EF4-FFF2-40B4-BE49-F238E27FC236}">
              <a16:creationId xmlns:a16="http://schemas.microsoft.com/office/drawing/2014/main" xmlns="" id="{00000000-0008-0000-0000-0000A6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447" name="Text Box 3099">
          <a:extLst>
            <a:ext uri="{FF2B5EF4-FFF2-40B4-BE49-F238E27FC236}">
              <a16:creationId xmlns:a16="http://schemas.microsoft.com/office/drawing/2014/main" xmlns="" id="{00000000-0008-0000-0000-0000A7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448" name="Text Box 3100">
          <a:extLst>
            <a:ext uri="{FF2B5EF4-FFF2-40B4-BE49-F238E27FC236}">
              <a16:creationId xmlns:a16="http://schemas.microsoft.com/office/drawing/2014/main" xmlns="" id="{00000000-0008-0000-0000-0000A8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449" name="Text Box 3101">
          <a:extLst>
            <a:ext uri="{FF2B5EF4-FFF2-40B4-BE49-F238E27FC236}">
              <a16:creationId xmlns:a16="http://schemas.microsoft.com/office/drawing/2014/main" xmlns="" id="{00000000-0008-0000-0000-0000A9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1450" name="Text Box 3102">
          <a:extLst>
            <a:ext uri="{FF2B5EF4-FFF2-40B4-BE49-F238E27FC236}">
              <a16:creationId xmlns:a16="http://schemas.microsoft.com/office/drawing/2014/main" xmlns="" id="{00000000-0008-0000-0000-0000AA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451" name="Text Box 59">
          <a:extLst>
            <a:ext uri="{FF2B5EF4-FFF2-40B4-BE49-F238E27FC236}">
              <a16:creationId xmlns:a16="http://schemas.microsoft.com/office/drawing/2014/main" xmlns="" id="{00000000-0008-0000-0000-0000AB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452" name="Text Box 60">
          <a:extLst>
            <a:ext uri="{FF2B5EF4-FFF2-40B4-BE49-F238E27FC236}">
              <a16:creationId xmlns:a16="http://schemas.microsoft.com/office/drawing/2014/main" xmlns="" id="{00000000-0008-0000-0000-0000AC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453" name="Text Box 61">
          <a:extLst>
            <a:ext uri="{FF2B5EF4-FFF2-40B4-BE49-F238E27FC236}">
              <a16:creationId xmlns:a16="http://schemas.microsoft.com/office/drawing/2014/main" xmlns="" id="{00000000-0008-0000-0000-0000AD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454" name="Text Box 62">
          <a:extLst>
            <a:ext uri="{FF2B5EF4-FFF2-40B4-BE49-F238E27FC236}">
              <a16:creationId xmlns:a16="http://schemas.microsoft.com/office/drawing/2014/main" xmlns="" id="{00000000-0008-0000-0000-0000AE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455" name="Text Box 63">
          <a:extLst>
            <a:ext uri="{FF2B5EF4-FFF2-40B4-BE49-F238E27FC236}">
              <a16:creationId xmlns:a16="http://schemas.microsoft.com/office/drawing/2014/main" xmlns="" id="{00000000-0008-0000-0000-0000AF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456" name="Text Box 64">
          <a:extLst>
            <a:ext uri="{FF2B5EF4-FFF2-40B4-BE49-F238E27FC236}">
              <a16:creationId xmlns:a16="http://schemas.microsoft.com/office/drawing/2014/main" xmlns="" id="{00000000-0008-0000-0000-0000B0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457" name="Text Box 65">
          <a:extLst>
            <a:ext uri="{FF2B5EF4-FFF2-40B4-BE49-F238E27FC236}">
              <a16:creationId xmlns:a16="http://schemas.microsoft.com/office/drawing/2014/main" xmlns="" id="{00000000-0008-0000-0000-0000B1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458" name="Text Box 66">
          <a:extLst>
            <a:ext uri="{FF2B5EF4-FFF2-40B4-BE49-F238E27FC236}">
              <a16:creationId xmlns:a16="http://schemas.microsoft.com/office/drawing/2014/main" xmlns="" id="{00000000-0008-0000-0000-0000B2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459" name="Text Box 67">
          <a:extLst>
            <a:ext uri="{FF2B5EF4-FFF2-40B4-BE49-F238E27FC236}">
              <a16:creationId xmlns:a16="http://schemas.microsoft.com/office/drawing/2014/main" xmlns="" id="{00000000-0008-0000-0000-0000B3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460" name="Text Box 68">
          <a:extLst>
            <a:ext uri="{FF2B5EF4-FFF2-40B4-BE49-F238E27FC236}">
              <a16:creationId xmlns:a16="http://schemas.microsoft.com/office/drawing/2014/main" xmlns="" id="{00000000-0008-0000-0000-0000B4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461" name="Text Box 69">
          <a:extLst>
            <a:ext uri="{FF2B5EF4-FFF2-40B4-BE49-F238E27FC236}">
              <a16:creationId xmlns:a16="http://schemas.microsoft.com/office/drawing/2014/main" xmlns="" id="{00000000-0008-0000-0000-0000B5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462" name="Text Box 70">
          <a:extLst>
            <a:ext uri="{FF2B5EF4-FFF2-40B4-BE49-F238E27FC236}">
              <a16:creationId xmlns:a16="http://schemas.microsoft.com/office/drawing/2014/main" xmlns="" id="{00000000-0008-0000-0000-0000B6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463" name="Text Box 71">
          <a:extLst>
            <a:ext uri="{FF2B5EF4-FFF2-40B4-BE49-F238E27FC236}">
              <a16:creationId xmlns:a16="http://schemas.microsoft.com/office/drawing/2014/main" xmlns="" id="{00000000-0008-0000-0000-0000B7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464" name="Text Box 72">
          <a:extLst>
            <a:ext uri="{FF2B5EF4-FFF2-40B4-BE49-F238E27FC236}">
              <a16:creationId xmlns:a16="http://schemas.microsoft.com/office/drawing/2014/main" xmlns="" id="{00000000-0008-0000-0000-0000B8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465" name="Text Box 73">
          <a:extLst>
            <a:ext uri="{FF2B5EF4-FFF2-40B4-BE49-F238E27FC236}">
              <a16:creationId xmlns:a16="http://schemas.microsoft.com/office/drawing/2014/main" xmlns="" id="{00000000-0008-0000-0000-0000B9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466" name="Text Box 74">
          <a:extLst>
            <a:ext uri="{FF2B5EF4-FFF2-40B4-BE49-F238E27FC236}">
              <a16:creationId xmlns:a16="http://schemas.microsoft.com/office/drawing/2014/main" xmlns="" id="{00000000-0008-0000-0000-0000BA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467" name="Text Box 75">
          <a:extLst>
            <a:ext uri="{FF2B5EF4-FFF2-40B4-BE49-F238E27FC236}">
              <a16:creationId xmlns:a16="http://schemas.microsoft.com/office/drawing/2014/main" xmlns="" id="{00000000-0008-0000-0000-0000BB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468" name="Text Box 76">
          <a:extLst>
            <a:ext uri="{FF2B5EF4-FFF2-40B4-BE49-F238E27FC236}">
              <a16:creationId xmlns:a16="http://schemas.microsoft.com/office/drawing/2014/main" xmlns="" id="{00000000-0008-0000-0000-0000BC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469" name="Text Box 77">
          <a:extLst>
            <a:ext uri="{FF2B5EF4-FFF2-40B4-BE49-F238E27FC236}">
              <a16:creationId xmlns:a16="http://schemas.microsoft.com/office/drawing/2014/main" xmlns="" id="{00000000-0008-0000-0000-0000BD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470" name="Text Box 78">
          <a:extLst>
            <a:ext uri="{FF2B5EF4-FFF2-40B4-BE49-F238E27FC236}">
              <a16:creationId xmlns:a16="http://schemas.microsoft.com/office/drawing/2014/main" xmlns="" id="{00000000-0008-0000-0000-0000BE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471" name="Text Box 79">
          <a:extLst>
            <a:ext uri="{FF2B5EF4-FFF2-40B4-BE49-F238E27FC236}">
              <a16:creationId xmlns:a16="http://schemas.microsoft.com/office/drawing/2014/main" xmlns="" id="{00000000-0008-0000-0000-0000BF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472" name="Text Box 80">
          <a:extLst>
            <a:ext uri="{FF2B5EF4-FFF2-40B4-BE49-F238E27FC236}">
              <a16:creationId xmlns:a16="http://schemas.microsoft.com/office/drawing/2014/main" xmlns="" id="{00000000-0008-0000-0000-0000C0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473" name="Text Box 81">
          <a:extLst>
            <a:ext uri="{FF2B5EF4-FFF2-40B4-BE49-F238E27FC236}">
              <a16:creationId xmlns:a16="http://schemas.microsoft.com/office/drawing/2014/main" xmlns="" id="{00000000-0008-0000-0000-0000C1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47625"/>
    <xdr:sp macro="" textlink="">
      <xdr:nvSpPr>
        <xdr:cNvPr id="1474" name="Text Box 82">
          <a:extLst>
            <a:ext uri="{FF2B5EF4-FFF2-40B4-BE49-F238E27FC236}">
              <a16:creationId xmlns:a16="http://schemas.microsoft.com/office/drawing/2014/main" xmlns="" id="{00000000-0008-0000-0000-0000C2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475" name="Text Box 3079">
          <a:extLst>
            <a:ext uri="{FF2B5EF4-FFF2-40B4-BE49-F238E27FC236}">
              <a16:creationId xmlns:a16="http://schemas.microsoft.com/office/drawing/2014/main" xmlns="" id="{00000000-0008-0000-0000-0000C3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476" name="Text Box 3080">
          <a:extLst>
            <a:ext uri="{FF2B5EF4-FFF2-40B4-BE49-F238E27FC236}">
              <a16:creationId xmlns:a16="http://schemas.microsoft.com/office/drawing/2014/main" xmlns="" id="{00000000-0008-0000-0000-0000C4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477" name="Text Box 3081">
          <a:extLst>
            <a:ext uri="{FF2B5EF4-FFF2-40B4-BE49-F238E27FC236}">
              <a16:creationId xmlns:a16="http://schemas.microsoft.com/office/drawing/2014/main" xmlns="" id="{00000000-0008-0000-0000-0000C5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478" name="Text Box 3082">
          <a:extLst>
            <a:ext uri="{FF2B5EF4-FFF2-40B4-BE49-F238E27FC236}">
              <a16:creationId xmlns:a16="http://schemas.microsoft.com/office/drawing/2014/main" xmlns="" id="{00000000-0008-0000-0000-0000C6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479" name="Text Box 3083">
          <a:extLst>
            <a:ext uri="{FF2B5EF4-FFF2-40B4-BE49-F238E27FC236}">
              <a16:creationId xmlns:a16="http://schemas.microsoft.com/office/drawing/2014/main" xmlns="" id="{00000000-0008-0000-0000-0000C7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480" name="Text Box 3084">
          <a:extLst>
            <a:ext uri="{FF2B5EF4-FFF2-40B4-BE49-F238E27FC236}">
              <a16:creationId xmlns:a16="http://schemas.microsoft.com/office/drawing/2014/main" xmlns="" id="{00000000-0008-0000-0000-0000C8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481" name="Text Box 3085">
          <a:extLst>
            <a:ext uri="{FF2B5EF4-FFF2-40B4-BE49-F238E27FC236}">
              <a16:creationId xmlns:a16="http://schemas.microsoft.com/office/drawing/2014/main" xmlns="" id="{00000000-0008-0000-0000-0000C9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482" name="Text Box 3086">
          <a:extLst>
            <a:ext uri="{FF2B5EF4-FFF2-40B4-BE49-F238E27FC236}">
              <a16:creationId xmlns:a16="http://schemas.microsoft.com/office/drawing/2014/main" xmlns="" id="{00000000-0008-0000-0000-0000CA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483" name="Text Box 3087">
          <a:extLst>
            <a:ext uri="{FF2B5EF4-FFF2-40B4-BE49-F238E27FC236}">
              <a16:creationId xmlns:a16="http://schemas.microsoft.com/office/drawing/2014/main" xmlns="" id="{00000000-0008-0000-0000-0000CB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484" name="Text Box 3088">
          <a:extLst>
            <a:ext uri="{FF2B5EF4-FFF2-40B4-BE49-F238E27FC236}">
              <a16:creationId xmlns:a16="http://schemas.microsoft.com/office/drawing/2014/main" xmlns="" id="{00000000-0008-0000-0000-0000CC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485" name="Text Box 3089">
          <a:extLst>
            <a:ext uri="{FF2B5EF4-FFF2-40B4-BE49-F238E27FC236}">
              <a16:creationId xmlns:a16="http://schemas.microsoft.com/office/drawing/2014/main" xmlns="" id="{00000000-0008-0000-0000-0000CD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486" name="Text Box 3090">
          <a:extLst>
            <a:ext uri="{FF2B5EF4-FFF2-40B4-BE49-F238E27FC236}">
              <a16:creationId xmlns:a16="http://schemas.microsoft.com/office/drawing/2014/main" xmlns="" id="{00000000-0008-0000-0000-0000CE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487" name="Text Box 3091">
          <a:extLst>
            <a:ext uri="{FF2B5EF4-FFF2-40B4-BE49-F238E27FC236}">
              <a16:creationId xmlns:a16="http://schemas.microsoft.com/office/drawing/2014/main" xmlns="" id="{00000000-0008-0000-0000-0000CF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488" name="Text Box 3092">
          <a:extLst>
            <a:ext uri="{FF2B5EF4-FFF2-40B4-BE49-F238E27FC236}">
              <a16:creationId xmlns:a16="http://schemas.microsoft.com/office/drawing/2014/main" xmlns="" id="{00000000-0008-0000-0000-0000D0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489" name="Text Box 3093">
          <a:extLst>
            <a:ext uri="{FF2B5EF4-FFF2-40B4-BE49-F238E27FC236}">
              <a16:creationId xmlns:a16="http://schemas.microsoft.com/office/drawing/2014/main" xmlns="" id="{00000000-0008-0000-0000-0000D1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490" name="Text Box 3094">
          <a:extLst>
            <a:ext uri="{FF2B5EF4-FFF2-40B4-BE49-F238E27FC236}">
              <a16:creationId xmlns:a16="http://schemas.microsoft.com/office/drawing/2014/main" xmlns="" id="{00000000-0008-0000-0000-0000D2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491" name="Text Box 3095">
          <a:extLst>
            <a:ext uri="{FF2B5EF4-FFF2-40B4-BE49-F238E27FC236}">
              <a16:creationId xmlns:a16="http://schemas.microsoft.com/office/drawing/2014/main" xmlns="" id="{00000000-0008-0000-0000-0000D3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492" name="Text Box 3096">
          <a:extLst>
            <a:ext uri="{FF2B5EF4-FFF2-40B4-BE49-F238E27FC236}">
              <a16:creationId xmlns:a16="http://schemas.microsoft.com/office/drawing/2014/main" xmlns="" id="{00000000-0008-0000-0000-0000D4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493" name="Text Box 3097">
          <a:extLst>
            <a:ext uri="{FF2B5EF4-FFF2-40B4-BE49-F238E27FC236}">
              <a16:creationId xmlns:a16="http://schemas.microsoft.com/office/drawing/2014/main" xmlns="" id="{00000000-0008-0000-0000-0000D5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494" name="Text Box 3098">
          <a:extLst>
            <a:ext uri="{FF2B5EF4-FFF2-40B4-BE49-F238E27FC236}">
              <a16:creationId xmlns:a16="http://schemas.microsoft.com/office/drawing/2014/main" xmlns="" id="{00000000-0008-0000-0000-0000D6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495" name="Text Box 3099">
          <a:extLst>
            <a:ext uri="{FF2B5EF4-FFF2-40B4-BE49-F238E27FC236}">
              <a16:creationId xmlns:a16="http://schemas.microsoft.com/office/drawing/2014/main" xmlns="" id="{00000000-0008-0000-0000-0000D7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496" name="Text Box 3100">
          <a:extLst>
            <a:ext uri="{FF2B5EF4-FFF2-40B4-BE49-F238E27FC236}">
              <a16:creationId xmlns:a16="http://schemas.microsoft.com/office/drawing/2014/main" xmlns="" id="{00000000-0008-0000-0000-0000D8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497" name="Text Box 3101">
          <a:extLst>
            <a:ext uri="{FF2B5EF4-FFF2-40B4-BE49-F238E27FC236}">
              <a16:creationId xmlns:a16="http://schemas.microsoft.com/office/drawing/2014/main" xmlns="" id="{00000000-0008-0000-0000-0000D9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1498" name="Text Box 3102">
          <a:extLst>
            <a:ext uri="{FF2B5EF4-FFF2-40B4-BE49-F238E27FC236}">
              <a16:creationId xmlns:a16="http://schemas.microsoft.com/office/drawing/2014/main" xmlns="" id="{00000000-0008-0000-0000-0000DA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499" name="Text Box 59">
          <a:extLst>
            <a:ext uri="{FF2B5EF4-FFF2-40B4-BE49-F238E27FC236}">
              <a16:creationId xmlns:a16="http://schemas.microsoft.com/office/drawing/2014/main" xmlns="" id="{00000000-0008-0000-0000-0000DB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500" name="Text Box 60">
          <a:extLst>
            <a:ext uri="{FF2B5EF4-FFF2-40B4-BE49-F238E27FC236}">
              <a16:creationId xmlns:a16="http://schemas.microsoft.com/office/drawing/2014/main" xmlns="" id="{00000000-0008-0000-0000-0000DC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501" name="Text Box 61">
          <a:extLst>
            <a:ext uri="{FF2B5EF4-FFF2-40B4-BE49-F238E27FC236}">
              <a16:creationId xmlns:a16="http://schemas.microsoft.com/office/drawing/2014/main" xmlns="" id="{00000000-0008-0000-0000-0000DD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502" name="Text Box 62">
          <a:extLst>
            <a:ext uri="{FF2B5EF4-FFF2-40B4-BE49-F238E27FC236}">
              <a16:creationId xmlns:a16="http://schemas.microsoft.com/office/drawing/2014/main" xmlns="" id="{00000000-0008-0000-0000-0000DE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503" name="Text Box 63">
          <a:extLst>
            <a:ext uri="{FF2B5EF4-FFF2-40B4-BE49-F238E27FC236}">
              <a16:creationId xmlns:a16="http://schemas.microsoft.com/office/drawing/2014/main" xmlns="" id="{00000000-0008-0000-0000-0000DF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504" name="Text Box 64">
          <a:extLst>
            <a:ext uri="{FF2B5EF4-FFF2-40B4-BE49-F238E27FC236}">
              <a16:creationId xmlns:a16="http://schemas.microsoft.com/office/drawing/2014/main" xmlns="" id="{00000000-0008-0000-0000-0000E0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505" name="Text Box 65">
          <a:extLst>
            <a:ext uri="{FF2B5EF4-FFF2-40B4-BE49-F238E27FC236}">
              <a16:creationId xmlns:a16="http://schemas.microsoft.com/office/drawing/2014/main" xmlns="" id="{00000000-0008-0000-0000-0000E1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506" name="Text Box 66">
          <a:extLst>
            <a:ext uri="{FF2B5EF4-FFF2-40B4-BE49-F238E27FC236}">
              <a16:creationId xmlns:a16="http://schemas.microsoft.com/office/drawing/2014/main" xmlns="" id="{00000000-0008-0000-0000-0000E2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507" name="Text Box 67">
          <a:extLst>
            <a:ext uri="{FF2B5EF4-FFF2-40B4-BE49-F238E27FC236}">
              <a16:creationId xmlns:a16="http://schemas.microsoft.com/office/drawing/2014/main" xmlns="" id="{00000000-0008-0000-0000-0000E3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508" name="Text Box 68">
          <a:extLst>
            <a:ext uri="{FF2B5EF4-FFF2-40B4-BE49-F238E27FC236}">
              <a16:creationId xmlns:a16="http://schemas.microsoft.com/office/drawing/2014/main" xmlns="" id="{00000000-0008-0000-0000-0000E4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509" name="Text Box 69">
          <a:extLst>
            <a:ext uri="{FF2B5EF4-FFF2-40B4-BE49-F238E27FC236}">
              <a16:creationId xmlns:a16="http://schemas.microsoft.com/office/drawing/2014/main" xmlns="" id="{00000000-0008-0000-0000-0000E5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510" name="Text Box 70">
          <a:extLst>
            <a:ext uri="{FF2B5EF4-FFF2-40B4-BE49-F238E27FC236}">
              <a16:creationId xmlns:a16="http://schemas.microsoft.com/office/drawing/2014/main" xmlns="" id="{00000000-0008-0000-0000-0000E6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511" name="Text Box 71">
          <a:extLst>
            <a:ext uri="{FF2B5EF4-FFF2-40B4-BE49-F238E27FC236}">
              <a16:creationId xmlns:a16="http://schemas.microsoft.com/office/drawing/2014/main" xmlns="" id="{00000000-0008-0000-0000-0000E7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512" name="Text Box 72">
          <a:extLst>
            <a:ext uri="{FF2B5EF4-FFF2-40B4-BE49-F238E27FC236}">
              <a16:creationId xmlns:a16="http://schemas.microsoft.com/office/drawing/2014/main" xmlns="" id="{00000000-0008-0000-0000-0000E8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513" name="Text Box 73">
          <a:extLst>
            <a:ext uri="{FF2B5EF4-FFF2-40B4-BE49-F238E27FC236}">
              <a16:creationId xmlns:a16="http://schemas.microsoft.com/office/drawing/2014/main" xmlns="" id="{00000000-0008-0000-0000-0000E9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514" name="Text Box 74">
          <a:extLst>
            <a:ext uri="{FF2B5EF4-FFF2-40B4-BE49-F238E27FC236}">
              <a16:creationId xmlns:a16="http://schemas.microsoft.com/office/drawing/2014/main" xmlns="" id="{00000000-0008-0000-0000-0000EA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515" name="Text Box 75">
          <a:extLst>
            <a:ext uri="{FF2B5EF4-FFF2-40B4-BE49-F238E27FC236}">
              <a16:creationId xmlns:a16="http://schemas.microsoft.com/office/drawing/2014/main" xmlns="" id="{00000000-0008-0000-0000-0000EB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516" name="Text Box 76">
          <a:extLst>
            <a:ext uri="{FF2B5EF4-FFF2-40B4-BE49-F238E27FC236}">
              <a16:creationId xmlns:a16="http://schemas.microsoft.com/office/drawing/2014/main" xmlns="" id="{00000000-0008-0000-0000-0000EC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517" name="Text Box 77">
          <a:extLst>
            <a:ext uri="{FF2B5EF4-FFF2-40B4-BE49-F238E27FC236}">
              <a16:creationId xmlns:a16="http://schemas.microsoft.com/office/drawing/2014/main" xmlns="" id="{00000000-0008-0000-0000-0000ED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518" name="Text Box 78">
          <a:extLst>
            <a:ext uri="{FF2B5EF4-FFF2-40B4-BE49-F238E27FC236}">
              <a16:creationId xmlns:a16="http://schemas.microsoft.com/office/drawing/2014/main" xmlns="" id="{00000000-0008-0000-0000-0000EE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519" name="Text Box 79">
          <a:extLst>
            <a:ext uri="{FF2B5EF4-FFF2-40B4-BE49-F238E27FC236}">
              <a16:creationId xmlns:a16="http://schemas.microsoft.com/office/drawing/2014/main" xmlns="" id="{00000000-0008-0000-0000-0000EF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520" name="Text Box 80">
          <a:extLst>
            <a:ext uri="{FF2B5EF4-FFF2-40B4-BE49-F238E27FC236}">
              <a16:creationId xmlns:a16="http://schemas.microsoft.com/office/drawing/2014/main" xmlns="" id="{00000000-0008-0000-0000-0000F0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521" name="Text Box 81">
          <a:extLst>
            <a:ext uri="{FF2B5EF4-FFF2-40B4-BE49-F238E27FC236}">
              <a16:creationId xmlns:a16="http://schemas.microsoft.com/office/drawing/2014/main" xmlns="" id="{00000000-0008-0000-0000-0000F1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522" name="Text Box 3079">
          <a:extLst>
            <a:ext uri="{FF2B5EF4-FFF2-40B4-BE49-F238E27FC236}">
              <a16:creationId xmlns:a16="http://schemas.microsoft.com/office/drawing/2014/main" xmlns="" id="{00000000-0008-0000-0000-0000F2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523" name="Text Box 3080">
          <a:extLst>
            <a:ext uri="{FF2B5EF4-FFF2-40B4-BE49-F238E27FC236}">
              <a16:creationId xmlns:a16="http://schemas.microsoft.com/office/drawing/2014/main" xmlns="" id="{00000000-0008-0000-0000-0000F3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524" name="Text Box 3081">
          <a:extLst>
            <a:ext uri="{FF2B5EF4-FFF2-40B4-BE49-F238E27FC236}">
              <a16:creationId xmlns:a16="http://schemas.microsoft.com/office/drawing/2014/main" xmlns="" id="{00000000-0008-0000-0000-0000F4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525" name="Text Box 3082">
          <a:extLst>
            <a:ext uri="{FF2B5EF4-FFF2-40B4-BE49-F238E27FC236}">
              <a16:creationId xmlns:a16="http://schemas.microsoft.com/office/drawing/2014/main" xmlns="" id="{00000000-0008-0000-0000-0000F5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526" name="Text Box 3083">
          <a:extLst>
            <a:ext uri="{FF2B5EF4-FFF2-40B4-BE49-F238E27FC236}">
              <a16:creationId xmlns:a16="http://schemas.microsoft.com/office/drawing/2014/main" xmlns="" id="{00000000-0008-0000-0000-0000F6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527" name="Text Box 3084">
          <a:extLst>
            <a:ext uri="{FF2B5EF4-FFF2-40B4-BE49-F238E27FC236}">
              <a16:creationId xmlns:a16="http://schemas.microsoft.com/office/drawing/2014/main" xmlns="" id="{00000000-0008-0000-0000-0000F7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528" name="Text Box 3085">
          <a:extLst>
            <a:ext uri="{FF2B5EF4-FFF2-40B4-BE49-F238E27FC236}">
              <a16:creationId xmlns:a16="http://schemas.microsoft.com/office/drawing/2014/main" xmlns="" id="{00000000-0008-0000-0000-0000F8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529" name="Text Box 3086">
          <a:extLst>
            <a:ext uri="{FF2B5EF4-FFF2-40B4-BE49-F238E27FC236}">
              <a16:creationId xmlns:a16="http://schemas.microsoft.com/office/drawing/2014/main" xmlns="" id="{00000000-0008-0000-0000-0000F9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530" name="Text Box 3087">
          <a:extLst>
            <a:ext uri="{FF2B5EF4-FFF2-40B4-BE49-F238E27FC236}">
              <a16:creationId xmlns:a16="http://schemas.microsoft.com/office/drawing/2014/main" xmlns="" id="{00000000-0008-0000-0000-0000FA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531" name="Text Box 3088">
          <a:extLst>
            <a:ext uri="{FF2B5EF4-FFF2-40B4-BE49-F238E27FC236}">
              <a16:creationId xmlns:a16="http://schemas.microsoft.com/office/drawing/2014/main" xmlns="" id="{00000000-0008-0000-0000-0000FB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532" name="Text Box 3089">
          <a:extLst>
            <a:ext uri="{FF2B5EF4-FFF2-40B4-BE49-F238E27FC236}">
              <a16:creationId xmlns:a16="http://schemas.microsoft.com/office/drawing/2014/main" xmlns="" id="{00000000-0008-0000-0000-0000FC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533" name="Text Box 3090">
          <a:extLst>
            <a:ext uri="{FF2B5EF4-FFF2-40B4-BE49-F238E27FC236}">
              <a16:creationId xmlns:a16="http://schemas.microsoft.com/office/drawing/2014/main" xmlns="" id="{00000000-0008-0000-0000-0000FD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534" name="Text Box 3091">
          <a:extLst>
            <a:ext uri="{FF2B5EF4-FFF2-40B4-BE49-F238E27FC236}">
              <a16:creationId xmlns:a16="http://schemas.microsoft.com/office/drawing/2014/main" xmlns="" id="{00000000-0008-0000-0000-0000FE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535" name="Text Box 3092">
          <a:extLst>
            <a:ext uri="{FF2B5EF4-FFF2-40B4-BE49-F238E27FC236}">
              <a16:creationId xmlns:a16="http://schemas.microsoft.com/office/drawing/2014/main" xmlns="" id="{00000000-0008-0000-0000-0000FF05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536" name="Text Box 3093">
          <a:extLst>
            <a:ext uri="{FF2B5EF4-FFF2-40B4-BE49-F238E27FC236}">
              <a16:creationId xmlns:a16="http://schemas.microsoft.com/office/drawing/2014/main" xmlns="" id="{00000000-0008-0000-0000-000000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537" name="Text Box 3094">
          <a:extLst>
            <a:ext uri="{FF2B5EF4-FFF2-40B4-BE49-F238E27FC236}">
              <a16:creationId xmlns:a16="http://schemas.microsoft.com/office/drawing/2014/main" xmlns="" id="{00000000-0008-0000-0000-000001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538" name="Text Box 3095">
          <a:extLst>
            <a:ext uri="{FF2B5EF4-FFF2-40B4-BE49-F238E27FC236}">
              <a16:creationId xmlns:a16="http://schemas.microsoft.com/office/drawing/2014/main" xmlns="" id="{00000000-0008-0000-0000-000002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539" name="Text Box 3096">
          <a:extLst>
            <a:ext uri="{FF2B5EF4-FFF2-40B4-BE49-F238E27FC236}">
              <a16:creationId xmlns:a16="http://schemas.microsoft.com/office/drawing/2014/main" xmlns="" id="{00000000-0008-0000-0000-000003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540" name="Text Box 3097">
          <a:extLst>
            <a:ext uri="{FF2B5EF4-FFF2-40B4-BE49-F238E27FC236}">
              <a16:creationId xmlns:a16="http://schemas.microsoft.com/office/drawing/2014/main" xmlns="" id="{00000000-0008-0000-0000-000004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541" name="Text Box 3098">
          <a:extLst>
            <a:ext uri="{FF2B5EF4-FFF2-40B4-BE49-F238E27FC236}">
              <a16:creationId xmlns:a16="http://schemas.microsoft.com/office/drawing/2014/main" xmlns="" id="{00000000-0008-0000-0000-000005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542" name="Text Box 3099">
          <a:extLst>
            <a:ext uri="{FF2B5EF4-FFF2-40B4-BE49-F238E27FC236}">
              <a16:creationId xmlns:a16="http://schemas.microsoft.com/office/drawing/2014/main" xmlns="" id="{00000000-0008-0000-0000-000006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543" name="Text Box 3100">
          <a:extLst>
            <a:ext uri="{FF2B5EF4-FFF2-40B4-BE49-F238E27FC236}">
              <a16:creationId xmlns:a16="http://schemas.microsoft.com/office/drawing/2014/main" xmlns="" id="{00000000-0008-0000-0000-000007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544" name="Text Box 3101">
          <a:extLst>
            <a:ext uri="{FF2B5EF4-FFF2-40B4-BE49-F238E27FC236}">
              <a16:creationId xmlns:a16="http://schemas.microsoft.com/office/drawing/2014/main" xmlns="" id="{00000000-0008-0000-0000-000008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1545" name="Text Box 3102">
          <a:extLst>
            <a:ext uri="{FF2B5EF4-FFF2-40B4-BE49-F238E27FC236}">
              <a16:creationId xmlns:a16="http://schemas.microsoft.com/office/drawing/2014/main" xmlns="" id="{00000000-0008-0000-0000-000009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546" name="Text Box 59">
          <a:extLst>
            <a:ext uri="{FF2B5EF4-FFF2-40B4-BE49-F238E27FC236}">
              <a16:creationId xmlns:a16="http://schemas.microsoft.com/office/drawing/2014/main" xmlns="" id="{00000000-0008-0000-0000-00000A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547" name="Text Box 60">
          <a:extLst>
            <a:ext uri="{FF2B5EF4-FFF2-40B4-BE49-F238E27FC236}">
              <a16:creationId xmlns:a16="http://schemas.microsoft.com/office/drawing/2014/main" xmlns="" id="{00000000-0008-0000-0000-00000B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548" name="Text Box 61">
          <a:extLst>
            <a:ext uri="{FF2B5EF4-FFF2-40B4-BE49-F238E27FC236}">
              <a16:creationId xmlns:a16="http://schemas.microsoft.com/office/drawing/2014/main" xmlns="" id="{00000000-0008-0000-0000-00000C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549" name="Text Box 62">
          <a:extLst>
            <a:ext uri="{FF2B5EF4-FFF2-40B4-BE49-F238E27FC236}">
              <a16:creationId xmlns:a16="http://schemas.microsoft.com/office/drawing/2014/main" xmlns="" id="{00000000-0008-0000-0000-00000D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550" name="Text Box 63">
          <a:extLst>
            <a:ext uri="{FF2B5EF4-FFF2-40B4-BE49-F238E27FC236}">
              <a16:creationId xmlns:a16="http://schemas.microsoft.com/office/drawing/2014/main" xmlns="" id="{00000000-0008-0000-0000-00000E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551" name="Text Box 64">
          <a:extLst>
            <a:ext uri="{FF2B5EF4-FFF2-40B4-BE49-F238E27FC236}">
              <a16:creationId xmlns:a16="http://schemas.microsoft.com/office/drawing/2014/main" xmlns="" id="{00000000-0008-0000-0000-00000F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552" name="Text Box 65">
          <a:extLst>
            <a:ext uri="{FF2B5EF4-FFF2-40B4-BE49-F238E27FC236}">
              <a16:creationId xmlns:a16="http://schemas.microsoft.com/office/drawing/2014/main" xmlns="" id="{00000000-0008-0000-0000-000010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553" name="Text Box 66">
          <a:extLst>
            <a:ext uri="{FF2B5EF4-FFF2-40B4-BE49-F238E27FC236}">
              <a16:creationId xmlns:a16="http://schemas.microsoft.com/office/drawing/2014/main" xmlns="" id="{00000000-0008-0000-0000-000011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554" name="Text Box 67">
          <a:extLst>
            <a:ext uri="{FF2B5EF4-FFF2-40B4-BE49-F238E27FC236}">
              <a16:creationId xmlns:a16="http://schemas.microsoft.com/office/drawing/2014/main" xmlns="" id="{00000000-0008-0000-0000-000012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555" name="Text Box 68">
          <a:extLst>
            <a:ext uri="{FF2B5EF4-FFF2-40B4-BE49-F238E27FC236}">
              <a16:creationId xmlns:a16="http://schemas.microsoft.com/office/drawing/2014/main" xmlns="" id="{00000000-0008-0000-0000-000013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556" name="Text Box 69">
          <a:extLst>
            <a:ext uri="{FF2B5EF4-FFF2-40B4-BE49-F238E27FC236}">
              <a16:creationId xmlns:a16="http://schemas.microsoft.com/office/drawing/2014/main" xmlns="" id="{00000000-0008-0000-0000-000014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557" name="Text Box 70">
          <a:extLst>
            <a:ext uri="{FF2B5EF4-FFF2-40B4-BE49-F238E27FC236}">
              <a16:creationId xmlns:a16="http://schemas.microsoft.com/office/drawing/2014/main" xmlns="" id="{00000000-0008-0000-0000-000015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558" name="Text Box 71">
          <a:extLst>
            <a:ext uri="{FF2B5EF4-FFF2-40B4-BE49-F238E27FC236}">
              <a16:creationId xmlns:a16="http://schemas.microsoft.com/office/drawing/2014/main" xmlns="" id="{00000000-0008-0000-0000-000016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559" name="Text Box 72">
          <a:extLst>
            <a:ext uri="{FF2B5EF4-FFF2-40B4-BE49-F238E27FC236}">
              <a16:creationId xmlns:a16="http://schemas.microsoft.com/office/drawing/2014/main" xmlns="" id="{00000000-0008-0000-0000-000017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560" name="Text Box 73">
          <a:extLst>
            <a:ext uri="{FF2B5EF4-FFF2-40B4-BE49-F238E27FC236}">
              <a16:creationId xmlns:a16="http://schemas.microsoft.com/office/drawing/2014/main" xmlns="" id="{00000000-0008-0000-0000-000018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561" name="Text Box 74">
          <a:extLst>
            <a:ext uri="{FF2B5EF4-FFF2-40B4-BE49-F238E27FC236}">
              <a16:creationId xmlns:a16="http://schemas.microsoft.com/office/drawing/2014/main" xmlns="" id="{00000000-0008-0000-0000-000019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562" name="Text Box 75">
          <a:extLst>
            <a:ext uri="{FF2B5EF4-FFF2-40B4-BE49-F238E27FC236}">
              <a16:creationId xmlns:a16="http://schemas.microsoft.com/office/drawing/2014/main" xmlns="" id="{00000000-0008-0000-0000-00001A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563" name="Text Box 76">
          <a:extLst>
            <a:ext uri="{FF2B5EF4-FFF2-40B4-BE49-F238E27FC236}">
              <a16:creationId xmlns:a16="http://schemas.microsoft.com/office/drawing/2014/main" xmlns="" id="{00000000-0008-0000-0000-00001B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564" name="Text Box 77">
          <a:extLst>
            <a:ext uri="{FF2B5EF4-FFF2-40B4-BE49-F238E27FC236}">
              <a16:creationId xmlns:a16="http://schemas.microsoft.com/office/drawing/2014/main" xmlns="" id="{00000000-0008-0000-0000-00001C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565" name="Text Box 78">
          <a:extLst>
            <a:ext uri="{FF2B5EF4-FFF2-40B4-BE49-F238E27FC236}">
              <a16:creationId xmlns:a16="http://schemas.microsoft.com/office/drawing/2014/main" xmlns="" id="{00000000-0008-0000-0000-00001D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566" name="Text Box 79">
          <a:extLst>
            <a:ext uri="{FF2B5EF4-FFF2-40B4-BE49-F238E27FC236}">
              <a16:creationId xmlns:a16="http://schemas.microsoft.com/office/drawing/2014/main" xmlns="" id="{00000000-0008-0000-0000-00001E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567" name="Text Box 80">
          <a:extLst>
            <a:ext uri="{FF2B5EF4-FFF2-40B4-BE49-F238E27FC236}">
              <a16:creationId xmlns:a16="http://schemas.microsoft.com/office/drawing/2014/main" xmlns="" id="{00000000-0008-0000-0000-00001F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568" name="Text Box 81">
          <a:extLst>
            <a:ext uri="{FF2B5EF4-FFF2-40B4-BE49-F238E27FC236}">
              <a16:creationId xmlns:a16="http://schemas.microsoft.com/office/drawing/2014/main" xmlns="" id="{00000000-0008-0000-0000-000020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47625"/>
    <xdr:sp macro="" textlink="">
      <xdr:nvSpPr>
        <xdr:cNvPr id="1569" name="Text Box 82">
          <a:extLst>
            <a:ext uri="{FF2B5EF4-FFF2-40B4-BE49-F238E27FC236}">
              <a16:creationId xmlns:a16="http://schemas.microsoft.com/office/drawing/2014/main" xmlns="" id="{00000000-0008-0000-0000-000021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570" name="Text Box 3079">
          <a:extLst>
            <a:ext uri="{FF2B5EF4-FFF2-40B4-BE49-F238E27FC236}">
              <a16:creationId xmlns:a16="http://schemas.microsoft.com/office/drawing/2014/main" xmlns="" id="{00000000-0008-0000-0000-000022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571" name="Text Box 3080">
          <a:extLst>
            <a:ext uri="{FF2B5EF4-FFF2-40B4-BE49-F238E27FC236}">
              <a16:creationId xmlns:a16="http://schemas.microsoft.com/office/drawing/2014/main" xmlns="" id="{00000000-0008-0000-0000-000023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572" name="Text Box 3081">
          <a:extLst>
            <a:ext uri="{FF2B5EF4-FFF2-40B4-BE49-F238E27FC236}">
              <a16:creationId xmlns:a16="http://schemas.microsoft.com/office/drawing/2014/main" xmlns="" id="{00000000-0008-0000-0000-000024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573" name="Text Box 3082">
          <a:extLst>
            <a:ext uri="{FF2B5EF4-FFF2-40B4-BE49-F238E27FC236}">
              <a16:creationId xmlns:a16="http://schemas.microsoft.com/office/drawing/2014/main" xmlns="" id="{00000000-0008-0000-0000-000025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574" name="Text Box 3083">
          <a:extLst>
            <a:ext uri="{FF2B5EF4-FFF2-40B4-BE49-F238E27FC236}">
              <a16:creationId xmlns:a16="http://schemas.microsoft.com/office/drawing/2014/main" xmlns="" id="{00000000-0008-0000-0000-000026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575" name="Text Box 3084">
          <a:extLst>
            <a:ext uri="{FF2B5EF4-FFF2-40B4-BE49-F238E27FC236}">
              <a16:creationId xmlns:a16="http://schemas.microsoft.com/office/drawing/2014/main" xmlns="" id="{00000000-0008-0000-0000-000027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576" name="Text Box 3085">
          <a:extLst>
            <a:ext uri="{FF2B5EF4-FFF2-40B4-BE49-F238E27FC236}">
              <a16:creationId xmlns:a16="http://schemas.microsoft.com/office/drawing/2014/main" xmlns="" id="{00000000-0008-0000-0000-000028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577" name="Text Box 3086">
          <a:extLst>
            <a:ext uri="{FF2B5EF4-FFF2-40B4-BE49-F238E27FC236}">
              <a16:creationId xmlns:a16="http://schemas.microsoft.com/office/drawing/2014/main" xmlns="" id="{00000000-0008-0000-0000-000029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578" name="Text Box 3087">
          <a:extLst>
            <a:ext uri="{FF2B5EF4-FFF2-40B4-BE49-F238E27FC236}">
              <a16:creationId xmlns:a16="http://schemas.microsoft.com/office/drawing/2014/main" xmlns="" id="{00000000-0008-0000-0000-00002A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579" name="Text Box 3088">
          <a:extLst>
            <a:ext uri="{FF2B5EF4-FFF2-40B4-BE49-F238E27FC236}">
              <a16:creationId xmlns:a16="http://schemas.microsoft.com/office/drawing/2014/main" xmlns="" id="{00000000-0008-0000-0000-00002B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580" name="Text Box 3089">
          <a:extLst>
            <a:ext uri="{FF2B5EF4-FFF2-40B4-BE49-F238E27FC236}">
              <a16:creationId xmlns:a16="http://schemas.microsoft.com/office/drawing/2014/main" xmlns="" id="{00000000-0008-0000-0000-00002C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581" name="Text Box 3090">
          <a:extLst>
            <a:ext uri="{FF2B5EF4-FFF2-40B4-BE49-F238E27FC236}">
              <a16:creationId xmlns:a16="http://schemas.microsoft.com/office/drawing/2014/main" xmlns="" id="{00000000-0008-0000-0000-00002D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582" name="Text Box 3091">
          <a:extLst>
            <a:ext uri="{FF2B5EF4-FFF2-40B4-BE49-F238E27FC236}">
              <a16:creationId xmlns:a16="http://schemas.microsoft.com/office/drawing/2014/main" xmlns="" id="{00000000-0008-0000-0000-00002E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583" name="Text Box 3092">
          <a:extLst>
            <a:ext uri="{FF2B5EF4-FFF2-40B4-BE49-F238E27FC236}">
              <a16:creationId xmlns:a16="http://schemas.microsoft.com/office/drawing/2014/main" xmlns="" id="{00000000-0008-0000-0000-00002F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584" name="Text Box 3093">
          <a:extLst>
            <a:ext uri="{FF2B5EF4-FFF2-40B4-BE49-F238E27FC236}">
              <a16:creationId xmlns:a16="http://schemas.microsoft.com/office/drawing/2014/main" xmlns="" id="{00000000-0008-0000-0000-000030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585" name="Text Box 3094">
          <a:extLst>
            <a:ext uri="{FF2B5EF4-FFF2-40B4-BE49-F238E27FC236}">
              <a16:creationId xmlns:a16="http://schemas.microsoft.com/office/drawing/2014/main" xmlns="" id="{00000000-0008-0000-0000-000031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586" name="Text Box 3095">
          <a:extLst>
            <a:ext uri="{FF2B5EF4-FFF2-40B4-BE49-F238E27FC236}">
              <a16:creationId xmlns:a16="http://schemas.microsoft.com/office/drawing/2014/main" xmlns="" id="{00000000-0008-0000-0000-000032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587" name="Text Box 3096">
          <a:extLst>
            <a:ext uri="{FF2B5EF4-FFF2-40B4-BE49-F238E27FC236}">
              <a16:creationId xmlns:a16="http://schemas.microsoft.com/office/drawing/2014/main" xmlns="" id="{00000000-0008-0000-0000-000033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588" name="Text Box 3097">
          <a:extLst>
            <a:ext uri="{FF2B5EF4-FFF2-40B4-BE49-F238E27FC236}">
              <a16:creationId xmlns:a16="http://schemas.microsoft.com/office/drawing/2014/main" xmlns="" id="{00000000-0008-0000-0000-000034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589" name="Text Box 3098">
          <a:extLst>
            <a:ext uri="{FF2B5EF4-FFF2-40B4-BE49-F238E27FC236}">
              <a16:creationId xmlns:a16="http://schemas.microsoft.com/office/drawing/2014/main" xmlns="" id="{00000000-0008-0000-0000-000035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590" name="Text Box 3099">
          <a:extLst>
            <a:ext uri="{FF2B5EF4-FFF2-40B4-BE49-F238E27FC236}">
              <a16:creationId xmlns:a16="http://schemas.microsoft.com/office/drawing/2014/main" xmlns="" id="{00000000-0008-0000-0000-000036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591" name="Text Box 3100">
          <a:extLst>
            <a:ext uri="{FF2B5EF4-FFF2-40B4-BE49-F238E27FC236}">
              <a16:creationId xmlns:a16="http://schemas.microsoft.com/office/drawing/2014/main" xmlns="" id="{00000000-0008-0000-0000-000037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592" name="Text Box 3101">
          <a:extLst>
            <a:ext uri="{FF2B5EF4-FFF2-40B4-BE49-F238E27FC236}">
              <a16:creationId xmlns:a16="http://schemas.microsoft.com/office/drawing/2014/main" xmlns="" id="{00000000-0008-0000-0000-000038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1593" name="Text Box 3102">
          <a:extLst>
            <a:ext uri="{FF2B5EF4-FFF2-40B4-BE49-F238E27FC236}">
              <a16:creationId xmlns:a16="http://schemas.microsoft.com/office/drawing/2014/main" xmlns="" id="{00000000-0008-0000-0000-000039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594" name="Text Box 59">
          <a:extLst>
            <a:ext uri="{FF2B5EF4-FFF2-40B4-BE49-F238E27FC236}">
              <a16:creationId xmlns:a16="http://schemas.microsoft.com/office/drawing/2014/main" xmlns="" id="{00000000-0008-0000-0000-00003A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595" name="Text Box 60">
          <a:extLst>
            <a:ext uri="{FF2B5EF4-FFF2-40B4-BE49-F238E27FC236}">
              <a16:creationId xmlns:a16="http://schemas.microsoft.com/office/drawing/2014/main" xmlns="" id="{00000000-0008-0000-0000-00003B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596" name="Text Box 61">
          <a:extLst>
            <a:ext uri="{FF2B5EF4-FFF2-40B4-BE49-F238E27FC236}">
              <a16:creationId xmlns:a16="http://schemas.microsoft.com/office/drawing/2014/main" xmlns="" id="{00000000-0008-0000-0000-00003C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597" name="Text Box 62">
          <a:extLst>
            <a:ext uri="{FF2B5EF4-FFF2-40B4-BE49-F238E27FC236}">
              <a16:creationId xmlns:a16="http://schemas.microsoft.com/office/drawing/2014/main" xmlns="" id="{00000000-0008-0000-0000-00003D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598" name="Text Box 63">
          <a:extLst>
            <a:ext uri="{FF2B5EF4-FFF2-40B4-BE49-F238E27FC236}">
              <a16:creationId xmlns:a16="http://schemas.microsoft.com/office/drawing/2014/main" xmlns="" id="{00000000-0008-0000-0000-00003E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599" name="Text Box 64">
          <a:extLst>
            <a:ext uri="{FF2B5EF4-FFF2-40B4-BE49-F238E27FC236}">
              <a16:creationId xmlns:a16="http://schemas.microsoft.com/office/drawing/2014/main" xmlns="" id="{00000000-0008-0000-0000-00003F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600" name="Text Box 65">
          <a:extLst>
            <a:ext uri="{FF2B5EF4-FFF2-40B4-BE49-F238E27FC236}">
              <a16:creationId xmlns:a16="http://schemas.microsoft.com/office/drawing/2014/main" xmlns="" id="{00000000-0008-0000-0000-000040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601" name="Text Box 66">
          <a:extLst>
            <a:ext uri="{FF2B5EF4-FFF2-40B4-BE49-F238E27FC236}">
              <a16:creationId xmlns:a16="http://schemas.microsoft.com/office/drawing/2014/main" xmlns="" id="{00000000-0008-0000-0000-000041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602" name="Text Box 67">
          <a:extLst>
            <a:ext uri="{FF2B5EF4-FFF2-40B4-BE49-F238E27FC236}">
              <a16:creationId xmlns:a16="http://schemas.microsoft.com/office/drawing/2014/main" xmlns="" id="{00000000-0008-0000-0000-000042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603" name="Text Box 68">
          <a:extLst>
            <a:ext uri="{FF2B5EF4-FFF2-40B4-BE49-F238E27FC236}">
              <a16:creationId xmlns:a16="http://schemas.microsoft.com/office/drawing/2014/main" xmlns="" id="{00000000-0008-0000-0000-000043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604" name="Text Box 69">
          <a:extLst>
            <a:ext uri="{FF2B5EF4-FFF2-40B4-BE49-F238E27FC236}">
              <a16:creationId xmlns:a16="http://schemas.microsoft.com/office/drawing/2014/main" xmlns="" id="{00000000-0008-0000-0000-000044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605" name="Text Box 70">
          <a:extLst>
            <a:ext uri="{FF2B5EF4-FFF2-40B4-BE49-F238E27FC236}">
              <a16:creationId xmlns:a16="http://schemas.microsoft.com/office/drawing/2014/main" xmlns="" id="{00000000-0008-0000-0000-000045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606" name="Text Box 71">
          <a:extLst>
            <a:ext uri="{FF2B5EF4-FFF2-40B4-BE49-F238E27FC236}">
              <a16:creationId xmlns:a16="http://schemas.microsoft.com/office/drawing/2014/main" xmlns="" id="{00000000-0008-0000-0000-000046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607" name="Text Box 72">
          <a:extLst>
            <a:ext uri="{FF2B5EF4-FFF2-40B4-BE49-F238E27FC236}">
              <a16:creationId xmlns:a16="http://schemas.microsoft.com/office/drawing/2014/main" xmlns="" id="{00000000-0008-0000-0000-000047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608" name="Text Box 73">
          <a:extLst>
            <a:ext uri="{FF2B5EF4-FFF2-40B4-BE49-F238E27FC236}">
              <a16:creationId xmlns:a16="http://schemas.microsoft.com/office/drawing/2014/main" xmlns="" id="{00000000-0008-0000-0000-000048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609" name="Text Box 74">
          <a:extLst>
            <a:ext uri="{FF2B5EF4-FFF2-40B4-BE49-F238E27FC236}">
              <a16:creationId xmlns:a16="http://schemas.microsoft.com/office/drawing/2014/main" xmlns="" id="{00000000-0008-0000-0000-000049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610" name="Text Box 75">
          <a:extLst>
            <a:ext uri="{FF2B5EF4-FFF2-40B4-BE49-F238E27FC236}">
              <a16:creationId xmlns:a16="http://schemas.microsoft.com/office/drawing/2014/main" xmlns="" id="{00000000-0008-0000-0000-00004A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611" name="Text Box 76">
          <a:extLst>
            <a:ext uri="{FF2B5EF4-FFF2-40B4-BE49-F238E27FC236}">
              <a16:creationId xmlns:a16="http://schemas.microsoft.com/office/drawing/2014/main" xmlns="" id="{00000000-0008-0000-0000-00004B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612" name="Text Box 77">
          <a:extLst>
            <a:ext uri="{FF2B5EF4-FFF2-40B4-BE49-F238E27FC236}">
              <a16:creationId xmlns:a16="http://schemas.microsoft.com/office/drawing/2014/main" xmlns="" id="{00000000-0008-0000-0000-00004C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613" name="Text Box 78">
          <a:extLst>
            <a:ext uri="{FF2B5EF4-FFF2-40B4-BE49-F238E27FC236}">
              <a16:creationId xmlns:a16="http://schemas.microsoft.com/office/drawing/2014/main" xmlns="" id="{00000000-0008-0000-0000-00004D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614" name="Text Box 79">
          <a:extLst>
            <a:ext uri="{FF2B5EF4-FFF2-40B4-BE49-F238E27FC236}">
              <a16:creationId xmlns:a16="http://schemas.microsoft.com/office/drawing/2014/main" xmlns="" id="{00000000-0008-0000-0000-00004E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615" name="Text Box 80">
          <a:extLst>
            <a:ext uri="{FF2B5EF4-FFF2-40B4-BE49-F238E27FC236}">
              <a16:creationId xmlns:a16="http://schemas.microsoft.com/office/drawing/2014/main" xmlns="" id="{00000000-0008-0000-0000-00004F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616" name="Text Box 81">
          <a:extLst>
            <a:ext uri="{FF2B5EF4-FFF2-40B4-BE49-F238E27FC236}">
              <a16:creationId xmlns:a16="http://schemas.microsoft.com/office/drawing/2014/main" xmlns="" id="{00000000-0008-0000-0000-000050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617" name="Text Box 3079">
          <a:extLst>
            <a:ext uri="{FF2B5EF4-FFF2-40B4-BE49-F238E27FC236}">
              <a16:creationId xmlns:a16="http://schemas.microsoft.com/office/drawing/2014/main" xmlns="" id="{00000000-0008-0000-0000-000051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618" name="Text Box 3080">
          <a:extLst>
            <a:ext uri="{FF2B5EF4-FFF2-40B4-BE49-F238E27FC236}">
              <a16:creationId xmlns:a16="http://schemas.microsoft.com/office/drawing/2014/main" xmlns="" id="{00000000-0008-0000-0000-000052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619" name="Text Box 3081">
          <a:extLst>
            <a:ext uri="{FF2B5EF4-FFF2-40B4-BE49-F238E27FC236}">
              <a16:creationId xmlns:a16="http://schemas.microsoft.com/office/drawing/2014/main" xmlns="" id="{00000000-0008-0000-0000-000053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620" name="Text Box 3082">
          <a:extLst>
            <a:ext uri="{FF2B5EF4-FFF2-40B4-BE49-F238E27FC236}">
              <a16:creationId xmlns:a16="http://schemas.microsoft.com/office/drawing/2014/main" xmlns="" id="{00000000-0008-0000-0000-000054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621" name="Text Box 3083">
          <a:extLst>
            <a:ext uri="{FF2B5EF4-FFF2-40B4-BE49-F238E27FC236}">
              <a16:creationId xmlns:a16="http://schemas.microsoft.com/office/drawing/2014/main" xmlns="" id="{00000000-0008-0000-0000-000055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622" name="Text Box 3084">
          <a:extLst>
            <a:ext uri="{FF2B5EF4-FFF2-40B4-BE49-F238E27FC236}">
              <a16:creationId xmlns:a16="http://schemas.microsoft.com/office/drawing/2014/main" xmlns="" id="{00000000-0008-0000-0000-000056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623" name="Text Box 3085">
          <a:extLst>
            <a:ext uri="{FF2B5EF4-FFF2-40B4-BE49-F238E27FC236}">
              <a16:creationId xmlns:a16="http://schemas.microsoft.com/office/drawing/2014/main" xmlns="" id="{00000000-0008-0000-0000-000057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624" name="Text Box 3086">
          <a:extLst>
            <a:ext uri="{FF2B5EF4-FFF2-40B4-BE49-F238E27FC236}">
              <a16:creationId xmlns:a16="http://schemas.microsoft.com/office/drawing/2014/main" xmlns="" id="{00000000-0008-0000-0000-000058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625" name="Text Box 3087">
          <a:extLst>
            <a:ext uri="{FF2B5EF4-FFF2-40B4-BE49-F238E27FC236}">
              <a16:creationId xmlns:a16="http://schemas.microsoft.com/office/drawing/2014/main" xmlns="" id="{00000000-0008-0000-0000-000059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626" name="Text Box 3088">
          <a:extLst>
            <a:ext uri="{FF2B5EF4-FFF2-40B4-BE49-F238E27FC236}">
              <a16:creationId xmlns:a16="http://schemas.microsoft.com/office/drawing/2014/main" xmlns="" id="{00000000-0008-0000-0000-00005A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627" name="Text Box 3089">
          <a:extLst>
            <a:ext uri="{FF2B5EF4-FFF2-40B4-BE49-F238E27FC236}">
              <a16:creationId xmlns:a16="http://schemas.microsoft.com/office/drawing/2014/main" xmlns="" id="{00000000-0008-0000-0000-00005B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628" name="Text Box 3090">
          <a:extLst>
            <a:ext uri="{FF2B5EF4-FFF2-40B4-BE49-F238E27FC236}">
              <a16:creationId xmlns:a16="http://schemas.microsoft.com/office/drawing/2014/main" xmlns="" id="{00000000-0008-0000-0000-00005C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629" name="Text Box 3091">
          <a:extLst>
            <a:ext uri="{FF2B5EF4-FFF2-40B4-BE49-F238E27FC236}">
              <a16:creationId xmlns:a16="http://schemas.microsoft.com/office/drawing/2014/main" xmlns="" id="{00000000-0008-0000-0000-00005D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630" name="Text Box 3092">
          <a:extLst>
            <a:ext uri="{FF2B5EF4-FFF2-40B4-BE49-F238E27FC236}">
              <a16:creationId xmlns:a16="http://schemas.microsoft.com/office/drawing/2014/main" xmlns="" id="{00000000-0008-0000-0000-00005E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631" name="Text Box 3093">
          <a:extLst>
            <a:ext uri="{FF2B5EF4-FFF2-40B4-BE49-F238E27FC236}">
              <a16:creationId xmlns:a16="http://schemas.microsoft.com/office/drawing/2014/main" xmlns="" id="{00000000-0008-0000-0000-00005F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632" name="Text Box 3094">
          <a:extLst>
            <a:ext uri="{FF2B5EF4-FFF2-40B4-BE49-F238E27FC236}">
              <a16:creationId xmlns:a16="http://schemas.microsoft.com/office/drawing/2014/main" xmlns="" id="{00000000-0008-0000-0000-000060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633" name="Text Box 3095">
          <a:extLst>
            <a:ext uri="{FF2B5EF4-FFF2-40B4-BE49-F238E27FC236}">
              <a16:creationId xmlns:a16="http://schemas.microsoft.com/office/drawing/2014/main" xmlns="" id="{00000000-0008-0000-0000-000061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634" name="Text Box 3096">
          <a:extLst>
            <a:ext uri="{FF2B5EF4-FFF2-40B4-BE49-F238E27FC236}">
              <a16:creationId xmlns:a16="http://schemas.microsoft.com/office/drawing/2014/main" xmlns="" id="{00000000-0008-0000-0000-000062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635" name="Text Box 3097">
          <a:extLst>
            <a:ext uri="{FF2B5EF4-FFF2-40B4-BE49-F238E27FC236}">
              <a16:creationId xmlns:a16="http://schemas.microsoft.com/office/drawing/2014/main" xmlns="" id="{00000000-0008-0000-0000-000063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636" name="Text Box 3098">
          <a:extLst>
            <a:ext uri="{FF2B5EF4-FFF2-40B4-BE49-F238E27FC236}">
              <a16:creationId xmlns:a16="http://schemas.microsoft.com/office/drawing/2014/main" xmlns="" id="{00000000-0008-0000-0000-000064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637" name="Text Box 3099">
          <a:extLst>
            <a:ext uri="{FF2B5EF4-FFF2-40B4-BE49-F238E27FC236}">
              <a16:creationId xmlns:a16="http://schemas.microsoft.com/office/drawing/2014/main" xmlns="" id="{00000000-0008-0000-0000-000065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638" name="Text Box 3100">
          <a:extLst>
            <a:ext uri="{FF2B5EF4-FFF2-40B4-BE49-F238E27FC236}">
              <a16:creationId xmlns:a16="http://schemas.microsoft.com/office/drawing/2014/main" xmlns="" id="{00000000-0008-0000-0000-000066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639" name="Text Box 3101">
          <a:extLst>
            <a:ext uri="{FF2B5EF4-FFF2-40B4-BE49-F238E27FC236}">
              <a16:creationId xmlns:a16="http://schemas.microsoft.com/office/drawing/2014/main" xmlns="" id="{00000000-0008-0000-0000-000067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1640" name="Text Box 3102">
          <a:extLst>
            <a:ext uri="{FF2B5EF4-FFF2-40B4-BE49-F238E27FC236}">
              <a16:creationId xmlns:a16="http://schemas.microsoft.com/office/drawing/2014/main" xmlns="" id="{00000000-0008-0000-0000-000068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641" name="Text Box 59">
          <a:extLst>
            <a:ext uri="{FF2B5EF4-FFF2-40B4-BE49-F238E27FC236}">
              <a16:creationId xmlns:a16="http://schemas.microsoft.com/office/drawing/2014/main" xmlns="" id="{00000000-0008-0000-0000-000069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642" name="Text Box 60">
          <a:extLst>
            <a:ext uri="{FF2B5EF4-FFF2-40B4-BE49-F238E27FC236}">
              <a16:creationId xmlns:a16="http://schemas.microsoft.com/office/drawing/2014/main" xmlns="" id="{00000000-0008-0000-0000-00006A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643" name="Text Box 61">
          <a:extLst>
            <a:ext uri="{FF2B5EF4-FFF2-40B4-BE49-F238E27FC236}">
              <a16:creationId xmlns:a16="http://schemas.microsoft.com/office/drawing/2014/main" xmlns="" id="{00000000-0008-0000-0000-00006B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644" name="Text Box 62">
          <a:extLst>
            <a:ext uri="{FF2B5EF4-FFF2-40B4-BE49-F238E27FC236}">
              <a16:creationId xmlns:a16="http://schemas.microsoft.com/office/drawing/2014/main" xmlns="" id="{00000000-0008-0000-0000-00006C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645" name="Text Box 63">
          <a:extLst>
            <a:ext uri="{FF2B5EF4-FFF2-40B4-BE49-F238E27FC236}">
              <a16:creationId xmlns:a16="http://schemas.microsoft.com/office/drawing/2014/main" xmlns="" id="{00000000-0008-0000-0000-00006D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646" name="Text Box 64">
          <a:extLst>
            <a:ext uri="{FF2B5EF4-FFF2-40B4-BE49-F238E27FC236}">
              <a16:creationId xmlns:a16="http://schemas.microsoft.com/office/drawing/2014/main" xmlns="" id="{00000000-0008-0000-0000-00006E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647" name="Text Box 65">
          <a:extLst>
            <a:ext uri="{FF2B5EF4-FFF2-40B4-BE49-F238E27FC236}">
              <a16:creationId xmlns:a16="http://schemas.microsoft.com/office/drawing/2014/main" xmlns="" id="{00000000-0008-0000-0000-00006F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648" name="Text Box 66">
          <a:extLst>
            <a:ext uri="{FF2B5EF4-FFF2-40B4-BE49-F238E27FC236}">
              <a16:creationId xmlns:a16="http://schemas.microsoft.com/office/drawing/2014/main" xmlns="" id="{00000000-0008-0000-0000-000070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649" name="Text Box 67">
          <a:extLst>
            <a:ext uri="{FF2B5EF4-FFF2-40B4-BE49-F238E27FC236}">
              <a16:creationId xmlns:a16="http://schemas.microsoft.com/office/drawing/2014/main" xmlns="" id="{00000000-0008-0000-0000-000071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650" name="Text Box 68">
          <a:extLst>
            <a:ext uri="{FF2B5EF4-FFF2-40B4-BE49-F238E27FC236}">
              <a16:creationId xmlns:a16="http://schemas.microsoft.com/office/drawing/2014/main" xmlns="" id="{00000000-0008-0000-0000-000072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651" name="Text Box 69">
          <a:extLst>
            <a:ext uri="{FF2B5EF4-FFF2-40B4-BE49-F238E27FC236}">
              <a16:creationId xmlns:a16="http://schemas.microsoft.com/office/drawing/2014/main" xmlns="" id="{00000000-0008-0000-0000-000073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652" name="Text Box 70">
          <a:extLst>
            <a:ext uri="{FF2B5EF4-FFF2-40B4-BE49-F238E27FC236}">
              <a16:creationId xmlns:a16="http://schemas.microsoft.com/office/drawing/2014/main" xmlns="" id="{00000000-0008-0000-0000-000074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653" name="Text Box 71">
          <a:extLst>
            <a:ext uri="{FF2B5EF4-FFF2-40B4-BE49-F238E27FC236}">
              <a16:creationId xmlns:a16="http://schemas.microsoft.com/office/drawing/2014/main" xmlns="" id="{00000000-0008-0000-0000-000075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654" name="Text Box 72">
          <a:extLst>
            <a:ext uri="{FF2B5EF4-FFF2-40B4-BE49-F238E27FC236}">
              <a16:creationId xmlns:a16="http://schemas.microsoft.com/office/drawing/2014/main" xmlns="" id="{00000000-0008-0000-0000-000076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655" name="Text Box 73">
          <a:extLst>
            <a:ext uri="{FF2B5EF4-FFF2-40B4-BE49-F238E27FC236}">
              <a16:creationId xmlns:a16="http://schemas.microsoft.com/office/drawing/2014/main" xmlns="" id="{00000000-0008-0000-0000-000077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656" name="Text Box 74">
          <a:extLst>
            <a:ext uri="{FF2B5EF4-FFF2-40B4-BE49-F238E27FC236}">
              <a16:creationId xmlns:a16="http://schemas.microsoft.com/office/drawing/2014/main" xmlns="" id="{00000000-0008-0000-0000-000078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657" name="Text Box 75">
          <a:extLst>
            <a:ext uri="{FF2B5EF4-FFF2-40B4-BE49-F238E27FC236}">
              <a16:creationId xmlns:a16="http://schemas.microsoft.com/office/drawing/2014/main" xmlns="" id="{00000000-0008-0000-0000-000079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658" name="Text Box 76">
          <a:extLst>
            <a:ext uri="{FF2B5EF4-FFF2-40B4-BE49-F238E27FC236}">
              <a16:creationId xmlns:a16="http://schemas.microsoft.com/office/drawing/2014/main" xmlns="" id="{00000000-0008-0000-0000-00007A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659" name="Text Box 77">
          <a:extLst>
            <a:ext uri="{FF2B5EF4-FFF2-40B4-BE49-F238E27FC236}">
              <a16:creationId xmlns:a16="http://schemas.microsoft.com/office/drawing/2014/main" xmlns="" id="{00000000-0008-0000-0000-00007B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660" name="Text Box 78">
          <a:extLst>
            <a:ext uri="{FF2B5EF4-FFF2-40B4-BE49-F238E27FC236}">
              <a16:creationId xmlns:a16="http://schemas.microsoft.com/office/drawing/2014/main" xmlns="" id="{00000000-0008-0000-0000-00007C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661" name="Text Box 79">
          <a:extLst>
            <a:ext uri="{FF2B5EF4-FFF2-40B4-BE49-F238E27FC236}">
              <a16:creationId xmlns:a16="http://schemas.microsoft.com/office/drawing/2014/main" xmlns="" id="{00000000-0008-0000-0000-00007D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662" name="Text Box 80">
          <a:extLst>
            <a:ext uri="{FF2B5EF4-FFF2-40B4-BE49-F238E27FC236}">
              <a16:creationId xmlns:a16="http://schemas.microsoft.com/office/drawing/2014/main" xmlns="" id="{00000000-0008-0000-0000-00007E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663" name="Text Box 81">
          <a:extLst>
            <a:ext uri="{FF2B5EF4-FFF2-40B4-BE49-F238E27FC236}">
              <a16:creationId xmlns:a16="http://schemas.microsoft.com/office/drawing/2014/main" xmlns="" id="{00000000-0008-0000-0000-00007F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47625"/>
    <xdr:sp macro="" textlink="">
      <xdr:nvSpPr>
        <xdr:cNvPr id="1664" name="Text Box 82">
          <a:extLst>
            <a:ext uri="{FF2B5EF4-FFF2-40B4-BE49-F238E27FC236}">
              <a16:creationId xmlns:a16="http://schemas.microsoft.com/office/drawing/2014/main" xmlns="" id="{00000000-0008-0000-0000-000080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665" name="Text Box 3079">
          <a:extLst>
            <a:ext uri="{FF2B5EF4-FFF2-40B4-BE49-F238E27FC236}">
              <a16:creationId xmlns:a16="http://schemas.microsoft.com/office/drawing/2014/main" xmlns="" id="{00000000-0008-0000-0000-000081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666" name="Text Box 3080">
          <a:extLst>
            <a:ext uri="{FF2B5EF4-FFF2-40B4-BE49-F238E27FC236}">
              <a16:creationId xmlns:a16="http://schemas.microsoft.com/office/drawing/2014/main" xmlns="" id="{00000000-0008-0000-0000-000082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667" name="Text Box 3081">
          <a:extLst>
            <a:ext uri="{FF2B5EF4-FFF2-40B4-BE49-F238E27FC236}">
              <a16:creationId xmlns:a16="http://schemas.microsoft.com/office/drawing/2014/main" xmlns="" id="{00000000-0008-0000-0000-000083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668" name="Text Box 3082">
          <a:extLst>
            <a:ext uri="{FF2B5EF4-FFF2-40B4-BE49-F238E27FC236}">
              <a16:creationId xmlns:a16="http://schemas.microsoft.com/office/drawing/2014/main" xmlns="" id="{00000000-0008-0000-0000-000084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669" name="Text Box 3083">
          <a:extLst>
            <a:ext uri="{FF2B5EF4-FFF2-40B4-BE49-F238E27FC236}">
              <a16:creationId xmlns:a16="http://schemas.microsoft.com/office/drawing/2014/main" xmlns="" id="{00000000-0008-0000-0000-000085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670" name="Text Box 3084">
          <a:extLst>
            <a:ext uri="{FF2B5EF4-FFF2-40B4-BE49-F238E27FC236}">
              <a16:creationId xmlns:a16="http://schemas.microsoft.com/office/drawing/2014/main" xmlns="" id="{00000000-0008-0000-0000-000086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671" name="Text Box 3085">
          <a:extLst>
            <a:ext uri="{FF2B5EF4-FFF2-40B4-BE49-F238E27FC236}">
              <a16:creationId xmlns:a16="http://schemas.microsoft.com/office/drawing/2014/main" xmlns="" id="{00000000-0008-0000-0000-000087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672" name="Text Box 3086">
          <a:extLst>
            <a:ext uri="{FF2B5EF4-FFF2-40B4-BE49-F238E27FC236}">
              <a16:creationId xmlns:a16="http://schemas.microsoft.com/office/drawing/2014/main" xmlns="" id="{00000000-0008-0000-0000-000088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673" name="Text Box 3087">
          <a:extLst>
            <a:ext uri="{FF2B5EF4-FFF2-40B4-BE49-F238E27FC236}">
              <a16:creationId xmlns:a16="http://schemas.microsoft.com/office/drawing/2014/main" xmlns="" id="{00000000-0008-0000-0000-000089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674" name="Text Box 3088">
          <a:extLst>
            <a:ext uri="{FF2B5EF4-FFF2-40B4-BE49-F238E27FC236}">
              <a16:creationId xmlns:a16="http://schemas.microsoft.com/office/drawing/2014/main" xmlns="" id="{00000000-0008-0000-0000-00008A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675" name="Text Box 3089">
          <a:extLst>
            <a:ext uri="{FF2B5EF4-FFF2-40B4-BE49-F238E27FC236}">
              <a16:creationId xmlns:a16="http://schemas.microsoft.com/office/drawing/2014/main" xmlns="" id="{00000000-0008-0000-0000-00008B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676" name="Text Box 3090">
          <a:extLst>
            <a:ext uri="{FF2B5EF4-FFF2-40B4-BE49-F238E27FC236}">
              <a16:creationId xmlns:a16="http://schemas.microsoft.com/office/drawing/2014/main" xmlns="" id="{00000000-0008-0000-0000-00008C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677" name="Text Box 3091">
          <a:extLst>
            <a:ext uri="{FF2B5EF4-FFF2-40B4-BE49-F238E27FC236}">
              <a16:creationId xmlns:a16="http://schemas.microsoft.com/office/drawing/2014/main" xmlns="" id="{00000000-0008-0000-0000-00008D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678" name="Text Box 3092">
          <a:extLst>
            <a:ext uri="{FF2B5EF4-FFF2-40B4-BE49-F238E27FC236}">
              <a16:creationId xmlns:a16="http://schemas.microsoft.com/office/drawing/2014/main" xmlns="" id="{00000000-0008-0000-0000-00008E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679" name="Text Box 3093">
          <a:extLst>
            <a:ext uri="{FF2B5EF4-FFF2-40B4-BE49-F238E27FC236}">
              <a16:creationId xmlns:a16="http://schemas.microsoft.com/office/drawing/2014/main" xmlns="" id="{00000000-0008-0000-0000-00008F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680" name="Text Box 3094">
          <a:extLst>
            <a:ext uri="{FF2B5EF4-FFF2-40B4-BE49-F238E27FC236}">
              <a16:creationId xmlns:a16="http://schemas.microsoft.com/office/drawing/2014/main" xmlns="" id="{00000000-0008-0000-0000-000090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681" name="Text Box 3095">
          <a:extLst>
            <a:ext uri="{FF2B5EF4-FFF2-40B4-BE49-F238E27FC236}">
              <a16:creationId xmlns:a16="http://schemas.microsoft.com/office/drawing/2014/main" xmlns="" id="{00000000-0008-0000-0000-000091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682" name="Text Box 3096">
          <a:extLst>
            <a:ext uri="{FF2B5EF4-FFF2-40B4-BE49-F238E27FC236}">
              <a16:creationId xmlns:a16="http://schemas.microsoft.com/office/drawing/2014/main" xmlns="" id="{00000000-0008-0000-0000-000092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683" name="Text Box 3097">
          <a:extLst>
            <a:ext uri="{FF2B5EF4-FFF2-40B4-BE49-F238E27FC236}">
              <a16:creationId xmlns:a16="http://schemas.microsoft.com/office/drawing/2014/main" xmlns="" id="{00000000-0008-0000-0000-000093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684" name="Text Box 3098">
          <a:extLst>
            <a:ext uri="{FF2B5EF4-FFF2-40B4-BE49-F238E27FC236}">
              <a16:creationId xmlns:a16="http://schemas.microsoft.com/office/drawing/2014/main" xmlns="" id="{00000000-0008-0000-0000-000094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685" name="Text Box 3099">
          <a:extLst>
            <a:ext uri="{FF2B5EF4-FFF2-40B4-BE49-F238E27FC236}">
              <a16:creationId xmlns:a16="http://schemas.microsoft.com/office/drawing/2014/main" xmlns="" id="{00000000-0008-0000-0000-000095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686" name="Text Box 3100">
          <a:extLst>
            <a:ext uri="{FF2B5EF4-FFF2-40B4-BE49-F238E27FC236}">
              <a16:creationId xmlns:a16="http://schemas.microsoft.com/office/drawing/2014/main" xmlns="" id="{00000000-0008-0000-0000-000096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687" name="Text Box 3101">
          <a:extLst>
            <a:ext uri="{FF2B5EF4-FFF2-40B4-BE49-F238E27FC236}">
              <a16:creationId xmlns:a16="http://schemas.microsoft.com/office/drawing/2014/main" xmlns="" id="{00000000-0008-0000-0000-000097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1688" name="Text Box 3102">
          <a:extLst>
            <a:ext uri="{FF2B5EF4-FFF2-40B4-BE49-F238E27FC236}">
              <a16:creationId xmlns:a16="http://schemas.microsoft.com/office/drawing/2014/main" xmlns="" id="{00000000-0008-0000-0000-000098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689" name="Text Box 59">
          <a:extLst>
            <a:ext uri="{FF2B5EF4-FFF2-40B4-BE49-F238E27FC236}">
              <a16:creationId xmlns:a16="http://schemas.microsoft.com/office/drawing/2014/main" xmlns="" id="{00000000-0008-0000-0000-000099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690" name="Text Box 60">
          <a:extLst>
            <a:ext uri="{FF2B5EF4-FFF2-40B4-BE49-F238E27FC236}">
              <a16:creationId xmlns:a16="http://schemas.microsoft.com/office/drawing/2014/main" xmlns="" id="{00000000-0008-0000-0000-00009A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691" name="Text Box 61">
          <a:extLst>
            <a:ext uri="{FF2B5EF4-FFF2-40B4-BE49-F238E27FC236}">
              <a16:creationId xmlns:a16="http://schemas.microsoft.com/office/drawing/2014/main" xmlns="" id="{00000000-0008-0000-0000-00009B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692" name="Text Box 62">
          <a:extLst>
            <a:ext uri="{FF2B5EF4-FFF2-40B4-BE49-F238E27FC236}">
              <a16:creationId xmlns:a16="http://schemas.microsoft.com/office/drawing/2014/main" xmlns="" id="{00000000-0008-0000-0000-00009C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693" name="Text Box 63">
          <a:extLst>
            <a:ext uri="{FF2B5EF4-FFF2-40B4-BE49-F238E27FC236}">
              <a16:creationId xmlns:a16="http://schemas.microsoft.com/office/drawing/2014/main" xmlns="" id="{00000000-0008-0000-0000-00009D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694" name="Text Box 64">
          <a:extLst>
            <a:ext uri="{FF2B5EF4-FFF2-40B4-BE49-F238E27FC236}">
              <a16:creationId xmlns:a16="http://schemas.microsoft.com/office/drawing/2014/main" xmlns="" id="{00000000-0008-0000-0000-00009E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695" name="Text Box 65">
          <a:extLst>
            <a:ext uri="{FF2B5EF4-FFF2-40B4-BE49-F238E27FC236}">
              <a16:creationId xmlns:a16="http://schemas.microsoft.com/office/drawing/2014/main" xmlns="" id="{00000000-0008-0000-0000-00009F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696" name="Text Box 66">
          <a:extLst>
            <a:ext uri="{FF2B5EF4-FFF2-40B4-BE49-F238E27FC236}">
              <a16:creationId xmlns:a16="http://schemas.microsoft.com/office/drawing/2014/main" xmlns="" id="{00000000-0008-0000-0000-0000A0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697" name="Text Box 67">
          <a:extLst>
            <a:ext uri="{FF2B5EF4-FFF2-40B4-BE49-F238E27FC236}">
              <a16:creationId xmlns:a16="http://schemas.microsoft.com/office/drawing/2014/main" xmlns="" id="{00000000-0008-0000-0000-0000A1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698" name="Text Box 68">
          <a:extLst>
            <a:ext uri="{FF2B5EF4-FFF2-40B4-BE49-F238E27FC236}">
              <a16:creationId xmlns:a16="http://schemas.microsoft.com/office/drawing/2014/main" xmlns="" id="{00000000-0008-0000-0000-0000A2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699" name="Text Box 69">
          <a:extLst>
            <a:ext uri="{FF2B5EF4-FFF2-40B4-BE49-F238E27FC236}">
              <a16:creationId xmlns:a16="http://schemas.microsoft.com/office/drawing/2014/main" xmlns="" id="{00000000-0008-0000-0000-0000A3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700" name="Text Box 70">
          <a:extLst>
            <a:ext uri="{FF2B5EF4-FFF2-40B4-BE49-F238E27FC236}">
              <a16:creationId xmlns:a16="http://schemas.microsoft.com/office/drawing/2014/main" xmlns="" id="{00000000-0008-0000-0000-0000A4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701" name="Text Box 71">
          <a:extLst>
            <a:ext uri="{FF2B5EF4-FFF2-40B4-BE49-F238E27FC236}">
              <a16:creationId xmlns:a16="http://schemas.microsoft.com/office/drawing/2014/main" xmlns="" id="{00000000-0008-0000-0000-0000A5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702" name="Text Box 72">
          <a:extLst>
            <a:ext uri="{FF2B5EF4-FFF2-40B4-BE49-F238E27FC236}">
              <a16:creationId xmlns:a16="http://schemas.microsoft.com/office/drawing/2014/main" xmlns="" id="{00000000-0008-0000-0000-0000A6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703" name="Text Box 73">
          <a:extLst>
            <a:ext uri="{FF2B5EF4-FFF2-40B4-BE49-F238E27FC236}">
              <a16:creationId xmlns:a16="http://schemas.microsoft.com/office/drawing/2014/main" xmlns="" id="{00000000-0008-0000-0000-0000A7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704" name="Text Box 74">
          <a:extLst>
            <a:ext uri="{FF2B5EF4-FFF2-40B4-BE49-F238E27FC236}">
              <a16:creationId xmlns:a16="http://schemas.microsoft.com/office/drawing/2014/main" xmlns="" id="{00000000-0008-0000-0000-0000A8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705" name="Text Box 75">
          <a:extLst>
            <a:ext uri="{FF2B5EF4-FFF2-40B4-BE49-F238E27FC236}">
              <a16:creationId xmlns:a16="http://schemas.microsoft.com/office/drawing/2014/main" xmlns="" id="{00000000-0008-0000-0000-0000A9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706" name="Text Box 76">
          <a:extLst>
            <a:ext uri="{FF2B5EF4-FFF2-40B4-BE49-F238E27FC236}">
              <a16:creationId xmlns:a16="http://schemas.microsoft.com/office/drawing/2014/main" xmlns="" id="{00000000-0008-0000-0000-0000AA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707" name="Text Box 77">
          <a:extLst>
            <a:ext uri="{FF2B5EF4-FFF2-40B4-BE49-F238E27FC236}">
              <a16:creationId xmlns:a16="http://schemas.microsoft.com/office/drawing/2014/main" xmlns="" id="{00000000-0008-0000-0000-0000AB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708" name="Text Box 78">
          <a:extLst>
            <a:ext uri="{FF2B5EF4-FFF2-40B4-BE49-F238E27FC236}">
              <a16:creationId xmlns:a16="http://schemas.microsoft.com/office/drawing/2014/main" xmlns="" id="{00000000-0008-0000-0000-0000AC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709" name="Text Box 79">
          <a:extLst>
            <a:ext uri="{FF2B5EF4-FFF2-40B4-BE49-F238E27FC236}">
              <a16:creationId xmlns:a16="http://schemas.microsoft.com/office/drawing/2014/main" xmlns="" id="{00000000-0008-0000-0000-0000AD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710" name="Text Box 80">
          <a:extLst>
            <a:ext uri="{FF2B5EF4-FFF2-40B4-BE49-F238E27FC236}">
              <a16:creationId xmlns:a16="http://schemas.microsoft.com/office/drawing/2014/main" xmlns="" id="{00000000-0008-0000-0000-0000AE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711" name="Text Box 81">
          <a:extLst>
            <a:ext uri="{FF2B5EF4-FFF2-40B4-BE49-F238E27FC236}">
              <a16:creationId xmlns:a16="http://schemas.microsoft.com/office/drawing/2014/main" xmlns="" id="{00000000-0008-0000-0000-0000AF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712" name="Text Box 3079">
          <a:extLst>
            <a:ext uri="{FF2B5EF4-FFF2-40B4-BE49-F238E27FC236}">
              <a16:creationId xmlns:a16="http://schemas.microsoft.com/office/drawing/2014/main" xmlns="" id="{00000000-0008-0000-0000-0000B0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713" name="Text Box 3080">
          <a:extLst>
            <a:ext uri="{FF2B5EF4-FFF2-40B4-BE49-F238E27FC236}">
              <a16:creationId xmlns:a16="http://schemas.microsoft.com/office/drawing/2014/main" xmlns="" id="{00000000-0008-0000-0000-0000B1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714" name="Text Box 3081">
          <a:extLst>
            <a:ext uri="{FF2B5EF4-FFF2-40B4-BE49-F238E27FC236}">
              <a16:creationId xmlns:a16="http://schemas.microsoft.com/office/drawing/2014/main" xmlns="" id="{00000000-0008-0000-0000-0000B2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715" name="Text Box 3082">
          <a:extLst>
            <a:ext uri="{FF2B5EF4-FFF2-40B4-BE49-F238E27FC236}">
              <a16:creationId xmlns:a16="http://schemas.microsoft.com/office/drawing/2014/main" xmlns="" id="{00000000-0008-0000-0000-0000B3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716" name="Text Box 3083">
          <a:extLst>
            <a:ext uri="{FF2B5EF4-FFF2-40B4-BE49-F238E27FC236}">
              <a16:creationId xmlns:a16="http://schemas.microsoft.com/office/drawing/2014/main" xmlns="" id="{00000000-0008-0000-0000-0000B4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717" name="Text Box 3084">
          <a:extLst>
            <a:ext uri="{FF2B5EF4-FFF2-40B4-BE49-F238E27FC236}">
              <a16:creationId xmlns:a16="http://schemas.microsoft.com/office/drawing/2014/main" xmlns="" id="{00000000-0008-0000-0000-0000B5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718" name="Text Box 3085">
          <a:extLst>
            <a:ext uri="{FF2B5EF4-FFF2-40B4-BE49-F238E27FC236}">
              <a16:creationId xmlns:a16="http://schemas.microsoft.com/office/drawing/2014/main" xmlns="" id="{00000000-0008-0000-0000-0000B6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719" name="Text Box 3086">
          <a:extLst>
            <a:ext uri="{FF2B5EF4-FFF2-40B4-BE49-F238E27FC236}">
              <a16:creationId xmlns:a16="http://schemas.microsoft.com/office/drawing/2014/main" xmlns="" id="{00000000-0008-0000-0000-0000B7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720" name="Text Box 3087">
          <a:extLst>
            <a:ext uri="{FF2B5EF4-FFF2-40B4-BE49-F238E27FC236}">
              <a16:creationId xmlns:a16="http://schemas.microsoft.com/office/drawing/2014/main" xmlns="" id="{00000000-0008-0000-0000-0000B8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721" name="Text Box 3088">
          <a:extLst>
            <a:ext uri="{FF2B5EF4-FFF2-40B4-BE49-F238E27FC236}">
              <a16:creationId xmlns:a16="http://schemas.microsoft.com/office/drawing/2014/main" xmlns="" id="{00000000-0008-0000-0000-0000B9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722" name="Text Box 3089">
          <a:extLst>
            <a:ext uri="{FF2B5EF4-FFF2-40B4-BE49-F238E27FC236}">
              <a16:creationId xmlns:a16="http://schemas.microsoft.com/office/drawing/2014/main" xmlns="" id="{00000000-0008-0000-0000-0000BA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723" name="Text Box 3090">
          <a:extLst>
            <a:ext uri="{FF2B5EF4-FFF2-40B4-BE49-F238E27FC236}">
              <a16:creationId xmlns:a16="http://schemas.microsoft.com/office/drawing/2014/main" xmlns="" id="{00000000-0008-0000-0000-0000BB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724" name="Text Box 3091">
          <a:extLst>
            <a:ext uri="{FF2B5EF4-FFF2-40B4-BE49-F238E27FC236}">
              <a16:creationId xmlns:a16="http://schemas.microsoft.com/office/drawing/2014/main" xmlns="" id="{00000000-0008-0000-0000-0000BC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725" name="Text Box 3092">
          <a:extLst>
            <a:ext uri="{FF2B5EF4-FFF2-40B4-BE49-F238E27FC236}">
              <a16:creationId xmlns:a16="http://schemas.microsoft.com/office/drawing/2014/main" xmlns="" id="{00000000-0008-0000-0000-0000BD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726" name="Text Box 3093">
          <a:extLst>
            <a:ext uri="{FF2B5EF4-FFF2-40B4-BE49-F238E27FC236}">
              <a16:creationId xmlns:a16="http://schemas.microsoft.com/office/drawing/2014/main" xmlns="" id="{00000000-0008-0000-0000-0000BE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727" name="Text Box 3094">
          <a:extLst>
            <a:ext uri="{FF2B5EF4-FFF2-40B4-BE49-F238E27FC236}">
              <a16:creationId xmlns:a16="http://schemas.microsoft.com/office/drawing/2014/main" xmlns="" id="{00000000-0008-0000-0000-0000BF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728" name="Text Box 3095">
          <a:extLst>
            <a:ext uri="{FF2B5EF4-FFF2-40B4-BE49-F238E27FC236}">
              <a16:creationId xmlns:a16="http://schemas.microsoft.com/office/drawing/2014/main" xmlns="" id="{00000000-0008-0000-0000-0000C0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729" name="Text Box 3096">
          <a:extLst>
            <a:ext uri="{FF2B5EF4-FFF2-40B4-BE49-F238E27FC236}">
              <a16:creationId xmlns:a16="http://schemas.microsoft.com/office/drawing/2014/main" xmlns="" id="{00000000-0008-0000-0000-0000C1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730" name="Text Box 3097">
          <a:extLst>
            <a:ext uri="{FF2B5EF4-FFF2-40B4-BE49-F238E27FC236}">
              <a16:creationId xmlns:a16="http://schemas.microsoft.com/office/drawing/2014/main" xmlns="" id="{00000000-0008-0000-0000-0000C2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731" name="Text Box 3098">
          <a:extLst>
            <a:ext uri="{FF2B5EF4-FFF2-40B4-BE49-F238E27FC236}">
              <a16:creationId xmlns:a16="http://schemas.microsoft.com/office/drawing/2014/main" xmlns="" id="{00000000-0008-0000-0000-0000C3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732" name="Text Box 3099">
          <a:extLst>
            <a:ext uri="{FF2B5EF4-FFF2-40B4-BE49-F238E27FC236}">
              <a16:creationId xmlns:a16="http://schemas.microsoft.com/office/drawing/2014/main" xmlns="" id="{00000000-0008-0000-0000-0000C4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733" name="Text Box 3100">
          <a:extLst>
            <a:ext uri="{FF2B5EF4-FFF2-40B4-BE49-F238E27FC236}">
              <a16:creationId xmlns:a16="http://schemas.microsoft.com/office/drawing/2014/main" xmlns="" id="{00000000-0008-0000-0000-0000C5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734" name="Text Box 3101">
          <a:extLst>
            <a:ext uri="{FF2B5EF4-FFF2-40B4-BE49-F238E27FC236}">
              <a16:creationId xmlns:a16="http://schemas.microsoft.com/office/drawing/2014/main" xmlns="" id="{00000000-0008-0000-0000-0000C6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1735" name="Text Box 3102">
          <a:extLst>
            <a:ext uri="{FF2B5EF4-FFF2-40B4-BE49-F238E27FC236}">
              <a16:creationId xmlns:a16="http://schemas.microsoft.com/office/drawing/2014/main" xmlns="" id="{00000000-0008-0000-0000-0000C7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736" name="Text Box 59">
          <a:extLst>
            <a:ext uri="{FF2B5EF4-FFF2-40B4-BE49-F238E27FC236}">
              <a16:creationId xmlns:a16="http://schemas.microsoft.com/office/drawing/2014/main" xmlns="" id="{00000000-0008-0000-0000-0000C8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737" name="Text Box 60">
          <a:extLst>
            <a:ext uri="{FF2B5EF4-FFF2-40B4-BE49-F238E27FC236}">
              <a16:creationId xmlns:a16="http://schemas.microsoft.com/office/drawing/2014/main" xmlns="" id="{00000000-0008-0000-0000-0000C9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738" name="Text Box 61">
          <a:extLst>
            <a:ext uri="{FF2B5EF4-FFF2-40B4-BE49-F238E27FC236}">
              <a16:creationId xmlns:a16="http://schemas.microsoft.com/office/drawing/2014/main" xmlns="" id="{00000000-0008-0000-0000-0000CA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739" name="Text Box 62">
          <a:extLst>
            <a:ext uri="{FF2B5EF4-FFF2-40B4-BE49-F238E27FC236}">
              <a16:creationId xmlns:a16="http://schemas.microsoft.com/office/drawing/2014/main" xmlns="" id="{00000000-0008-0000-0000-0000CB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740" name="Text Box 63">
          <a:extLst>
            <a:ext uri="{FF2B5EF4-FFF2-40B4-BE49-F238E27FC236}">
              <a16:creationId xmlns:a16="http://schemas.microsoft.com/office/drawing/2014/main" xmlns="" id="{00000000-0008-0000-0000-0000CC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741" name="Text Box 64">
          <a:extLst>
            <a:ext uri="{FF2B5EF4-FFF2-40B4-BE49-F238E27FC236}">
              <a16:creationId xmlns:a16="http://schemas.microsoft.com/office/drawing/2014/main" xmlns="" id="{00000000-0008-0000-0000-0000CD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742" name="Text Box 65">
          <a:extLst>
            <a:ext uri="{FF2B5EF4-FFF2-40B4-BE49-F238E27FC236}">
              <a16:creationId xmlns:a16="http://schemas.microsoft.com/office/drawing/2014/main" xmlns="" id="{00000000-0008-0000-0000-0000CE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743" name="Text Box 66">
          <a:extLst>
            <a:ext uri="{FF2B5EF4-FFF2-40B4-BE49-F238E27FC236}">
              <a16:creationId xmlns:a16="http://schemas.microsoft.com/office/drawing/2014/main" xmlns="" id="{00000000-0008-0000-0000-0000CF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744" name="Text Box 67">
          <a:extLst>
            <a:ext uri="{FF2B5EF4-FFF2-40B4-BE49-F238E27FC236}">
              <a16:creationId xmlns:a16="http://schemas.microsoft.com/office/drawing/2014/main" xmlns="" id="{00000000-0008-0000-0000-0000D0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745" name="Text Box 68">
          <a:extLst>
            <a:ext uri="{FF2B5EF4-FFF2-40B4-BE49-F238E27FC236}">
              <a16:creationId xmlns:a16="http://schemas.microsoft.com/office/drawing/2014/main" xmlns="" id="{00000000-0008-0000-0000-0000D1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746" name="Text Box 69">
          <a:extLst>
            <a:ext uri="{FF2B5EF4-FFF2-40B4-BE49-F238E27FC236}">
              <a16:creationId xmlns:a16="http://schemas.microsoft.com/office/drawing/2014/main" xmlns="" id="{00000000-0008-0000-0000-0000D2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747" name="Text Box 70">
          <a:extLst>
            <a:ext uri="{FF2B5EF4-FFF2-40B4-BE49-F238E27FC236}">
              <a16:creationId xmlns:a16="http://schemas.microsoft.com/office/drawing/2014/main" xmlns="" id="{00000000-0008-0000-0000-0000D3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748" name="Text Box 71">
          <a:extLst>
            <a:ext uri="{FF2B5EF4-FFF2-40B4-BE49-F238E27FC236}">
              <a16:creationId xmlns:a16="http://schemas.microsoft.com/office/drawing/2014/main" xmlns="" id="{00000000-0008-0000-0000-0000D4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749" name="Text Box 72">
          <a:extLst>
            <a:ext uri="{FF2B5EF4-FFF2-40B4-BE49-F238E27FC236}">
              <a16:creationId xmlns:a16="http://schemas.microsoft.com/office/drawing/2014/main" xmlns="" id="{00000000-0008-0000-0000-0000D5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750" name="Text Box 73">
          <a:extLst>
            <a:ext uri="{FF2B5EF4-FFF2-40B4-BE49-F238E27FC236}">
              <a16:creationId xmlns:a16="http://schemas.microsoft.com/office/drawing/2014/main" xmlns="" id="{00000000-0008-0000-0000-0000D6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751" name="Text Box 74">
          <a:extLst>
            <a:ext uri="{FF2B5EF4-FFF2-40B4-BE49-F238E27FC236}">
              <a16:creationId xmlns:a16="http://schemas.microsoft.com/office/drawing/2014/main" xmlns="" id="{00000000-0008-0000-0000-0000D7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752" name="Text Box 75">
          <a:extLst>
            <a:ext uri="{FF2B5EF4-FFF2-40B4-BE49-F238E27FC236}">
              <a16:creationId xmlns:a16="http://schemas.microsoft.com/office/drawing/2014/main" xmlns="" id="{00000000-0008-0000-0000-0000D8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753" name="Text Box 76">
          <a:extLst>
            <a:ext uri="{FF2B5EF4-FFF2-40B4-BE49-F238E27FC236}">
              <a16:creationId xmlns:a16="http://schemas.microsoft.com/office/drawing/2014/main" xmlns="" id="{00000000-0008-0000-0000-0000D9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754" name="Text Box 77">
          <a:extLst>
            <a:ext uri="{FF2B5EF4-FFF2-40B4-BE49-F238E27FC236}">
              <a16:creationId xmlns:a16="http://schemas.microsoft.com/office/drawing/2014/main" xmlns="" id="{00000000-0008-0000-0000-0000DA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755" name="Text Box 78">
          <a:extLst>
            <a:ext uri="{FF2B5EF4-FFF2-40B4-BE49-F238E27FC236}">
              <a16:creationId xmlns:a16="http://schemas.microsoft.com/office/drawing/2014/main" xmlns="" id="{00000000-0008-0000-0000-0000DB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756" name="Text Box 79">
          <a:extLst>
            <a:ext uri="{FF2B5EF4-FFF2-40B4-BE49-F238E27FC236}">
              <a16:creationId xmlns:a16="http://schemas.microsoft.com/office/drawing/2014/main" xmlns="" id="{00000000-0008-0000-0000-0000DC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757" name="Text Box 80">
          <a:extLst>
            <a:ext uri="{FF2B5EF4-FFF2-40B4-BE49-F238E27FC236}">
              <a16:creationId xmlns:a16="http://schemas.microsoft.com/office/drawing/2014/main" xmlns="" id="{00000000-0008-0000-0000-0000DD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758" name="Text Box 81">
          <a:extLst>
            <a:ext uri="{FF2B5EF4-FFF2-40B4-BE49-F238E27FC236}">
              <a16:creationId xmlns:a16="http://schemas.microsoft.com/office/drawing/2014/main" xmlns="" id="{00000000-0008-0000-0000-0000DE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47625"/>
    <xdr:sp macro="" textlink="">
      <xdr:nvSpPr>
        <xdr:cNvPr id="1759" name="Text Box 82">
          <a:extLst>
            <a:ext uri="{FF2B5EF4-FFF2-40B4-BE49-F238E27FC236}">
              <a16:creationId xmlns:a16="http://schemas.microsoft.com/office/drawing/2014/main" xmlns="" id="{00000000-0008-0000-0000-0000DF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760" name="Text Box 3079">
          <a:extLst>
            <a:ext uri="{FF2B5EF4-FFF2-40B4-BE49-F238E27FC236}">
              <a16:creationId xmlns:a16="http://schemas.microsoft.com/office/drawing/2014/main" xmlns="" id="{00000000-0008-0000-0000-0000E0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761" name="Text Box 3080">
          <a:extLst>
            <a:ext uri="{FF2B5EF4-FFF2-40B4-BE49-F238E27FC236}">
              <a16:creationId xmlns:a16="http://schemas.microsoft.com/office/drawing/2014/main" xmlns="" id="{00000000-0008-0000-0000-0000E1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762" name="Text Box 3081">
          <a:extLst>
            <a:ext uri="{FF2B5EF4-FFF2-40B4-BE49-F238E27FC236}">
              <a16:creationId xmlns:a16="http://schemas.microsoft.com/office/drawing/2014/main" xmlns="" id="{00000000-0008-0000-0000-0000E2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763" name="Text Box 3082">
          <a:extLst>
            <a:ext uri="{FF2B5EF4-FFF2-40B4-BE49-F238E27FC236}">
              <a16:creationId xmlns:a16="http://schemas.microsoft.com/office/drawing/2014/main" xmlns="" id="{00000000-0008-0000-0000-0000E3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764" name="Text Box 3083">
          <a:extLst>
            <a:ext uri="{FF2B5EF4-FFF2-40B4-BE49-F238E27FC236}">
              <a16:creationId xmlns:a16="http://schemas.microsoft.com/office/drawing/2014/main" xmlns="" id="{00000000-0008-0000-0000-0000E4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765" name="Text Box 3084">
          <a:extLst>
            <a:ext uri="{FF2B5EF4-FFF2-40B4-BE49-F238E27FC236}">
              <a16:creationId xmlns:a16="http://schemas.microsoft.com/office/drawing/2014/main" xmlns="" id="{00000000-0008-0000-0000-0000E5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766" name="Text Box 3085">
          <a:extLst>
            <a:ext uri="{FF2B5EF4-FFF2-40B4-BE49-F238E27FC236}">
              <a16:creationId xmlns:a16="http://schemas.microsoft.com/office/drawing/2014/main" xmlns="" id="{00000000-0008-0000-0000-0000E6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767" name="Text Box 3086">
          <a:extLst>
            <a:ext uri="{FF2B5EF4-FFF2-40B4-BE49-F238E27FC236}">
              <a16:creationId xmlns:a16="http://schemas.microsoft.com/office/drawing/2014/main" xmlns="" id="{00000000-0008-0000-0000-0000E7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768" name="Text Box 3087">
          <a:extLst>
            <a:ext uri="{FF2B5EF4-FFF2-40B4-BE49-F238E27FC236}">
              <a16:creationId xmlns:a16="http://schemas.microsoft.com/office/drawing/2014/main" xmlns="" id="{00000000-0008-0000-0000-0000E8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769" name="Text Box 3088">
          <a:extLst>
            <a:ext uri="{FF2B5EF4-FFF2-40B4-BE49-F238E27FC236}">
              <a16:creationId xmlns:a16="http://schemas.microsoft.com/office/drawing/2014/main" xmlns="" id="{00000000-0008-0000-0000-0000E9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770" name="Text Box 3089">
          <a:extLst>
            <a:ext uri="{FF2B5EF4-FFF2-40B4-BE49-F238E27FC236}">
              <a16:creationId xmlns:a16="http://schemas.microsoft.com/office/drawing/2014/main" xmlns="" id="{00000000-0008-0000-0000-0000EA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771" name="Text Box 3090">
          <a:extLst>
            <a:ext uri="{FF2B5EF4-FFF2-40B4-BE49-F238E27FC236}">
              <a16:creationId xmlns:a16="http://schemas.microsoft.com/office/drawing/2014/main" xmlns="" id="{00000000-0008-0000-0000-0000EB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772" name="Text Box 3091">
          <a:extLst>
            <a:ext uri="{FF2B5EF4-FFF2-40B4-BE49-F238E27FC236}">
              <a16:creationId xmlns:a16="http://schemas.microsoft.com/office/drawing/2014/main" xmlns="" id="{00000000-0008-0000-0000-0000EC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773" name="Text Box 3092">
          <a:extLst>
            <a:ext uri="{FF2B5EF4-FFF2-40B4-BE49-F238E27FC236}">
              <a16:creationId xmlns:a16="http://schemas.microsoft.com/office/drawing/2014/main" xmlns="" id="{00000000-0008-0000-0000-0000ED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774" name="Text Box 3093">
          <a:extLst>
            <a:ext uri="{FF2B5EF4-FFF2-40B4-BE49-F238E27FC236}">
              <a16:creationId xmlns:a16="http://schemas.microsoft.com/office/drawing/2014/main" xmlns="" id="{00000000-0008-0000-0000-0000EE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775" name="Text Box 3094">
          <a:extLst>
            <a:ext uri="{FF2B5EF4-FFF2-40B4-BE49-F238E27FC236}">
              <a16:creationId xmlns:a16="http://schemas.microsoft.com/office/drawing/2014/main" xmlns="" id="{00000000-0008-0000-0000-0000EF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776" name="Text Box 3095">
          <a:extLst>
            <a:ext uri="{FF2B5EF4-FFF2-40B4-BE49-F238E27FC236}">
              <a16:creationId xmlns:a16="http://schemas.microsoft.com/office/drawing/2014/main" xmlns="" id="{00000000-0008-0000-0000-0000F0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777" name="Text Box 3096">
          <a:extLst>
            <a:ext uri="{FF2B5EF4-FFF2-40B4-BE49-F238E27FC236}">
              <a16:creationId xmlns:a16="http://schemas.microsoft.com/office/drawing/2014/main" xmlns="" id="{00000000-0008-0000-0000-0000F1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778" name="Text Box 3097">
          <a:extLst>
            <a:ext uri="{FF2B5EF4-FFF2-40B4-BE49-F238E27FC236}">
              <a16:creationId xmlns:a16="http://schemas.microsoft.com/office/drawing/2014/main" xmlns="" id="{00000000-0008-0000-0000-0000F2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779" name="Text Box 3098">
          <a:extLst>
            <a:ext uri="{FF2B5EF4-FFF2-40B4-BE49-F238E27FC236}">
              <a16:creationId xmlns:a16="http://schemas.microsoft.com/office/drawing/2014/main" xmlns="" id="{00000000-0008-0000-0000-0000F3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780" name="Text Box 3099">
          <a:extLst>
            <a:ext uri="{FF2B5EF4-FFF2-40B4-BE49-F238E27FC236}">
              <a16:creationId xmlns:a16="http://schemas.microsoft.com/office/drawing/2014/main" xmlns="" id="{00000000-0008-0000-0000-0000F4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781" name="Text Box 3100">
          <a:extLst>
            <a:ext uri="{FF2B5EF4-FFF2-40B4-BE49-F238E27FC236}">
              <a16:creationId xmlns:a16="http://schemas.microsoft.com/office/drawing/2014/main" xmlns="" id="{00000000-0008-0000-0000-0000F5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782" name="Text Box 3101">
          <a:extLst>
            <a:ext uri="{FF2B5EF4-FFF2-40B4-BE49-F238E27FC236}">
              <a16:creationId xmlns:a16="http://schemas.microsoft.com/office/drawing/2014/main" xmlns="" id="{00000000-0008-0000-0000-0000F6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1783" name="Text Box 3102">
          <a:extLst>
            <a:ext uri="{FF2B5EF4-FFF2-40B4-BE49-F238E27FC236}">
              <a16:creationId xmlns:a16="http://schemas.microsoft.com/office/drawing/2014/main" xmlns="" id="{00000000-0008-0000-0000-0000F7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784" name="Text Box 59">
          <a:extLst>
            <a:ext uri="{FF2B5EF4-FFF2-40B4-BE49-F238E27FC236}">
              <a16:creationId xmlns:a16="http://schemas.microsoft.com/office/drawing/2014/main" xmlns="" id="{00000000-0008-0000-0000-0000F8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785" name="Text Box 60">
          <a:extLst>
            <a:ext uri="{FF2B5EF4-FFF2-40B4-BE49-F238E27FC236}">
              <a16:creationId xmlns:a16="http://schemas.microsoft.com/office/drawing/2014/main" xmlns="" id="{00000000-0008-0000-0000-0000F9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786" name="Text Box 61">
          <a:extLst>
            <a:ext uri="{FF2B5EF4-FFF2-40B4-BE49-F238E27FC236}">
              <a16:creationId xmlns:a16="http://schemas.microsoft.com/office/drawing/2014/main" xmlns="" id="{00000000-0008-0000-0000-0000FA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787" name="Text Box 62">
          <a:extLst>
            <a:ext uri="{FF2B5EF4-FFF2-40B4-BE49-F238E27FC236}">
              <a16:creationId xmlns:a16="http://schemas.microsoft.com/office/drawing/2014/main" xmlns="" id="{00000000-0008-0000-0000-0000FB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788" name="Text Box 63">
          <a:extLst>
            <a:ext uri="{FF2B5EF4-FFF2-40B4-BE49-F238E27FC236}">
              <a16:creationId xmlns:a16="http://schemas.microsoft.com/office/drawing/2014/main" xmlns="" id="{00000000-0008-0000-0000-0000FC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789" name="Text Box 64">
          <a:extLst>
            <a:ext uri="{FF2B5EF4-FFF2-40B4-BE49-F238E27FC236}">
              <a16:creationId xmlns:a16="http://schemas.microsoft.com/office/drawing/2014/main" xmlns="" id="{00000000-0008-0000-0000-0000FD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790" name="Text Box 65">
          <a:extLst>
            <a:ext uri="{FF2B5EF4-FFF2-40B4-BE49-F238E27FC236}">
              <a16:creationId xmlns:a16="http://schemas.microsoft.com/office/drawing/2014/main" xmlns="" id="{00000000-0008-0000-0000-0000FE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791" name="Text Box 66">
          <a:extLst>
            <a:ext uri="{FF2B5EF4-FFF2-40B4-BE49-F238E27FC236}">
              <a16:creationId xmlns:a16="http://schemas.microsoft.com/office/drawing/2014/main" xmlns="" id="{00000000-0008-0000-0000-0000FF06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792" name="Text Box 67">
          <a:extLst>
            <a:ext uri="{FF2B5EF4-FFF2-40B4-BE49-F238E27FC236}">
              <a16:creationId xmlns:a16="http://schemas.microsoft.com/office/drawing/2014/main" xmlns="" id="{00000000-0008-0000-0000-000000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793" name="Text Box 68">
          <a:extLst>
            <a:ext uri="{FF2B5EF4-FFF2-40B4-BE49-F238E27FC236}">
              <a16:creationId xmlns:a16="http://schemas.microsoft.com/office/drawing/2014/main" xmlns="" id="{00000000-0008-0000-0000-000001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794" name="Text Box 69">
          <a:extLst>
            <a:ext uri="{FF2B5EF4-FFF2-40B4-BE49-F238E27FC236}">
              <a16:creationId xmlns:a16="http://schemas.microsoft.com/office/drawing/2014/main" xmlns="" id="{00000000-0008-0000-0000-000002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795" name="Text Box 70">
          <a:extLst>
            <a:ext uri="{FF2B5EF4-FFF2-40B4-BE49-F238E27FC236}">
              <a16:creationId xmlns:a16="http://schemas.microsoft.com/office/drawing/2014/main" xmlns="" id="{00000000-0008-0000-0000-000003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796" name="Text Box 71">
          <a:extLst>
            <a:ext uri="{FF2B5EF4-FFF2-40B4-BE49-F238E27FC236}">
              <a16:creationId xmlns:a16="http://schemas.microsoft.com/office/drawing/2014/main" xmlns="" id="{00000000-0008-0000-0000-000004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797" name="Text Box 72">
          <a:extLst>
            <a:ext uri="{FF2B5EF4-FFF2-40B4-BE49-F238E27FC236}">
              <a16:creationId xmlns:a16="http://schemas.microsoft.com/office/drawing/2014/main" xmlns="" id="{00000000-0008-0000-0000-000005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798" name="Text Box 73">
          <a:extLst>
            <a:ext uri="{FF2B5EF4-FFF2-40B4-BE49-F238E27FC236}">
              <a16:creationId xmlns:a16="http://schemas.microsoft.com/office/drawing/2014/main" xmlns="" id="{00000000-0008-0000-0000-000006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799" name="Text Box 74">
          <a:extLst>
            <a:ext uri="{FF2B5EF4-FFF2-40B4-BE49-F238E27FC236}">
              <a16:creationId xmlns:a16="http://schemas.microsoft.com/office/drawing/2014/main" xmlns="" id="{00000000-0008-0000-0000-000007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800" name="Text Box 75">
          <a:extLst>
            <a:ext uri="{FF2B5EF4-FFF2-40B4-BE49-F238E27FC236}">
              <a16:creationId xmlns:a16="http://schemas.microsoft.com/office/drawing/2014/main" xmlns="" id="{00000000-0008-0000-0000-000008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801" name="Text Box 76">
          <a:extLst>
            <a:ext uri="{FF2B5EF4-FFF2-40B4-BE49-F238E27FC236}">
              <a16:creationId xmlns:a16="http://schemas.microsoft.com/office/drawing/2014/main" xmlns="" id="{00000000-0008-0000-0000-000009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802" name="Text Box 77">
          <a:extLst>
            <a:ext uri="{FF2B5EF4-FFF2-40B4-BE49-F238E27FC236}">
              <a16:creationId xmlns:a16="http://schemas.microsoft.com/office/drawing/2014/main" xmlns="" id="{00000000-0008-0000-0000-00000A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803" name="Text Box 78">
          <a:extLst>
            <a:ext uri="{FF2B5EF4-FFF2-40B4-BE49-F238E27FC236}">
              <a16:creationId xmlns:a16="http://schemas.microsoft.com/office/drawing/2014/main" xmlns="" id="{00000000-0008-0000-0000-00000B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804" name="Text Box 79">
          <a:extLst>
            <a:ext uri="{FF2B5EF4-FFF2-40B4-BE49-F238E27FC236}">
              <a16:creationId xmlns:a16="http://schemas.microsoft.com/office/drawing/2014/main" xmlns="" id="{00000000-0008-0000-0000-00000C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805" name="Text Box 80">
          <a:extLst>
            <a:ext uri="{FF2B5EF4-FFF2-40B4-BE49-F238E27FC236}">
              <a16:creationId xmlns:a16="http://schemas.microsoft.com/office/drawing/2014/main" xmlns="" id="{00000000-0008-0000-0000-00000D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806" name="Text Box 81">
          <a:extLst>
            <a:ext uri="{FF2B5EF4-FFF2-40B4-BE49-F238E27FC236}">
              <a16:creationId xmlns:a16="http://schemas.microsoft.com/office/drawing/2014/main" xmlns="" id="{00000000-0008-0000-0000-00000E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807" name="Text Box 3079">
          <a:extLst>
            <a:ext uri="{FF2B5EF4-FFF2-40B4-BE49-F238E27FC236}">
              <a16:creationId xmlns:a16="http://schemas.microsoft.com/office/drawing/2014/main" xmlns="" id="{00000000-0008-0000-0000-00000F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808" name="Text Box 3080">
          <a:extLst>
            <a:ext uri="{FF2B5EF4-FFF2-40B4-BE49-F238E27FC236}">
              <a16:creationId xmlns:a16="http://schemas.microsoft.com/office/drawing/2014/main" xmlns="" id="{00000000-0008-0000-0000-000010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809" name="Text Box 3081">
          <a:extLst>
            <a:ext uri="{FF2B5EF4-FFF2-40B4-BE49-F238E27FC236}">
              <a16:creationId xmlns:a16="http://schemas.microsoft.com/office/drawing/2014/main" xmlns="" id="{00000000-0008-0000-0000-000011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810" name="Text Box 3082">
          <a:extLst>
            <a:ext uri="{FF2B5EF4-FFF2-40B4-BE49-F238E27FC236}">
              <a16:creationId xmlns:a16="http://schemas.microsoft.com/office/drawing/2014/main" xmlns="" id="{00000000-0008-0000-0000-000012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811" name="Text Box 3083">
          <a:extLst>
            <a:ext uri="{FF2B5EF4-FFF2-40B4-BE49-F238E27FC236}">
              <a16:creationId xmlns:a16="http://schemas.microsoft.com/office/drawing/2014/main" xmlns="" id="{00000000-0008-0000-0000-000013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812" name="Text Box 3084">
          <a:extLst>
            <a:ext uri="{FF2B5EF4-FFF2-40B4-BE49-F238E27FC236}">
              <a16:creationId xmlns:a16="http://schemas.microsoft.com/office/drawing/2014/main" xmlns="" id="{00000000-0008-0000-0000-000014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813" name="Text Box 3085">
          <a:extLst>
            <a:ext uri="{FF2B5EF4-FFF2-40B4-BE49-F238E27FC236}">
              <a16:creationId xmlns:a16="http://schemas.microsoft.com/office/drawing/2014/main" xmlns="" id="{00000000-0008-0000-0000-000015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814" name="Text Box 3086">
          <a:extLst>
            <a:ext uri="{FF2B5EF4-FFF2-40B4-BE49-F238E27FC236}">
              <a16:creationId xmlns:a16="http://schemas.microsoft.com/office/drawing/2014/main" xmlns="" id="{00000000-0008-0000-0000-000016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815" name="Text Box 3087">
          <a:extLst>
            <a:ext uri="{FF2B5EF4-FFF2-40B4-BE49-F238E27FC236}">
              <a16:creationId xmlns:a16="http://schemas.microsoft.com/office/drawing/2014/main" xmlns="" id="{00000000-0008-0000-0000-000017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816" name="Text Box 3088">
          <a:extLst>
            <a:ext uri="{FF2B5EF4-FFF2-40B4-BE49-F238E27FC236}">
              <a16:creationId xmlns:a16="http://schemas.microsoft.com/office/drawing/2014/main" xmlns="" id="{00000000-0008-0000-0000-000018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817" name="Text Box 3089">
          <a:extLst>
            <a:ext uri="{FF2B5EF4-FFF2-40B4-BE49-F238E27FC236}">
              <a16:creationId xmlns:a16="http://schemas.microsoft.com/office/drawing/2014/main" xmlns="" id="{00000000-0008-0000-0000-000019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818" name="Text Box 3090">
          <a:extLst>
            <a:ext uri="{FF2B5EF4-FFF2-40B4-BE49-F238E27FC236}">
              <a16:creationId xmlns:a16="http://schemas.microsoft.com/office/drawing/2014/main" xmlns="" id="{00000000-0008-0000-0000-00001A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819" name="Text Box 3091">
          <a:extLst>
            <a:ext uri="{FF2B5EF4-FFF2-40B4-BE49-F238E27FC236}">
              <a16:creationId xmlns:a16="http://schemas.microsoft.com/office/drawing/2014/main" xmlns="" id="{00000000-0008-0000-0000-00001B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820" name="Text Box 3092">
          <a:extLst>
            <a:ext uri="{FF2B5EF4-FFF2-40B4-BE49-F238E27FC236}">
              <a16:creationId xmlns:a16="http://schemas.microsoft.com/office/drawing/2014/main" xmlns="" id="{00000000-0008-0000-0000-00001C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821" name="Text Box 3093">
          <a:extLst>
            <a:ext uri="{FF2B5EF4-FFF2-40B4-BE49-F238E27FC236}">
              <a16:creationId xmlns:a16="http://schemas.microsoft.com/office/drawing/2014/main" xmlns="" id="{00000000-0008-0000-0000-00001D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822" name="Text Box 3094">
          <a:extLst>
            <a:ext uri="{FF2B5EF4-FFF2-40B4-BE49-F238E27FC236}">
              <a16:creationId xmlns:a16="http://schemas.microsoft.com/office/drawing/2014/main" xmlns="" id="{00000000-0008-0000-0000-00001E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823" name="Text Box 3095">
          <a:extLst>
            <a:ext uri="{FF2B5EF4-FFF2-40B4-BE49-F238E27FC236}">
              <a16:creationId xmlns:a16="http://schemas.microsoft.com/office/drawing/2014/main" xmlns="" id="{00000000-0008-0000-0000-00001F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824" name="Text Box 3096">
          <a:extLst>
            <a:ext uri="{FF2B5EF4-FFF2-40B4-BE49-F238E27FC236}">
              <a16:creationId xmlns:a16="http://schemas.microsoft.com/office/drawing/2014/main" xmlns="" id="{00000000-0008-0000-0000-000020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825" name="Text Box 3097">
          <a:extLst>
            <a:ext uri="{FF2B5EF4-FFF2-40B4-BE49-F238E27FC236}">
              <a16:creationId xmlns:a16="http://schemas.microsoft.com/office/drawing/2014/main" xmlns="" id="{00000000-0008-0000-0000-000021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826" name="Text Box 3098">
          <a:extLst>
            <a:ext uri="{FF2B5EF4-FFF2-40B4-BE49-F238E27FC236}">
              <a16:creationId xmlns:a16="http://schemas.microsoft.com/office/drawing/2014/main" xmlns="" id="{00000000-0008-0000-0000-000022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827" name="Text Box 3099">
          <a:extLst>
            <a:ext uri="{FF2B5EF4-FFF2-40B4-BE49-F238E27FC236}">
              <a16:creationId xmlns:a16="http://schemas.microsoft.com/office/drawing/2014/main" xmlns="" id="{00000000-0008-0000-0000-000023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828" name="Text Box 3100">
          <a:extLst>
            <a:ext uri="{FF2B5EF4-FFF2-40B4-BE49-F238E27FC236}">
              <a16:creationId xmlns:a16="http://schemas.microsoft.com/office/drawing/2014/main" xmlns="" id="{00000000-0008-0000-0000-000024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829" name="Text Box 3101">
          <a:extLst>
            <a:ext uri="{FF2B5EF4-FFF2-40B4-BE49-F238E27FC236}">
              <a16:creationId xmlns:a16="http://schemas.microsoft.com/office/drawing/2014/main" xmlns="" id="{00000000-0008-0000-0000-000025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1830" name="Text Box 3102">
          <a:extLst>
            <a:ext uri="{FF2B5EF4-FFF2-40B4-BE49-F238E27FC236}">
              <a16:creationId xmlns:a16="http://schemas.microsoft.com/office/drawing/2014/main" xmlns="" id="{00000000-0008-0000-0000-000026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831" name="Text Box 59">
          <a:extLst>
            <a:ext uri="{FF2B5EF4-FFF2-40B4-BE49-F238E27FC236}">
              <a16:creationId xmlns:a16="http://schemas.microsoft.com/office/drawing/2014/main" xmlns="" id="{00000000-0008-0000-0000-000027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832" name="Text Box 60">
          <a:extLst>
            <a:ext uri="{FF2B5EF4-FFF2-40B4-BE49-F238E27FC236}">
              <a16:creationId xmlns:a16="http://schemas.microsoft.com/office/drawing/2014/main" xmlns="" id="{00000000-0008-0000-0000-000028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833" name="Text Box 61">
          <a:extLst>
            <a:ext uri="{FF2B5EF4-FFF2-40B4-BE49-F238E27FC236}">
              <a16:creationId xmlns:a16="http://schemas.microsoft.com/office/drawing/2014/main" xmlns="" id="{00000000-0008-0000-0000-000029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834" name="Text Box 62">
          <a:extLst>
            <a:ext uri="{FF2B5EF4-FFF2-40B4-BE49-F238E27FC236}">
              <a16:creationId xmlns:a16="http://schemas.microsoft.com/office/drawing/2014/main" xmlns="" id="{00000000-0008-0000-0000-00002A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835" name="Text Box 63">
          <a:extLst>
            <a:ext uri="{FF2B5EF4-FFF2-40B4-BE49-F238E27FC236}">
              <a16:creationId xmlns:a16="http://schemas.microsoft.com/office/drawing/2014/main" xmlns="" id="{00000000-0008-0000-0000-00002B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836" name="Text Box 64">
          <a:extLst>
            <a:ext uri="{FF2B5EF4-FFF2-40B4-BE49-F238E27FC236}">
              <a16:creationId xmlns:a16="http://schemas.microsoft.com/office/drawing/2014/main" xmlns="" id="{00000000-0008-0000-0000-00002C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837" name="Text Box 65">
          <a:extLst>
            <a:ext uri="{FF2B5EF4-FFF2-40B4-BE49-F238E27FC236}">
              <a16:creationId xmlns:a16="http://schemas.microsoft.com/office/drawing/2014/main" xmlns="" id="{00000000-0008-0000-0000-00002D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838" name="Text Box 66">
          <a:extLst>
            <a:ext uri="{FF2B5EF4-FFF2-40B4-BE49-F238E27FC236}">
              <a16:creationId xmlns:a16="http://schemas.microsoft.com/office/drawing/2014/main" xmlns="" id="{00000000-0008-0000-0000-00002E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839" name="Text Box 67">
          <a:extLst>
            <a:ext uri="{FF2B5EF4-FFF2-40B4-BE49-F238E27FC236}">
              <a16:creationId xmlns:a16="http://schemas.microsoft.com/office/drawing/2014/main" xmlns="" id="{00000000-0008-0000-0000-00002F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840" name="Text Box 68">
          <a:extLst>
            <a:ext uri="{FF2B5EF4-FFF2-40B4-BE49-F238E27FC236}">
              <a16:creationId xmlns:a16="http://schemas.microsoft.com/office/drawing/2014/main" xmlns="" id="{00000000-0008-0000-0000-000030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841" name="Text Box 69">
          <a:extLst>
            <a:ext uri="{FF2B5EF4-FFF2-40B4-BE49-F238E27FC236}">
              <a16:creationId xmlns:a16="http://schemas.microsoft.com/office/drawing/2014/main" xmlns="" id="{00000000-0008-0000-0000-000031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842" name="Text Box 70">
          <a:extLst>
            <a:ext uri="{FF2B5EF4-FFF2-40B4-BE49-F238E27FC236}">
              <a16:creationId xmlns:a16="http://schemas.microsoft.com/office/drawing/2014/main" xmlns="" id="{00000000-0008-0000-0000-000032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843" name="Text Box 71">
          <a:extLst>
            <a:ext uri="{FF2B5EF4-FFF2-40B4-BE49-F238E27FC236}">
              <a16:creationId xmlns:a16="http://schemas.microsoft.com/office/drawing/2014/main" xmlns="" id="{00000000-0008-0000-0000-000033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844" name="Text Box 72">
          <a:extLst>
            <a:ext uri="{FF2B5EF4-FFF2-40B4-BE49-F238E27FC236}">
              <a16:creationId xmlns:a16="http://schemas.microsoft.com/office/drawing/2014/main" xmlns="" id="{00000000-0008-0000-0000-000034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845" name="Text Box 73">
          <a:extLst>
            <a:ext uri="{FF2B5EF4-FFF2-40B4-BE49-F238E27FC236}">
              <a16:creationId xmlns:a16="http://schemas.microsoft.com/office/drawing/2014/main" xmlns="" id="{00000000-0008-0000-0000-000035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846" name="Text Box 74">
          <a:extLst>
            <a:ext uri="{FF2B5EF4-FFF2-40B4-BE49-F238E27FC236}">
              <a16:creationId xmlns:a16="http://schemas.microsoft.com/office/drawing/2014/main" xmlns="" id="{00000000-0008-0000-0000-000036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847" name="Text Box 75">
          <a:extLst>
            <a:ext uri="{FF2B5EF4-FFF2-40B4-BE49-F238E27FC236}">
              <a16:creationId xmlns:a16="http://schemas.microsoft.com/office/drawing/2014/main" xmlns="" id="{00000000-0008-0000-0000-000037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848" name="Text Box 76">
          <a:extLst>
            <a:ext uri="{FF2B5EF4-FFF2-40B4-BE49-F238E27FC236}">
              <a16:creationId xmlns:a16="http://schemas.microsoft.com/office/drawing/2014/main" xmlns="" id="{00000000-0008-0000-0000-000038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849" name="Text Box 77">
          <a:extLst>
            <a:ext uri="{FF2B5EF4-FFF2-40B4-BE49-F238E27FC236}">
              <a16:creationId xmlns:a16="http://schemas.microsoft.com/office/drawing/2014/main" xmlns="" id="{00000000-0008-0000-0000-000039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850" name="Text Box 78">
          <a:extLst>
            <a:ext uri="{FF2B5EF4-FFF2-40B4-BE49-F238E27FC236}">
              <a16:creationId xmlns:a16="http://schemas.microsoft.com/office/drawing/2014/main" xmlns="" id="{00000000-0008-0000-0000-00003A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851" name="Text Box 79">
          <a:extLst>
            <a:ext uri="{FF2B5EF4-FFF2-40B4-BE49-F238E27FC236}">
              <a16:creationId xmlns:a16="http://schemas.microsoft.com/office/drawing/2014/main" xmlns="" id="{00000000-0008-0000-0000-00003B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852" name="Text Box 80">
          <a:extLst>
            <a:ext uri="{FF2B5EF4-FFF2-40B4-BE49-F238E27FC236}">
              <a16:creationId xmlns:a16="http://schemas.microsoft.com/office/drawing/2014/main" xmlns="" id="{00000000-0008-0000-0000-00003C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853" name="Text Box 81">
          <a:extLst>
            <a:ext uri="{FF2B5EF4-FFF2-40B4-BE49-F238E27FC236}">
              <a16:creationId xmlns:a16="http://schemas.microsoft.com/office/drawing/2014/main" xmlns="" id="{00000000-0008-0000-0000-00003D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47625"/>
    <xdr:sp macro="" textlink="">
      <xdr:nvSpPr>
        <xdr:cNvPr id="1854" name="Text Box 82">
          <a:extLst>
            <a:ext uri="{FF2B5EF4-FFF2-40B4-BE49-F238E27FC236}">
              <a16:creationId xmlns:a16="http://schemas.microsoft.com/office/drawing/2014/main" xmlns="" id="{00000000-0008-0000-0000-00003E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855" name="Text Box 3079">
          <a:extLst>
            <a:ext uri="{FF2B5EF4-FFF2-40B4-BE49-F238E27FC236}">
              <a16:creationId xmlns:a16="http://schemas.microsoft.com/office/drawing/2014/main" xmlns="" id="{00000000-0008-0000-0000-00003F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856" name="Text Box 3080">
          <a:extLst>
            <a:ext uri="{FF2B5EF4-FFF2-40B4-BE49-F238E27FC236}">
              <a16:creationId xmlns:a16="http://schemas.microsoft.com/office/drawing/2014/main" xmlns="" id="{00000000-0008-0000-0000-000040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857" name="Text Box 3081">
          <a:extLst>
            <a:ext uri="{FF2B5EF4-FFF2-40B4-BE49-F238E27FC236}">
              <a16:creationId xmlns:a16="http://schemas.microsoft.com/office/drawing/2014/main" xmlns="" id="{00000000-0008-0000-0000-000041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858" name="Text Box 3082">
          <a:extLst>
            <a:ext uri="{FF2B5EF4-FFF2-40B4-BE49-F238E27FC236}">
              <a16:creationId xmlns:a16="http://schemas.microsoft.com/office/drawing/2014/main" xmlns="" id="{00000000-0008-0000-0000-000042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859" name="Text Box 3083">
          <a:extLst>
            <a:ext uri="{FF2B5EF4-FFF2-40B4-BE49-F238E27FC236}">
              <a16:creationId xmlns:a16="http://schemas.microsoft.com/office/drawing/2014/main" xmlns="" id="{00000000-0008-0000-0000-000043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860" name="Text Box 3084">
          <a:extLst>
            <a:ext uri="{FF2B5EF4-FFF2-40B4-BE49-F238E27FC236}">
              <a16:creationId xmlns:a16="http://schemas.microsoft.com/office/drawing/2014/main" xmlns="" id="{00000000-0008-0000-0000-000044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861" name="Text Box 3085">
          <a:extLst>
            <a:ext uri="{FF2B5EF4-FFF2-40B4-BE49-F238E27FC236}">
              <a16:creationId xmlns:a16="http://schemas.microsoft.com/office/drawing/2014/main" xmlns="" id="{00000000-0008-0000-0000-000045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862" name="Text Box 3086">
          <a:extLst>
            <a:ext uri="{FF2B5EF4-FFF2-40B4-BE49-F238E27FC236}">
              <a16:creationId xmlns:a16="http://schemas.microsoft.com/office/drawing/2014/main" xmlns="" id="{00000000-0008-0000-0000-000046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863" name="Text Box 3087">
          <a:extLst>
            <a:ext uri="{FF2B5EF4-FFF2-40B4-BE49-F238E27FC236}">
              <a16:creationId xmlns:a16="http://schemas.microsoft.com/office/drawing/2014/main" xmlns="" id="{00000000-0008-0000-0000-000047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864" name="Text Box 3088">
          <a:extLst>
            <a:ext uri="{FF2B5EF4-FFF2-40B4-BE49-F238E27FC236}">
              <a16:creationId xmlns:a16="http://schemas.microsoft.com/office/drawing/2014/main" xmlns="" id="{00000000-0008-0000-0000-000048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865" name="Text Box 3089">
          <a:extLst>
            <a:ext uri="{FF2B5EF4-FFF2-40B4-BE49-F238E27FC236}">
              <a16:creationId xmlns:a16="http://schemas.microsoft.com/office/drawing/2014/main" xmlns="" id="{00000000-0008-0000-0000-000049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866" name="Text Box 3090">
          <a:extLst>
            <a:ext uri="{FF2B5EF4-FFF2-40B4-BE49-F238E27FC236}">
              <a16:creationId xmlns:a16="http://schemas.microsoft.com/office/drawing/2014/main" xmlns="" id="{00000000-0008-0000-0000-00004A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867" name="Text Box 3091">
          <a:extLst>
            <a:ext uri="{FF2B5EF4-FFF2-40B4-BE49-F238E27FC236}">
              <a16:creationId xmlns:a16="http://schemas.microsoft.com/office/drawing/2014/main" xmlns="" id="{00000000-0008-0000-0000-00004B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868" name="Text Box 3092">
          <a:extLst>
            <a:ext uri="{FF2B5EF4-FFF2-40B4-BE49-F238E27FC236}">
              <a16:creationId xmlns:a16="http://schemas.microsoft.com/office/drawing/2014/main" xmlns="" id="{00000000-0008-0000-0000-00004C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869" name="Text Box 3093">
          <a:extLst>
            <a:ext uri="{FF2B5EF4-FFF2-40B4-BE49-F238E27FC236}">
              <a16:creationId xmlns:a16="http://schemas.microsoft.com/office/drawing/2014/main" xmlns="" id="{00000000-0008-0000-0000-00004D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870" name="Text Box 3094">
          <a:extLst>
            <a:ext uri="{FF2B5EF4-FFF2-40B4-BE49-F238E27FC236}">
              <a16:creationId xmlns:a16="http://schemas.microsoft.com/office/drawing/2014/main" xmlns="" id="{00000000-0008-0000-0000-00004E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871" name="Text Box 3095">
          <a:extLst>
            <a:ext uri="{FF2B5EF4-FFF2-40B4-BE49-F238E27FC236}">
              <a16:creationId xmlns:a16="http://schemas.microsoft.com/office/drawing/2014/main" xmlns="" id="{00000000-0008-0000-0000-00004F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872" name="Text Box 3096">
          <a:extLst>
            <a:ext uri="{FF2B5EF4-FFF2-40B4-BE49-F238E27FC236}">
              <a16:creationId xmlns:a16="http://schemas.microsoft.com/office/drawing/2014/main" xmlns="" id="{00000000-0008-0000-0000-000050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873" name="Text Box 3097">
          <a:extLst>
            <a:ext uri="{FF2B5EF4-FFF2-40B4-BE49-F238E27FC236}">
              <a16:creationId xmlns:a16="http://schemas.microsoft.com/office/drawing/2014/main" xmlns="" id="{00000000-0008-0000-0000-000051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874" name="Text Box 3098">
          <a:extLst>
            <a:ext uri="{FF2B5EF4-FFF2-40B4-BE49-F238E27FC236}">
              <a16:creationId xmlns:a16="http://schemas.microsoft.com/office/drawing/2014/main" xmlns="" id="{00000000-0008-0000-0000-000052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875" name="Text Box 3099">
          <a:extLst>
            <a:ext uri="{FF2B5EF4-FFF2-40B4-BE49-F238E27FC236}">
              <a16:creationId xmlns:a16="http://schemas.microsoft.com/office/drawing/2014/main" xmlns="" id="{00000000-0008-0000-0000-000053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876" name="Text Box 3100">
          <a:extLst>
            <a:ext uri="{FF2B5EF4-FFF2-40B4-BE49-F238E27FC236}">
              <a16:creationId xmlns:a16="http://schemas.microsoft.com/office/drawing/2014/main" xmlns="" id="{00000000-0008-0000-0000-000054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877" name="Text Box 3101">
          <a:extLst>
            <a:ext uri="{FF2B5EF4-FFF2-40B4-BE49-F238E27FC236}">
              <a16:creationId xmlns:a16="http://schemas.microsoft.com/office/drawing/2014/main" xmlns="" id="{00000000-0008-0000-0000-000055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1878" name="Text Box 3102">
          <a:extLst>
            <a:ext uri="{FF2B5EF4-FFF2-40B4-BE49-F238E27FC236}">
              <a16:creationId xmlns:a16="http://schemas.microsoft.com/office/drawing/2014/main" xmlns="" id="{00000000-0008-0000-0000-000056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879" name="Text Box 59">
          <a:extLst>
            <a:ext uri="{FF2B5EF4-FFF2-40B4-BE49-F238E27FC236}">
              <a16:creationId xmlns:a16="http://schemas.microsoft.com/office/drawing/2014/main" xmlns="" id="{00000000-0008-0000-0000-000057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880" name="Text Box 60">
          <a:extLst>
            <a:ext uri="{FF2B5EF4-FFF2-40B4-BE49-F238E27FC236}">
              <a16:creationId xmlns:a16="http://schemas.microsoft.com/office/drawing/2014/main" xmlns="" id="{00000000-0008-0000-0000-000058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881" name="Text Box 61">
          <a:extLst>
            <a:ext uri="{FF2B5EF4-FFF2-40B4-BE49-F238E27FC236}">
              <a16:creationId xmlns:a16="http://schemas.microsoft.com/office/drawing/2014/main" xmlns="" id="{00000000-0008-0000-0000-000059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882" name="Text Box 62">
          <a:extLst>
            <a:ext uri="{FF2B5EF4-FFF2-40B4-BE49-F238E27FC236}">
              <a16:creationId xmlns:a16="http://schemas.microsoft.com/office/drawing/2014/main" xmlns="" id="{00000000-0008-0000-0000-00005A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883" name="Text Box 63">
          <a:extLst>
            <a:ext uri="{FF2B5EF4-FFF2-40B4-BE49-F238E27FC236}">
              <a16:creationId xmlns:a16="http://schemas.microsoft.com/office/drawing/2014/main" xmlns="" id="{00000000-0008-0000-0000-00005B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884" name="Text Box 64">
          <a:extLst>
            <a:ext uri="{FF2B5EF4-FFF2-40B4-BE49-F238E27FC236}">
              <a16:creationId xmlns:a16="http://schemas.microsoft.com/office/drawing/2014/main" xmlns="" id="{00000000-0008-0000-0000-00005C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885" name="Text Box 65">
          <a:extLst>
            <a:ext uri="{FF2B5EF4-FFF2-40B4-BE49-F238E27FC236}">
              <a16:creationId xmlns:a16="http://schemas.microsoft.com/office/drawing/2014/main" xmlns="" id="{00000000-0008-0000-0000-00005D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886" name="Text Box 66">
          <a:extLst>
            <a:ext uri="{FF2B5EF4-FFF2-40B4-BE49-F238E27FC236}">
              <a16:creationId xmlns:a16="http://schemas.microsoft.com/office/drawing/2014/main" xmlns="" id="{00000000-0008-0000-0000-00005E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887" name="Text Box 67">
          <a:extLst>
            <a:ext uri="{FF2B5EF4-FFF2-40B4-BE49-F238E27FC236}">
              <a16:creationId xmlns:a16="http://schemas.microsoft.com/office/drawing/2014/main" xmlns="" id="{00000000-0008-0000-0000-00005F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888" name="Text Box 68">
          <a:extLst>
            <a:ext uri="{FF2B5EF4-FFF2-40B4-BE49-F238E27FC236}">
              <a16:creationId xmlns:a16="http://schemas.microsoft.com/office/drawing/2014/main" xmlns="" id="{00000000-0008-0000-0000-000060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889" name="Text Box 69">
          <a:extLst>
            <a:ext uri="{FF2B5EF4-FFF2-40B4-BE49-F238E27FC236}">
              <a16:creationId xmlns:a16="http://schemas.microsoft.com/office/drawing/2014/main" xmlns="" id="{00000000-0008-0000-0000-000061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890" name="Text Box 70">
          <a:extLst>
            <a:ext uri="{FF2B5EF4-FFF2-40B4-BE49-F238E27FC236}">
              <a16:creationId xmlns:a16="http://schemas.microsoft.com/office/drawing/2014/main" xmlns="" id="{00000000-0008-0000-0000-000062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891" name="Text Box 71">
          <a:extLst>
            <a:ext uri="{FF2B5EF4-FFF2-40B4-BE49-F238E27FC236}">
              <a16:creationId xmlns:a16="http://schemas.microsoft.com/office/drawing/2014/main" xmlns="" id="{00000000-0008-0000-0000-000063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892" name="Text Box 72">
          <a:extLst>
            <a:ext uri="{FF2B5EF4-FFF2-40B4-BE49-F238E27FC236}">
              <a16:creationId xmlns:a16="http://schemas.microsoft.com/office/drawing/2014/main" xmlns="" id="{00000000-0008-0000-0000-000064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893" name="Text Box 73">
          <a:extLst>
            <a:ext uri="{FF2B5EF4-FFF2-40B4-BE49-F238E27FC236}">
              <a16:creationId xmlns:a16="http://schemas.microsoft.com/office/drawing/2014/main" xmlns="" id="{00000000-0008-0000-0000-000065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894" name="Text Box 74">
          <a:extLst>
            <a:ext uri="{FF2B5EF4-FFF2-40B4-BE49-F238E27FC236}">
              <a16:creationId xmlns:a16="http://schemas.microsoft.com/office/drawing/2014/main" xmlns="" id="{00000000-0008-0000-0000-000066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895" name="Text Box 75">
          <a:extLst>
            <a:ext uri="{FF2B5EF4-FFF2-40B4-BE49-F238E27FC236}">
              <a16:creationId xmlns:a16="http://schemas.microsoft.com/office/drawing/2014/main" xmlns="" id="{00000000-0008-0000-0000-000067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896" name="Text Box 76">
          <a:extLst>
            <a:ext uri="{FF2B5EF4-FFF2-40B4-BE49-F238E27FC236}">
              <a16:creationId xmlns:a16="http://schemas.microsoft.com/office/drawing/2014/main" xmlns="" id="{00000000-0008-0000-0000-000068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897" name="Text Box 77">
          <a:extLst>
            <a:ext uri="{FF2B5EF4-FFF2-40B4-BE49-F238E27FC236}">
              <a16:creationId xmlns:a16="http://schemas.microsoft.com/office/drawing/2014/main" xmlns="" id="{00000000-0008-0000-0000-000069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898" name="Text Box 78">
          <a:extLst>
            <a:ext uri="{FF2B5EF4-FFF2-40B4-BE49-F238E27FC236}">
              <a16:creationId xmlns:a16="http://schemas.microsoft.com/office/drawing/2014/main" xmlns="" id="{00000000-0008-0000-0000-00006A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899" name="Text Box 79">
          <a:extLst>
            <a:ext uri="{FF2B5EF4-FFF2-40B4-BE49-F238E27FC236}">
              <a16:creationId xmlns:a16="http://schemas.microsoft.com/office/drawing/2014/main" xmlns="" id="{00000000-0008-0000-0000-00006B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900" name="Text Box 80">
          <a:extLst>
            <a:ext uri="{FF2B5EF4-FFF2-40B4-BE49-F238E27FC236}">
              <a16:creationId xmlns:a16="http://schemas.microsoft.com/office/drawing/2014/main" xmlns="" id="{00000000-0008-0000-0000-00006C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901" name="Text Box 81">
          <a:extLst>
            <a:ext uri="{FF2B5EF4-FFF2-40B4-BE49-F238E27FC236}">
              <a16:creationId xmlns:a16="http://schemas.microsoft.com/office/drawing/2014/main" xmlns="" id="{00000000-0008-0000-0000-00006D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902" name="Text Box 3079">
          <a:extLst>
            <a:ext uri="{FF2B5EF4-FFF2-40B4-BE49-F238E27FC236}">
              <a16:creationId xmlns:a16="http://schemas.microsoft.com/office/drawing/2014/main" xmlns="" id="{00000000-0008-0000-0000-00006E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903" name="Text Box 3080">
          <a:extLst>
            <a:ext uri="{FF2B5EF4-FFF2-40B4-BE49-F238E27FC236}">
              <a16:creationId xmlns:a16="http://schemas.microsoft.com/office/drawing/2014/main" xmlns="" id="{00000000-0008-0000-0000-00006F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904" name="Text Box 3081">
          <a:extLst>
            <a:ext uri="{FF2B5EF4-FFF2-40B4-BE49-F238E27FC236}">
              <a16:creationId xmlns:a16="http://schemas.microsoft.com/office/drawing/2014/main" xmlns="" id="{00000000-0008-0000-0000-000070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905" name="Text Box 3082">
          <a:extLst>
            <a:ext uri="{FF2B5EF4-FFF2-40B4-BE49-F238E27FC236}">
              <a16:creationId xmlns:a16="http://schemas.microsoft.com/office/drawing/2014/main" xmlns="" id="{00000000-0008-0000-0000-000071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906" name="Text Box 3083">
          <a:extLst>
            <a:ext uri="{FF2B5EF4-FFF2-40B4-BE49-F238E27FC236}">
              <a16:creationId xmlns:a16="http://schemas.microsoft.com/office/drawing/2014/main" xmlns="" id="{00000000-0008-0000-0000-000072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907" name="Text Box 3084">
          <a:extLst>
            <a:ext uri="{FF2B5EF4-FFF2-40B4-BE49-F238E27FC236}">
              <a16:creationId xmlns:a16="http://schemas.microsoft.com/office/drawing/2014/main" xmlns="" id="{00000000-0008-0000-0000-000073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908" name="Text Box 3085">
          <a:extLst>
            <a:ext uri="{FF2B5EF4-FFF2-40B4-BE49-F238E27FC236}">
              <a16:creationId xmlns:a16="http://schemas.microsoft.com/office/drawing/2014/main" xmlns="" id="{00000000-0008-0000-0000-000074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909" name="Text Box 3086">
          <a:extLst>
            <a:ext uri="{FF2B5EF4-FFF2-40B4-BE49-F238E27FC236}">
              <a16:creationId xmlns:a16="http://schemas.microsoft.com/office/drawing/2014/main" xmlns="" id="{00000000-0008-0000-0000-000075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910" name="Text Box 3087">
          <a:extLst>
            <a:ext uri="{FF2B5EF4-FFF2-40B4-BE49-F238E27FC236}">
              <a16:creationId xmlns:a16="http://schemas.microsoft.com/office/drawing/2014/main" xmlns="" id="{00000000-0008-0000-0000-000076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911" name="Text Box 3088">
          <a:extLst>
            <a:ext uri="{FF2B5EF4-FFF2-40B4-BE49-F238E27FC236}">
              <a16:creationId xmlns:a16="http://schemas.microsoft.com/office/drawing/2014/main" xmlns="" id="{00000000-0008-0000-0000-000077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912" name="Text Box 3089">
          <a:extLst>
            <a:ext uri="{FF2B5EF4-FFF2-40B4-BE49-F238E27FC236}">
              <a16:creationId xmlns:a16="http://schemas.microsoft.com/office/drawing/2014/main" xmlns="" id="{00000000-0008-0000-0000-000078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913" name="Text Box 3090">
          <a:extLst>
            <a:ext uri="{FF2B5EF4-FFF2-40B4-BE49-F238E27FC236}">
              <a16:creationId xmlns:a16="http://schemas.microsoft.com/office/drawing/2014/main" xmlns="" id="{00000000-0008-0000-0000-000079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914" name="Text Box 3091">
          <a:extLst>
            <a:ext uri="{FF2B5EF4-FFF2-40B4-BE49-F238E27FC236}">
              <a16:creationId xmlns:a16="http://schemas.microsoft.com/office/drawing/2014/main" xmlns="" id="{00000000-0008-0000-0000-00007A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915" name="Text Box 3092">
          <a:extLst>
            <a:ext uri="{FF2B5EF4-FFF2-40B4-BE49-F238E27FC236}">
              <a16:creationId xmlns:a16="http://schemas.microsoft.com/office/drawing/2014/main" xmlns="" id="{00000000-0008-0000-0000-00007B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916" name="Text Box 3093">
          <a:extLst>
            <a:ext uri="{FF2B5EF4-FFF2-40B4-BE49-F238E27FC236}">
              <a16:creationId xmlns:a16="http://schemas.microsoft.com/office/drawing/2014/main" xmlns="" id="{00000000-0008-0000-0000-00007C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917" name="Text Box 3094">
          <a:extLst>
            <a:ext uri="{FF2B5EF4-FFF2-40B4-BE49-F238E27FC236}">
              <a16:creationId xmlns:a16="http://schemas.microsoft.com/office/drawing/2014/main" xmlns="" id="{00000000-0008-0000-0000-00007D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918" name="Text Box 3095">
          <a:extLst>
            <a:ext uri="{FF2B5EF4-FFF2-40B4-BE49-F238E27FC236}">
              <a16:creationId xmlns:a16="http://schemas.microsoft.com/office/drawing/2014/main" xmlns="" id="{00000000-0008-0000-0000-00007E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919" name="Text Box 3096">
          <a:extLst>
            <a:ext uri="{FF2B5EF4-FFF2-40B4-BE49-F238E27FC236}">
              <a16:creationId xmlns:a16="http://schemas.microsoft.com/office/drawing/2014/main" xmlns="" id="{00000000-0008-0000-0000-00007F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920" name="Text Box 3097">
          <a:extLst>
            <a:ext uri="{FF2B5EF4-FFF2-40B4-BE49-F238E27FC236}">
              <a16:creationId xmlns:a16="http://schemas.microsoft.com/office/drawing/2014/main" xmlns="" id="{00000000-0008-0000-0000-000080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921" name="Text Box 3098">
          <a:extLst>
            <a:ext uri="{FF2B5EF4-FFF2-40B4-BE49-F238E27FC236}">
              <a16:creationId xmlns:a16="http://schemas.microsoft.com/office/drawing/2014/main" xmlns="" id="{00000000-0008-0000-0000-000081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922" name="Text Box 3099">
          <a:extLst>
            <a:ext uri="{FF2B5EF4-FFF2-40B4-BE49-F238E27FC236}">
              <a16:creationId xmlns:a16="http://schemas.microsoft.com/office/drawing/2014/main" xmlns="" id="{00000000-0008-0000-0000-000082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923" name="Text Box 3100">
          <a:extLst>
            <a:ext uri="{FF2B5EF4-FFF2-40B4-BE49-F238E27FC236}">
              <a16:creationId xmlns:a16="http://schemas.microsoft.com/office/drawing/2014/main" xmlns="" id="{00000000-0008-0000-0000-000083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924" name="Text Box 3101">
          <a:extLst>
            <a:ext uri="{FF2B5EF4-FFF2-40B4-BE49-F238E27FC236}">
              <a16:creationId xmlns:a16="http://schemas.microsoft.com/office/drawing/2014/main" xmlns="" id="{00000000-0008-0000-0000-000084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1925" name="Text Box 3102">
          <a:extLst>
            <a:ext uri="{FF2B5EF4-FFF2-40B4-BE49-F238E27FC236}">
              <a16:creationId xmlns:a16="http://schemas.microsoft.com/office/drawing/2014/main" xmlns="" id="{00000000-0008-0000-0000-000085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926" name="Text Box 59">
          <a:extLst>
            <a:ext uri="{FF2B5EF4-FFF2-40B4-BE49-F238E27FC236}">
              <a16:creationId xmlns:a16="http://schemas.microsoft.com/office/drawing/2014/main" xmlns="" id="{00000000-0008-0000-0000-000086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927" name="Text Box 60">
          <a:extLst>
            <a:ext uri="{FF2B5EF4-FFF2-40B4-BE49-F238E27FC236}">
              <a16:creationId xmlns:a16="http://schemas.microsoft.com/office/drawing/2014/main" xmlns="" id="{00000000-0008-0000-0000-000087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928" name="Text Box 61">
          <a:extLst>
            <a:ext uri="{FF2B5EF4-FFF2-40B4-BE49-F238E27FC236}">
              <a16:creationId xmlns:a16="http://schemas.microsoft.com/office/drawing/2014/main" xmlns="" id="{00000000-0008-0000-0000-000088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929" name="Text Box 62">
          <a:extLst>
            <a:ext uri="{FF2B5EF4-FFF2-40B4-BE49-F238E27FC236}">
              <a16:creationId xmlns:a16="http://schemas.microsoft.com/office/drawing/2014/main" xmlns="" id="{00000000-0008-0000-0000-000089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930" name="Text Box 63">
          <a:extLst>
            <a:ext uri="{FF2B5EF4-FFF2-40B4-BE49-F238E27FC236}">
              <a16:creationId xmlns:a16="http://schemas.microsoft.com/office/drawing/2014/main" xmlns="" id="{00000000-0008-0000-0000-00008A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931" name="Text Box 64">
          <a:extLst>
            <a:ext uri="{FF2B5EF4-FFF2-40B4-BE49-F238E27FC236}">
              <a16:creationId xmlns:a16="http://schemas.microsoft.com/office/drawing/2014/main" xmlns="" id="{00000000-0008-0000-0000-00008B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932" name="Text Box 65">
          <a:extLst>
            <a:ext uri="{FF2B5EF4-FFF2-40B4-BE49-F238E27FC236}">
              <a16:creationId xmlns:a16="http://schemas.microsoft.com/office/drawing/2014/main" xmlns="" id="{00000000-0008-0000-0000-00008C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933" name="Text Box 66">
          <a:extLst>
            <a:ext uri="{FF2B5EF4-FFF2-40B4-BE49-F238E27FC236}">
              <a16:creationId xmlns:a16="http://schemas.microsoft.com/office/drawing/2014/main" xmlns="" id="{00000000-0008-0000-0000-00008D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934" name="Text Box 67">
          <a:extLst>
            <a:ext uri="{FF2B5EF4-FFF2-40B4-BE49-F238E27FC236}">
              <a16:creationId xmlns:a16="http://schemas.microsoft.com/office/drawing/2014/main" xmlns="" id="{00000000-0008-0000-0000-00008E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935" name="Text Box 68">
          <a:extLst>
            <a:ext uri="{FF2B5EF4-FFF2-40B4-BE49-F238E27FC236}">
              <a16:creationId xmlns:a16="http://schemas.microsoft.com/office/drawing/2014/main" xmlns="" id="{00000000-0008-0000-0000-00008F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936" name="Text Box 69">
          <a:extLst>
            <a:ext uri="{FF2B5EF4-FFF2-40B4-BE49-F238E27FC236}">
              <a16:creationId xmlns:a16="http://schemas.microsoft.com/office/drawing/2014/main" xmlns="" id="{00000000-0008-0000-0000-000090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937" name="Text Box 70">
          <a:extLst>
            <a:ext uri="{FF2B5EF4-FFF2-40B4-BE49-F238E27FC236}">
              <a16:creationId xmlns:a16="http://schemas.microsoft.com/office/drawing/2014/main" xmlns="" id="{00000000-0008-0000-0000-000091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938" name="Text Box 71">
          <a:extLst>
            <a:ext uri="{FF2B5EF4-FFF2-40B4-BE49-F238E27FC236}">
              <a16:creationId xmlns:a16="http://schemas.microsoft.com/office/drawing/2014/main" xmlns="" id="{00000000-0008-0000-0000-000092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939" name="Text Box 72">
          <a:extLst>
            <a:ext uri="{FF2B5EF4-FFF2-40B4-BE49-F238E27FC236}">
              <a16:creationId xmlns:a16="http://schemas.microsoft.com/office/drawing/2014/main" xmlns="" id="{00000000-0008-0000-0000-000093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940" name="Text Box 73">
          <a:extLst>
            <a:ext uri="{FF2B5EF4-FFF2-40B4-BE49-F238E27FC236}">
              <a16:creationId xmlns:a16="http://schemas.microsoft.com/office/drawing/2014/main" xmlns="" id="{00000000-0008-0000-0000-000094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941" name="Text Box 74">
          <a:extLst>
            <a:ext uri="{FF2B5EF4-FFF2-40B4-BE49-F238E27FC236}">
              <a16:creationId xmlns:a16="http://schemas.microsoft.com/office/drawing/2014/main" xmlns="" id="{00000000-0008-0000-0000-000095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942" name="Text Box 75">
          <a:extLst>
            <a:ext uri="{FF2B5EF4-FFF2-40B4-BE49-F238E27FC236}">
              <a16:creationId xmlns:a16="http://schemas.microsoft.com/office/drawing/2014/main" xmlns="" id="{00000000-0008-0000-0000-000096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943" name="Text Box 76">
          <a:extLst>
            <a:ext uri="{FF2B5EF4-FFF2-40B4-BE49-F238E27FC236}">
              <a16:creationId xmlns:a16="http://schemas.microsoft.com/office/drawing/2014/main" xmlns="" id="{00000000-0008-0000-0000-000097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944" name="Text Box 77">
          <a:extLst>
            <a:ext uri="{FF2B5EF4-FFF2-40B4-BE49-F238E27FC236}">
              <a16:creationId xmlns:a16="http://schemas.microsoft.com/office/drawing/2014/main" xmlns="" id="{00000000-0008-0000-0000-000098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945" name="Text Box 78">
          <a:extLst>
            <a:ext uri="{FF2B5EF4-FFF2-40B4-BE49-F238E27FC236}">
              <a16:creationId xmlns:a16="http://schemas.microsoft.com/office/drawing/2014/main" xmlns="" id="{00000000-0008-0000-0000-000099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946" name="Text Box 79">
          <a:extLst>
            <a:ext uri="{FF2B5EF4-FFF2-40B4-BE49-F238E27FC236}">
              <a16:creationId xmlns:a16="http://schemas.microsoft.com/office/drawing/2014/main" xmlns="" id="{00000000-0008-0000-0000-00009A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947" name="Text Box 80">
          <a:extLst>
            <a:ext uri="{FF2B5EF4-FFF2-40B4-BE49-F238E27FC236}">
              <a16:creationId xmlns:a16="http://schemas.microsoft.com/office/drawing/2014/main" xmlns="" id="{00000000-0008-0000-0000-00009B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948" name="Text Box 81">
          <a:extLst>
            <a:ext uri="{FF2B5EF4-FFF2-40B4-BE49-F238E27FC236}">
              <a16:creationId xmlns:a16="http://schemas.microsoft.com/office/drawing/2014/main" xmlns="" id="{00000000-0008-0000-0000-00009C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47625"/>
    <xdr:sp macro="" textlink="">
      <xdr:nvSpPr>
        <xdr:cNvPr id="1949" name="Text Box 82">
          <a:extLst>
            <a:ext uri="{FF2B5EF4-FFF2-40B4-BE49-F238E27FC236}">
              <a16:creationId xmlns:a16="http://schemas.microsoft.com/office/drawing/2014/main" xmlns="" id="{00000000-0008-0000-0000-00009D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950" name="Text Box 3079">
          <a:extLst>
            <a:ext uri="{FF2B5EF4-FFF2-40B4-BE49-F238E27FC236}">
              <a16:creationId xmlns:a16="http://schemas.microsoft.com/office/drawing/2014/main" xmlns="" id="{00000000-0008-0000-0000-00009E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951" name="Text Box 3080">
          <a:extLst>
            <a:ext uri="{FF2B5EF4-FFF2-40B4-BE49-F238E27FC236}">
              <a16:creationId xmlns:a16="http://schemas.microsoft.com/office/drawing/2014/main" xmlns="" id="{00000000-0008-0000-0000-00009F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952" name="Text Box 3081">
          <a:extLst>
            <a:ext uri="{FF2B5EF4-FFF2-40B4-BE49-F238E27FC236}">
              <a16:creationId xmlns:a16="http://schemas.microsoft.com/office/drawing/2014/main" xmlns="" id="{00000000-0008-0000-0000-0000A0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953" name="Text Box 3082">
          <a:extLst>
            <a:ext uri="{FF2B5EF4-FFF2-40B4-BE49-F238E27FC236}">
              <a16:creationId xmlns:a16="http://schemas.microsoft.com/office/drawing/2014/main" xmlns="" id="{00000000-0008-0000-0000-0000A1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954" name="Text Box 3083">
          <a:extLst>
            <a:ext uri="{FF2B5EF4-FFF2-40B4-BE49-F238E27FC236}">
              <a16:creationId xmlns:a16="http://schemas.microsoft.com/office/drawing/2014/main" xmlns="" id="{00000000-0008-0000-0000-0000A2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955" name="Text Box 3084">
          <a:extLst>
            <a:ext uri="{FF2B5EF4-FFF2-40B4-BE49-F238E27FC236}">
              <a16:creationId xmlns:a16="http://schemas.microsoft.com/office/drawing/2014/main" xmlns="" id="{00000000-0008-0000-0000-0000A3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956" name="Text Box 3085">
          <a:extLst>
            <a:ext uri="{FF2B5EF4-FFF2-40B4-BE49-F238E27FC236}">
              <a16:creationId xmlns:a16="http://schemas.microsoft.com/office/drawing/2014/main" xmlns="" id="{00000000-0008-0000-0000-0000A4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957" name="Text Box 3086">
          <a:extLst>
            <a:ext uri="{FF2B5EF4-FFF2-40B4-BE49-F238E27FC236}">
              <a16:creationId xmlns:a16="http://schemas.microsoft.com/office/drawing/2014/main" xmlns="" id="{00000000-0008-0000-0000-0000A5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958" name="Text Box 3087">
          <a:extLst>
            <a:ext uri="{FF2B5EF4-FFF2-40B4-BE49-F238E27FC236}">
              <a16:creationId xmlns:a16="http://schemas.microsoft.com/office/drawing/2014/main" xmlns="" id="{00000000-0008-0000-0000-0000A6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959" name="Text Box 3088">
          <a:extLst>
            <a:ext uri="{FF2B5EF4-FFF2-40B4-BE49-F238E27FC236}">
              <a16:creationId xmlns:a16="http://schemas.microsoft.com/office/drawing/2014/main" xmlns="" id="{00000000-0008-0000-0000-0000A7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960" name="Text Box 3089">
          <a:extLst>
            <a:ext uri="{FF2B5EF4-FFF2-40B4-BE49-F238E27FC236}">
              <a16:creationId xmlns:a16="http://schemas.microsoft.com/office/drawing/2014/main" xmlns="" id="{00000000-0008-0000-0000-0000A8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961" name="Text Box 3090">
          <a:extLst>
            <a:ext uri="{FF2B5EF4-FFF2-40B4-BE49-F238E27FC236}">
              <a16:creationId xmlns:a16="http://schemas.microsoft.com/office/drawing/2014/main" xmlns="" id="{00000000-0008-0000-0000-0000A9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962" name="Text Box 3091">
          <a:extLst>
            <a:ext uri="{FF2B5EF4-FFF2-40B4-BE49-F238E27FC236}">
              <a16:creationId xmlns:a16="http://schemas.microsoft.com/office/drawing/2014/main" xmlns="" id="{00000000-0008-0000-0000-0000AA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963" name="Text Box 3092">
          <a:extLst>
            <a:ext uri="{FF2B5EF4-FFF2-40B4-BE49-F238E27FC236}">
              <a16:creationId xmlns:a16="http://schemas.microsoft.com/office/drawing/2014/main" xmlns="" id="{00000000-0008-0000-0000-0000AB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964" name="Text Box 3093">
          <a:extLst>
            <a:ext uri="{FF2B5EF4-FFF2-40B4-BE49-F238E27FC236}">
              <a16:creationId xmlns:a16="http://schemas.microsoft.com/office/drawing/2014/main" xmlns="" id="{00000000-0008-0000-0000-0000AC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965" name="Text Box 3094">
          <a:extLst>
            <a:ext uri="{FF2B5EF4-FFF2-40B4-BE49-F238E27FC236}">
              <a16:creationId xmlns:a16="http://schemas.microsoft.com/office/drawing/2014/main" xmlns="" id="{00000000-0008-0000-0000-0000AD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966" name="Text Box 3095">
          <a:extLst>
            <a:ext uri="{FF2B5EF4-FFF2-40B4-BE49-F238E27FC236}">
              <a16:creationId xmlns:a16="http://schemas.microsoft.com/office/drawing/2014/main" xmlns="" id="{00000000-0008-0000-0000-0000AE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967" name="Text Box 3096">
          <a:extLst>
            <a:ext uri="{FF2B5EF4-FFF2-40B4-BE49-F238E27FC236}">
              <a16:creationId xmlns:a16="http://schemas.microsoft.com/office/drawing/2014/main" xmlns="" id="{00000000-0008-0000-0000-0000AF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968" name="Text Box 3097">
          <a:extLst>
            <a:ext uri="{FF2B5EF4-FFF2-40B4-BE49-F238E27FC236}">
              <a16:creationId xmlns:a16="http://schemas.microsoft.com/office/drawing/2014/main" xmlns="" id="{00000000-0008-0000-0000-0000B0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969" name="Text Box 3098">
          <a:extLst>
            <a:ext uri="{FF2B5EF4-FFF2-40B4-BE49-F238E27FC236}">
              <a16:creationId xmlns:a16="http://schemas.microsoft.com/office/drawing/2014/main" xmlns="" id="{00000000-0008-0000-0000-0000B1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970" name="Text Box 3099">
          <a:extLst>
            <a:ext uri="{FF2B5EF4-FFF2-40B4-BE49-F238E27FC236}">
              <a16:creationId xmlns:a16="http://schemas.microsoft.com/office/drawing/2014/main" xmlns="" id="{00000000-0008-0000-0000-0000B2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971" name="Text Box 3100">
          <a:extLst>
            <a:ext uri="{FF2B5EF4-FFF2-40B4-BE49-F238E27FC236}">
              <a16:creationId xmlns:a16="http://schemas.microsoft.com/office/drawing/2014/main" xmlns="" id="{00000000-0008-0000-0000-0000B3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972" name="Text Box 3101">
          <a:extLst>
            <a:ext uri="{FF2B5EF4-FFF2-40B4-BE49-F238E27FC236}">
              <a16:creationId xmlns:a16="http://schemas.microsoft.com/office/drawing/2014/main" xmlns="" id="{00000000-0008-0000-0000-0000B4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1973" name="Text Box 3102">
          <a:extLst>
            <a:ext uri="{FF2B5EF4-FFF2-40B4-BE49-F238E27FC236}">
              <a16:creationId xmlns:a16="http://schemas.microsoft.com/office/drawing/2014/main" xmlns="" id="{00000000-0008-0000-0000-0000B5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974" name="Text Box 59">
          <a:extLst>
            <a:ext uri="{FF2B5EF4-FFF2-40B4-BE49-F238E27FC236}">
              <a16:creationId xmlns:a16="http://schemas.microsoft.com/office/drawing/2014/main" xmlns="" id="{00000000-0008-0000-0000-0000B6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975" name="Text Box 60">
          <a:extLst>
            <a:ext uri="{FF2B5EF4-FFF2-40B4-BE49-F238E27FC236}">
              <a16:creationId xmlns:a16="http://schemas.microsoft.com/office/drawing/2014/main" xmlns="" id="{00000000-0008-0000-0000-0000B7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976" name="Text Box 61">
          <a:extLst>
            <a:ext uri="{FF2B5EF4-FFF2-40B4-BE49-F238E27FC236}">
              <a16:creationId xmlns:a16="http://schemas.microsoft.com/office/drawing/2014/main" xmlns="" id="{00000000-0008-0000-0000-0000B8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977" name="Text Box 62">
          <a:extLst>
            <a:ext uri="{FF2B5EF4-FFF2-40B4-BE49-F238E27FC236}">
              <a16:creationId xmlns:a16="http://schemas.microsoft.com/office/drawing/2014/main" xmlns="" id="{00000000-0008-0000-0000-0000B9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978" name="Text Box 63">
          <a:extLst>
            <a:ext uri="{FF2B5EF4-FFF2-40B4-BE49-F238E27FC236}">
              <a16:creationId xmlns:a16="http://schemas.microsoft.com/office/drawing/2014/main" xmlns="" id="{00000000-0008-0000-0000-0000BA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979" name="Text Box 64">
          <a:extLst>
            <a:ext uri="{FF2B5EF4-FFF2-40B4-BE49-F238E27FC236}">
              <a16:creationId xmlns:a16="http://schemas.microsoft.com/office/drawing/2014/main" xmlns="" id="{00000000-0008-0000-0000-0000BB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980" name="Text Box 65">
          <a:extLst>
            <a:ext uri="{FF2B5EF4-FFF2-40B4-BE49-F238E27FC236}">
              <a16:creationId xmlns:a16="http://schemas.microsoft.com/office/drawing/2014/main" xmlns="" id="{00000000-0008-0000-0000-0000BC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981" name="Text Box 66">
          <a:extLst>
            <a:ext uri="{FF2B5EF4-FFF2-40B4-BE49-F238E27FC236}">
              <a16:creationId xmlns:a16="http://schemas.microsoft.com/office/drawing/2014/main" xmlns="" id="{00000000-0008-0000-0000-0000BD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982" name="Text Box 67">
          <a:extLst>
            <a:ext uri="{FF2B5EF4-FFF2-40B4-BE49-F238E27FC236}">
              <a16:creationId xmlns:a16="http://schemas.microsoft.com/office/drawing/2014/main" xmlns="" id="{00000000-0008-0000-0000-0000BE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983" name="Text Box 68">
          <a:extLst>
            <a:ext uri="{FF2B5EF4-FFF2-40B4-BE49-F238E27FC236}">
              <a16:creationId xmlns:a16="http://schemas.microsoft.com/office/drawing/2014/main" xmlns="" id="{00000000-0008-0000-0000-0000BF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984" name="Text Box 69">
          <a:extLst>
            <a:ext uri="{FF2B5EF4-FFF2-40B4-BE49-F238E27FC236}">
              <a16:creationId xmlns:a16="http://schemas.microsoft.com/office/drawing/2014/main" xmlns="" id="{00000000-0008-0000-0000-0000C0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985" name="Text Box 70">
          <a:extLst>
            <a:ext uri="{FF2B5EF4-FFF2-40B4-BE49-F238E27FC236}">
              <a16:creationId xmlns:a16="http://schemas.microsoft.com/office/drawing/2014/main" xmlns="" id="{00000000-0008-0000-0000-0000C1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986" name="Text Box 71">
          <a:extLst>
            <a:ext uri="{FF2B5EF4-FFF2-40B4-BE49-F238E27FC236}">
              <a16:creationId xmlns:a16="http://schemas.microsoft.com/office/drawing/2014/main" xmlns="" id="{00000000-0008-0000-0000-0000C2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987" name="Text Box 72">
          <a:extLst>
            <a:ext uri="{FF2B5EF4-FFF2-40B4-BE49-F238E27FC236}">
              <a16:creationId xmlns:a16="http://schemas.microsoft.com/office/drawing/2014/main" xmlns="" id="{00000000-0008-0000-0000-0000C3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988" name="Text Box 73">
          <a:extLst>
            <a:ext uri="{FF2B5EF4-FFF2-40B4-BE49-F238E27FC236}">
              <a16:creationId xmlns:a16="http://schemas.microsoft.com/office/drawing/2014/main" xmlns="" id="{00000000-0008-0000-0000-0000C4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989" name="Text Box 74">
          <a:extLst>
            <a:ext uri="{FF2B5EF4-FFF2-40B4-BE49-F238E27FC236}">
              <a16:creationId xmlns:a16="http://schemas.microsoft.com/office/drawing/2014/main" xmlns="" id="{00000000-0008-0000-0000-0000C5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990" name="Text Box 75">
          <a:extLst>
            <a:ext uri="{FF2B5EF4-FFF2-40B4-BE49-F238E27FC236}">
              <a16:creationId xmlns:a16="http://schemas.microsoft.com/office/drawing/2014/main" xmlns="" id="{00000000-0008-0000-0000-0000C6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991" name="Text Box 76">
          <a:extLst>
            <a:ext uri="{FF2B5EF4-FFF2-40B4-BE49-F238E27FC236}">
              <a16:creationId xmlns:a16="http://schemas.microsoft.com/office/drawing/2014/main" xmlns="" id="{00000000-0008-0000-0000-0000C7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992" name="Text Box 77">
          <a:extLst>
            <a:ext uri="{FF2B5EF4-FFF2-40B4-BE49-F238E27FC236}">
              <a16:creationId xmlns:a16="http://schemas.microsoft.com/office/drawing/2014/main" xmlns="" id="{00000000-0008-0000-0000-0000C8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993" name="Text Box 78">
          <a:extLst>
            <a:ext uri="{FF2B5EF4-FFF2-40B4-BE49-F238E27FC236}">
              <a16:creationId xmlns:a16="http://schemas.microsoft.com/office/drawing/2014/main" xmlns="" id="{00000000-0008-0000-0000-0000C9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994" name="Text Box 79">
          <a:extLst>
            <a:ext uri="{FF2B5EF4-FFF2-40B4-BE49-F238E27FC236}">
              <a16:creationId xmlns:a16="http://schemas.microsoft.com/office/drawing/2014/main" xmlns="" id="{00000000-0008-0000-0000-0000CA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995" name="Text Box 80">
          <a:extLst>
            <a:ext uri="{FF2B5EF4-FFF2-40B4-BE49-F238E27FC236}">
              <a16:creationId xmlns:a16="http://schemas.microsoft.com/office/drawing/2014/main" xmlns="" id="{00000000-0008-0000-0000-0000CB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1996" name="Text Box 81">
          <a:extLst>
            <a:ext uri="{FF2B5EF4-FFF2-40B4-BE49-F238E27FC236}">
              <a16:creationId xmlns:a16="http://schemas.microsoft.com/office/drawing/2014/main" xmlns="" id="{00000000-0008-0000-0000-0000CC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997" name="Text Box 3079">
          <a:extLst>
            <a:ext uri="{FF2B5EF4-FFF2-40B4-BE49-F238E27FC236}">
              <a16:creationId xmlns:a16="http://schemas.microsoft.com/office/drawing/2014/main" xmlns="" id="{00000000-0008-0000-0000-0000CD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998" name="Text Box 3080">
          <a:extLst>
            <a:ext uri="{FF2B5EF4-FFF2-40B4-BE49-F238E27FC236}">
              <a16:creationId xmlns:a16="http://schemas.microsoft.com/office/drawing/2014/main" xmlns="" id="{00000000-0008-0000-0000-0000CE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1999" name="Text Box 3081">
          <a:extLst>
            <a:ext uri="{FF2B5EF4-FFF2-40B4-BE49-F238E27FC236}">
              <a16:creationId xmlns:a16="http://schemas.microsoft.com/office/drawing/2014/main" xmlns="" id="{00000000-0008-0000-0000-0000CF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000" name="Text Box 3082">
          <a:extLst>
            <a:ext uri="{FF2B5EF4-FFF2-40B4-BE49-F238E27FC236}">
              <a16:creationId xmlns:a16="http://schemas.microsoft.com/office/drawing/2014/main" xmlns="" id="{00000000-0008-0000-0000-0000D0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001" name="Text Box 3083">
          <a:extLst>
            <a:ext uri="{FF2B5EF4-FFF2-40B4-BE49-F238E27FC236}">
              <a16:creationId xmlns:a16="http://schemas.microsoft.com/office/drawing/2014/main" xmlns="" id="{00000000-0008-0000-0000-0000D1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002" name="Text Box 3084">
          <a:extLst>
            <a:ext uri="{FF2B5EF4-FFF2-40B4-BE49-F238E27FC236}">
              <a16:creationId xmlns:a16="http://schemas.microsoft.com/office/drawing/2014/main" xmlns="" id="{00000000-0008-0000-0000-0000D2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003" name="Text Box 3085">
          <a:extLst>
            <a:ext uri="{FF2B5EF4-FFF2-40B4-BE49-F238E27FC236}">
              <a16:creationId xmlns:a16="http://schemas.microsoft.com/office/drawing/2014/main" xmlns="" id="{00000000-0008-0000-0000-0000D3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004" name="Text Box 3086">
          <a:extLst>
            <a:ext uri="{FF2B5EF4-FFF2-40B4-BE49-F238E27FC236}">
              <a16:creationId xmlns:a16="http://schemas.microsoft.com/office/drawing/2014/main" xmlns="" id="{00000000-0008-0000-0000-0000D4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005" name="Text Box 3087">
          <a:extLst>
            <a:ext uri="{FF2B5EF4-FFF2-40B4-BE49-F238E27FC236}">
              <a16:creationId xmlns:a16="http://schemas.microsoft.com/office/drawing/2014/main" xmlns="" id="{00000000-0008-0000-0000-0000D5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006" name="Text Box 3088">
          <a:extLst>
            <a:ext uri="{FF2B5EF4-FFF2-40B4-BE49-F238E27FC236}">
              <a16:creationId xmlns:a16="http://schemas.microsoft.com/office/drawing/2014/main" xmlns="" id="{00000000-0008-0000-0000-0000D6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007" name="Text Box 3089">
          <a:extLst>
            <a:ext uri="{FF2B5EF4-FFF2-40B4-BE49-F238E27FC236}">
              <a16:creationId xmlns:a16="http://schemas.microsoft.com/office/drawing/2014/main" xmlns="" id="{00000000-0008-0000-0000-0000D7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008" name="Text Box 3090">
          <a:extLst>
            <a:ext uri="{FF2B5EF4-FFF2-40B4-BE49-F238E27FC236}">
              <a16:creationId xmlns:a16="http://schemas.microsoft.com/office/drawing/2014/main" xmlns="" id="{00000000-0008-0000-0000-0000D8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009" name="Text Box 3091">
          <a:extLst>
            <a:ext uri="{FF2B5EF4-FFF2-40B4-BE49-F238E27FC236}">
              <a16:creationId xmlns:a16="http://schemas.microsoft.com/office/drawing/2014/main" xmlns="" id="{00000000-0008-0000-0000-0000D9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010" name="Text Box 3092">
          <a:extLst>
            <a:ext uri="{FF2B5EF4-FFF2-40B4-BE49-F238E27FC236}">
              <a16:creationId xmlns:a16="http://schemas.microsoft.com/office/drawing/2014/main" xmlns="" id="{00000000-0008-0000-0000-0000DA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011" name="Text Box 3093">
          <a:extLst>
            <a:ext uri="{FF2B5EF4-FFF2-40B4-BE49-F238E27FC236}">
              <a16:creationId xmlns:a16="http://schemas.microsoft.com/office/drawing/2014/main" xmlns="" id="{00000000-0008-0000-0000-0000DB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012" name="Text Box 3094">
          <a:extLst>
            <a:ext uri="{FF2B5EF4-FFF2-40B4-BE49-F238E27FC236}">
              <a16:creationId xmlns:a16="http://schemas.microsoft.com/office/drawing/2014/main" xmlns="" id="{00000000-0008-0000-0000-0000DC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013" name="Text Box 3095">
          <a:extLst>
            <a:ext uri="{FF2B5EF4-FFF2-40B4-BE49-F238E27FC236}">
              <a16:creationId xmlns:a16="http://schemas.microsoft.com/office/drawing/2014/main" xmlns="" id="{00000000-0008-0000-0000-0000DD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014" name="Text Box 3096">
          <a:extLst>
            <a:ext uri="{FF2B5EF4-FFF2-40B4-BE49-F238E27FC236}">
              <a16:creationId xmlns:a16="http://schemas.microsoft.com/office/drawing/2014/main" xmlns="" id="{00000000-0008-0000-0000-0000DE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015" name="Text Box 3097">
          <a:extLst>
            <a:ext uri="{FF2B5EF4-FFF2-40B4-BE49-F238E27FC236}">
              <a16:creationId xmlns:a16="http://schemas.microsoft.com/office/drawing/2014/main" xmlns="" id="{00000000-0008-0000-0000-0000DF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016" name="Text Box 3098">
          <a:extLst>
            <a:ext uri="{FF2B5EF4-FFF2-40B4-BE49-F238E27FC236}">
              <a16:creationId xmlns:a16="http://schemas.microsoft.com/office/drawing/2014/main" xmlns="" id="{00000000-0008-0000-0000-0000E0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017" name="Text Box 3099">
          <a:extLst>
            <a:ext uri="{FF2B5EF4-FFF2-40B4-BE49-F238E27FC236}">
              <a16:creationId xmlns:a16="http://schemas.microsoft.com/office/drawing/2014/main" xmlns="" id="{00000000-0008-0000-0000-0000E1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018" name="Text Box 3100">
          <a:extLst>
            <a:ext uri="{FF2B5EF4-FFF2-40B4-BE49-F238E27FC236}">
              <a16:creationId xmlns:a16="http://schemas.microsoft.com/office/drawing/2014/main" xmlns="" id="{00000000-0008-0000-0000-0000E2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019" name="Text Box 3101">
          <a:extLst>
            <a:ext uri="{FF2B5EF4-FFF2-40B4-BE49-F238E27FC236}">
              <a16:creationId xmlns:a16="http://schemas.microsoft.com/office/drawing/2014/main" xmlns="" id="{00000000-0008-0000-0000-0000E3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2020" name="Text Box 3102">
          <a:extLst>
            <a:ext uri="{FF2B5EF4-FFF2-40B4-BE49-F238E27FC236}">
              <a16:creationId xmlns:a16="http://schemas.microsoft.com/office/drawing/2014/main" xmlns="" id="{00000000-0008-0000-0000-0000E4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021" name="Text Box 59">
          <a:extLst>
            <a:ext uri="{FF2B5EF4-FFF2-40B4-BE49-F238E27FC236}">
              <a16:creationId xmlns:a16="http://schemas.microsoft.com/office/drawing/2014/main" xmlns="" id="{00000000-0008-0000-0000-0000E5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022" name="Text Box 60">
          <a:extLst>
            <a:ext uri="{FF2B5EF4-FFF2-40B4-BE49-F238E27FC236}">
              <a16:creationId xmlns:a16="http://schemas.microsoft.com/office/drawing/2014/main" xmlns="" id="{00000000-0008-0000-0000-0000E6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023" name="Text Box 61">
          <a:extLst>
            <a:ext uri="{FF2B5EF4-FFF2-40B4-BE49-F238E27FC236}">
              <a16:creationId xmlns:a16="http://schemas.microsoft.com/office/drawing/2014/main" xmlns="" id="{00000000-0008-0000-0000-0000E7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024" name="Text Box 62">
          <a:extLst>
            <a:ext uri="{FF2B5EF4-FFF2-40B4-BE49-F238E27FC236}">
              <a16:creationId xmlns:a16="http://schemas.microsoft.com/office/drawing/2014/main" xmlns="" id="{00000000-0008-0000-0000-0000E8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025" name="Text Box 63">
          <a:extLst>
            <a:ext uri="{FF2B5EF4-FFF2-40B4-BE49-F238E27FC236}">
              <a16:creationId xmlns:a16="http://schemas.microsoft.com/office/drawing/2014/main" xmlns="" id="{00000000-0008-0000-0000-0000E9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026" name="Text Box 64">
          <a:extLst>
            <a:ext uri="{FF2B5EF4-FFF2-40B4-BE49-F238E27FC236}">
              <a16:creationId xmlns:a16="http://schemas.microsoft.com/office/drawing/2014/main" xmlns="" id="{00000000-0008-0000-0000-0000EA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027" name="Text Box 65">
          <a:extLst>
            <a:ext uri="{FF2B5EF4-FFF2-40B4-BE49-F238E27FC236}">
              <a16:creationId xmlns:a16="http://schemas.microsoft.com/office/drawing/2014/main" xmlns="" id="{00000000-0008-0000-0000-0000EB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028" name="Text Box 66">
          <a:extLst>
            <a:ext uri="{FF2B5EF4-FFF2-40B4-BE49-F238E27FC236}">
              <a16:creationId xmlns:a16="http://schemas.microsoft.com/office/drawing/2014/main" xmlns="" id="{00000000-0008-0000-0000-0000EC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029" name="Text Box 67">
          <a:extLst>
            <a:ext uri="{FF2B5EF4-FFF2-40B4-BE49-F238E27FC236}">
              <a16:creationId xmlns:a16="http://schemas.microsoft.com/office/drawing/2014/main" xmlns="" id="{00000000-0008-0000-0000-0000ED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030" name="Text Box 68">
          <a:extLst>
            <a:ext uri="{FF2B5EF4-FFF2-40B4-BE49-F238E27FC236}">
              <a16:creationId xmlns:a16="http://schemas.microsoft.com/office/drawing/2014/main" xmlns="" id="{00000000-0008-0000-0000-0000EE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031" name="Text Box 69">
          <a:extLst>
            <a:ext uri="{FF2B5EF4-FFF2-40B4-BE49-F238E27FC236}">
              <a16:creationId xmlns:a16="http://schemas.microsoft.com/office/drawing/2014/main" xmlns="" id="{00000000-0008-0000-0000-0000EF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032" name="Text Box 70">
          <a:extLst>
            <a:ext uri="{FF2B5EF4-FFF2-40B4-BE49-F238E27FC236}">
              <a16:creationId xmlns:a16="http://schemas.microsoft.com/office/drawing/2014/main" xmlns="" id="{00000000-0008-0000-0000-0000F0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033" name="Text Box 71">
          <a:extLst>
            <a:ext uri="{FF2B5EF4-FFF2-40B4-BE49-F238E27FC236}">
              <a16:creationId xmlns:a16="http://schemas.microsoft.com/office/drawing/2014/main" xmlns="" id="{00000000-0008-0000-0000-0000F1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034" name="Text Box 72">
          <a:extLst>
            <a:ext uri="{FF2B5EF4-FFF2-40B4-BE49-F238E27FC236}">
              <a16:creationId xmlns:a16="http://schemas.microsoft.com/office/drawing/2014/main" xmlns="" id="{00000000-0008-0000-0000-0000F2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035" name="Text Box 73">
          <a:extLst>
            <a:ext uri="{FF2B5EF4-FFF2-40B4-BE49-F238E27FC236}">
              <a16:creationId xmlns:a16="http://schemas.microsoft.com/office/drawing/2014/main" xmlns="" id="{00000000-0008-0000-0000-0000F3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036" name="Text Box 74">
          <a:extLst>
            <a:ext uri="{FF2B5EF4-FFF2-40B4-BE49-F238E27FC236}">
              <a16:creationId xmlns:a16="http://schemas.microsoft.com/office/drawing/2014/main" xmlns="" id="{00000000-0008-0000-0000-0000F4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037" name="Text Box 75">
          <a:extLst>
            <a:ext uri="{FF2B5EF4-FFF2-40B4-BE49-F238E27FC236}">
              <a16:creationId xmlns:a16="http://schemas.microsoft.com/office/drawing/2014/main" xmlns="" id="{00000000-0008-0000-0000-0000F5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038" name="Text Box 76">
          <a:extLst>
            <a:ext uri="{FF2B5EF4-FFF2-40B4-BE49-F238E27FC236}">
              <a16:creationId xmlns:a16="http://schemas.microsoft.com/office/drawing/2014/main" xmlns="" id="{00000000-0008-0000-0000-0000F6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039" name="Text Box 77">
          <a:extLst>
            <a:ext uri="{FF2B5EF4-FFF2-40B4-BE49-F238E27FC236}">
              <a16:creationId xmlns:a16="http://schemas.microsoft.com/office/drawing/2014/main" xmlns="" id="{00000000-0008-0000-0000-0000F7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040" name="Text Box 78">
          <a:extLst>
            <a:ext uri="{FF2B5EF4-FFF2-40B4-BE49-F238E27FC236}">
              <a16:creationId xmlns:a16="http://schemas.microsoft.com/office/drawing/2014/main" xmlns="" id="{00000000-0008-0000-0000-0000F8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041" name="Text Box 79">
          <a:extLst>
            <a:ext uri="{FF2B5EF4-FFF2-40B4-BE49-F238E27FC236}">
              <a16:creationId xmlns:a16="http://schemas.microsoft.com/office/drawing/2014/main" xmlns="" id="{00000000-0008-0000-0000-0000F9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042" name="Text Box 80">
          <a:extLst>
            <a:ext uri="{FF2B5EF4-FFF2-40B4-BE49-F238E27FC236}">
              <a16:creationId xmlns:a16="http://schemas.microsoft.com/office/drawing/2014/main" xmlns="" id="{00000000-0008-0000-0000-0000FA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043" name="Text Box 81">
          <a:extLst>
            <a:ext uri="{FF2B5EF4-FFF2-40B4-BE49-F238E27FC236}">
              <a16:creationId xmlns:a16="http://schemas.microsoft.com/office/drawing/2014/main" xmlns="" id="{00000000-0008-0000-0000-0000FB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47625"/>
    <xdr:sp macro="" textlink="">
      <xdr:nvSpPr>
        <xdr:cNvPr id="2044" name="Text Box 82">
          <a:extLst>
            <a:ext uri="{FF2B5EF4-FFF2-40B4-BE49-F238E27FC236}">
              <a16:creationId xmlns:a16="http://schemas.microsoft.com/office/drawing/2014/main" xmlns="" id="{00000000-0008-0000-0000-0000FC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045" name="Text Box 3079">
          <a:extLst>
            <a:ext uri="{FF2B5EF4-FFF2-40B4-BE49-F238E27FC236}">
              <a16:creationId xmlns:a16="http://schemas.microsoft.com/office/drawing/2014/main" xmlns="" id="{00000000-0008-0000-0000-0000FD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046" name="Text Box 3080">
          <a:extLst>
            <a:ext uri="{FF2B5EF4-FFF2-40B4-BE49-F238E27FC236}">
              <a16:creationId xmlns:a16="http://schemas.microsoft.com/office/drawing/2014/main" xmlns="" id="{00000000-0008-0000-0000-0000FE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047" name="Text Box 3081">
          <a:extLst>
            <a:ext uri="{FF2B5EF4-FFF2-40B4-BE49-F238E27FC236}">
              <a16:creationId xmlns:a16="http://schemas.microsoft.com/office/drawing/2014/main" xmlns="" id="{00000000-0008-0000-0000-0000FF07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048" name="Text Box 3082">
          <a:extLst>
            <a:ext uri="{FF2B5EF4-FFF2-40B4-BE49-F238E27FC236}">
              <a16:creationId xmlns:a16="http://schemas.microsoft.com/office/drawing/2014/main" xmlns="" id="{00000000-0008-0000-0000-000000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049" name="Text Box 3083">
          <a:extLst>
            <a:ext uri="{FF2B5EF4-FFF2-40B4-BE49-F238E27FC236}">
              <a16:creationId xmlns:a16="http://schemas.microsoft.com/office/drawing/2014/main" xmlns="" id="{00000000-0008-0000-0000-000001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050" name="Text Box 3084">
          <a:extLst>
            <a:ext uri="{FF2B5EF4-FFF2-40B4-BE49-F238E27FC236}">
              <a16:creationId xmlns:a16="http://schemas.microsoft.com/office/drawing/2014/main" xmlns="" id="{00000000-0008-0000-0000-000002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051" name="Text Box 3085">
          <a:extLst>
            <a:ext uri="{FF2B5EF4-FFF2-40B4-BE49-F238E27FC236}">
              <a16:creationId xmlns:a16="http://schemas.microsoft.com/office/drawing/2014/main" xmlns="" id="{00000000-0008-0000-0000-000003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052" name="Text Box 3086">
          <a:extLst>
            <a:ext uri="{FF2B5EF4-FFF2-40B4-BE49-F238E27FC236}">
              <a16:creationId xmlns:a16="http://schemas.microsoft.com/office/drawing/2014/main" xmlns="" id="{00000000-0008-0000-0000-000004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053" name="Text Box 3087">
          <a:extLst>
            <a:ext uri="{FF2B5EF4-FFF2-40B4-BE49-F238E27FC236}">
              <a16:creationId xmlns:a16="http://schemas.microsoft.com/office/drawing/2014/main" xmlns="" id="{00000000-0008-0000-0000-000005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054" name="Text Box 3088">
          <a:extLst>
            <a:ext uri="{FF2B5EF4-FFF2-40B4-BE49-F238E27FC236}">
              <a16:creationId xmlns:a16="http://schemas.microsoft.com/office/drawing/2014/main" xmlns="" id="{00000000-0008-0000-0000-000006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055" name="Text Box 3089">
          <a:extLst>
            <a:ext uri="{FF2B5EF4-FFF2-40B4-BE49-F238E27FC236}">
              <a16:creationId xmlns:a16="http://schemas.microsoft.com/office/drawing/2014/main" xmlns="" id="{00000000-0008-0000-0000-000007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056" name="Text Box 3090">
          <a:extLst>
            <a:ext uri="{FF2B5EF4-FFF2-40B4-BE49-F238E27FC236}">
              <a16:creationId xmlns:a16="http://schemas.microsoft.com/office/drawing/2014/main" xmlns="" id="{00000000-0008-0000-0000-000008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057" name="Text Box 3091">
          <a:extLst>
            <a:ext uri="{FF2B5EF4-FFF2-40B4-BE49-F238E27FC236}">
              <a16:creationId xmlns:a16="http://schemas.microsoft.com/office/drawing/2014/main" xmlns="" id="{00000000-0008-0000-0000-000009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058" name="Text Box 3092">
          <a:extLst>
            <a:ext uri="{FF2B5EF4-FFF2-40B4-BE49-F238E27FC236}">
              <a16:creationId xmlns:a16="http://schemas.microsoft.com/office/drawing/2014/main" xmlns="" id="{00000000-0008-0000-0000-00000A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059" name="Text Box 3093">
          <a:extLst>
            <a:ext uri="{FF2B5EF4-FFF2-40B4-BE49-F238E27FC236}">
              <a16:creationId xmlns:a16="http://schemas.microsoft.com/office/drawing/2014/main" xmlns="" id="{00000000-0008-0000-0000-00000B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060" name="Text Box 3094">
          <a:extLst>
            <a:ext uri="{FF2B5EF4-FFF2-40B4-BE49-F238E27FC236}">
              <a16:creationId xmlns:a16="http://schemas.microsoft.com/office/drawing/2014/main" xmlns="" id="{00000000-0008-0000-0000-00000C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061" name="Text Box 3095">
          <a:extLst>
            <a:ext uri="{FF2B5EF4-FFF2-40B4-BE49-F238E27FC236}">
              <a16:creationId xmlns:a16="http://schemas.microsoft.com/office/drawing/2014/main" xmlns="" id="{00000000-0008-0000-0000-00000D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062" name="Text Box 3096">
          <a:extLst>
            <a:ext uri="{FF2B5EF4-FFF2-40B4-BE49-F238E27FC236}">
              <a16:creationId xmlns:a16="http://schemas.microsoft.com/office/drawing/2014/main" xmlns="" id="{00000000-0008-0000-0000-00000E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063" name="Text Box 3097">
          <a:extLst>
            <a:ext uri="{FF2B5EF4-FFF2-40B4-BE49-F238E27FC236}">
              <a16:creationId xmlns:a16="http://schemas.microsoft.com/office/drawing/2014/main" xmlns="" id="{00000000-0008-0000-0000-00000F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064" name="Text Box 3098">
          <a:extLst>
            <a:ext uri="{FF2B5EF4-FFF2-40B4-BE49-F238E27FC236}">
              <a16:creationId xmlns:a16="http://schemas.microsoft.com/office/drawing/2014/main" xmlns="" id="{00000000-0008-0000-0000-000010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065" name="Text Box 3099">
          <a:extLst>
            <a:ext uri="{FF2B5EF4-FFF2-40B4-BE49-F238E27FC236}">
              <a16:creationId xmlns:a16="http://schemas.microsoft.com/office/drawing/2014/main" xmlns="" id="{00000000-0008-0000-0000-000011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066" name="Text Box 3100">
          <a:extLst>
            <a:ext uri="{FF2B5EF4-FFF2-40B4-BE49-F238E27FC236}">
              <a16:creationId xmlns:a16="http://schemas.microsoft.com/office/drawing/2014/main" xmlns="" id="{00000000-0008-0000-0000-000012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067" name="Text Box 3101">
          <a:extLst>
            <a:ext uri="{FF2B5EF4-FFF2-40B4-BE49-F238E27FC236}">
              <a16:creationId xmlns:a16="http://schemas.microsoft.com/office/drawing/2014/main" xmlns="" id="{00000000-0008-0000-0000-000013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2068" name="Text Box 3102">
          <a:extLst>
            <a:ext uri="{FF2B5EF4-FFF2-40B4-BE49-F238E27FC236}">
              <a16:creationId xmlns:a16="http://schemas.microsoft.com/office/drawing/2014/main" xmlns="" id="{00000000-0008-0000-0000-000014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069" name="Text Box 59">
          <a:extLst>
            <a:ext uri="{FF2B5EF4-FFF2-40B4-BE49-F238E27FC236}">
              <a16:creationId xmlns:a16="http://schemas.microsoft.com/office/drawing/2014/main" xmlns="" id="{00000000-0008-0000-0000-000015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070" name="Text Box 60">
          <a:extLst>
            <a:ext uri="{FF2B5EF4-FFF2-40B4-BE49-F238E27FC236}">
              <a16:creationId xmlns:a16="http://schemas.microsoft.com/office/drawing/2014/main" xmlns="" id="{00000000-0008-0000-0000-000016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071" name="Text Box 61">
          <a:extLst>
            <a:ext uri="{FF2B5EF4-FFF2-40B4-BE49-F238E27FC236}">
              <a16:creationId xmlns:a16="http://schemas.microsoft.com/office/drawing/2014/main" xmlns="" id="{00000000-0008-0000-0000-000017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072" name="Text Box 62">
          <a:extLst>
            <a:ext uri="{FF2B5EF4-FFF2-40B4-BE49-F238E27FC236}">
              <a16:creationId xmlns:a16="http://schemas.microsoft.com/office/drawing/2014/main" xmlns="" id="{00000000-0008-0000-0000-000018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073" name="Text Box 63">
          <a:extLst>
            <a:ext uri="{FF2B5EF4-FFF2-40B4-BE49-F238E27FC236}">
              <a16:creationId xmlns:a16="http://schemas.microsoft.com/office/drawing/2014/main" xmlns="" id="{00000000-0008-0000-0000-000019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074" name="Text Box 64">
          <a:extLst>
            <a:ext uri="{FF2B5EF4-FFF2-40B4-BE49-F238E27FC236}">
              <a16:creationId xmlns:a16="http://schemas.microsoft.com/office/drawing/2014/main" xmlns="" id="{00000000-0008-0000-0000-00001A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075" name="Text Box 65">
          <a:extLst>
            <a:ext uri="{FF2B5EF4-FFF2-40B4-BE49-F238E27FC236}">
              <a16:creationId xmlns:a16="http://schemas.microsoft.com/office/drawing/2014/main" xmlns="" id="{00000000-0008-0000-0000-00001B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076" name="Text Box 66">
          <a:extLst>
            <a:ext uri="{FF2B5EF4-FFF2-40B4-BE49-F238E27FC236}">
              <a16:creationId xmlns:a16="http://schemas.microsoft.com/office/drawing/2014/main" xmlns="" id="{00000000-0008-0000-0000-00001C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077" name="Text Box 67">
          <a:extLst>
            <a:ext uri="{FF2B5EF4-FFF2-40B4-BE49-F238E27FC236}">
              <a16:creationId xmlns:a16="http://schemas.microsoft.com/office/drawing/2014/main" xmlns="" id="{00000000-0008-0000-0000-00001D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078" name="Text Box 68">
          <a:extLst>
            <a:ext uri="{FF2B5EF4-FFF2-40B4-BE49-F238E27FC236}">
              <a16:creationId xmlns:a16="http://schemas.microsoft.com/office/drawing/2014/main" xmlns="" id="{00000000-0008-0000-0000-00001E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079" name="Text Box 69">
          <a:extLst>
            <a:ext uri="{FF2B5EF4-FFF2-40B4-BE49-F238E27FC236}">
              <a16:creationId xmlns:a16="http://schemas.microsoft.com/office/drawing/2014/main" xmlns="" id="{00000000-0008-0000-0000-00001F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080" name="Text Box 70">
          <a:extLst>
            <a:ext uri="{FF2B5EF4-FFF2-40B4-BE49-F238E27FC236}">
              <a16:creationId xmlns:a16="http://schemas.microsoft.com/office/drawing/2014/main" xmlns="" id="{00000000-0008-0000-0000-000020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081" name="Text Box 71">
          <a:extLst>
            <a:ext uri="{FF2B5EF4-FFF2-40B4-BE49-F238E27FC236}">
              <a16:creationId xmlns:a16="http://schemas.microsoft.com/office/drawing/2014/main" xmlns="" id="{00000000-0008-0000-0000-000021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082" name="Text Box 72">
          <a:extLst>
            <a:ext uri="{FF2B5EF4-FFF2-40B4-BE49-F238E27FC236}">
              <a16:creationId xmlns:a16="http://schemas.microsoft.com/office/drawing/2014/main" xmlns="" id="{00000000-0008-0000-0000-000022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083" name="Text Box 73">
          <a:extLst>
            <a:ext uri="{FF2B5EF4-FFF2-40B4-BE49-F238E27FC236}">
              <a16:creationId xmlns:a16="http://schemas.microsoft.com/office/drawing/2014/main" xmlns="" id="{00000000-0008-0000-0000-000023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084" name="Text Box 74">
          <a:extLst>
            <a:ext uri="{FF2B5EF4-FFF2-40B4-BE49-F238E27FC236}">
              <a16:creationId xmlns:a16="http://schemas.microsoft.com/office/drawing/2014/main" xmlns="" id="{00000000-0008-0000-0000-000024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085" name="Text Box 75">
          <a:extLst>
            <a:ext uri="{FF2B5EF4-FFF2-40B4-BE49-F238E27FC236}">
              <a16:creationId xmlns:a16="http://schemas.microsoft.com/office/drawing/2014/main" xmlns="" id="{00000000-0008-0000-0000-000025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086" name="Text Box 76">
          <a:extLst>
            <a:ext uri="{FF2B5EF4-FFF2-40B4-BE49-F238E27FC236}">
              <a16:creationId xmlns:a16="http://schemas.microsoft.com/office/drawing/2014/main" xmlns="" id="{00000000-0008-0000-0000-000026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087" name="Text Box 77">
          <a:extLst>
            <a:ext uri="{FF2B5EF4-FFF2-40B4-BE49-F238E27FC236}">
              <a16:creationId xmlns:a16="http://schemas.microsoft.com/office/drawing/2014/main" xmlns="" id="{00000000-0008-0000-0000-000027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088" name="Text Box 78">
          <a:extLst>
            <a:ext uri="{FF2B5EF4-FFF2-40B4-BE49-F238E27FC236}">
              <a16:creationId xmlns:a16="http://schemas.microsoft.com/office/drawing/2014/main" xmlns="" id="{00000000-0008-0000-0000-000028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089" name="Text Box 79">
          <a:extLst>
            <a:ext uri="{FF2B5EF4-FFF2-40B4-BE49-F238E27FC236}">
              <a16:creationId xmlns:a16="http://schemas.microsoft.com/office/drawing/2014/main" xmlns="" id="{00000000-0008-0000-0000-000029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090" name="Text Box 80">
          <a:extLst>
            <a:ext uri="{FF2B5EF4-FFF2-40B4-BE49-F238E27FC236}">
              <a16:creationId xmlns:a16="http://schemas.microsoft.com/office/drawing/2014/main" xmlns="" id="{00000000-0008-0000-0000-00002A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091" name="Text Box 81">
          <a:extLst>
            <a:ext uri="{FF2B5EF4-FFF2-40B4-BE49-F238E27FC236}">
              <a16:creationId xmlns:a16="http://schemas.microsoft.com/office/drawing/2014/main" xmlns="" id="{00000000-0008-0000-0000-00002B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092" name="Text Box 3079">
          <a:extLst>
            <a:ext uri="{FF2B5EF4-FFF2-40B4-BE49-F238E27FC236}">
              <a16:creationId xmlns:a16="http://schemas.microsoft.com/office/drawing/2014/main" xmlns="" id="{00000000-0008-0000-0000-00002C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093" name="Text Box 3080">
          <a:extLst>
            <a:ext uri="{FF2B5EF4-FFF2-40B4-BE49-F238E27FC236}">
              <a16:creationId xmlns:a16="http://schemas.microsoft.com/office/drawing/2014/main" xmlns="" id="{00000000-0008-0000-0000-00002D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094" name="Text Box 3081">
          <a:extLst>
            <a:ext uri="{FF2B5EF4-FFF2-40B4-BE49-F238E27FC236}">
              <a16:creationId xmlns:a16="http://schemas.microsoft.com/office/drawing/2014/main" xmlns="" id="{00000000-0008-0000-0000-00002E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095" name="Text Box 3082">
          <a:extLst>
            <a:ext uri="{FF2B5EF4-FFF2-40B4-BE49-F238E27FC236}">
              <a16:creationId xmlns:a16="http://schemas.microsoft.com/office/drawing/2014/main" xmlns="" id="{00000000-0008-0000-0000-00002F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096" name="Text Box 3083">
          <a:extLst>
            <a:ext uri="{FF2B5EF4-FFF2-40B4-BE49-F238E27FC236}">
              <a16:creationId xmlns:a16="http://schemas.microsoft.com/office/drawing/2014/main" xmlns="" id="{00000000-0008-0000-0000-000030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097" name="Text Box 3084">
          <a:extLst>
            <a:ext uri="{FF2B5EF4-FFF2-40B4-BE49-F238E27FC236}">
              <a16:creationId xmlns:a16="http://schemas.microsoft.com/office/drawing/2014/main" xmlns="" id="{00000000-0008-0000-0000-000031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098" name="Text Box 3085">
          <a:extLst>
            <a:ext uri="{FF2B5EF4-FFF2-40B4-BE49-F238E27FC236}">
              <a16:creationId xmlns:a16="http://schemas.microsoft.com/office/drawing/2014/main" xmlns="" id="{00000000-0008-0000-0000-000032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099" name="Text Box 3086">
          <a:extLst>
            <a:ext uri="{FF2B5EF4-FFF2-40B4-BE49-F238E27FC236}">
              <a16:creationId xmlns:a16="http://schemas.microsoft.com/office/drawing/2014/main" xmlns="" id="{00000000-0008-0000-0000-000033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100" name="Text Box 3087">
          <a:extLst>
            <a:ext uri="{FF2B5EF4-FFF2-40B4-BE49-F238E27FC236}">
              <a16:creationId xmlns:a16="http://schemas.microsoft.com/office/drawing/2014/main" xmlns="" id="{00000000-0008-0000-0000-000034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101" name="Text Box 3088">
          <a:extLst>
            <a:ext uri="{FF2B5EF4-FFF2-40B4-BE49-F238E27FC236}">
              <a16:creationId xmlns:a16="http://schemas.microsoft.com/office/drawing/2014/main" xmlns="" id="{00000000-0008-0000-0000-000035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102" name="Text Box 3089">
          <a:extLst>
            <a:ext uri="{FF2B5EF4-FFF2-40B4-BE49-F238E27FC236}">
              <a16:creationId xmlns:a16="http://schemas.microsoft.com/office/drawing/2014/main" xmlns="" id="{00000000-0008-0000-0000-000036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103" name="Text Box 3090">
          <a:extLst>
            <a:ext uri="{FF2B5EF4-FFF2-40B4-BE49-F238E27FC236}">
              <a16:creationId xmlns:a16="http://schemas.microsoft.com/office/drawing/2014/main" xmlns="" id="{00000000-0008-0000-0000-000037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104" name="Text Box 3091">
          <a:extLst>
            <a:ext uri="{FF2B5EF4-FFF2-40B4-BE49-F238E27FC236}">
              <a16:creationId xmlns:a16="http://schemas.microsoft.com/office/drawing/2014/main" xmlns="" id="{00000000-0008-0000-0000-000038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105" name="Text Box 3092">
          <a:extLst>
            <a:ext uri="{FF2B5EF4-FFF2-40B4-BE49-F238E27FC236}">
              <a16:creationId xmlns:a16="http://schemas.microsoft.com/office/drawing/2014/main" xmlns="" id="{00000000-0008-0000-0000-000039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106" name="Text Box 3093">
          <a:extLst>
            <a:ext uri="{FF2B5EF4-FFF2-40B4-BE49-F238E27FC236}">
              <a16:creationId xmlns:a16="http://schemas.microsoft.com/office/drawing/2014/main" xmlns="" id="{00000000-0008-0000-0000-00003A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107" name="Text Box 3094">
          <a:extLst>
            <a:ext uri="{FF2B5EF4-FFF2-40B4-BE49-F238E27FC236}">
              <a16:creationId xmlns:a16="http://schemas.microsoft.com/office/drawing/2014/main" xmlns="" id="{00000000-0008-0000-0000-00003B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108" name="Text Box 3095">
          <a:extLst>
            <a:ext uri="{FF2B5EF4-FFF2-40B4-BE49-F238E27FC236}">
              <a16:creationId xmlns:a16="http://schemas.microsoft.com/office/drawing/2014/main" xmlns="" id="{00000000-0008-0000-0000-00003C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109" name="Text Box 3096">
          <a:extLst>
            <a:ext uri="{FF2B5EF4-FFF2-40B4-BE49-F238E27FC236}">
              <a16:creationId xmlns:a16="http://schemas.microsoft.com/office/drawing/2014/main" xmlns="" id="{00000000-0008-0000-0000-00003D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110" name="Text Box 3097">
          <a:extLst>
            <a:ext uri="{FF2B5EF4-FFF2-40B4-BE49-F238E27FC236}">
              <a16:creationId xmlns:a16="http://schemas.microsoft.com/office/drawing/2014/main" xmlns="" id="{00000000-0008-0000-0000-00003E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111" name="Text Box 3098">
          <a:extLst>
            <a:ext uri="{FF2B5EF4-FFF2-40B4-BE49-F238E27FC236}">
              <a16:creationId xmlns:a16="http://schemas.microsoft.com/office/drawing/2014/main" xmlns="" id="{00000000-0008-0000-0000-00003F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112" name="Text Box 3099">
          <a:extLst>
            <a:ext uri="{FF2B5EF4-FFF2-40B4-BE49-F238E27FC236}">
              <a16:creationId xmlns:a16="http://schemas.microsoft.com/office/drawing/2014/main" xmlns="" id="{00000000-0008-0000-0000-000040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113" name="Text Box 3100">
          <a:extLst>
            <a:ext uri="{FF2B5EF4-FFF2-40B4-BE49-F238E27FC236}">
              <a16:creationId xmlns:a16="http://schemas.microsoft.com/office/drawing/2014/main" xmlns="" id="{00000000-0008-0000-0000-000041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114" name="Text Box 3101">
          <a:extLst>
            <a:ext uri="{FF2B5EF4-FFF2-40B4-BE49-F238E27FC236}">
              <a16:creationId xmlns:a16="http://schemas.microsoft.com/office/drawing/2014/main" xmlns="" id="{00000000-0008-0000-0000-000042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2115" name="Text Box 3102">
          <a:extLst>
            <a:ext uri="{FF2B5EF4-FFF2-40B4-BE49-F238E27FC236}">
              <a16:creationId xmlns:a16="http://schemas.microsoft.com/office/drawing/2014/main" xmlns="" id="{00000000-0008-0000-0000-000043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116" name="Text Box 59">
          <a:extLst>
            <a:ext uri="{FF2B5EF4-FFF2-40B4-BE49-F238E27FC236}">
              <a16:creationId xmlns:a16="http://schemas.microsoft.com/office/drawing/2014/main" xmlns="" id="{00000000-0008-0000-0000-000044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117" name="Text Box 60">
          <a:extLst>
            <a:ext uri="{FF2B5EF4-FFF2-40B4-BE49-F238E27FC236}">
              <a16:creationId xmlns:a16="http://schemas.microsoft.com/office/drawing/2014/main" xmlns="" id="{00000000-0008-0000-0000-000045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118" name="Text Box 61">
          <a:extLst>
            <a:ext uri="{FF2B5EF4-FFF2-40B4-BE49-F238E27FC236}">
              <a16:creationId xmlns:a16="http://schemas.microsoft.com/office/drawing/2014/main" xmlns="" id="{00000000-0008-0000-0000-000046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119" name="Text Box 62">
          <a:extLst>
            <a:ext uri="{FF2B5EF4-FFF2-40B4-BE49-F238E27FC236}">
              <a16:creationId xmlns:a16="http://schemas.microsoft.com/office/drawing/2014/main" xmlns="" id="{00000000-0008-0000-0000-000047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120" name="Text Box 63">
          <a:extLst>
            <a:ext uri="{FF2B5EF4-FFF2-40B4-BE49-F238E27FC236}">
              <a16:creationId xmlns:a16="http://schemas.microsoft.com/office/drawing/2014/main" xmlns="" id="{00000000-0008-0000-0000-000048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121" name="Text Box 64">
          <a:extLst>
            <a:ext uri="{FF2B5EF4-FFF2-40B4-BE49-F238E27FC236}">
              <a16:creationId xmlns:a16="http://schemas.microsoft.com/office/drawing/2014/main" xmlns="" id="{00000000-0008-0000-0000-000049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122" name="Text Box 65">
          <a:extLst>
            <a:ext uri="{FF2B5EF4-FFF2-40B4-BE49-F238E27FC236}">
              <a16:creationId xmlns:a16="http://schemas.microsoft.com/office/drawing/2014/main" xmlns="" id="{00000000-0008-0000-0000-00004A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123" name="Text Box 66">
          <a:extLst>
            <a:ext uri="{FF2B5EF4-FFF2-40B4-BE49-F238E27FC236}">
              <a16:creationId xmlns:a16="http://schemas.microsoft.com/office/drawing/2014/main" xmlns="" id="{00000000-0008-0000-0000-00004B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124" name="Text Box 67">
          <a:extLst>
            <a:ext uri="{FF2B5EF4-FFF2-40B4-BE49-F238E27FC236}">
              <a16:creationId xmlns:a16="http://schemas.microsoft.com/office/drawing/2014/main" xmlns="" id="{00000000-0008-0000-0000-00004C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125" name="Text Box 68">
          <a:extLst>
            <a:ext uri="{FF2B5EF4-FFF2-40B4-BE49-F238E27FC236}">
              <a16:creationId xmlns:a16="http://schemas.microsoft.com/office/drawing/2014/main" xmlns="" id="{00000000-0008-0000-0000-00004D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126" name="Text Box 69">
          <a:extLst>
            <a:ext uri="{FF2B5EF4-FFF2-40B4-BE49-F238E27FC236}">
              <a16:creationId xmlns:a16="http://schemas.microsoft.com/office/drawing/2014/main" xmlns="" id="{00000000-0008-0000-0000-00004E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127" name="Text Box 70">
          <a:extLst>
            <a:ext uri="{FF2B5EF4-FFF2-40B4-BE49-F238E27FC236}">
              <a16:creationId xmlns:a16="http://schemas.microsoft.com/office/drawing/2014/main" xmlns="" id="{00000000-0008-0000-0000-00004F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128" name="Text Box 71">
          <a:extLst>
            <a:ext uri="{FF2B5EF4-FFF2-40B4-BE49-F238E27FC236}">
              <a16:creationId xmlns:a16="http://schemas.microsoft.com/office/drawing/2014/main" xmlns="" id="{00000000-0008-0000-0000-000050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129" name="Text Box 72">
          <a:extLst>
            <a:ext uri="{FF2B5EF4-FFF2-40B4-BE49-F238E27FC236}">
              <a16:creationId xmlns:a16="http://schemas.microsoft.com/office/drawing/2014/main" xmlns="" id="{00000000-0008-0000-0000-000051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130" name="Text Box 73">
          <a:extLst>
            <a:ext uri="{FF2B5EF4-FFF2-40B4-BE49-F238E27FC236}">
              <a16:creationId xmlns:a16="http://schemas.microsoft.com/office/drawing/2014/main" xmlns="" id="{00000000-0008-0000-0000-000052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131" name="Text Box 74">
          <a:extLst>
            <a:ext uri="{FF2B5EF4-FFF2-40B4-BE49-F238E27FC236}">
              <a16:creationId xmlns:a16="http://schemas.microsoft.com/office/drawing/2014/main" xmlns="" id="{00000000-0008-0000-0000-000053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132" name="Text Box 75">
          <a:extLst>
            <a:ext uri="{FF2B5EF4-FFF2-40B4-BE49-F238E27FC236}">
              <a16:creationId xmlns:a16="http://schemas.microsoft.com/office/drawing/2014/main" xmlns="" id="{00000000-0008-0000-0000-000054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133" name="Text Box 76">
          <a:extLst>
            <a:ext uri="{FF2B5EF4-FFF2-40B4-BE49-F238E27FC236}">
              <a16:creationId xmlns:a16="http://schemas.microsoft.com/office/drawing/2014/main" xmlns="" id="{00000000-0008-0000-0000-000055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134" name="Text Box 77">
          <a:extLst>
            <a:ext uri="{FF2B5EF4-FFF2-40B4-BE49-F238E27FC236}">
              <a16:creationId xmlns:a16="http://schemas.microsoft.com/office/drawing/2014/main" xmlns="" id="{00000000-0008-0000-0000-000056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135" name="Text Box 78">
          <a:extLst>
            <a:ext uri="{FF2B5EF4-FFF2-40B4-BE49-F238E27FC236}">
              <a16:creationId xmlns:a16="http://schemas.microsoft.com/office/drawing/2014/main" xmlns="" id="{00000000-0008-0000-0000-000057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136" name="Text Box 79">
          <a:extLst>
            <a:ext uri="{FF2B5EF4-FFF2-40B4-BE49-F238E27FC236}">
              <a16:creationId xmlns:a16="http://schemas.microsoft.com/office/drawing/2014/main" xmlns="" id="{00000000-0008-0000-0000-000058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137" name="Text Box 80">
          <a:extLst>
            <a:ext uri="{FF2B5EF4-FFF2-40B4-BE49-F238E27FC236}">
              <a16:creationId xmlns:a16="http://schemas.microsoft.com/office/drawing/2014/main" xmlns="" id="{00000000-0008-0000-0000-000059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138" name="Text Box 81">
          <a:extLst>
            <a:ext uri="{FF2B5EF4-FFF2-40B4-BE49-F238E27FC236}">
              <a16:creationId xmlns:a16="http://schemas.microsoft.com/office/drawing/2014/main" xmlns="" id="{00000000-0008-0000-0000-00005A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47625"/>
    <xdr:sp macro="" textlink="">
      <xdr:nvSpPr>
        <xdr:cNvPr id="2139" name="Text Box 82">
          <a:extLst>
            <a:ext uri="{FF2B5EF4-FFF2-40B4-BE49-F238E27FC236}">
              <a16:creationId xmlns:a16="http://schemas.microsoft.com/office/drawing/2014/main" xmlns="" id="{00000000-0008-0000-0000-00005B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140" name="Text Box 3079">
          <a:extLst>
            <a:ext uri="{FF2B5EF4-FFF2-40B4-BE49-F238E27FC236}">
              <a16:creationId xmlns:a16="http://schemas.microsoft.com/office/drawing/2014/main" xmlns="" id="{00000000-0008-0000-0000-00005C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141" name="Text Box 3080">
          <a:extLst>
            <a:ext uri="{FF2B5EF4-FFF2-40B4-BE49-F238E27FC236}">
              <a16:creationId xmlns:a16="http://schemas.microsoft.com/office/drawing/2014/main" xmlns="" id="{00000000-0008-0000-0000-00005D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142" name="Text Box 3081">
          <a:extLst>
            <a:ext uri="{FF2B5EF4-FFF2-40B4-BE49-F238E27FC236}">
              <a16:creationId xmlns:a16="http://schemas.microsoft.com/office/drawing/2014/main" xmlns="" id="{00000000-0008-0000-0000-00005E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143" name="Text Box 3082">
          <a:extLst>
            <a:ext uri="{FF2B5EF4-FFF2-40B4-BE49-F238E27FC236}">
              <a16:creationId xmlns:a16="http://schemas.microsoft.com/office/drawing/2014/main" xmlns="" id="{00000000-0008-0000-0000-00005F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144" name="Text Box 3083">
          <a:extLst>
            <a:ext uri="{FF2B5EF4-FFF2-40B4-BE49-F238E27FC236}">
              <a16:creationId xmlns:a16="http://schemas.microsoft.com/office/drawing/2014/main" xmlns="" id="{00000000-0008-0000-0000-000060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145" name="Text Box 3084">
          <a:extLst>
            <a:ext uri="{FF2B5EF4-FFF2-40B4-BE49-F238E27FC236}">
              <a16:creationId xmlns:a16="http://schemas.microsoft.com/office/drawing/2014/main" xmlns="" id="{00000000-0008-0000-0000-000061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146" name="Text Box 3085">
          <a:extLst>
            <a:ext uri="{FF2B5EF4-FFF2-40B4-BE49-F238E27FC236}">
              <a16:creationId xmlns:a16="http://schemas.microsoft.com/office/drawing/2014/main" xmlns="" id="{00000000-0008-0000-0000-000062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147" name="Text Box 3086">
          <a:extLst>
            <a:ext uri="{FF2B5EF4-FFF2-40B4-BE49-F238E27FC236}">
              <a16:creationId xmlns:a16="http://schemas.microsoft.com/office/drawing/2014/main" xmlns="" id="{00000000-0008-0000-0000-000063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148" name="Text Box 3087">
          <a:extLst>
            <a:ext uri="{FF2B5EF4-FFF2-40B4-BE49-F238E27FC236}">
              <a16:creationId xmlns:a16="http://schemas.microsoft.com/office/drawing/2014/main" xmlns="" id="{00000000-0008-0000-0000-000064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149" name="Text Box 3088">
          <a:extLst>
            <a:ext uri="{FF2B5EF4-FFF2-40B4-BE49-F238E27FC236}">
              <a16:creationId xmlns:a16="http://schemas.microsoft.com/office/drawing/2014/main" xmlns="" id="{00000000-0008-0000-0000-000065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150" name="Text Box 3089">
          <a:extLst>
            <a:ext uri="{FF2B5EF4-FFF2-40B4-BE49-F238E27FC236}">
              <a16:creationId xmlns:a16="http://schemas.microsoft.com/office/drawing/2014/main" xmlns="" id="{00000000-0008-0000-0000-000066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151" name="Text Box 3090">
          <a:extLst>
            <a:ext uri="{FF2B5EF4-FFF2-40B4-BE49-F238E27FC236}">
              <a16:creationId xmlns:a16="http://schemas.microsoft.com/office/drawing/2014/main" xmlns="" id="{00000000-0008-0000-0000-000067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152" name="Text Box 3091">
          <a:extLst>
            <a:ext uri="{FF2B5EF4-FFF2-40B4-BE49-F238E27FC236}">
              <a16:creationId xmlns:a16="http://schemas.microsoft.com/office/drawing/2014/main" xmlns="" id="{00000000-0008-0000-0000-000068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153" name="Text Box 3092">
          <a:extLst>
            <a:ext uri="{FF2B5EF4-FFF2-40B4-BE49-F238E27FC236}">
              <a16:creationId xmlns:a16="http://schemas.microsoft.com/office/drawing/2014/main" xmlns="" id="{00000000-0008-0000-0000-000069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154" name="Text Box 3093">
          <a:extLst>
            <a:ext uri="{FF2B5EF4-FFF2-40B4-BE49-F238E27FC236}">
              <a16:creationId xmlns:a16="http://schemas.microsoft.com/office/drawing/2014/main" xmlns="" id="{00000000-0008-0000-0000-00006A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155" name="Text Box 3094">
          <a:extLst>
            <a:ext uri="{FF2B5EF4-FFF2-40B4-BE49-F238E27FC236}">
              <a16:creationId xmlns:a16="http://schemas.microsoft.com/office/drawing/2014/main" xmlns="" id="{00000000-0008-0000-0000-00006B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156" name="Text Box 3095">
          <a:extLst>
            <a:ext uri="{FF2B5EF4-FFF2-40B4-BE49-F238E27FC236}">
              <a16:creationId xmlns:a16="http://schemas.microsoft.com/office/drawing/2014/main" xmlns="" id="{00000000-0008-0000-0000-00006C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157" name="Text Box 3096">
          <a:extLst>
            <a:ext uri="{FF2B5EF4-FFF2-40B4-BE49-F238E27FC236}">
              <a16:creationId xmlns:a16="http://schemas.microsoft.com/office/drawing/2014/main" xmlns="" id="{00000000-0008-0000-0000-00006D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158" name="Text Box 3097">
          <a:extLst>
            <a:ext uri="{FF2B5EF4-FFF2-40B4-BE49-F238E27FC236}">
              <a16:creationId xmlns:a16="http://schemas.microsoft.com/office/drawing/2014/main" xmlns="" id="{00000000-0008-0000-0000-00006E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159" name="Text Box 3098">
          <a:extLst>
            <a:ext uri="{FF2B5EF4-FFF2-40B4-BE49-F238E27FC236}">
              <a16:creationId xmlns:a16="http://schemas.microsoft.com/office/drawing/2014/main" xmlns="" id="{00000000-0008-0000-0000-00006F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160" name="Text Box 3099">
          <a:extLst>
            <a:ext uri="{FF2B5EF4-FFF2-40B4-BE49-F238E27FC236}">
              <a16:creationId xmlns:a16="http://schemas.microsoft.com/office/drawing/2014/main" xmlns="" id="{00000000-0008-0000-0000-000070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161" name="Text Box 3100">
          <a:extLst>
            <a:ext uri="{FF2B5EF4-FFF2-40B4-BE49-F238E27FC236}">
              <a16:creationId xmlns:a16="http://schemas.microsoft.com/office/drawing/2014/main" xmlns="" id="{00000000-0008-0000-0000-000071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162" name="Text Box 3101">
          <a:extLst>
            <a:ext uri="{FF2B5EF4-FFF2-40B4-BE49-F238E27FC236}">
              <a16:creationId xmlns:a16="http://schemas.microsoft.com/office/drawing/2014/main" xmlns="" id="{00000000-0008-0000-0000-000072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2163" name="Text Box 3102">
          <a:extLst>
            <a:ext uri="{FF2B5EF4-FFF2-40B4-BE49-F238E27FC236}">
              <a16:creationId xmlns:a16="http://schemas.microsoft.com/office/drawing/2014/main" xmlns="" id="{00000000-0008-0000-0000-000073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164" name="Text Box 59">
          <a:extLst>
            <a:ext uri="{FF2B5EF4-FFF2-40B4-BE49-F238E27FC236}">
              <a16:creationId xmlns:a16="http://schemas.microsoft.com/office/drawing/2014/main" xmlns="" id="{00000000-0008-0000-0000-000074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165" name="Text Box 60">
          <a:extLst>
            <a:ext uri="{FF2B5EF4-FFF2-40B4-BE49-F238E27FC236}">
              <a16:creationId xmlns:a16="http://schemas.microsoft.com/office/drawing/2014/main" xmlns="" id="{00000000-0008-0000-0000-000075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166" name="Text Box 61">
          <a:extLst>
            <a:ext uri="{FF2B5EF4-FFF2-40B4-BE49-F238E27FC236}">
              <a16:creationId xmlns:a16="http://schemas.microsoft.com/office/drawing/2014/main" xmlns="" id="{00000000-0008-0000-0000-000076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167" name="Text Box 62">
          <a:extLst>
            <a:ext uri="{FF2B5EF4-FFF2-40B4-BE49-F238E27FC236}">
              <a16:creationId xmlns:a16="http://schemas.microsoft.com/office/drawing/2014/main" xmlns="" id="{00000000-0008-0000-0000-000077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168" name="Text Box 63">
          <a:extLst>
            <a:ext uri="{FF2B5EF4-FFF2-40B4-BE49-F238E27FC236}">
              <a16:creationId xmlns:a16="http://schemas.microsoft.com/office/drawing/2014/main" xmlns="" id="{00000000-0008-0000-0000-000078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169" name="Text Box 64">
          <a:extLst>
            <a:ext uri="{FF2B5EF4-FFF2-40B4-BE49-F238E27FC236}">
              <a16:creationId xmlns:a16="http://schemas.microsoft.com/office/drawing/2014/main" xmlns="" id="{00000000-0008-0000-0000-000079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170" name="Text Box 65">
          <a:extLst>
            <a:ext uri="{FF2B5EF4-FFF2-40B4-BE49-F238E27FC236}">
              <a16:creationId xmlns:a16="http://schemas.microsoft.com/office/drawing/2014/main" xmlns="" id="{00000000-0008-0000-0000-00007A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171" name="Text Box 66">
          <a:extLst>
            <a:ext uri="{FF2B5EF4-FFF2-40B4-BE49-F238E27FC236}">
              <a16:creationId xmlns:a16="http://schemas.microsoft.com/office/drawing/2014/main" xmlns="" id="{00000000-0008-0000-0000-00007B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172" name="Text Box 67">
          <a:extLst>
            <a:ext uri="{FF2B5EF4-FFF2-40B4-BE49-F238E27FC236}">
              <a16:creationId xmlns:a16="http://schemas.microsoft.com/office/drawing/2014/main" xmlns="" id="{00000000-0008-0000-0000-00007C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173" name="Text Box 68">
          <a:extLst>
            <a:ext uri="{FF2B5EF4-FFF2-40B4-BE49-F238E27FC236}">
              <a16:creationId xmlns:a16="http://schemas.microsoft.com/office/drawing/2014/main" xmlns="" id="{00000000-0008-0000-0000-00007D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174" name="Text Box 69">
          <a:extLst>
            <a:ext uri="{FF2B5EF4-FFF2-40B4-BE49-F238E27FC236}">
              <a16:creationId xmlns:a16="http://schemas.microsoft.com/office/drawing/2014/main" xmlns="" id="{00000000-0008-0000-0000-00007E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175" name="Text Box 70">
          <a:extLst>
            <a:ext uri="{FF2B5EF4-FFF2-40B4-BE49-F238E27FC236}">
              <a16:creationId xmlns:a16="http://schemas.microsoft.com/office/drawing/2014/main" xmlns="" id="{00000000-0008-0000-0000-00007F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176" name="Text Box 71">
          <a:extLst>
            <a:ext uri="{FF2B5EF4-FFF2-40B4-BE49-F238E27FC236}">
              <a16:creationId xmlns:a16="http://schemas.microsoft.com/office/drawing/2014/main" xmlns="" id="{00000000-0008-0000-0000-000080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177" name="Text Box 72">
          <a:extLst>
            <a:ext uri="{FF2B5EF4-FFF2-40B4-BE49-F238E27FC236}">
              <a16:creationId xmlns:a16="http://schemas.microsoft.com/office/drawing/2014/main" xmlns="" id="{00000000-0008-0000-0000-000081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178" name="Text Box 73">
          <a:extLst>
            <a:ext uri="{FF2B5EF4-FFF2-40B4-BE49-F238E27FC236}">
              <a16:creationId xmlns:a16="http://schemas.microsoft.com/office/drawing/2014/main" xmlns="" id="{00000000-0008-0000-0000-000082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179" name="Text Box 74">
          <a:extLst>
            <a:ext uri="{FF2B5EF4-FFF2-40B4-BE49-F238E27FC236}">
              <a16:creationId xmlns:a16="http://schemas.microsoft.com/office/drawing/2014/main" xmlns="" id="{00000000-0008-0000-0000-000083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180" name="Text Box 75">
          <a:extLst>
            <a:ext uri="{FF2B5EF4-FFF2-40B4-BE49-F238E27FC236}">
              <a16:creationId xmlns:a16="http://schemas.microsoft.com/office/drawing/2014/main" xmlns="" id="{00000000-0008-0000-0000-000084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181" name="Text Box 76">
          <a:extLst>
            <a:ext uri="{FF2B5EF4-FFF2-40B4-BE49-F238E27FC236}">
              <a16:creationId xmlns:a16="http://schemas.microsoft.com/office/drawing/2014/main" xmlns="" id="{00000000-0008-0000-0000-000085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182" name="Text Box 77">
          <a:extLst>
            <a:ext uri="{FF2B5EF4-FFF2-40B4-BE49-F238E27FC236}">
              <a16:creationId xmlns:a16="http://schemas.microsoft.com/office/drawing/2014/main" xmlns="" id="{00000000-0008-0000-0000-000086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183" name="Text Box 78">
          <a:extLst>
            <a:ext uri="{FF2B5EF4-FFF2-40B4-BE49-F238E27FC236}">
              <a16:creationId xmlns:a16="http://schemas.microsoft.com/office/drawing/2014/main" xmlns="" id="{00000000-0008-0000-0000-000087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184" name="Text Box 79">
          <a:extLst>
            <a:ext uri="{FF2B5EF4-FFF2-40B4-BE49-F238E27FC236}">
              <a16:creationId xmlns:a16="http://schemas.microsoft.com/office/drawing/2014/main" xmlns="" id="{00000000-0008-0000-0000-000088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185" name="Text Box 80">
          <a:extLst>
            <a:ext uri="{FF2B5EF4-FFF2-40B4-BE49-F238E27FC236}">
              <a16:creationId xmlns:a16="http://schemas.microsoft.com/office/drawing/2014/main" xmlns="" id="{00000000-0008-0000-0000-000089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186" name="Text Box 81">
          <a:extLst>
            <a:ext uri="{FF2B5EF4-FFF2-40B4-BE49-F238E27FC236}">
              <a16:creationId xmlns:a16="http://schemas.microsoft.com/office/drawing/2014/main" xmlns="" id="{00000000-0008-0000-0000-00008A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187" name="Text Box 3079">
          <a:extLst>
            <a:ext uri="{FF2B5EF4-FFF2-40B4-BE49-F238E27FC236}">
              <a16:creationId xmlns:a16="http://schemas.microsoft.com/office/drawing/2014/main" xmlns="" id="{00000000-0008-0000-0000-00008B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188" name="Text Box 3080">
          <a:extLst>
            <a:ext uri="{FF2B5EF4-FFF2-40B4-BE49-F238E27FC236}">
              <a16:creationId xmlns:a16="http://schemas.microsoft.com/office/drawing/2014/main" xmlns="" id="{00000000-0008-0000-0000-00008C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189" name="Text Box 3081">
          <a:extLst>
            <a:ext uri="{FF2B5EF4-FFF2-40B4-BE49-F238E27FC236}">
              <a16:creationId xmlns:a16="http://schemas.microsoft.com/office/drawing/2014/main" xmlns="" id="{00000000-0008-0000-0000-00008D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190" name="Text Box 3082">
          <a:extLst>
            <a:ext uri="{FF2B5EF4-FFF2-40B4-BE49-F238E27FC236}">
              <a16:creationId xmlns:a16="http://schemas.microsoft.com/office/drawing/2014/main" xmlns="" id="{00000000-0008-0000-0000-00008E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191" name="Text Box 3083">
          <a:extLst>
            <a:ext uri="{FF2B5EF4-FFF2-40B4-BE49-F238E27FC236}">
              <a16:creationId xmlns:a16="http://schemas.microsoft.com/office/drawing/2014/main" xmlns="" id="{00000000-0008-0000-0000-00008F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192" name="Text Box 3084">
          <a:extLst>
            <a:ext uri="{FF2B5EF4-FFF2-40B4-BE49-F238E27FC236}">
              <a16:creationId xmlns:a16="http://schemas.microsoft.com/office/drawing/2014/main" xmlns="" id="{00000000-0008-0000-0000-000090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193" name="Text Box 3085">
          <a:extLst>
            <a:ext uri="{FF2B5EF4-FFF2-40B4-BE49-F238E27FC236}">
              <a16:creationId xmlns:a16="http://schemas.microsoft.com/office/drawing/2014/main" xmlns="" id="{00000000-0008-0000-0000-000091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194" name="Text Box 3086">
          <a:extLst>
            <a:ext uri="{FF2B5EF4-FFF2-40B4-BE49-F238E27FC236}">
              <a16:creationId xmlns:a16="http://schemas.microsoft.com/office/drawing/2014/main" xmlns="" id="{00000000-0008-0000-0000-000092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195" name="Text Box 3087">
          <a:extLst>
            <a:ext uri="{FF2B5EF4-FFF2-40B4-BE49-F238E27FC236}">
              <a16:creationId xmlns:a16="http://schemas.microsoft.com/office/drawing/2014/main" xmlns="" id="{00000000-0008-0000-0000-000093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196" name="Text Box 3088">
          <a:extLst>
            <a:ext uri="{FF2B5EF4-FFF2-40B4-BE49-F238E27FC236}">
              <a16:creationId xmlns:a16="http://schemas.microsoft.com/office/drawing/2014/main" xmlns="" id="{00000000-0008-0000-0000-000094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197" name="Text Box 3089">
          <a:extLst>
            <a:ext uri="{FF2B5EF4-FFF2-40B4-BE49-F238E27FC236}">
              <a16:creationId xmlns:a16="http://schemas.microsoft.com/office/drawing/2014/main" xmlns="" id="{00000000-0008-0000-0000-000095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198" name="Text Box 3090">
          <a:extLst>
            <a:ext uri="{FF2B5EF4-FFF2-40B4-BE49-F238E27FC236}">
              <a16:creationId xmlns:a16="http://schemas.microsoft.com/office/drawing/2014/main" xmlns="" id="{00000000-0008-0000-0000-000096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199" name="Text Box 3091">
          <a:extLst>
            <a:ext uri="{FF2B5EF4-FFF2-40B4-BE49-F238E27FC236}">
              <a16:creationId xmlns:a16="http://schemas.microsoft.com/office/drawing/2014/main" xmlns="" id="{00000000-0008-0000-0000-000097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200" name="Text Box 3092">
          <a:extLst>
            <a:ext uri="{FF2B5EF4-FFF2-40B4-BE49-F238E27FC236}">
              <a16:creationId xmlns:a16="http://schemas.microsoft.com/office/drawing/2014/main" xmlns="" id="{00000000-0008-0000-0000-000098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201" name="Text Box 3093">
          <a:extLst>
            <a:ext uri="{FF2B5EF4-FFF2-40B4-BE49-F238E27FC236}">
              <a16:creationId xmlns:a16="http://schemas.microsoft.com/office/drawing/2014/main" xmlns="" id="{00000000-0008-0000-0000-000099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202" name="Text Box 3094">
          <a:extLst>
            <a:ext uri="{FF2B5EF4-FFF2-40B4-BE49-F238E27FC236}">
              <a16:creationId xmlns:a16="http://schemas.microsoft.com/office/drawing/2014/main" xmlns="" id="{00000000-0008-0000-0000-00009A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203" name="Text Box 3095">
          <a:extLst>
            <a:ext uri="{FF2B5EF4-FFF2-40B4-BE49-F238E27FC236}">
              <a16:creationId xmlns:a16="http://schemas.microsoft.com/office/drawing/2014/main" xmlns="" id="{00000000-0008-0000-0000-00009B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204" name="Text Box 3096">
          <a:extLst>
            <a:ext uri="{FF2B5EF4-FFF2-40B4-BE49-F238E27FC236}">
              <a16:creationId xmlns:a16="http://schemas.microsoft.com/office/drawing/2014/main" xmlns="" id="{00000000-0008-0000-0000-00009C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205" name="Text Box 3097">
          <a:extLst>
            <a:ext uri="{FF2B5EF4-FFF2-40B4-BE49-F238E27FC236}">
              <a16:creationId xmlns:a16="http://schemas.microsoft.com/office/drawing/2014/main" xmlns="" id="{00000000-0008-0000-0000-00009D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206" name="Text Box 3098">
          <a:extLst>
            <a:ext uri="{FF2B5EF4-FFF2-40B4-BE49-F238E27FC236}">
              <a16:creationId xmlns:a16="http://schemas.microsoft.com/office/drawing/2014/main" xmlns="" id="{00000000-0008-0000-0000-00009E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207" name="Text Box 3099">
          <a:extLst>
            <a:ext uri="{FF2B5EF4-FFF2-40B4-BE49-F238E27FC236}">
              <a16:creationId xmlns:a16="http://schemas.microsoft.com/office/drawing/2014/main" xmlns="" id="{00000000-0008-0000-0000-00009F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208" name="Text Box 3100">
          <a:extLst>
            <a:ext uri="{FF2B5EF4-FFF2-40B4-BE49-F238E27FC236}">
              <a16:creationId xmlns:a16="http://schemas.microsoft.com/office/drawing/2014/main" xmlns="" id="{00000000-0008-0000-0000-0000A0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209" name="Text Box 3101">
          <a:extLst>
            <a:ext uri="{FF2B5EF4-FFF2-40B4-BE49-F238E27FC236}">
              <a16:creationId xmlns:a16="http://schemas.microsoft.com/office/drawing/2014/main" xmlns="" id="{00000000-0008-0000-0000-0000A1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2210" name="Text Box 3102">
          <a:extLst>
            <a:ext uri="{FF2B5EF4-FFF2-40B4-BE49-F238E27FC236}">
              <a16:creationId xmlns:a16="http://schemas.microsoft.com/office/drawing/2014/main" xmlns="" id="{00000000-0008-0000-0000-0000A2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211" name="Text Box 59">
          <a:extLst>
            <a:ext uri="{FF2B5EF4-FFF2-40B4-BE49-F238E27FC236}">
              <a16:creationId xmlns:a16="http://schemas.microsoft.com/office/drawing/2014/main" xmlns="" id="{00000000-0008-0000-0000-0000A3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212" name="Text Box 60">
          <a:extLst>
            <a:ext uri="{FF2B5EF4-FFF2-40B4-BE49-F238E27FC236}">
              <a16:creationId xmlns:a16="http://schemas.microsoft.com/office/drawing/2014/main" xmlns="" id="{00000000-0008-0000-0000-0000A4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213" name="Text Box 61">
          <a:extLst>
            <a:ext uri="{FF2B5EF4-FFF2-40B4-BE49-F238E27FC236}">
              <a16:creationId xmlns:a16="http://schemas.microsoft.com/office/drawing/2014/main" xmlns="" id="{00000000-0008-0000-0000-0000A5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214" name="Text Box 62">
          <a:extLst>
            <a:ext uri="{FF2B5EF4-FFF2-40B4-BE49-F238E27FC236}">
              <a16:creationId xmlns:a16="http://schemas.microsoft.com/office/drawing/2014/main" xmlns="" id="{00000000-0008-0000-0000-0000A6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215" name="Text Box 63">
          <a:extLst>
            <a:ext uri="{FF2B5EF4-FFF2-40B4-BE49-F238E27FC236}">
              <a16:creationId xmlns:a16="http://schemas.microsoft.com/office/drawing/2014/main" xmlns="" id="{00000000-0008-0000-0000-0000A7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216" name="Text Box 64">
          <a:extLst>
            <a:ext uri="{FF2B5EF4-FFF2-40B4-BE49-F238E27FC236}">
              <a16:creationId xmlns:a16="http://schemas.microsoft.com/office/drawing/2014/main" xmlns="" id="{00000000-0008-0000-0000-0000A8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217" name="Text Box 65">
          <a:extLst>
            <a:ext uri="{FF2B5EF4-FFF2-40B4-BE49-F238E27FC236}">
              <a16:creationId xmlns:a16="http://schemas.microsoft.com/office/drawing/2014/main" xmlns="" id="{00000000-0008-0000-0000-0000A9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218" name="Text Box 66">
          <a:extLst>
            <a:ext uri="{FF2B5EF4-FFF2-40B4-BE49-F238E27FC236}">
              <a16:creationId xmlns:a16="http://schemas.microsoft.com/office/drawing/2014/main" xmlns="" id="{00000000-0008-0000-0000-0000AA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219" name="Text Box 67">
          <a:extLst>
            <a:ext uri="{FF2B5EF4-FFF2-40B4-BE49-F238E27FC236}">
              <a16:creationId xmlns:a16="http://schemas.microsoft.com/office/drawing/2014/main" xmlns="" id="{00000000-0008-0000-0000-0000AB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220" name="Text Box 68">
          <a:extLst>
            <a:ext uri="{FF2B5EF4-FFF2-40B4-BE49-F238E27FC236}">
              <a16:creationId xmlns:a16="http://schemas.microsoft.com/office/drawing/2014/main" xmlns="" id="{00000000-0008-0000-0000-0000AC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221" name="Text Box 69">
          <a:extLst>
            <a:ext uri="{FF2B5EF4-FFF2-40B4-BE49-F238E27FC236}">
              <a16:creationId xmlns:a16="http://schemas.microsoft.com/office/drawing/2014/main" xmlns="" id="{00000000-0008-0000-0000-0000AD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222" name="Text Box 70">
          <a:extLst>
            <a:ext uri="{FF2B5EF4-FFF2-40B4-BE49-F238E27FC236}">
              <a16:creationId xmlns:a16="http://schemas.microsoft.com/office/drawing/2014/main" xmlns="" id="{00000000-0008-0000-0000-0000AE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223" name="Text Box 71">
          <a:extLst>
            <a:ext uri="{FF2B5EF4-FFF2-40B4-BE49-F238E27FC236}">
              <a16:creationId xmlns:a16="http://schemas.microsoft.com/office/drawing/2014/main" xmlns="" id="{00000000-0008-0000-0000-0000AF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224" name="Text Box 72">
          <a:extLst>
            <a:ext uri="{FF2B5EF4-FFF2-40B4-BE49-F238E27FC236}">
              <a16:creationId xmlns:a16="http://schemas.microsoft.com/office/drawing/2014/main" xmlns="" id="{00000000-0008-0000-0000-0000B0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225" name="Text Box 73">
          <a:extLst>
            <a:ext uri="{FF2B5EF4-FFF2-40B4-BE49-F238E27FC236}">
              <a16:creationId xmlns:a16="http://schemas.microsoft.com/office/drawing/2014/main" xmlns="" id="{00000000-0008-0000-0000-0000B1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226" name="Text Box 74">
          <a:extLst>
            <a:ext uri="{FF2B5EF4-FFF2-40B4-BE49-F238E27FC236}">
              <a16:creationId xmlns:a16="http://schemas.microsoft.com/office/drawing/2014/main" xmlns="" id="{00000000-0008-0000-0000-0000B2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227" name="Text Box 75">
          <a:extLst>
            <a:ext uri="{FF2B5EF4-FFF2-40B4-BE49-F238E27FC236}">
              <a16:creationId xmlns:a16="http://schemas.microsoft.com/office/drawing/2014/main" xmlns="" id="{00000000-0008-0000-0000-0000B3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228" name="Text Box 76">
          <a:extLst>
            <a:ext uri="{FF2B5EF4-FFF2-40B4-BE49-F238E27FC236}">
              <a16:creationId xmlns:a16="http://schemas.microsoft.com/office/drawing/2014/main" xmlns="" id="{00000000-0008-0000-0000-0000B4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229" name="Text Box 77">
          <a:extLst>
            <a:ext uri="{FF2B5EF4-FFF2-40B4-BE49-F238E27FC236}">
              <a16:creationId xmlns:a16="http://schemas.microsoft.com/office/drawing/2014/main" xmlns="" id="{00000000-0008-0000-0000-0000B5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230" name="Text Box 78">
          <a:extLst>
            <a:ext uri="{FF2B5EF4-FFF2-40B4-BE49-F238E27FC236}">
              <a16:creationId xmlns:a16="http://schemas.microsoft.com/office/drawing/2014/main" xmlns="" id="{00000000-0008-0000-0000-0000B6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231" name="Text Box 79">
          <a:extLst>
            <a:ext uri="{FF2B5EF4-FFF2-40B4-BE49-F238E27FC236}">
              <a16:creationId xmlns:a16="http://schemas.microsoft.com/office/drawing/2014/main" xmlns="" id="{00000000-0008-0000-0000-0000B7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232" name="Text Box 80">
          <a:extLst>
            <a:ext uri="{FF2B5EF4-FFF2-40B4-BE49-F238E27FC236}">
              <a16:creationId xmlns:a16="http://schemas.microsoft.com/office/drawing/2014/main" xmlns="" id="{00000000-0008-0000-0000-0000B8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233" name="Text Box 81">
          <a:extLst>
            <a:ext uri="{FF2B5EF4-FFF2-40B4-BE49-F238E27FC236}">
              <a16:creationId xmlns:a16="http://schemas.microsoft.com/office/drawing/2014/main" xmlns="" id="{00000000-0008-0000-0000-0000B9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47625"/>
    <xdr:sp macro="" textlink="">
      <xdr:nvSpPr>
        <xdr:cNvPr id="2234" name="Text Box 82">
          <a:extLst>
            <a:ext uri="{FF2B5EF4-FFF2-40B4-BE49-F238E27FC236}">
              <a16:creationId xmlns:a16="http://schemas.microsoft.com/office/drawing/2014/main" xmlns="" id="{00000000-0008-0000-0000-0000BA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235" name="Text Box 3079">
          <a:extLst>
            <a:ext uri="{FF2B5EF4-FFF2-40B4-BE49-F238E27FC236}">
              <a16:creationId xmlns:a16="http://schemas.microsoft.com/office/drawing/2014/main" xmlns="" id="{00000000-0008-0000-0000-0000BB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236" name="Text Box 3080">
          <a:extLst>
            <a:ext uri="{FF2B5EF4-FFF2-40B4-BE49-F238E27FC236}">
              <a16:creationId xmlns:a16="http://schemas.microsoft.com/office/drawing/2014/main" xmlns="" id="{00000000-0008-0000-0000-0000BC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237" name="Text Box 3081">
          <a:extLst>
            <a:ext uri="{FF2B5EF4-FFF2-40B4-BE49-F238E27FC236}">
              <a16:creationId xmlns:a16="http://schemas.microsoft.com/office/drawing/2014/main" xmlns="" id="{00000000-0008-0000-0000-0000BD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238" name="Text Box 3082">
          <a:extLst>
            <a:ext uri="{FF2B5EF4-FFF2-40B4-BE49-F238E27FC236}">
              <a16:creationId xmlns:a16="http://schemas.microsoft.com/office/drawing/2014/main" xmlns="" id="{00000000-0008-0000-0000-0000BE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239" name="Text Box 3083">
          <a:extLst>
            <a:ext uri="{FF2B5EF4-FFF2-40B4-BE49-F238E27FC236}">
              <a16:creationId xmlns:a16="http://schemas.microsoft.com/office/drawing/2014/main" xmlns="" id="{00000000-0008-0000-0000-0000BF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240" name="Text Box 3084">
          <a:extLst>
            <a:ext uri="{FF2B5EF4-FFF2-40B4-BE49-F238E27FC236}">
              <a16:creationId xmlns:a16="http://schemas.microsoft.com/office/drawing/2014/main" xmlns="" id="{00000000-0008-0000-0000-0000C0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241" name="Text Box 3085">
          <a:extLst>
            <a:ext uri="{FF2B5EF4-FFF2-40B4-BE49-F238E27FC236}">
              <a16:creationId xmlns:a16="http://schemas.microsoft.com/office/drawing/2014/main" xmlns="" id="{00000000-0008-0000-0000-0000C1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242" name="Text Box 3086">
          <a:extLst>
            <a:ext uri="{FF2B5EF4-FFF2-40B4-BE49-F238E27FC236}">
              <a16:creationId xmlns:a16="http://schemas.microsoft.com/office/drawing/2014/main" xmlns="" id="{00000000-0008-0000-0000-0000C2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243" name="Text Box 3087">
          <a:extLst>
            <a:ext uri="{FF2B5EF4-FFF2-40B4-BE49-F238E27FC236}">
              <a16:creationId xmlns:a16="http://schemas.microsoft.com/office/drawing/2014/main" xmlns="" id="{00000000-0008-0000-0000-0000C3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244" name="Text Box 3088">
          <a:extLst>
            <a:ext uri="{FF2B5EF4-FFF2-40B4-BE49-F238E27FC236}">
              <a16:creationId xmlns:a16="http://schemas.microsoft.com/office/drawing/2014/main" xmlns="" id="{00000000-0008-0000-0000-0000C4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245" name="Text Box 3089">
          <a:extLst>
            <a:ext uri="{FF2B5EF4-FFF2-40B4-BE49-F238E27FC236}">
              <a16:creationId xmlns:a16="http://schemas.microsoft.com/office/drawing/2014/main" xmlns="" id="{00000000-0008-0000-0000-0000C5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246" name="Text Box 3090">
          <a:extLst>
            <a:ext uri="{FF2B5EF4-FFF2-40B4-BE49-F238E27FC236}">
              <a16:creationId xmlns:a16="http://schemas.microsoft.com/office/drawing/2014/main" xmlns="" id="{00000000-0008-0000-0000-0000C6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247" name="Text Box 3091">
          <a:extLst>
            <a:ext uri="{FF2B5EF4-FFF2-40B4-BE49-F238E27FC236}">
              <a16:creationId xmlns:a16="http://schemas.microsoft.com/office/drawing/2014/main" xmlns="" id="{00000000-0008-0000-0000-0000C7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248" name="Text Box 3092">
          <a:extLst>
            <a:ext uri="{FF2B5EF4-FFF2-40B4-BE49-F238E27FC236}">
              <a16:creationId xmlns:a16="http://schemas.microsoft.com/office/drawing/2014/main" xmlns="" id="{00000000-0008-0000-0000-0000C8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249" name="Text Box 3093">
          <a:extLst>
            <a:ext uri="{FF2B5EF4-FFF2-40B4-BE49-F238E27FC236}">
              <a16:creationId xmlns:a16="http://schemas.microsoft.com/office/drawing/2014/main" xmlns="" id="{00000000-0008-0000-0000-0000C9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250" name="Text Box 3094">
          <a:extLst>
            <a:ext uri="{FF2B5EF4-FFF2-40B4-BE49-F238E27FC236}">
              <a16:creationId xmlns:a16="http://schemas.microsoft.com/office/drawing/2014/main" xmlns="" id="{00000000-0008-0000-0000-0000CA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251" name="Text Box 3095">
          <a:extLst>
            <a:ext uri="{FF2B5EF4-FFF2-40B4-BE49-F238E27FC236}">
              <a16:creationId xmlns:a16="http://schemas.microsoft.com/office/drawing/2014/main" xmlns="" id="{00000000-0008-0000-0000-0000CB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252" name="Text Box 3096">
          <a:extLst>
            <a:ext uri="{FF2B5EF4-FFF2-40B4-BE49-F238E27FC236}">
              <a16:creationId xmlns:a16="http://schemas.microsoft.com/office/drawing/2014/main" xmlns="" id="{00000000-0008-0000-0000-0000CC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253" name="Text Box 3097">
          <a:extLst>
            <a:ext uri="{FF2B5EF4-FFF2-40B4-BE49-F238E27FC236}">
              <a16:creationId xmlns:a16="http://schemas.microsoft.com/office/drawing/2014/main" xmlns="" id="{00000000-0008-0000-0000-0000CD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254" name="Text Box 3098">
          <a:extLst>
            <a:ext uri="{FF2B5EF4-FFF2-40B4-BE49-F238E27FC236}">
              <a16:creationId xmlns:a16="http://schemas.microsoft.com/office/drawing/2014/main" xmlns="" id="{00000000-0008-0000-0000-0000CE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255" name="Text Box 3099">
          <a:extLst>
            <a:ext uri="{FF2B5EF4-FFF2-40B4-BE49-F238E27FC236}">
              <a16:creationId xmlns:a16="http://schemas.microsoft.com/office/drawing/2014/main" xmlns="" id="{00000000-0008-0000-0000-0000CF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256" name="Text Box 3100">
          <a:extLst>
            <a:ext uri="{FF2B5EF4-FFF2-40B4-BE49-F238E27FC236}">
              <a16:creationId xmlns:a16="http://schemas.microsoft.com/office/drawing/2014/main" xmlns="" id="{00000000-0008-0000-0000-0000D0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257" name="Text Box 3101">
          <a:extLst>
            <a:ext uri="{FF2B5EF4-FFF2-40B4-BE49-F238E27FC236}">
              <a16:creationId xmlns:a16="http://schemas.microsoft.com/office/drawing/2014/main" xmlns="" id="{00000000-0008-0000-0000-0000D1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2258" name="Text Box 3102">
          <a:extLst>
            <a:ext uri="{FF2B5EF4-FFF2-40B4-BE49-F238E27FC236}">
              <a16:creationId xmlns:a16="http://schemas.microsoft.com/office/drawing/2014/main" xmlns="" id="{00000000-0008-0000-0000-0000D2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259" name="Text Box 59">
          <a:extLst>
            <a:ext uri="{FF2B5EF4-FFF2-40B4-BE49-F238E27FC236}">
              <a16:creationId xmlns:a16="http://schemas.microsoft.com/office/drawing/2014/main" xmlns="" id="{00000000-0008-0000-0000-0000D3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260" name="Text Box 60">
          <a:extLst>
            <a:ext uri="{FF2B5EF4-FFF2-40B4-BE49-F238E27FC236}">
              <a16:creationId xmlns:a16="http://schemas.microsoft.com/office/drawing/2014/main" xmlns="" id="{00000000-0008-0000-0000-0000D4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261" name="Text Box 61">
          <a:extLst>
            <a:ext uri="{FF2B5EF4-FFF2-40B4-BE49-F238E27FC236}">
              <a16:creationId xmlns:a16="http://schemas.microsoft.com/office/drawing/2014/main" xmlns="" id="{00000000-0008-0000-0000-0000D5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262" name="Text Box 62">
          <a:extLst>
            <a:ext uri="{FF2B5EF4-FFF2-40B4-BE49-F238E27FC236}">
              <a16:creationId xmlns:a16="http://schemas.microsoft.com/office/drawing/2014/main" xmlns="" id="{00000000-0008-0000-0000-0000D6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263" name="Text Box 63">
          <a:extLst>
            <a:ext uri="{FF2B5EF4-FFF2-40B4-BE49-F238E27FC236}">
              <a16:creationId xmlns:a16="http://schemas.microsoft.com/office/drawing/2014/main" xmlns="" id="{00000000-0008-0000-0000-0000D7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264" name="Text Box 64">
          <a:extLst>
            <a:ext uri="{FF2B5EF4-FFF2-40B4-BE49-F238E27FC236}">
              <a16:creationId xmlns:a16="http://schemas.microsoft.com/office/drawing/2014/main" xmlns="" id="{00000000-0008-0000-0000-0000D8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265" name="Text Box 65">
          <a:extLst>
            <a:ext uri="{FF2B5EF4-FFF2-40B4-BE49-F238E27FC236}">
              <a16:creationId xmlns:a16="http://schemas.microsoft.com/office/drawing/2014/main" xmlns="" id="{00000000-0008-0000-0000-0000D9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266" name="Text Box 66">
          <a:extLst>
            <a:ext uri="{FF2B5EF4-FFF2-40B4-BE49-F238E27FC236}">
              <a16:creationId xmlns:a16="http://schemas.microsoft.com/office/drawing/2014/main" xmlns="" id="{00000000-0008-0000-0000-0000DA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267" name="Text Box 67">
          <a:extLst>
            <a:ext uri="{FF2B5EF4-FFF2-40B4-BE49-F238E27FC236}">
              <a16:creationId xmlns:a16="http://schemas.microsoft.com/office/drawing/2014/main" xmlns="" id="{00000000-0008-0000-0000-0000DB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268" name="Text Box 68">
          <a:extLst>
            <a:ext uri="{FF2B5EF4-FFF2-40B4-BE49-F238E27FC236}">
              <a16:creationId xmlns:a16="http://schemas.microsoft.com/office/drawing/2014/main" xmlns="" id="{00000000-0008-0000-0000-0000DC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269" name="Text Box 69">
          <a:extLst>
            <a:ext uri="{FF2B5EF4-FFF2-40B4-BE49-F238E27FC236}">
              <a16:creationId xmlns:a16="http://schemas.microsoft.com/office/drawing/2014/main" xmlns="" id="{00000000-0008-0000-0000-0000DD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270" name="Text Box 70">
          <a:extLst>
            <a:ext uri="{FF2B5EF4-FFF2-40B4-BE49-F238E27FC236}">
              <a16:creationId xmlns:a16="http://schemas.microsoft.com/office/drawing/2014/main" xmlns="" id="{00000000-0008-0000-0000-0000DE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271" name="Text Box 71">
          <a:extLst>
            <a:ext uri="{FF2B5EF4-FFF2-40B4-BE49-F238E27FC236}">
              <a16:creationId xmlns:a16="http://schemas.microsoft.com/office/drawing/2014/main" xmlns="" id="{00000000-0008-0000-0000-0000DF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272" name="Text Box 72">
          <a:extLst>
            <a:ext uri="{FF2B5EF4-FFF2-40B4-BE49-F238E27FC236}">
              <a16:creationId xmlns:a16="http://schemas.microsoft.com/office/drawing/2014/main" xmlns="" id="{00000000-0008-0000-0000-0000E0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273" name="Text Box 73">
          <a:extLst>
            <a:ext uri="{FF2B5EF4-FFF2-40B4-BE49-F238E27FC236}">
              <a16:creationId xmlns:a16="http://schemas.microsoft.com/office/drawing/2014/main" xmlns="" id="{00000000-0008-0000-0000-0000E1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274" name="Text Box 74">
          <a:extLst>
            <a:ext uri="{FF2B5EF4-FFF2-40B4-BE49-F238E27FC236}">
              <a16:creationId xmlns:a16="http://schemas.microsoft.com/office/drawing/2014/main" xmlns="" id="{00000000-0008-0000-0000-0000E2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275" name="Text Box 75">
          <a:extLst>
            <a:ext uri="{FF2B5EF4-FFF2-40B4-BE49-F238E27FC236}">
              <a16:creationId xmlns:a16="http://schemas.microsoft.com/office/drawing/2014/main" xmlns="" id="{00000000-0008-0000-0000-0000E3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276" name="Text Box 76">
          <a:extLst>
            <a:ext uri="{FF2B5EF4-FFF2-40B4-BE49-F238E27FC236}">
              <a16:creationId xmlns:a16="http://schemas.microsoft.com/office/drawing/2014/main" xmlns="" id="{00000000-0008-0000-0000-0000E4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277" name="Text Box 77">
          <a:extLst>
            <a:ext uri="{FF2B5EF4-FFF2-40B4-BE49-F238E27FC236}">
              <a16:creationId xmlns:a16="http://schemas.microsoft.com/office/drawing/2014/main" xmlns="" id="{00000000-0008-0000-0000-0000E5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278" name="Text Box 78">
          <a:extLst>
            <a:ext uri="{FF2B5EF4-FFF2-40B4-BE49-F238E27FC236}">
              <a16:creationId xmlns:a16="http://schemas.microsoft.com/office/drawing/2014/main" xmlns="" id="{00000000-0008-0000-0000-0000E6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279" name="Text Box 79">
          <a:extLst>
            <a:ext uri="{FF2B5EF4-FFF2-40B4-BE49-F238E27FC236}">
              <a16:creationId xmlns:a16="http://schemas.microsoft.com/office/drawing/2014/main" xmlns="" id="{00000000-0008-0000-0000-0000E7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280" name="Text Box 80">
          <a:extLst>
            <a:ext uri="{FF2B5EF4-FFF2-40B4-BE49-F238E27FC236}">
              <a16:creationId xmlns:a16="http://schemas.microsoft.com/office/drawing/2014/main" xmlns="" id="{00000000-0008-0000-0000-0000E8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281" name="Text Box 81">
          <a:extLst>
            <a:ext uri="{FF2B5EF4-FFF2-40B4-BE49-F238E27FC236}">
              <a16:creationId xmlns:a16="http://schemas.microsoft.com/office/drawing/2014/main" xmlns="" id="{00000000-0008-0000-0000-0000E9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282" name="Text Box 3079">
          <a:extLst>
            <a:ext uri="{FF2B5EF4-FFF2-40B4-BE49-F238E27FC236}">
              <a16:creationId xmlns:a16="http://schemas.microsoft.com/office/drawing/2014/main" xmlns="" id="{00000000-0008-0000-0000-0000EA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283" name="Text Box 3080">
          <a:extLst>
            <a:ext uri="{FF2B5EF4-FFF2-40B4-BE49-F238E27FC236}">
              <a16:creationId xmlns:a16="http://schemas.microsoft.com/office/drawing/2014/main" xmlns="" id="{00000000-0008-0000-0000-0000EB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284" name="Text Box 3081">
          <a:extLst>
            <a:ext uri="{FF2B5EF4-FFF2-40B4-BE49-F238E27FC236}">
              <a16:creationId xmlns:a16="http://schemas.microsoft.com/office/drawing/2014/main" xmlns="" id="{00000000-0008-0000-0000-0000EC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285" name="Text Box 3082">
          <a:extLst>
            <a:ext uri="{FF2B5EF4-FFF2-40B4-BE49-F238E27FC236}">
              <a16:creationId xmlns:a16="http://schemas.microsoft.com/office/drawing/2014/main" xmlns="" id="{00000000-0008-0000-0000-0000ED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286" name="Text Box 3083">
          <a:extLst>
            <a:ext uri="{FF2B5EF4-FFF2-40B4-BE49-F238E27FC236}">
              <a16:creationId xmlns:a16="http://schemas.microsoft.com/office/drawing/2014/main" xmlns="" id="{00000000-0008-0000-0000-0000EE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287" name="Text Box 3084">
          <a:extLst>
            <a:ext uri="{FF2B5EF4-FFF2-40B4-BE49-F238E27FC236}">
              <a16:creationId xmlns:a16="http://schemas.microsoft.com/office/drawing/2014/main" xmlns="" id="{00000000-0008-0000-0000-0000EF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288" name="Text Box 3085">
          <a:extLst>
            <a:ext uri="{FF2B5EF4-FFF2-40B4-BE49-F238E27FC236}">
              <a16:creationId xmlns:a16="http://schemas.microsoft.com/office/drawing/2014/main" xmlns="" id="{00000000-0008-0000-0000-0000F0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289" name="Text Box 3086">
          <a:extLst>
            <a:ext uri="{FF2B5EF4-FFF2-40B4-BE49-F238E27FC236}">
              <a16:creationId xmlns:a16="http://schemas.microsoft.com/office/drawing/2014/main" xmlns="" id="{00000000-0008-0000-0000-0000F1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290" name="Text Box 3087">
          <a:extLst>
            <a:ext uri="{FF2B5EF4-FFF2-40B4-BE49-F238E27FC236}">
              <a16:creationId xmlns:a16="http://schemas.microsoft.com/office/drawing/2014/main" xmlns="" id="{00000000-0008-0000-0000-0000F2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291" name="Text Box 3088">
          <a:extLst>
            <a:ext uri="{FF2B5EF4-FFF2-40B4-BE49-F238E27FC236}">
              <a16:creationId xmlns:a16="http://schemas.microsoft.com/office/drawing/2014/main" xmlns="" id="{00000000-0008-0000-0000-0000F3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292" name="Text Box 3089">
          <a:extLst>
            <a:ext uri="{FF2B5EF4-FFF2-40B4-BE49-F238E27FC236}">
              <a16:creationId xmlns:a16="http://schemas.microsoft.com/office/drawing/2014/main" xmlns="" id="{00000000-0008-0000-0000-0000F4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293" name="Text Box 3090">
          <a:extLst>
            <a:ext uri="{FF2B5EF4-FFF2-40B4-BE49-F238E27FC236}">
              <a16:creationId xmlns:a16="http://schemas.microsoft.com/office/drawing/2014/main" xmlns="" id="{00000000-0008-0000-0000-0000F5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294" name="Text Box 3091">
          <a:extLst>
            <a:ext uri="{FF2B5EF4-FFF2-40B4-BE49-F238E27FC236}">
              <a16:creationId xmlns:a16="http://schemas.microsoft.com/office/drawing/2014/main" xmlns="" id="{00000000-0008-0000-0000-0000F6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295" name="Text Box 3092">
          <a:extLst>
            <a:ext uri="{FF2B5EF4-FFF2-40B4-BE49-F238E27FC236}">
              <a16:creationId xmlns:a16="http://schemas.microsoft.com/office/drawing/2014/main" xmlns="" id="{00000000-0008-0000-0000-0000F7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296" name="Text Box 3093">
          <a:extLst>
            <a:ext uri="{FF2B5EF4-FFF2-40B4-BE49-F238E27FC236}">
              <a16:creationId xmlns:a16="http://schemas.microsoft.com/office/drawing/2014/main" xmlns="" id="{00000000-0008-0000-0000-0000F8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297" name="Text Box 3094">
          <a:extLst>
            <a:ext uri="{FF2B5EF4-FFF2-40B4-BE49-F238E27FC236}">
              <a16:creationId xmlns:a16="http://schemas.microsoft.com/office/drawing/2014/main" xmlns="" id="{00000000-0008-0000-0000-0000F9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298" name="Text Box 3095">
          <a:extLst>
            <a:ext uri="{FF2B5EF4-FFF2-40B4-BE49-F238E27FC236}">
              <a16:creationId xmlns:a16="http://schemas.microsoft.com/office/drawing/2014/main" xmlns="" id="{00000000-0008-0000-0000-0000FA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299" name="Text Box 3096">
          <a:extLst>
            <a:ext uri="{FF2B5EF4-FFF2-40B4-BE49-F238E27FC236}">
              <a16:creationId xmlns:a16="http://schemas.microsoft.com/office/drawing/2014/main" xmlns="" id="{00000000-0008-0000-0000-0000FB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300" name="Text Box 3097">
          <a:extLst>
            <a:ext uri="{FF2B5EF4-FFF2-40B4-BE49-F238E27FC236}">
              <a16:creationId xmlns:a16="http://schemas.microsoft.com/office/drawing/2014/main" xmlns="" id="{00000000-0008-0000-0000-0000FC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301" name="Text Box 3098">
          <a:extLst>
            <a:ext uri="{FF2B5EF4-FFF2-40B4-BE49-F238E27FC236}">
              <a16:creationId xmlns:a16="http://schemas.microsoft.com/office/drawing/2014/main" xmlns="" id="{00000000-0008-0000-0000-0000FD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302" name="Text Box 3099">
          <a:extLst>
            <a:ext uri="{FF2B5EF4-FFF2-40B4-BE49-F238E27FC236}">
              <a16:creationId xmlns:a16="http://schemas.microsoft.com/office/drawing/2014/main" xmlns="" id="{00000000-0008-0000-0000-0000FE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303" name="Text Box 3100">
          <a:extLst>
            <a:ext uri="{FF2B5EF4-FFF2-40B4-BE49-F238E27FC236}">
              <a16:creationId xmlns:a16="http://schemas.microsoft.com/office/drawing/2014/main" xmlns="" id="{00000000-0008-0000-0000-0000FF08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304" name="Text Box 3101">
          <a:extLst>
            <a:ext uri="{FF2B5EF4-FFF2-40B4-BE49-F238E27FC236}">
              <a16:creationId xmlns:a16="http://schemas.microsoft.com/office/drawing/2014/main" xmlns="" id="{00000000-0008-0000-0000-000000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2305" name="Text Box 3102">
          <a:extLst>
            <a:ext uri="{FF2B5EF4-FFF2-40B4-BE49-F238E27FC236}">
              <a16:creationId xmlns:a16="http://schemas.microsoft.com/office/drawing/2014/main" xmlns="" id="{00000000-0008-0000-0000-000001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306" name="Text Box 59">
          <a:extLst>
            <a:ext uri="{FF2B5EF4-FFF2-40B4-BE49-F238E27FC236}">
              <a16:creationId xmlns:a16="http://schemas.microsoft.com/office/drawing/2014/main" xmlns="" id="{00000000-0008-0000-0000-000002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307" name="Text Box 60">
          <a:extLst>
            <a:ext uri="{FF2B5EF4-FFF2-40B4-BE49-F238E27FC236}">
              <a16:creationId xmlns:a16="http://schemas.microsoft.com/office/drawing/2014/main" xmlns="" id="{00000000-0008-0000-0000-000003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308" name="Text Box 61">
          <a:extLst>
            <a:ext uri="{FF2B5EF4-FFF2-40B4-BE49-F238E27FC236}">
              <a16:creationId xmlns:a16="http://schemas.microsoft.com/office/drawing/2014/main" xmlns="" id="{00000000-0008-0000-0000-000004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309" name="Text Box 62">
          <a:extLst>
            <a:ext uri="{FF2B5EF4-FFF2-40B4-BE49-F238E27FC236}">
              <a16:creationId xmlns:a16="http://schemas.microsoft.com/office/drawing/2014/main" xmlns="" id="{00000000-0008-0000-0000-000005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310" name="Text Box 63">
          <a:extLst>
            <a:ext uri="{FF2B5EF4-FFF2-40B4-BE49-F238E27FC236}">
              <a16:creationId xmlns:a16="http://schemas.microsoft.com/office/drawing/2014/main" xmlns="" id="{00000000-0008-0000-0000-000006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311" name="Text Box 64">
          <a:extLst>
            <a:ext uri="{FF2B5EF4-FFF2-40B4-BE49-F238E27FC236}">
              <a16:creationId xmlns:a16="http://schemas.microsoft.com/office/drawing/2014/main" xmlns="" id="{00000000-0008-0000-0000-000007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312" name="Text Box 65">
          <a:extLst>
            <a:ext uri="{FF2B5EF4-FFF2-40B4-BE49-F238E27FC236}">
              <a16:creationId xmlns:a16="http://schemas.microsoft.com/office/drawing/2014/main" xmlns="" id="{00000000-0008-0000-0000-000008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313" name="Text Box 66">
          <a:extLst>
            <a:ext uri="{FF2B5EF4-FFF2-40B4-BE49-F238E27FC236}">
              <a16:creationId xmlns:a16="http://schemas.microsoft.com/office/drawing/2014/main" xmlns="" id="{00000000-0008-0000-0000-000009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314" name="Text Box 67">
          <a:extLst>
            <a:ext uri="{FF2B5EF4-FFF2-40B4-BE49-F238E27FC236}">
              <a16:creationId xmlns:a16="http://schemas.microsoft.com/office/drawing/2014/main" xmlns="" id="{00000000-0008-0000-0000-00000A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315" name="Text Box 68">
          <a:extLst>
            <a:ext uri="{FF2B5EF4-FFF2-40B4-BE49-F238E27FC236}">
              <a16:creationId xmlns:a16="http://schemas.microsoft.com/office/drawing/2014/main" xmlns="" id="{00000000-0008-0000-0000-00000B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316" name="Text Box 69">
          <a:extLst>
            <a:ext uri="{FF2B5EF4-FFF2-40B4-BE49-F238E27FC236}">
              <a16:creationId xmlns:a16="http://schemas.microsoft.com/office/drawing/2014/main" xmlns="" id="{00000000-0008-0000-0000-00000C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317" name="Text Box 70">
          <a:extLst>
            <a:ext uri="{FF2B5EF4-FFF2-40B4-BE49-F238E27FC236}">
              <a16:creationId xmlns:a16="http://schemas.microsoft.com/office/drawing/2014/main" xmlns="" id="{00000000-0008-0000-0000-00000D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318" name="Text Box 71">
          <a:extLst>
            <a:ext uri="{FF2B5EF4-FFF2-40B4-BE49-F238E27FC236}">
              <a16:creationId xmlns:a16="http://schemas.microsoft.com/office/drawing/2014/main" xmlns="" id="{00000000-0008-0000-0000-00000E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319" name="Text Box 72">
          <a:extLst>
            <a:ext uri="{FF2B5EF4-FFF2-40B4-BE49-F238E27FC236}">
              <a16:creationId xmlns:a16="http://schemas.microsoft.com/office/drawing/2014/main" xmlns="" id="{00000000-0008-0000-0000-00000F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320" name="Text Box 73">
          <a:extLst>
            <a:ext uri="{FF2B5EF4-FFF2-40B4-BE49-F238E27FC236}">
              <a16:creationId xmlns:a16="http://schemas.microsoft.com/office/drawing/2014/main" xmlns="" id="{00000000-0008-0000-0000-000010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321" name="Text Box 74">
          <a:extLst>
            <a:ext uri="{FF2B5EF4-FFF2-40B4-BE49-F238E27FC236}">
              <a16:creationId xmlns:a16="http://schemas.microsoft.com/office/drawing/2014/main" xmlns="" id="{00000000-0008-0000-0000-000011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322" name="Text Box 75">
          <a:extLst>
            <a:ext uri="{FF2B5EF4-FFF2-40B4-BE49-F238E27FC236}">
              <a16:creationId xmlns:a16="http://schemas.microsoft.com/office/drawing/2014/main" xmlns="" id="{00000000-0008-0000-0000-000012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323" name="Text Box 76">
          <a:extLst>
            <a:ext uri="{FF2B5EF4-FFF2-40B4-BE49-F238E27FC236}">
              <a16:creationId xmlns:a16="http://schemas.microsoft.com/office/drawing/2014/main" xmlns="" id="{00000000-0008-0000-0000-000013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324" name="Text Box 77">
          <a:extLst>
            <a:ext uri="{FF2B5EF4-FFF2-40B4-BE49-F238E27FC236}">
              <a16:creationId xmlns:a16="http://schemas.microsoft.com/office/drawing/2014/main" xmlns="" id="{00000000-0008-0000-0000-000014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325" name="Text Box 78">
          <a:extLst>
            <a:ext uri="{FF2B5EF4-FFF2-40B4-BE49-F238E27FC236}">
              <a16:creationId xmlns:a16="http://schemas.microsoft.com/office/drawing/2014/main" xmlns="" id="{00000000-0008-0000-0000-000015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326" name="Text Box 79">
          <a:extLst>
            <a:ext uri="{FF2B5EF4-FFF2-40B4-BE49-F238E27FC236}">
              <a16:creationId xmlns:a16="http://schemas.microsoft.com/office/drawing/2014/main" xmlns="" id="{00000000-0008-0000-0000-000016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327" name="Text Box 80">
          <a:extLst>
            <a:ext uri="{FF2B5EF4-FFF2-40B4-BE49-F238E27FC236}">
              <a16:creationId xmlns:a16="http://schemas.microsoft.com/office/drawing/2014/main" xmlns="" id="{00000000-0008-0000-0000-000017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328" name="Text Box 81">
          <a:extLst>
            <a:ext uri="{FF2B5EF4-FFF2-40B4-BE49-F238E27FC236}">
              <a16:creationId xmlns:a16="http://schemas.microsoft.com/office/drawing/2014/main" xmlns="" id="{00000000-0008-0000-0000-000018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47625"/>
    <xdr:sp macro="" textlink="">
      <xdr:nvSpPr>
        <xdr:cNvPr id="2329" name="Text Box 82">
          <a:extLst>
            <a:ext uri="{FF2B5EF4-FFF2-40B4-BE49-F238E27FC236}">
              <a16:creationId xmlns:a16="http://schemas.microsoft.com/office/drawing/2014/main" xmlns="" id="{00000000-0008-0000-0000-000019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330" name="Text Box 3079">
          <a:extLst>
            <a:ext uri="{FF2B5EF4-FFF2-40B4-BE49-F238E27FC236}">
              <a16:creationId xmlns:a16="http://schemas.microsoft.com/office/drawing/2014/main" xmlns="" id="{00000000-0008-0000-0000-00001A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331" name="Text Box 3080">
          <a:extLst>
            <a:ext uri="{FF2B5EF4-FFF2-40B4-BE49-F238E27FC236}">
              <a16:creationId xmlns:a16="http://schemas.microsoft.com/office/drawing/2014/main" xmlns="" id="{00000000-0008-0000-0000-00001B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332" name="Text Box 3081">
          <a:extLst>
            <a:ext uri="{FF2B5EF4-FFF2-40B4-BE49-F238E27FC236}">
              <a16:creationId xmlns:a16="http://schemas.microsoft.com/office/drawing/2014/main" xmlns="" id="{00000000-0008-0000-0000-00001C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333" name="Text Box 3082">
          <a:extLst>
            <a:ext uri="{FF2B5EF4-FFF2-40B4-BE49-F238E27FC236}">
              <a16:creationId xmlns:a16="http://schemas.microsoft.com/office/drawing/2014/main" xmlns="" id="{00000000-0008-0000-0000-00001D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334" name="Text Box 3083">
          <a:extLst>
            <a:ext uri="{FF2B5EF4-FFF2-40B4-BE49-F238E27FC236}">
              <a16:creationId xmlns:a16="http://schemas.microsoft.com/office/drawing/2014/main" xmlns="" id="{00000000-0008-0000-0000-00001E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335" name="Text Box 3084">
          <a:extLst>
            <a:ext uri="{FF2B5EF4-FFF2-40B4-BE49-F238E27FC236}">
              <a16:creationId xmlns:a16="http://schemas.microsoft.com/office/drawing/2014/main" xmlns="" id="{00000000-0008-0000-0000-00001F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336" name="Text Box 3085">
          <a:extLst>
            <a:ext uri="{FF2B5EF4-FFF2-40B4-BE49-F238E27FC236}">
              <a16:creationId xmlns:a16="http://schemas.microsoft.com/office/drawing/2014/main" xmlns="" id="{00000000-0008-0000-0000-000020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337" name="Text Box 3086">
          <a:extLst>
            <a:ext uri="{FF2B5EF4-FFF2-40B4-BE49-F238E27FC236}">
              <a16:creationId xmlns:a16="http://schemas.microsoft.com/office/drawing/2014/main" xmlns="" id="{00000000-0008-0000-0000-000021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338" name="Text Box 3087">
          <a:extLst>
            <a:ext uri="{FF2B5EF4-FFF2-40B4-BE49-F238E27FC236}">
              <a16:creationId xmlns:a16="http://schemas.microsoft.com/office/drawing/2014/main" xmlns="" id="{00000000-0008-0000-0000-000022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339" name="Text Box 3088">
          <a:extLst>
            <a:ext uri="{FF2B5EF4-FFF2-40B4-BE49-F238E27FC236}">
              <a16:creationId xmlns:a16="http://schemas.microsoft.com/office/drawing/2014/main" xmlns="" id="{00000000-0008-0000-0000-000023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340" name="Text Box 3089">
          <a:extLst>
            <a:ext uri="{FF2B5EF4-FFF2-40B4-BE49-F238E27FC236}">
              <a16:creationId xmlns:a16="http://schemas.microsoft.com/office/drawing/2014/main" xmlns="" id="{00000000-0008-0000-0000-000024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341" name="Text Box 3090">
          <a:extLst>
            <a:ext uri="{FF2B5EF4-FFF2-40B4-BE49-F238E27FC236}">
              <a16:creationId xmlns:a16="http://schemas.microsoft.com/office/drawing/2014/main" xmlns="" id="{00000000-0008-0000-0000-000025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342" name="Text Box 3091">
          <a:extLst>
            <a:ext uri="{FF2B5EF4-FFF2-40B4-BE49-F238E27FC236}">
              <a16:creationId xmlns:a16="http://schemas.microsoft.com/office/drawing/2014/main" xmlns="" id="{00000000-0008-0000-0000-000026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343" name="Text Box 3092">
          <a:extLst>
            <a:ext uri="{FF2B5EF4-FFF2-40B4-BE49-F238E27FC236}">
              <a16:creationId xmlns:a16="http://schemas.microsoft.com/office/drawing/2014/main" xmlns="" id="{00000000-0008-0000-0000-000027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344" name="Text Box 3093">
          <a:extLst>
            <a:ext uri="{FF2B5EF4-FFF2-40B4-BE49-F238E27FC236}">
              <a16:creationId xmlns:a16="http://schemas.microsoft.com/office/drawing/2014/main" xmlns="" id="{00000000-0008-0000-0000-000028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345" name="Text Box 3094">
          <a:extLst>
            <a:ext uri="{FF2B5EF4-FFF2-40B4-BE49-F238E27FC236}">
              <a16:creationId xmlns:a16="http://schemas.microsoft.com/office/drawing/2014/main" xmlns="" id="{00000000-0008-0000-0000-000029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346" name="Text Box 3095">
          <a:extLst>
            <a:ext uri="{FF2B5EF4-FFF2-40B4-BE49-F238E27FC236}">
              <a16:creationId xmlns:a16="http://schemas.microsoft.com/office/drawing/2014/main" xmlns="" id="{00000000-0008-0000-0000-00002A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347" name="Text Box 3096">
          <a:extLst>
            <a:ext uri="{FF2B5EF4-FFF2-40B4-BE49-F238E27FC236}">
              <a16:creationId xmlns:a16="http://schemas.microsoft.com/office/drawing/2014/main" xmlns="" id="{00000000-0008-0000-0000-00002B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348" name="Text Box 3097">
          <a:extLst>
            <a:ext uri="{FF2B5EF4-FFF2-40B4-BE49-F238E27FC236}">
              <a16:creationId xmlns:a16="http://schemas.microsoft.com/office/drawing/2014/main" xmlns="" id="{00000000-0008-0000-0000-00002C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349" name="Text Box 3098">
          <a:extLst>
            <a:ext uri="{FF2B5EF4-FFF2-40B4-BE49-F238E27FC236}">
              <a16:creationId xmlns:a16="http://schemas.microsoft.com/office/drawing/2014/main" xmlns="" id="{00000000-0008-0000-0000-00002D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350" name="Text Box 3099">
          <a:extLst>
            <a:ext uri="{FF2B5EF4-FFF2-40B4-BE49-F238E27FC236}">
              <a16:creationId xmlns:a16="http://schemas.microsoft.com/office/drawing/2014/main" xmlns="" id="{00000000-0008-0000-0000-00002E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351" name="Text Box 3100">
          <a:extLst>
            <a:ext uri="{FF2B5EF4-FFF2-40B4-BE49-F238E27FC236}">
              <a16:creationId xmlns:a16="http://schemas.microsoft.com/office/drawing/2014/main" xmlns="" id="{00000000-0008-0000-0000-00002F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352" name="Text Box 3101">
          <a:extLst>
            <a:ext uri="{FF2B5EF4-FFF2-40B4-BE49-F238E27FC236}">
              <a16:creationId xmlns:a16="http://schemas.microsoft.com/office/drawing/2014/main" xmlns="" id="{00000000-0008-0000-0000-000030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2353" name="Text Box 3102">
          <a:extLst>
            <a:ext uri="{FF2B5EF4-FFF2-40B4-BE49-F238E27FC236}">
              <a16:creationId xmlns:a16="http://schemas.microsoft.com/office/drawing/2014/main" xmlns="" id="{00000000-0008-0000-0000-000031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354" name="Text Box 59">
          <a:extLst>
            <a:ext uri="{FF2B5EF4-FFF2-40B4-BE49-F238E27FC236}">
              <a16:creationId xmlns:a16="http://schemas.microsoft.com/office/drawing/2014/main" xmlns="" id="{00000000-0008-0000-0000-000032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355" name="Text Box 60">
          <a:extLst>
            <a:ext uri="{FF2B5EF4-FFF2-40B4-BE49-F238E27FC236}">
              <a16:creationId xmlns:a16="http://schemas.microsoft.com/office/drawing/2014/main" xmlns="" id="{00000000-0008-0000-0000-000033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356" name="Text Box 61">
          <a:extLst>
            <a:ext uri="{FF2B5EF4-FFF2-40B4-BE49-F238E27FC236}">
              <a16:creationId xmlns:a16="http://schemas.microsoft.com/office/drawing/2014/main" xmlns="" id="{00000000-0008-0000-0000-000034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357" name="Text Box 62">
          <a:extLst>
            <a:ext uri="{FF2B5EF4-FFF2-40B4-BE49-F238E27FC236}">
              <a16:creationId xmlns:a16="http://schemas.microsoft.com/office/drawing/2014/main" xmlns="" id="{00000000-0008-0000-0000-000035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358" name="Text Box 63">
          <a:extLst>
            <a:ext uri="{FF2B5EF4-FFF2-40B4-BE49-F238E27FC236}">
              <a16:creationId xmlns:a16="http://schemas.microsoft.com/office/drawing/2014/main" xmlns="" id="{00000000-0008-0000-0000-000036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359" name="Text Box 64">
          <a:extLst>
            <a:ext uri="{FF2B5EF4-FFF2-40B4-BE49-F238E27FC236}">
              <a16:creationId xmlns:a16="http://schemas.microsoft.com/office/drawing/2014/main" xmlns="" id="{00000000-0008-0000-0000-000037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360" name="Text Box 65">
          <a:extLst>
            <a:ext uri="{FF2B5EF4-FFF2-40B4-BE49-F238E27FC236}">
              <a16:creationId xmlns:a16="http://schemas.microsoft.com/office/drawing/2014/main" xmlns="" id="{00000000-0008-0000-0000-000038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361" name="Text Box 66">
          <a:extLst>
            <a:ext uri="{FF2B5EF4-FFF2-40B4-BE49-F238E27FC236}">
              <a16:creationId xmlns:a16="http://schemas.microsoft.com/office/drawing/2014/main" xmlns="" id="{00000000-0008-0000-0000-000039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362" name="Text Box 67">
          <a:extLst>
            <a:ext uri="{FF2B5EF4-FFF2-40B4-BE49-F238E27FC236}">
              <a16:creationId xmlns:a16="http://schemas.microsoft.com/office/drawing/2014/main" xmlns="" id="{00000000-0008-0000-0000-00003A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363" name="Text Box 68">
          <a:extLst>
            <a:ext uri="{FF2B5EF4-FFF2-40B4-BE49-F238E27FC236}">
              <a16:creationId xmlns:a16="http://schemas.microsoft.com/office/drawing/2014/main" xmlns="" id="{00000000-0008-0000-0000-00003B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364" name="Text Box 69">
          <a:extLst>
            <a:ext uri="{FF2B5EF4-FFF2-40B4-BE49-F238E27FC236}">
              <a16:creationId xmlns:a16="http://schemas.microsoft.com/office/drawing/2014/main" xmlns="" id="{00000000-0008-0000-0000-00003C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365" name="Text Box 70">
          <a:extLst>
            <a:ext uri="{FF2B5EF4-FFF2-40B4-BE49-F238E27FC236}">
              <a16:creationId xmlns:a16="http://schemas.microsoft.com/office/drawing/2014/main" xmlns="" id="{00000000-0008-0000-0000-00003D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366" name="Text Box 71">
          <a:extLst>
            <a:ext uri="{FF2B5EF4-FFF2-40B4-BE49-F238E27FC236}">
              <a16:creationId xmlns:a16="http://schemas.microsoft.com/office/drawing/2014/main" xmlns="" id="{00000000-0008-0000-0000-00003E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367" name="Text Box 72">
          <a:extLst>
            <a:ext uri="{FF2B5EF4-FFF2-40B4-BE49-F238E27FC236}">
              <a16:creationId xmlns:a16="http://schemas.microsoft.com/office/drawing/2014/main" xmlns="" id="{00000000-0008-0000-0000-00003F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368" name="Text Box 73">
          <a:extLst>
            <a:ext uri="{FF2B5EF4-FFF2-40B4-BE49-F238E27FC236}">
              <a16:creationId xmlns:a16="http://schemas.microsoft.com/office/drawing/2014/main" xmlns="" id="{00000000-0008-0000-0000-000040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369" name="Text Box 74">
          <a:extLst>
            <a:ext uri="{FF2B5EF4-FFF2-40B4-BE49-F238E27FC236}">
              <a16:creationId xmlns:a16="http://schemas.microsoft.com/office/drawing/2014/main" xmlns="" id="{00000000-0008-0000-0000-000041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370" name="Text Box 75">
          <a:extLst>
            <a:ext uri="{FF2B5EF4-FFF2-40B4-BE49-F238E27FC236}">
              <a16:creationId xmlns:a16="http://schemas.microsoft.com/office/drawing/2014/main" xmlns="" id="{00000000-0008-0000-0000-000042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371" name="Text Box 76">
          <a:extLst>
            <a:ext uri="{FF2B5EF4-FFF2-40B4-BE49-F238E27FC236}">
              <a16:creationId xmlns:a16="http://schemas.microsoft.com/office/drawing/2014/main" xmlns="" id="{00000000-0008-0000-0000-000043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372" name="Text Box 77">
          <a:extLst>
            <a:ext uri="{FF2B5EF4-FFF2-40B4-BE49-F238E27FC236}">
              <a16:creationId xmlns:a16="http://schemas.microsoft.com/office/drawing/2014/main" xmlns="" id="{00000000-0008-0000-0000-000044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373" name="Text Box 78">
          <a:extLst>
            <a:ext uri="{FF2B5EF4-FFF2-40B4-BE49-F238E27FC236}">
              <a16:creationId xmlns:a16="http://schemas.microsoft.com/office/drawing/2014/main" xmlns="" id="{00000000-0008-0000-0000-000045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374" name="Text Box 79">
          <a:extLst>
            <a:ext uri="{FF2B5EF4-FFF2-40B4-BE49-F238E27FC236}">
              <a16:creationId xmlns:a16="http://schemas.microsoft.com/office/drawing/2014/main" xmlns="" id="{00000000-0008-0000-0000-000046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375" name="Text Box 80">
          <a:extLst>
            <a:ext uri="{FF2B5EF4-FFF2-40B4-BE49-F238E27FC236}">
              <a16:creationId xmlns:a16="http://schemas.microsoft.com/office/drawing/2014/main" xmlns="" id="{00000000-0008-0000-0000-000047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376" name="Text Box 81">
          <a:extLst>
            <a:ext uri="{FF2B5EF4-FFF2-40B4-BE49-F238E27FC236}">
              <a16:creationId xmlns:a16="http://schemas.microsoft.com/office/drawing/2014/main" xmlns="" id="{00000000-0008-0000-0000-000048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377" name="Text Box 3079">
          <a:extLst>
            <a:ext uri="{FF2B5EF4-FFF2-40B4-BE49-F238E27FC236}">
              <a16:creationId xmlns:a16="http://schemas.microsoft.com/office/drawing/2014/main" xmlns="" id="{00000000-0008-0000-0000-000049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378" name="Text Box 3080">
          <a:extLst>
            <a:ext uri="{FF2B5EF4-FFF2-40B4-BE49-F238E27FC236}">
              <a16:creationId xmlns:a16="http://schemas.microsoft.com/office/drawing/2014/main" xmlns="" id="{00000000-0008-0000-0000-00004A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379" name="Text Box 3081">
          <a:extLst>
            <a:ext uri="{FF2B5EF4-FFF2-40B4-BE49-F238E27FC236}">
              <a16:creationId xmlns:a16="http://schemas.microsoft.com/office/drawing/2014/main" xmlns="" id="{00000000-0008-0000-0000-00004B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380" name="Text Box 3082">
          <a:extLst>
            <a:ext uri="{FF2B5EF4-FFF2-40B4-BE49-F238E27FC236}">
              <a16:creationId xmlns:a16="http://schemas.microsoft.com/office/drawing/2014/main" xmlns="" id="{00000000-0008-0000-0000-00004C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381" name="Text Box 3083">
          <a:extLst>
            <a:ext uri="{FF2B5EF4-FFF2-40B4-BE49-F238E27FC236}">
              <a16:creationId xmlns:a16="http://schemas.microsoft.com/office/drawing/2014/main" xmlns="" id="{00000000-0008-0000-0000-00004D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382" name="Text Box 3084">
          <a:extLst>
            <a:ext uri="{FF2B5EF4-FFF2-40B4-BE49-F238E27FC236}">
              <a16:creationId xmlns:a16="http://schemas.microsoft.com/office/drawing/2014/main" xmlns="" id="{00000000-0008-0000-0000-00004E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383" name="Text Box 3085">
          <a:extLst>
            <a:ext uri="{FF2B5EF4-FFF2-40B4-BE49-F238E27FC236}">
              <a16:creationId xmlns:a16="http://schemas.microsoft.com/office/drawing/2014/main" xmlns="" id="{00000000-0008-0000-0000-00004F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384" name="Text Box 3086">
          <a:extLst>
            <a:ext uri="{FF2B5EF4-FFF2-40B4-BE49-F238E27FC236}">
              <a16:creationId xmlns:a16="http://schemas.microsoft.com/office/drawing/2014/main" xmlns="" id="{00000000-0008-0000-0000-000050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385" name="Text Box 3087">
          <a:extLst>
            <a:ext uri="{FF2B5EF4-FFF2-40B4-BE49-F238E27FC236}">
              <a16:creationId xmlns:a16="http://schemas.microsoft.com/office/drawing/2014/main" xmlns="" id="{00000000-0008-0000-0000-000051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386" name="Text Box 3088">
          <a:extLst>
            <a:ext uri="{FF2B5EF4-FFF2-40B4-BE49-F238E27FC236}">
              <a16:creationId xmlns:a16="http://schemas.microsoft.com/office/drawing/2014/main" xmlns="" id="{00000000-0008-0000-0000-000052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387" name="Text Box 3089">
          <a:extLst>
            <a:ext uri="{FF2B5EF4-FFF2-40B4-BE49-F238E27FC236}">
              <a16:creationId xmlns:a16="http://schemas.microsoft.com/office/drawing/2014/main" xmlns="" id="{00000000-0008-0000-0000-000053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388" name="Text Box 3090">
          <a:extLst>
            <a:ext uri="{FF2B5EF4-FFF2-40B4-BE49-F238E27FC236}">
              <a16:creationId xmlns:a16="http://schemas.microsoft.com/office/drawing/2014/main" xmlns="" id="{00000000-0008-0000-0000-000054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389" name="Text Box 3091">
          <a:extLst>
            <a:ext uri="{FF2B5EF4-FFF2-40B4-BE49-F238E27FC236}">
              <a16:creationId xmlns:a16="http://schemas.microsoft.com/office/drawing/2014/main" xmlns="" id="{00000000-0008-0000-0000-000055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390" name="Text Box 3092">
          <a:extLst>
            <a:ext uri="{FF2B5EF4-FFF2-40B4-BE49-F238E27FC236}">
              <a16:creationId xmlns:a16="http://schemas.microsoft.com/office/drawing/2014/main" xmlns="" id="{00000000-0008-0000-0000-000056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391" name="Text Box 3093">
          <a:extLst>
            <a:ext uri="{FF2B5EF4-FFF2-40B4-BE49-F238E27FC236}">
              <a16:creationId xmlns:a16="http://schemas.microsoft.com/office/drawing/2014/main" xmlns="" id="{00000000-0008-0000-0000-000057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392" name="Text Box 3094">
          <a:extLst>
            <a:ext uri="{FF2B5EF4-FFF2-40B4-BE49-F238E27FC236}">
              <a16:creationId xmlns:a16="http://schemas.microsoft.com/office/drawing/2014/main" xmlns="" id="{00000000-0008-0000-0000-000058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393" name="Text Box 3095">
          <a:extLst>
            <a:ext uri="{FF2B5EF4-FFF2-40B4-BE49-F238E27FC236}">
              <a16:creationId xmlns:a16="http://schemas.microsoft.com/office/drawing/2014/main" xmlns="" id="{00000000-0008-0000-0000-000059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394" name="Text Box 3096">
          <a:extLst>
            <a:ext uri="{FF2B5EF4-FFF2-40B4-BE49-F238E27FC236}">
              <a16:creationId xmlns:a16="http://schemas.microsoft.com/office/drawing/2014/main" xmlns="" id="{00000000-0008-0000-0000-00005A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395" name="Text Box 3097">
          <a:extLst>
            <a:ext uri="{FF2B5EF4-FFF2-40B4-BE49-F238E27FC236}">
              <a16:creationId xmlns:a16="http://schemas.microsoft.com/office/drawing/2014/main" xmlns="" id="{00000000-0008-0000-0000-00005B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396" name="Text Box 3098">
          <a:extLst>
            <a:ext uri="{FF2B5EF4-FFF2-40B4-BE49-F238E27FC236}">
              <a16:creationId xmlns:a16="http://schemas.microsoft.com/office/drawing/2014/main" xmlns="" id="{00000000-0008-0000-0000-00005C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397" name="Text Box 3099">
          <a:extLst>
            <a:ext uri="{FF2B5EF4-FFF2-40B4-BE49-F238E27FC236}">
              <a16:creationId xmlns:a16="http://schemas.microsoft.com/office/drawing/2014/main" xmlns="" id="{00000000-0008-0000-0000-00005D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398" name="Text Box 3100">
          <a:extLst>
            <a:ext uri="{FF2B5EF4-FFF2-40B4-BE49-F238E27FC236}">
              <a16:creationId xmlns:a16="http://schemas.microsoft.com/office/drawing/2014/main" xmlns="" id="{00000000-0008-0000-0000-00005E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399" name="Text Box 3101">
          <a:extLst>
            <a:ext uri="{FF2B5EF4-FFF2-40B4-BE49-F238E27FC236}">
              <a16:creationId xmlns:a16="http://schemas.microsoft.com/office/drawing/2014/main" xmlns="" id="{00000000-0008-0000-0000-00005F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2400" name="Text Box 3102">
          <a:extLst>
            <a:ext uri="{FF2B5EF4-FFF2-40B4-BE49-F238E27FC236}">
              <a16:creationId xmlns:a16="http://schemas.microsoft.com/office/drawing/2014/main" xmlns="" id="{00000000-0008-0000-0000-000060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401" name="Text Box 59">
          <a:extLst>
            <a:ext uri="{FF2B5EF4-FFF2-40B4-BE49-F238E27FC236}">
              <a16:creationId xmlns:a16="http://schemas.microsoft.com/office/drawing/2014/main" xmlns="" id="{00000000-0008-0000-0000-000061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402" name="Text Box 60">
          <a:extLst>
            <a:ext uri="{FF2B5EF4-FFF2-40B4-BE49-F238E27FC236}">
              <a16:creationId xmlns:a16="http://schemas.microsoft.com/office/drawing/2014/main" xmlns="" id="{00000000-0008-0000-0000-000062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403" name="Text Box 61">
          <a:extLst>
            <a:ext uri="{FF2B5EF4-FFF2-40B4-BE49-F238E27FC236}">
              <a16:creationId xmlns:a16="http://schemas.microsoft.com/office/drawing/2014/main" xmlns="" id="{00000000-0008-0000-0000-000063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404" name="Text Box 62">
          <a:extLst>
            <a:ext uri="{FF2B5EF4-FFF2-40B4-BE49-F238E27FC236}">
              <a16:creationId xmlns:a16="http://schemas.microsoft.com/office/drawing/2014/main" xmlns="" id="{00000000-0008-0000-0000-000064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405" name="Text Box 63">
          <a:extLst>
            <a:ext uri="{FF2B5EF4-FFF2-40B4-BE49-F238E27FC236}">
              <a16:creationId xmlns:a16="http://schemas.microsoft.com/office/drawing/2014/main" xmlns="" id="{00000000-0008-0000-0000-000065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406" name="Text Box 64">
          <a:extLst>
            <a:ext uri="{FF2B5EF4-FFF2-40B4-BE49-F238E27FC236}">
              <a16:creationId xmlns:a16="http://schemas.microsoft.com/office/drawing/2014/main" xmlns="" id="{00000000-0008-0000-0000-000066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407" name="Text Box 65">
          <a:extLst>
            <a:ext uri="{FF2B5EF4-FFF2-40B4-BE49-F238E27FC236}">
              <a16:creationId xmlns:a16="http://schemas.microsoft.com/office/drawing/2014/main" xmlns="" id="{00000000-0008-0000-0000-000067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408" name="Text Box 66">
          <a:extLst>
            <a:ext uri="{FF2B5EF4-FFF2-40B4-BE49-F238E27FC236}">
              <a16:creationId xmlns:a16="http://schemas.microsoft.com/office/drawing/2014/main" xmlns="" id="{00000000-0008-0000-0000-000068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409" name="Text Box 67">
          <a:extLst>
            <a:ext uri="{FF2B5EF4-FFF2-40B4-BE49-F238E27FC236}">
              <a16:creationId xmlns:a16="http://schemas.microsoft.com/office/drawing/2014/main" xmlns="" id="{00000000-0008-0000-0000-000069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410" name="Text Box 68">
          <a:extLst>
            <a:ext uri="{FF2B5EF4-FFF2-40B4-BE49-F238E27FC236}">
              <a16:creationId xmlns:a16="http://schemas.microsoft.com/office/drawing/2014/main" xmlns="" id="{00000000-0008-0000-0000-00006A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411" name="Text Box 69">
          <a:extLst>
            <a:ext uri="{FF2B5EF4-FFF2-40B4-BE49-F238E27FC236}">
              <a16:creationId xmlns:a16="http://schemas.microsoft.com/office/drawing/2014/main" xmlns="" id="{00000000-0008-0000-0000-00006B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412" name="Text Box 70">
          <a:extLst>
            <a:ext uri="{FF2B5EF4-FFF2-40B4-BE49-F238E27FC236}">
              <a16:creationId xmlns:a16="http://schemas.microsoft.com/office/drawing/2014/main" xmlns="" id="{00000000-0008-0000-0000-00006C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413" name="Text Box 71">
          <a:extLst>
            <a:ext uri="{FF2B5EF4-FFF2-40B4-BE49-F238E27FC236}">
              <a16:creationId xmlns:a16="http://schemas.microsoft.com/office/drawing/2014/main" xmlns="" id="{00000000-0008-0000-0000-00006D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414" name="Text Box 72">
          <a:extLst>
            <a:ext uri="{FF2B5EF4-FFF2-40B4-BE49-F238E27FC236}">
              <a16:creationId xmlns:a16="http://schemas.microsoft.com/office/drawing/2014/main" xmlns="" id="{00000000-0008-0000-0000-00006E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415" name="Text Box 73">
          <a:extLst>
            <a:ext uri="{FF2B5EF4-FFF2-40B4-BE49-F238E27FC236}">
              <a16:creationId xmlns:a16="http://schemas.microsoft.com/office/drawing/2014/main" xmlns="" id="{00000000-0008-0000-0000-00006F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416" name="Text Box 74">
          <a:extLst>
            <a:ext uri="{FF2B5EF4-FFF2-40B4-BE49-F238E27FC236}">
              <a16:creationId xmlns:a16="http://schemas.microsoft.com/office/drawing/2014/main" xmlns="" id="{00000000-0008-0000-0000-000070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417" name="Text Box 75">
          <a:extLst>
            <a:ext uri="{FF2B5EF4-FFF2-40B4-BE49-F238E27FC236}">
              <a16:creationId xmlns:a16="http://schemas.microsoft.com/office/drawing/2014/main" xmlns="" id="{00000000-0008-0000-0000-000071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418" name="Text Box 76">
          <a:extLst>
            <a:ext uri="{FF2B5EF4-FFF2-40B4-BE49-F238E27FC236}">
              <a16:creationId xmlns:a16="http://schemas.microsoft.com/office/drawing/2014/main" xmlns="" id="{00000000-0008-0000-0000-000072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419" name="Text Box 77">
          <a:extLst>
            <a:ext uri="{FF2B5EF4-FFF2-40B4-BE49-F238E27FC236}">
              <a16:creationId xmlns:a16="http://schemas.microsoft.com/office/drawing/2014/main" xmlns="" id="{00000000-0008-0000-0000-000073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420" name="Text Box 78">
          <a:extLst>
            <a:ext uri="{FF2B5EF4-FFF2-40B4-BE49-F238E27FC236}">
              <a16:creationId xmlns:a16="http://schemas.microsoft.com/office/drawing/2014/main" xmlns="" id="{00000000-0008-0000-0000-000074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421" name="Text Box 79">
          <a:extLst>
            <a:ext uri="{FF2B5EF4-FFF2-40B4-BE49-F238E27FC236}">
              <a16:creationId xmlns:a16="http://schemas.microsoft.com/office/drawing/2014/main" xmlns="" id="{00000000-0008-0000-0000-000075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422" name="Text Box 80">
          <a:extLst>
            <a:ext uri="{FF2B5EF4-FFF2-40B4-BE49-F238E27FC236}">
              <a16:creationId xmlns:a16="http://schemas.microsoft.com/office/drawing/2014/main" xmlns="" id="{00000000-0008-0000-0000-000076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423" name="Text Box 81">
          <a:extLst>
            <a:ext uri="{FF2B5EF4-FFF2-40B4-BE49-F238E27FC236}">
              <a16:creationId xmlns:a16="http://schemas.microsoft.com/office/drawing/2014/main" xmlns="" id="{00000000-0008-0000-0000-000077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47625"/>
    <xdr:sp macro="" textlink="">
      <xdr:nvSpPr>
        <xdr:cNvPr id="2424" name="Text Box 82">
          <a:extLst>
            <a:ext uri="{FF2B5EF4-FFF2-40B4-BE49-F238E27FC236}">
              <a16:creationId xmlns:a16="http://schemas.microsoft.com/office/drawing/2014/main" xmlns="" id="{00000000-0008-0000-0000-000078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425" name="Text Box 3079">
          <a:extLst>
            <a:ext uri="{FF2B5EF4-FFF2-40B4-BE49-F238E27FC236}">
              <a16:creationId xmlns:a16="http://schemas.microsoft.com/office/drawing/2014/main" xmlns="" id="{00000000-0008-0000-0000-000079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426" name="Text Box 3080">
          <a:extLst>
            <a:ext uri="{FF2B5EF4-FFF2-40B4-BE49-F238E27FC236}">
              <a16:creationId xmlns:a16="http://schemas.microsoft.com/office/drawing/2014/main" xmlns="" id="{00000000-0008-0000-0000-00007A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427" name="Text Box 3081">
          <a:extLst>
            <a:ext uri="{FF2B5EF4-FFF2-40B4-BE49-F238E27FC236}">
              <a16:creationId xmlns:a16="http://schemas.microsoft.com/office/drawing/2014/main" xmlns="" id="{00000000-0008-0000-0000-00007B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428" name="Text Box 3082">
          <a:extLst>
            <a:ext uri="{FF2B5EF4-FFF2-40B4-BE49-F238E27FC236}">
              <a16:creationId xmlns:a16="http://schemas.microsoft.com/office/drawing/2014/main" xmlns="" id="{00000000-0008-0000-0000-00007C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429" name="Text Box 3083">
          <a:extLst>
            <a:ext uri="{FF2B5EF4-FFF2-40B4-BE49-F238E27FC236}">
              <a16:creationId xmlns:a16="http://schemas.microsoft.com/office/drawing/2014/main" xmlns="" id="{00000000-0008-0000-0000-00007D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430" name="Text Box 3084">
          <a:extLst>
            <a:ext uri="{FF2B5EF4-FFF2-40B4-BE49-F238E27FC236}">
              <a16:creationId xmlns:a16="http://schemas.microsoft.com/office/drawing/2014/main" xmlns="" id="{00000000-0008-0000-0000-00007E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431" name="Text Box 3085">
          <a:extLst>
            <a:ext uri="{FF2B5EF4-FFF2-40B4-BE49-F238E27FC236}">
              <a16:creationId xmlns:a16="http://schemas.microsoft.com/office/drawing/2014/main" xmlns="" id="{00000000-0008-0000-0000-00007F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432" name="Text Box 3086">
          <a:extLst>
            <a:ext uri="{FF2B5EF4-FFF2-40B4-BE49-F238E27FC236}">
              <a16:creationId xmlns:a16="http://schemas.microsoft.com/office/drawing/2014/main" xmlns="" id="{00000000-0008-0000-0000-000080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433" name="Text Box 3087">
          <a:extLst>
            <a:ext uri="{FF2B5EF4-FFF2-40B4-BE49-F238E27FC236}">
              <a16:creationId xmlns:a16="http://schemas.microsoft.com/office/drawing/2014/main" xmlns="" id="{00000000-0008-0000-0000-000081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434" name="Text Box 3088">
          <a:extLst>
            <a:ext uri="{FF2B5EF4-FFF2-40B4-BE49-F238E27FC236}">
              <a16:creationId xmlns:a16="http://schemas.microsoft.com/office/drawing/2014/main" xmlns="" id="{00000000-0008-0000-0000-000082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435" name="Text Box 3089">
          <a:extLst>
            <a:ext uri="{FF2B5EF4-FFF2-40B4-BE49-F238E27FC236}">
              <a16:creationId xmlns:a16="http://schemas.microsoft.com/office/drawing/2014/main" xmlns="" id="{00000000-0008-0000-0000-000083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436" name="Text Box 3090">
          <a:extLst>
            <a:ext uri="{FF2B5EF4-FFF2-40B4-BE49-F238E27FC236}">
              <a16:creationId xmlns:a16="http://schemas.microsoft.com/office/drawing/2014/main" xmlns="" id="{00000000-0008-0000-0000-000084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437" name="Text Box 3091">
          <a:extLst>
            <a:ext uri="{FF2B5EF4-FFF2-40B4-BE49-F238E27FC236}">
              <a16:creationId xmlns:a16="http://schemas.microsoft.com/office/drawing/2014/main" xmlns="" id="{00000000-0008-0000-0000-000085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438" name="Text Box 3092">
          <a:extLst>
            <a:ext uri="{FF2B5EF4-FFF2-40B4-BE49-F238E27FC236}">
              <a16:creationId xmlns:a16="http://schemas.microsoft.com/office/drawing/2014/main" xmlns="" id="{00000000-0008-0000-0000-000086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439" name="Text Box 3093">
          <a:extLst>
            <a:ext uri="{FF2B5EF4-FFF2-40B4-BE49-F238E27FC236}">
              <a16:creationId xmlns:a16="http://schemas.microsoft.com/office/drawing/2014/main" xmlns="" id="{00000000-0008-0000-0000-000087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440" name="Text Box 3094">
          <a:extLst>
            <a:ext uri="{FF2B5EF4-FFF2-40B4-BE49-F238E27FC236}">
              <a16:creationId xmlns:a16="http://schemas.microsoft.com/office/drawing/2014/main" xmlns="" id="{00000000-0008-0000-0000-000088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441" name="Text Box 3095">
          <a:extLst>
            <a:ext uri="{FF2B5EF4-FFF2-40B4-BE49-F238E27FC236}">
              <a16:creationId xmlns:a16="http://schemas.microsoft.com/office/drawing/2014/main" xmlns="" id="{00000000-0008-0000-0000-000089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442" name="Text Box 3096">
          <a:extLst>
            <a:ext uri="{FF2B5EF4-FFF2-40B4-BE49-F238E27FC236}">
              <a16:creationId xmlns:a16="http://schemas.microsoft.com/office/drawing/2014/main" xmlns="" id="{00000000-0008-0000-0000-00008A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443" name="Text Box 3097">
          <a:extLst>
            <a:ext uri="{FF2B5EF4-FFF2-40B4-BE49-F238E27FC236}">
              <a16:creationId xmlns:a16="http://schemas.microsoft.com/office/drawing/2014/main" xmlns="" id="{00000000-0008-0000-0000-00008B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444" name="Text Box 3098">
          <a:extLst>
            <a:ext uri="{FF2B5EF4-FFF2-40B4-BE49-F238E27FC236}">
              <a16:creationId xmlns:a16="http://schemas.microsoft.com/office/drawing/2014/main" xmlns="" id="{00000000-0008-0000-0000-00008C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445" name="Text Box 3099">
          <a:extLst>
            <a:ext uri="{FF2B5EF4-FFF2-40B4-BE49-F238E27FC236}">
              <a16:creationId xmlns:a16="http://schemas.microsoft.com/office/drawing/2014/main" xmlns="" id="{00000000-0008-0000-0000-00008D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446" name="Text Box 3100">
          <a:extLst>
            <a:ext uri="{FF2B5EF4-FFF2-40B4-BE49-F238E27FC236}">
              <a16:creationId xmlns:a16="http://schemas.microsoft.com/office/drawing/2014/main" xmlns="" id="{00000000-0008-0000-0000-00008E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447" name="Text Box 3101">
          <a:extLst>
            <a:ext uri="{FF2B5EF4-FFF2-40B4-BE49-F238E27FC236}">
              <a16:creationId xmlns:a16="http://schemas.microsoft.com/office/drawing/2014/main" xmlns="" id="{00000000-0008-0000-0000-00008F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2448" name="Text Box 3102">
          <a:extLst>
            <a:ext uri="{FF2B5EF4-FFF2-40B4-BE49-F238E27FC236}">
              <a16:creationId xmlns:a16="http://schemas.microsoft.com/office/drawing/2014/main" xmlns="" id="{00000000-0008-0000-0000-000090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449" name="Text Box 59">
          <a:extLst>
            <a:ext uri="{FF2B5EF4-FFF2-40B4-BE49-F238E27FC236}">
              <a16:creationId xmlns:a16="http://schemas.microsoft.com/office/drawing/2014/main" xmlns="" id="{00000000-0008-0000-0000-000091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450" name="Text Box 60">
          <a:extLst>
            <a:ext uri="{FF2B5EF4-FFF2-40B4-BE49-F238E27FC236}">
              <a16:creationId xmlns:a16="http://schemas.microsoft.com/office/drawing/2014/main" xmlns="" id="{00000000-0008-0000-0000-000092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451" name="Text Box 61">
          <a:extLst>
            <a:ext uri="{FF2B5EF4-FFF2-40B4-BE49-F238E27FC236}">
              <a16:creationId xmlns:a16="http://schemas.microsoft.com/office/drawing/2014/main" xmlns="" id="{00000000-0008-0000-0000-000093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452" name="Text Box 62">
          <a:extLst>
            <a:ext uri="{FF2B5EF4-FFF2-40B4-BE49-F238E27FC236}">
              <a16:creationId xmlns:a16="http://schemas.microsoft.com/office/drawing/2014/main" xmlns="" id="{00000000-0008-0000-0000-000094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453" name="Text Box 63">
          <a:extLst>
            <a:ext uri="{FF2B5EF4-FFF2-40B4-BE49-F238E27FC236}">
              <a16:creationId xmlns:a16="http://schemas.microsoft.com/office/drawing/2014/main" xmlns="" id="{00000000-0008-0000-0000-000095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454" name="Text Box 64">
          <a:extLst>
            <a:ext uri="{FF2B5EF4-FFF2-40B4-BE49-F238E27FC236}">
              <a16:creationId xmlns:a16="http://schemas.microsoft.com/office/drawing/2014/main" xmlns="" id="{00000000-0008-0000-0000-000096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455" name="Text Box 65">
          <a:extLst>
            <a:ext uri="{FF2B5EF4-FFF2-40B4-BE49-F238E27FC236}">
              <a16:creationId xmlns:a16="http://schemas.microsoft.com/office/drawing/2014/main" xmlns="" id="{00000000-0008-0000-0000-000097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456" name="Text Box 66">
          <a:extLst>
            <a:ext uri="{FF2B5EF4-FFF2-40B4-BE49-F238E27FC236}">
              <a16:creationId xmlns:a16="http://schemas.microsoft.com/office/drawing/2014/main" xmlns="" id="{00000000-0008-0000-0000-000098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457" name="Text Box 67">
          <a:extLst>
            <a:ext uri="{FF2B5EF4-FFF2-40B4-BE49-F238E27FC236}">
              <a16:creationId xmlns:a16="http://schemas.microsoft.com/office/drawing/2014/main" xmlns="" id="{00000000-0008-0000-0000-000099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458" name="Text Box 68">
          <a:extLst>
            <a:ext uri="{FF2B5EF4-FFF2-40B4-BE49-F238E27FC236}">
              <a16:creationId xmlns:a16="http://schemas.microsoft.com/office/drawing/2014/main" xmlns="" id="{00000000-0008-0000-0000-00009A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459" name="Text Box 69">
          <a:extLst>
            <a:ext uri="{FF2B5EF4-FFF2-40B4-BE49-F238E27FC236}">
              <a16:creationId xmlns:a16="http://schemas.microsoft.com/office/drawing/2014/main" xmlns="" id="{00000000-0008-0000-0000-00009B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460" name="Text Box 70">
          <a:extLst>
            <a:ext uri="{FF2B5EF4-FFF2-40B4-BE49-F238E27FC236}">
              <a16:creationId xmlns:a16="http://schemas.microsoft.com/office/drawing/2014/main" xmlns="" id="{00000000-0008-0000-0000-00009C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461" name="Text Box 71">
          <a:extLst>
            <a:ext uri="{FF2B5EF4-FFF2-40B4-BE49-F238E27FC236}">
              <a16:creationId xmlns:a16="http://schemas.microsoft.com/office/drawing/2014/main" xmlns="" id="{00000000-0008-0000-0000-00009D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462" name="Text Box 72">
          <a:extLst>
            <a:ext uri="{FF2B5EF4-FFF2-40B4-BE49-F238E27FC236}">
              <a16:creationId xmlns:a16="http://schemas.microsoft.com/office/drawing/2014/main" xmlns="" id="{00000000-0008-0000-0000-00009E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463" name="Text Box 73">
          <a:extLst>
            <a:ext uri="{FF2B5EF4-FFF2-40B4-BE49-F238E27FC236}">
              <a16:creationId xmlns:a16="http://schemas.microsoft.com/office/drawing/2014/main" xmlns="" id="{00000000-0008-0000-0000-00009F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464" name="Text Box 74">
          <a:extLst>
            <a:ext uri="{FF2B5EF4-FFF2-40B4-BE49-F238E27FC236}">
              <a16:creationId xmlns:a16="http://schemas.microsoft.com/office/drawing/2014/main" xmlns="" id="{00000000-0008-0000-0000-0000A0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465" name="Text Box 75">
          <a:extLst>
            <a:ext uri="{FF2B5EF4-FFF2-40B4-BE49-F238E27FC236}">
              <a16:creationId xmlns:a16="http://schemas.microsoft.com/office/drawing/2014/main" xmlns="" id="{00000000-0008-0000-0000-0000A1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466" name="Text Box 76">
          <a:extLst>
            <a:ext uri="{FF2B5EF4-FFF2-40B4-BE49-F238E27FC236}">
              <a16:creationId xmlns:a16="http://schemas.microsoft.com/office/drawing/2014/main" xmlns="" id="{00000000-0008-0000-0000-0000A2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467" name="Text Box 77">
          <a:extLst>
            <a:ext uri="{FF2B5EF4-FFF2-40B4-BE49-F238E27FC236}">
              <a16:creationId xmlns:a16="http://schemas.microsoft.com/office/drawing/2014/main" xmlns="" id="{00000000-0008-0000-0000-0000A3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468" name="Text Box 78">
          <a:extLst>
            <a:ext uri="{FF2B5EF4-FFF2-40B4-BE49-F238E27FC236}">
              <a16:creationId xmlns:a16="http://schemas.microsoft.com/office/drawing/2014/main" xmlns="" id="{00000000-0008-0000-0000-0000A4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469" name="Text Box 79">
          <a:extLst>
            <a:ext uri="{FF2B5EF4-FFF2-40B4-BE49-F238E27FC236}">
              <a16:creationId xmlns:a16="http://schemas.microsoft.com/office/drawing/2014/main" xmlns="" id="{00000000-0008-0000-0000-0000A5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470" name="Text Box 80">
          <a:extLst>
            <a:ext uri="{FF2B5EF4-FFF2-40B4-BE49-F238E27FC236}">
              <a16:creationId xmlns:a16="http://schemas.microsoft.com/office/drawing/2014/main" xmlns="" id="{00000000-0008-0000-0000-0000A6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471" name="Text Box 81">
          <a:extLst>
            <a:ext uri="{FF2B5EF4-FFF2-40B4-BE49-F238E27FC236}">
              <a16:creationId xmlns:a16="http://schemas.microsoft.com/office/drawing/2014/main" xmlns="" id="{00000000-0008-0000-0000-0000A7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472" name="Text Box 3079">
          <a:extLst>
            <a:ext uri="{FF2B5EF4-FFF2-40B4-BE49-F238E27FC236}">
              <a16:creationId xmlns:a16="http://schemas.microsoft.com/office/drawing/2014/main" xmlns="" id="{00000000-0008-0000-0000-0000A8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473" name="Text Box 3080">
          <a:extLst>
            <a:ext uri="{FF2B5EF4-FFF2-40B4-BE49-F238E27FC236}">
              <a16:creationId xmlns:a16="http://schemas.microsoft.com/office/drawing/2014/main" xmlns="" id="{00000000-0008-0000-0000-0000A9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474" name="Text Box 3081">
          <a:extLst>
            <a:ext uri="{FF2B5EF4-FFF2-40B4-BE49-F238E27FC236}">
              <a16:creationId xmlns:a16="http://schemas.microsoft.com/office/drawing/2014/main" xmlns="" id="{00000000-0008-0000-0000-0000AA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475" name="Text Box 3082">
          <a:extLst>
            <a:ext uri="{FF2B5EF4-FFF2-40B4-BE49-F238E27FC236}">
              <a16:creationId xmlns:a16="http://schemas.microsoft.com/office/drawing/2014/main" xmlns="" id="{00000000-0008-0000-0000-0000AB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476" name="Text Box 3083">
          <a:extLst>
            <a:ext uri="{FF2B5EF4-FFF2-40B4-BE49-F238E27FC236}">
              <a16:creationId xmlns:a16="http://schemas.microsoft.com/office/drawing/2014/main" xmlns="" id="{00000000-0008-0000-0000-0000AC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477" name="Text Box 3084">
          <a:extLst>
            <a:ext uri="{FF2B5EF4-FFF2-40B4-BE49-F238E27FC236}">
              <a16:creationId xmlns:a16="http://schemas.microsoft.com/office/drawing/2014/main" xmlns="" id="{00000000-0008-0000-0000-0000AD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478" name="Text Box 3085">
          <a:extLst>
            <a:ext uri="{FF2B5EF4-FFF2-40B4-BE49-F238E27FC236}">
              <a16:creationId xmlns:a16="http://schemas.microsoft.com/office/drawing/2014/main" xmlns="" id="{00000000-0008-0000-0000-0000AE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479" name="Text Box 3086">
          <a:extLst>
            <a:ext uri="{FF2B5EF4-FFF2-40B4-BE49-F238E27FC236}">
              <a16:creationId xmlns:a16="http://schemas.microsoft.com/office/drawing/2014/main" xmlns="" id="{00000000-0008-0000-0000-0000AF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480" name="Text Box 3087">
          <a:extLst>
            <a:ext uri="{FF2B5EF4-FFF2-40B4-BE49-F238E27FC236}">
              <a16:creationId xmlns:a16="http://schemas.microsoft.com/office/drawing/2014/main" xmlns="" id="{00000000-0008-0000-0000-0000B0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481" name="Text Box 3088">
          <a:extLst>
            <a:ext uri="{FF2B5EF4-FFF2-40B4-BE49-F238E27FC236}">
              <a16:creationId xmlns:a16="http://schemas.microsoft.com/office/drawing/2014/main" xmlns="" id="{00000000-0008-0000-0000-0000B1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482" name="Text Box 3089">
          <a:extLst>
            <a:ext uri="{FF2B5EF4-FFF2-40B4-BE49-F238E27FC236}">
              <a16:creationId xmlns:a16="http://schemas.microsoft.com/office/drawing/2014/main" xmlns="" id="{00000000-0008-0000-0000-0000B2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483" name="Text Box 3090">
          <a:extLst>
            <a:ext uri="{FF2B5EF4-FFF2-40B4-BE49-F238E27FC236}">
              <a16:creationId xmlns:a16="http://schemas.microsoft.com/office/drawing/2014/main" xmlns="" id="{00000000-0008-0000-0000-0000B3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484" name="Text Box 3091">
          <a:extLst>
            <a:ext uri="{FF2B5EF4-FFF2-40B4-BE49-F238E27FC236}">
              <a16:creationId xmlns:a16="http://schemas.microsoft.com/office/drawing/2014/main" xmlns="" id="{00000000-0008-0000-0000-0000B4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485" name="Text Box 3092">
          <a:extLst>
            <a:ext uri="{FF2B5EF4-FFF2-40B4-BE49-F238E27FC236}">
              <a16:creationId xmlns:a16="http://schemas.microsoft.com/office/drawing/2014/main" xmlns="" id="{00000000-0008-0000-0000-0000B5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486" name="Text Box 3093">
          <a:extLst>
            <a:ext uri="{FF2B5EF4-FFF2-40B4-BE49-F238E27FC236}">
              <a16:creationId xmlns:a16="http://schemas.microsoft.com/office/drawing/2014/main" xmlns="" id="{00000000-0008-0000-0000-0000B6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487" name="Text Box 3094">
          <a:extLst>
            <a:ext uri="{FF2B5EF4-FFF2-40B4-BE49-F238E27FC236}">
              <a16:creationId xmlns:a16="http://schemas.microsoft.com/office/drawing/2014/main" xmlns="" id="{00000000-0008-0000-0000-0000B7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488" name="Text Box 3095">
          <a:extLst>
            <a:ext uri="{FF2B5EF4-FFF2-40B4-BE49-F238E27FC236}">
              <a16:creationId xmlns:a16="http://schemas.microsoft.com/office/drawing/2014/main" xmlns="" id="{00000000-0008-0000-0000-0000B8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489" name="Text Box 3096">
          <a:extLst>
            <a:ext uri="{FF2B5EF4-FFF2-40B4-BE49-F238E27FC236}">
              <a16:creationId xmlns:a16="http://schemas.microsoft.com/office/drawing/2014/main" xmlns="" id="{00000000-0008-0000-0000-0000B9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490" name="Text Box 3097">
          <a:extLst>
            <a:ext uri="{FF2B5EF4-FFF2-40B4-BE49-F238E27FC236}">
              <a16:creationId xmlns:a16="http://schemas.microsoft.com/office/drawing/2014/main" xmlns="" id="{00000000-0008-0000-0000-0000BA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491" name="Text Box 3098">
          <a:extLst>
            <a:ext uri="{FF2B5EF4-FFF2-40B4-BE49-F238E27FC236}">
              <a16:creationId xmlns:a16="http://schemas.microsoft.com/office/drawing/2014/main" xmlns="" id="{00000000-0008-0000-0000-0000BB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492" name="Text Box 3099">
          <a:extLst>
            <a:ext uri="{FF2B5EF4-FFF2-40B4-BE49-F238E27FC236}">
              <a16:creationId xmlns:a16="http://schemas.microsoft.com/office/drawing/2014/main" xmlns="" id="{00000000-0008-0000-0000-0000BC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493" name="Text Box 3100">
          <a:extLst>
            <a:ext uri="{FF2B5EF4-FFF2-40B4-BE49-F238E27FC236}">
              <a16:creationId xmlns:a16="http://schemas.microsoft.com/office/drawing/2014/main" xmlns="" id="{00000000-0008-0000-0000-0000BD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494" name="Text Box 3101">
          <a:extLst>
            <a:ext uri="{FF2B5EF4-FFF2-40B4-BE49-F238E27FC236}">
              <a16:creationId xmlns:a16="http://schemas.microsoft.com/office/drawing/2014/main" xmlns="" id="{00000000-0008-0000-0000-0000BE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2495" name="Text Box 3102">
          <a:extLst>
            <a:ext uri="{FF2B5EF4-FFF2-40B4-BE49-F238E27FC236}">
              <a16:creationId xmlns:a16="http://schemas.microsoft.com/office/drawing/2014/main" xmlns="" id="{00000000-0008-0000-0000-0000BF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496" name="Text Box 59">
          <a:extLst>
            <a:ext uri="{FF2B5EF4-FFF2-40B4-BE49-F238E27FC236}">
              <a16:creationId xmlns:a16="http://schemas.microsoft.com/office/drawing/2014/main" xmlns="" id="{00000000-0008-0000-0000-0000C0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497" name="Text Box 60">
          <a:extLst>
            <a:ext uri="{FF2B5EF4-FFF2-40B4-BE49-F238E27FC236}">
              <a16:creationId xmlns:a16="http://schemas.microsoft.com/office/drawing/2014/main" xmlns="" id="{00000000-0008-0000-0000-0000C1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498" name="Text Box 61">
          <a:extLst>
            <a:ext uri="{FF2B5EF4-FFF2-40B4-BE49-F238E27FC236}">
              <a16:creationId xmlns:a16="http://schemas.microsoft.com/office/drawing/2014/main" xmlns="" id="{00000000-0008-0000-0000-0000C2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499" name="Text Box 62">
          <a:extLst>
            <a:ext uri="{FF2B5EF4-FFF2-40B4-BE49-F238E27FC236}">
              <a16:creationId xmlns:a16="http://schemas.microsoft.com/office/drawing/2014/main" xmlns="" id="{00000000-0008-0000-0000-0000C3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500" name="Text Box 63">
          <a:extLst>
            <a:ext uri="{FF2B5EF4-FFF2-40B4-BE49-F238E27FC236}">
              <a16:creationId xmlns:a16="http://schemas.microsoft.com/office/drawing/2014/main" xmlns="" id="{00000000-0008-0000-0000-0000C4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501" name="Text Box 64">
          <a:extLst>
            <a:ext uri="{FF2B5EF4-FFF2-40B4-BE49-F238E27FC236}">
              <a16:creationId xmlns:a16="http://schemas.microsoft.com/office/drawing/2014/main" xmlns="" id="{00000000-0008-0000-0000-0000C5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502" name="Text Box 65">
          <a:extLst>
            <a:ext uri="{FF2B5EF4-FFF2-40B4-BE49-F238E27FC236}">
              <a16:creationId xmlns:a16="http://schemas.microsoft.com/office/drawing/2014/main" xmlns="" id="{00000000-0008-0000-0000-0000C6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503" name="Text Box 66">
          <a:extLst>
            <a:ext uri="{FF2B5EF4-FFF2-40B4-BE49-F238E27FC236}">
              <a16:creationId xmlns:a16="http://schemas.microsoft.com/office/drawing/2014/main" xmlns="" id="{00000000-0008-0000-0000-0000C7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504" name="Text Box 67">
          <a:extLst>
            <a:ext uri="{FF2B5EF4-FFF2-40B4-BE49-F238E27FC236}">
              <a16:creationId xmlns:a16="http://schemas.microsoft.com/office/drawing/2014/main" xmlns="" id="{00000000-0008-0000-0000-0000C8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505" name="Text Box 68">
          <a:extLst>
            <a:ext uri="{FF2B5EF4-FFF2-40B4-BE49-F238E27FC236}">
              <a16:creationId xmlns:a16="http://schemas.microsoft.com/office/drawing/2014/main" xmlns="" id="{00000000-0008-0000-0000-0000C9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506" name="Text Box 69">
          <a:extLst>
            <a:ext uri="{FF2B5EF4-FFF2-40B4-BE49-F238E27FC236}">
              <a16:creationId xmlns:a16="http://schemas.microsoft.com/office/drawing/2014/main" xmlns="" id="{00000000-0008-0000-0000-0000CA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507" name="Text Box 70">
          <a:extLst>
            <a:ext uri="{FF2B5EF4-FFF2-40B4-BE49-F238E27FC236}">
              <a16:creationId xmlns:a16="http://schemas.microsoft.com/office/drawing/2014/main" xmlns="" id="{00000000-0008-0000-0000-0000CB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508" name="Text Box 71">
          <a:extLst>
            <a:ext uri="{FF2B5EF4-FFF2-40B4-BE49-F238E27FC236}">
              <a16:creationId xmlns:a16="http://schemas.microsoft.com/office/drawing/2014/main" xmlns="" id="{00000000-0008-0000-0000-0000CC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509" name="Text Box 72">
          <a:extLst>
            <a:ext uri="{FF2B5EF4-FFF2-40B4-BE49-F238E27FC236}">
              <a16:creationId xmlns:a16="http://schemas.microsoft.com/office/drawing/2014/main" xmlns="" id="{00000000-0008-0000-0000-0000CD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510" name="Text Box 73">
          <a:extLst>
            <a:ext uri="{FF2B5EF4-FFF2-40B4-BE49-F238E27FC236}">
              <a16:creationId xmlns:a16="http://schemas.microsoft.com/office/drawing/2014/main" xmlns="" id="{00000000-0008-0000-0000-0000CE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511" name="Text Box 74">
          <a:extLst>
            <a:ext uri="{FF2B5EF4-FFF2-40B4-BE49-F238E27FC236}">
              <a16:creationId xmlns:a16="http://schemas.microsoft.com/office/drawing/2014/main" xmlns="" id="{00000000-0008-0000-0000-0000CF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512" name="Text Box 75">
          <a:extLst>
            <a:ext uri="{FF2B5EF4-FFF2-40B4-BE49-F238E27FC236}">
              <a16:creationId xmlns:a16="http://schemas.microsoft.com/office/drawing/2014/main" xmlns="" id="{00000000-0008-0000-0000-0000D0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513" name="Text Box 76">
          <a:extLst>
            <a:ext uri="{FF2B5EF4-FFF2-40B4-BE49-F238E27FC236}">
              <a16:creationId xmlns:a16="http://schemas.microsoft.com/office/drawing/2014/main" xmlns="" id="{00000000-0008-0000-0000-0000D1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514" name="Text Box 77">
          <a:extLst>
            <a:ext uri="{FF2B5EF4-FFF2-40B4-BE49-F238E27FC236}">
              <a16:creationId xmlns:a16="http://schemas.microsoft.com/office/drawing/2014/main" xmlns="" id="{00000000-0008-0000-0000-0000D2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515" name="Text Box 78">
          <a:extLst>
            <a:ext uri="{FF2B5EF4-FFF2-40B4-BE49-F238E27FC236}">
              <a16:creationId xmlns:a16="http://schemas.microsoft.com/office/drawing/2014/main" xmlns="" id="{00000000-0008-0000-0000-0000D3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516" name="Text Box 79">
          <a:extLst>
            <a:ext uri="{FF2B5EF4-FFF2-40B4-BE49-F238E27FC236}">
              <a16:creationId xmlns:a16="http://schemas.microsoft.com/office/drawing/2014/main" xmlns="" id="{00000000-0008-0000-0000-0000D4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517" name="Text Box 80">
          <a:extLst>
            <a:ext uri="{FF2B5EF4-FFF2-40B4-BE49-F238E27FC236}">
              <a16:creationId xmlns:a16="http://schemas.microsoft.com/office/drawing/2014/main" xmlns="" id="{00000000-0008-0000-0000-0000D5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518" name="Text Box 81">
          <a:extLst>
            <a:ext uri="{FF2B5EF4-FFF2-40B4-BE49-F238E27FC236}">
              <a16:creationId xmlns:a16="http://schemas.microsoft.com/office/drawing/2014/main" xmlns="" id="{00000000-0008-0000-0000-0000D6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47625"/>
    <xdr:sp macro="" textlink="">
      <xdr:nvSpPr>
        <xdr:cNvPr id="2519" name="Text Box 82">
          <a:extLst>
            <a:ext uri="{FF2B5EF4-FFF2-40B4-BE49-F238E27FC236}">
              <a16:creationId xmlns:a16="http://schemas.microsoft.com/office/drawing/2014/main" xmlns="" id="{00000000-0008-0000-0000-0000D7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520" name="Text Box 3079">
          <a:extLst>
            <a:ext uri="{FF2B5EF4-FFF2-40B4-BE49-F238E27FC236}">
              <a16:creationId xmlns:a16="http://schemas.microsoft.com/office/drawing/2014/main" xmlns="" id="{00000000-0008-0000-0000-0000D8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521" name="Text Box 3080">
          <a:extLst>
            <a:ext uri="{FF2B5EF4-FFF2-40B4-BE49-F238E27FC236}">
              <a16:creationId xmlns:a16="http://schemas.microsoft.com/office/drawing/2014/main" xmlns="" id="{00000000-0008-0000-0000-0000D9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522" name="Text Box 3081">
          <a:extLst>
            <a:ext uri="{FF2B5EF4-FFF2-40B4-BE49-F238E27FC236}">
              <a16:creationId xmlns:a16="http://schemas.microsoft.com/office/drawing/2014/main" xmlns="" id="{00000000-0008-0000-0000-0000DA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523" name="Text Box 3082">
          <a:extLst>
            <a:ext uri="{FF2B5EF4-FFF2-40B4-BE49-F238E27FC236}">
              <a16:creationId xmlns:a16="http://schemas.microsoft.com/office/drawing/2014/main" xmlns="" id="{00000000-0008-0000-0000-0000DB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524" name="Text Box 3083">
          <a:extLst>
            <a:ext uri="{FF2B5EF4-FFF2-40B4-BE49-F238E27FC236}">
              <a16:creationId xmlns:a16="http://schemas.microsoft.com/office/drawing/2014/main" xmlns="" id="{00000000-0008-0000-0000-0000DC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525" name="Text Box 3084">
          <a:extLst>
            <a:ext uri="{FF2B5EF4-FFF2-40B4-BE49-F238E27FC236}">
              <a16:creationId xmlns:a16="http://schemas.microsoft.com/office/drawing/2014/main" xmlns="" id="{00000000-0008-0000-0000-0000DD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526" name="Text Box 3085">
          <a:extLst>
            <a:ext uri="{FF2B5EF4-FFF2-40B4-BE49-F238E27FC236}">
              <a16:creationId xmlns:a16="http://schemas.microsoft.com/office/drawing/2014/main" xmlns="" id="{00000000-0008-0000-0000-0000DE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527" name="Text Box 3086">
          <a:extLst>
            <a:ext uri="{FF2B5EF4-FFF2-40B4-BE49-F238E27FC236}">
              <a16:creationId xmlns:a16="http://schemas.microsoft.com/office/drawing/2014/main" xmlns="" id="{00000000-0008-0000-0000-0000DF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528" name="Text Box 3087">
          <a:extLst>
            <a:ext uri="{FF2B5EF4-FFF2-40B4-BE49-F238E27FC236}">
              <a16:creationId xmlns:a16="http://schemas.microsoft.com/office/drawing/2014/main" xmlns="" id="{00000000-0008-0000-0000-0000E0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529" name="Text Box 3088">
          <a:extLst>
            <a:ext uri="{FF2B5EF4-FFF2-40B4-BE49-F238E27FC236}">
              <a16:creationId xmlns:a16="http://schemas.microsoft.com/office/drawing/2014/main" xmlns="" id="{00000000-0008-0000-0000-0000E1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530" name="Text Box 3089">
          <a:extLst>
            <a:ext uri="{FF2B5EF4-FFF2-40B4-BE49-F238E27FC236}">
              <a16:creationId xmlns:a16="http://schemas.microsoft.com/office/drawing/2014/main" xmlns="" id="{00000000-0008-0000-0000-0000E2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531" name="Text Box 3090">
          <a:extLst>
            <a:ext uri="{FF2B5EF4-FFF2-40B4-BE49-F238E27FC236}">
              <a16:creationId xmlns:a16="http://schemas.microsoft.com/office/drawing/2014/main" xmlns="" id="{00000000-0008-0000-0000-0000E3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532" name="Text Box 3091">
          <a:extLst>
            <a:ext uri="{FF2B5EF4-FFF2-40B4-BE49-F238E27FC236}">
              <a16:creationId xmlns:a16="http://schemas.microsoft.com/office/drawing/2014/main" xmlns="" id="{00000000-0008-0000-0000-0000E4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533" name="Text Box 3092">
          <a:extLst>
            <a:ext uri="{FF2B5EF4-FFF2-40B4-BE49-F238E27FC236}">
              <a16:creationId xmlns:a16="http://schemas.microsoft.com/office/drawing/2014/main" xmlns="" id="{00000000-0008-0000-0000-0000E5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534" name="Text Box 3093">
          <a:extLst>
            <a:ext uri="{FF2B5EF4-FFF2-40B4-BE49-F238E27FC236}">
              <a16:creationId xmlns:a16="http://schemas.microsoft.com/office/drawing/2014/main" xmlns="" id="{00000000-0008-0000-0000-0000E6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535" name="Text Box 3094">
          <a:extLst>
            <a:ext uri="{FF2B5EF4-FFF2-40B4-BE49-F238E27FC236}">
              <a16:creationId xmlns:a16="http://schemas.microsoft.com/office/drawing/2014/main" xmlns="" id="{00000000-0008-0000-0000-0000E7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536" name="Text Box 3095">
          <a:extLst>
            <a:ext uri="{FF2B5EF4-FFF2-40B4-BE49-F238E27FC236}">
              <a16:creationId xmlns:a16="http://schemas.microsoft.com/office/drawing/2014/main" xmlns="" id="{00000000-0008-0000-0000-0000E8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537" name="Text Box 3096">
          <a:extLst>
            <a:ext uri="{FF2B5EF4-FFF2-40B4-BE49-F238E27FC236}">
              <a16:creationId xmlns:a16="http://schemas.microsoft.com/office/drawing/2014/main" xmlns="" id="{00000000-0008-0000-0000-0000E9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538" name="Text Box 3097">
          <a:extLst>
            <a:ext uri="{FF2B5EF4-FFF2-40B4-BE49-F238E27FC236}">
              <a16:creationId xmlns:a16="http://schemas.microsoft.com/office/drawing/2014/main" xmlns="" id="{00000000-0008-0000-0000-0000EA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539" name="Text Box 3098">
          <a:extLst>
            <a:ext uri="{FF2B5EF4-FFF2-40B4-BE49-F238E27FC236}">
              <a16:creationId xmlns:a16="http://schemas.microsoft.com/office/drawing/2014/main" xmlns="" id="{00000000-0008-0000-0000-0000EB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540" name="Text Box 3099">
          <a:extLst>
            <a:ext uri="{FF2B5EF4-FFF2-40B4-BE49-F238E27FC236}">
              <a16:creationId xmlns:a16="http://schemas.microsoft.com/office/drawing/2014/main" xmlns="" id="{00000000-0008-0000-0000-0000EC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541" name="Text Box 3100">
          <a:extLst>
            <a:ext uri="{FF2B5EF4-FFF2-40B4-BE49-F238E27FC236}">
              <a16:creationId xmlns:a16="http://schemas.microsoft.com/office/drawing/2014/main" xmlns="" id="{00000000-0008-0000-0000-0000ED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542" name="Text Box 3101">
          <a:extLst>
            <a:ext uri="{FF2B5EF4-FFF2-40B4-BE49-F238E27FC236}">
              <a16:creationId xmlns:a16="http://schemas.microsoft.com/office/drawing/2014/main" xmlns="" id="{00000000-0008-0000-0000-0000EE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2543" name="Text Box 3102">
          <a:extLst>
            <a:ext uri="{FF2B5EF4-FFF2-40B4-BE49-F238E27FC236}">
              <a16:creationId xmlns:a16="http://schemas.microsoft.com/office/drawing/2014/main" xmlns="" id="{00000000-0008-0000-0000-0000EF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544" name="Text Box 59">
          <a:extLst>
            <a:ext uri="{FF2B5EF4-FFF2-40B4-BE49-F238E27FC236}">
              <a16:creationId xmlns:a16="http://schemas.microsoft.com/office/drawing/2014/main" xmlns="" id="{00000000-0008-0000-0000-0000F0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545" name="Text Box 60">
          <a:extLst>
            <a:ext uri="{FF2B5EF4-FFF2-40B4-BE49-F238E27FC236}">
              <a16:creationId xmlns:a16="http://schemas.microsoft.com/office/drawing/2014/main" xmlns="" id="{00000000-0008-0000-0000-0000F1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546" name="Text Box 61">
          <a:extLst>
            <a:ext uri="{FF2B5EF4-FFF2-40B4-BE49-F238E27FC236}">
              <a16:creationId xmlns:a16="http://schemas.microsoft.com/office/drawing/2014/main" xmlns="" id="{00000000-0008-0000-0000-0000F2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547" name="Text Box 62">
          <a:extLst>
            <a:ext uri="{FF2B5EF4-FFF2-40B4-BE49-F238E27FC236}">
              <a16:creationId xmlns:a16="http://schemas.microsoft.com/office/drawing/2014/main" xmlns="" id="{00000000-0008-0000-0000-0000F3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548" name="Text Box 63">
          <a:extLst>
            <a:ext uri="{FF2B5EF4-FFF2-40B4-BE49-F238E27FC236}">
              <a16:creationId xmlns:a16="http://schemas.microsoft.com/office/drawing/2014/main" xmlns="" id="{00000000-0008-0000-0000-0000F4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549" name="Text Box 64">
          <a:extLst>
            <a:ext uri="{FF2B5EF4-FFF2-40B4-BE49-F238E27FC236}">
              <a16:creationId xmlns:a16="http://schemas.microsoft.com/office/drawing/2014/main" xmlns="" id="{00000000-0008-0000-0000-0000F5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550" name="Text Box 65">
          <a:extLst>
            <a:ext uri="{FF2B5EF4-FFF2-40B4-BE49-F238E27FC236}">
              <a16:creationId xmlns:a16="http://schemas.microsoft.com/office/drawing/2014/main" xmlns="" id="{00000000-0008-0000-0000-0000F6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551" name="Text Box 66">
          <a:extLst>
            <a:ext uri="{FF2B5EF4-FFF2-40B4-BE49-F238E27FC236}">
              <a16:creationId xmlns:a16="http://schemas.microsoft.com/office/drawing/2014/main" xmlns="" id="{00000000-0008-0000-0000-0000F7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552" name="Text Box 67">
          <a:extLst>
            <a:ext uri="{FF2B5EF4-FFF2-40B4-BE49-F238E27FC236}">
              <a16:creationId xmlns:a16="http://schemas.microsoft.com/office/drawing/2014/main" xmlns="" id="{00000000-0008-0000-0000-0000F8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553" name="Text Box 68">
          <a:extLst>
            <a:ext uri="{FF2B5EF4-FFF2-40B4-BE49-F238E27FC236}">
              <a16:creationId xmlns:a16="http://schemas.microsoft.com/office/drawing/2014/main" xmlns="" id="{00000000-0008-0000-0000-0000F9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554" name="Text Box 69">
          <a:extLst>
            <a:ext uri="{FF2B5EF4-FFF2-40B4-BE49-F238E27FC236}">
              <a16:creationId xmlns:a16="http://schemas.microsoft.com/office/drawing/2014/main" xmlns="" id="{00000000-0008-0000-0000-0000FA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555" name="Text Box 70">
          <a:extLst>
            <a:ext uri="{FF2B5EF4-FFF2-40B4-BE49-F238E27FC236}">
              <a16:creationId xmlns:a16="http://schemas.microsoft.com/office/drawing/2014/main" xmlns="" id="{00000000-0008-0000-0000-0000FB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556" name="Text Box 71">
          <a:extLst>
            <a:ext uri="{FF2B5EF4-FFF2-40B4-BE49-F238E27FC236}">
              <a16:creationId xmlns:a16="http://schemas.microsoft.com/office/drawing/2014/main" xmlns="" id="{00000000-0008-0000-0000-0000FC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557" name="Text Box 72">
          <a:extLst>
            <a:ext uri="{FF2B5EF4-FFF2-40B4-BE49-F238E27FC236}">
              <a16:creationId xmlns:a16="http://schemas.microsoft.com/office/drawing/2014/main" xmlns="" id="{00000000-0008-0000-0000-0000FD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558" name="Text Box 73">
          <a:extLst>
            <a:ext uri="{FF2B5EF4-FFF2-40B4-BE49-F238E27FC236}">
              <a16:creationId xmlns:a16="http://schemas.microsoft.com/office/drawing/2014/main" xmlns="" id="{00000000-0008-0000-0000-0000FE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559" name="Text Box 74">
          <a:extLst>
            <a:ext uri="{FF2B5EF4-FFF2-40B4-BE49-F238E27FC236}">
              <a16:creationId xmlns:a16="http://schemas.microsoft.com/office/drawing/2014/main" xmlns="" id="{00000000-0008-0000-0000-0000FF09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560" name="Text Box 75">
          <a:extLst>
            <a:ext uri="{FF2B5EF4-FFF2-40B4-BE49-F238E27FC236}">
              <a16:creationId xmlns:a16="http://schemas.microsoft.com/office/drawing/2014/main" xmlns="" id="{00000000-0008-0000-0000-000000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561" name="Text Box 76">
          <a:extLst>
            <a:ext uri="{FF2B5EF4-FFF2-40B4-BE49-F238E27FC236}">
              <a16:creationId xmlns:a16="http://schemas.microsoft.com/office/drawing/2014/main" xmlns="" id="{00000000-0008-0000-0000-000001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562" name="Text Box 77">
          <a:extLst>
            <a:ext uri="{FF2B5EF4-FFF2-40B4-BE49-F238E27FC236}">
              <a16:creationId xmlns:a16="http://schemas.microsoft.com/office/drawing/2014/main" xmlns="" id="{00000000-0008-0000-0000-000002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563" name="Text Box 78">
          <a:extLst>
            <a:ext uri="{FF2B5EF4-FFF2-40B4-BE49-F238E27FC236}">
              <a16:creationId xmlns:a16="http://schemas.microsoft.com/office/drawing/2014/main" xmlns="" id="{00000000-0008-0000-0000-000003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564" name="Text Box 79">
          <a:extLst>
            <a:ext uri="{FF2B5EF4-FFF2-40B4-BE49-F238E27FC236}">
              <a16:creationId xmlns:a16="http://schemas.microsoft.com/office/drawing/2014/main" xmlns="" id="{00000000-0008-0000-0000-000004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565" name="Text Box 80">
          <a:extLst>
            <a:ext uri="{FF2B5EF4-FFF2-40B4-BE49-F238E27FC236}">
              <a16:creationId xmlns:a16="http://schemas.microsoft.com/office/drawing/2014/main" xmlns="" id="{00000000-0008-0000-0000-000005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566" name="Text Box 81">
          <a:extLst>
            <a:ext uri="{FF2B5EF4-FFF2-40B4-BE49-F238E27FC236}">
              <a16:creationId xmlns:a16="http://schemas.microsoft.com/office/drawing/2014/main" xmlns="" id="{00000000-0008-0000-0000-000006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567" name="Text Box 3079">
          <a:extLst>
            <a:ext uri="{FF2B5EF4-FFF2-40B4-BE49-F238E27FC236}">
              <a16:creationId xmlns:a16="http://schemas.microsoft.com/office/drawing/2014/main" xmlns="" id="{00000000-0008-0000-0000-000007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568" name="Text Box 3080">
          <a:extLst>
            <a:ext uri="{FF2B5EF4-FFF2-40B4-BE49-F238E27FC236}">
              <a16:creationId xmlns:a16="http://schemas.microsoft.com/office/drawing/2014/main" xmlns="" id="{00000000-0008-0000-0000-000008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569" name="Text Box 3081">
          <a:extLst>
            <a:ext uri="{FF2B5EF4-FFF2-40B4-BE49-F238E27FC236}">
              <a16:creationId xmlns:a16="http://schemas.microsoft.com/office/drawing/2014/main" xmlns="" id="{00000000-0008-0000-0000-000009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570" name="Text Box 3082">
          <a:extLst>
            <a:ext uri="{FF2B5EF4-FFF2-40B4-BE49-F238E27FC236}">
              <a16:creationId xmlns:a16="http://schemas.microsoft.com/office/drawing/2014/main" xmlns="" id="{00000000-0008-0000-0000-00000A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571" name="Text Box 3083">
          <a:extLst>
            <a:ext uri="{FF2B5EF4-FFF2-40B4-BE49-F238E27FC236}">
              <a16:creationId xmlns:a16="http://schemas.microsoft.com/office/drawing/2014/main" xmlns="" id="{00000000-0008-0000-0000-00000B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572" name="Text Box 3084">
          <a:extLst>
            <a:ext uri="{FF2B5EF4-FFF2-40B4-BE49-F238E27FC236}">
              <a16:creationId xmlns:a16="http://schemas.microsoft.com/office/drawing/2014/main" xmlns="" id="{00000000-0008-0000-0000-00000C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573" name="Text Box 3085">
          <a:extLst>
            <a:ext uri="{FF2B5EF4-FFF2-40B4-BE49-F238E27FC236}">
              <a16:creationId xmlns:a16="http://schemas.microsoft.com/office/drawing/2014/main" xmlns="" id="{00000000-0008-0000-0000-00000D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574" name="Text Box 3086">
          <a:extLst>
            <a:ext uri="{FF2B5EF4-FFF2-40B4-BE49-F238E27FC236}">
              <a16:creationId xmlns:a16="http://schemas.microsoft.com/office/drawing/2014/main" xmlns="" id="{00000000-0008-0000-0000-00000E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575" name="Text Box 3087">
          <a:extLst>
            <a:ext uri="{FF2B5EF4-FFF2-40B4-BE49-F238E27FC236}">
              <a16:creationId xmlns:a16="http://schemas.microsoft.com/office/drawing/2014/main" xmlns="" id="{00000000-0008-0000-0000-00000F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576" name="Text Box 3088">
          <a:extLst>
            <a:ext uri="{FF2B5EF4-FFF2-40B4-BE49-F238E27FC236}">
              <a16:creationId xmlns:a16="http://schemas.microsoft.com/office/drawing/2014/main" xmlns="" id="{00000000-0008-0000-0000-000010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577" name="Text Box 3089">
          <a:extLst>
            <a:ext uri="{FF2B5EF4-FFF2-40B4-BE49-F238E27FC236}">
              <a16:creationId xmlns:a16="http://schemas.microsoft.com/office/drawing/2014/main" xmlns="" id="{00000000-0008-0000-0000-000011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578" name="Text Box 3090">
          <a:extLst>
            <a:ext uri="{FF2B5EF4-FFF2-40B4-BE49-F238E27FC236}">
              <a16:creationId xmlns:a16="http://schemas.microsoft.com/office/drawing/2014/main" xmlns="" id="{00000000-0008-0000-0000-000012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579" name="Text Box 3091">
          <a:extLst>
            <a:ext uri="{FF2B5EF4-FFF2-40B4-BE49-F238E27FC236}">
              <a16:creationId xmlns:a16="http://schemas.microsoft.com/office/drawing/2014/main" xmlns="" id="{00000000-0008-0000-0000-000013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580" name="Text Box 3092">
          <a:extLst>
            <a:ext uri="{FF2B5EF4-FFF2-40B4-BE49-F238E27FC236}">
              <a16:creationId xmlns:a16="http://schemas.microsoft.com/office/drawing/2014/main" xmlns="" id="{00000000-0008-0000-0000-000014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581" name="Text Box 3093">
          <a:extLst>
            <a:ext uri="{FF2B5EF4-FFF2-40B4-BE49-F238E27FC236}">
              <a16:creationId xmlns:a16="http://schemas.microsoft.com/office/drawing/2014/main" xmlns="" id="{00000000-0008-0000-0000-000015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582" name="Text Box 3094">
          <a:extLst>
            <a:ext uri="{FF2B5EF4-FFF2-40B4-BE49-F238E27FC236}">
              <a16:creationId xmlns:a16="http://schemas.microsoft.com/office/drawing/2014/main" xmlns="" id="{00000000-0008-0000-0000-000016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583" name="Text Box 3095">
          <a:extLst>
            <a:ext uri="{FF2B5EF4-FFF2-40B4-BE49-F238E27FC236}">
              <a16:creationId xmlns:a16="http://schemas.microsoft.com/office/drawing/2014/main" xmlns="" id="{00000000-0008-0000-0000-000017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584" name="Text Box 3096">
          <a:extLst>
            <a:ext uri="{FF2B5EF4-FFF2-40B4-BE49-F238E27FC236}">
              <a16:creationId xmlns:a16="http://schemas.microsoft.com/office/drawing/2014/main" xmlns="" id="{00000000-0008-0000-0000-000018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585" name="Text Box 3097">
          <a:extLst>
            <a:ext uri="{FF2B5EF4-FFF2-40B4-BE49-F238E27FC236}">
              <a16:creationId xmlns:a16="http://schemas.microsoft.com/office/drawing/2014/main" xmlns="" id="{00000000-0008-0000-0000-000019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586" name="Text Box 3098">
          <a:extLst>
            <a:ext uri="{FF2B5EF4-FFF2-40B4-BE49-F238E27FC236}">
              <a16:creationId xmlns:a16="http://schemas.microsoft.com/office/drawing/2014/main" xmlns="" id="{00000000-0008-0000-0000-00001A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587" name="Text Box 3099">
          <a:extLst>
            <a:ext uri="{FF2B5EF4-FFF2-40B4-BE49-F238E27FC236}">
              <a16:creationId xmlns:a16="http://schemas.microsoft.com/office/drawing/2014/main" xmlns="" id="{00000000-0008-0000-0000-00001B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588" name="Text Box 3100">
          <a:extLst>
            <a:ext uri="{FF2B5EF4-FFF2-40B4-BE49-F238E27FC236}">
              <a16:creationId xmlns:a16="http://schemas.microsoft.com/office/drawing/2014/main" xmlns="" id="{00000000-0008-0000-0000-00001C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589" name="Text Box 3101">
          <a:extLst>
            <a:ext uri="{FF2B5EF4-FFF2-40B4-BE49-F238E27FC236}">
              <a16:creationId xmlns:a16="http://schemas.microsoft.com/office/drawing/2014/main" xmlns="" id="{00000000-0008-0000-0000-00001D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2590" name="Text Box 3102">
          <a:extLst>
            <a:ext uri="{FF2B5EF4-FFF2-40B4-BE49-F238E27FC236}">
              <a16:creationId xmlns:a16="http://schemas.microsoft.com/office/drawing/2014/main" xmlns="" id="{00000000-0008-0000-0000-00001E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591" name="Text Box 59">
          <a:extLst>
            <a:ext uri="{FF2B5EF4-FFF2-40B4-BE49-F238E27FC236}">
              <a16:creationId xmlns:a16="http://schemas.microsoft.com/office/drawing/2014/main" xmlns="" id="{00000000-0008-0000-0000-00001F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592" name="Text Box 60">
          <a:extLst>
            <a:ext uri="{FF2B5EF4-FFF2-40B4-BE49-F238E27FC236}">
              <a16:creationId xmlns:a16="http://schemas.microsoft.com/office/drawing/2014/main" xmlns="" id="{00000000-0008-0000-0000-000020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593" name="Text Box 61">
          <a:extLst>
            <a:ext uri="{FF2B5EF4-FFF2-40B4-BE49-F238E27FC236}">
              <a16:creationId xmlns:a16="http://schemas.microsoft.com/office/drawing/2014/main" xmlns="" id="{00000000-0008-0000-0000-000021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594" name="Text Box 62">
          <a:extLst>
            <a:ext uri="{FF2B5EF4-FFF2-40B4-BE49-F238E27FC236}">
              <a16:creationId xmlns:a16="http://schemas.microsoft.com/office/drawing/2014/main" xmlns="" id="{00000000-0008-0000-0000-000022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595" name="Text Box 63">
          <a:extLst>
            <a:ext uri="{FF2B5EF4-FFF2-40B4-BE49-F238E27FC236}">
              <a16:creationId xmlns:a16="http://schemas.microsoft.com/office/drawing/2014/main" xmlns="" id="{00000000-0008-0000-0000-000023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596" name="Text Box 64">
          <a:extLst>
            <a:ext uri="{FF2B5EF4-FFF2-40B4-BE49-F238E27FC236}">
              <a16:creationId xmlns:a16="http://schemas.microsoft.com/office/drawing/2014/main" xmlns="" id="{00000000-0008-0000-0000-000024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597" name="Text Box 65">
          <a:extLst>
            <a:ext uri="{FF2B5EF4-FFF2-40B4-BE49-F238E27FC236}">
              <a16:creationId xmlns:a16="http://schemas.microsoft.com/office/drawing/2014/main" xmlns="" id="{00000000-0008-0000-0000-000025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598" name="Text Box 66">
          <a:extLst>
            <a:ext uri="{FF2B5EF4-FFF2-40B4-BE49-F238E27FC236}">
              <a16:creationId xmlns:a16="http://schemas.microsoft.com/office/drawing/2014/main" xmlns="" id="{00000000-0008-0000-0000-000026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599" name="Text Box 67">
          <a:extLst>
            <a:ext uri="{FF2B5EF4-FFF2-40B4-BE49-F238E27FC236}">
              <a16:creationId xmlns:a16="http://schemas.microsoft.com/office/drawing/2014/main" xmlns="" id="{00000000-0008-0000-0000-000027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600" name="Text Box 68">
          <a:extLst>
            <a:ext uri="{FF2B5EF4-FFF2-40B4-BE49-F238E27FC236}">
              <a16:creationId xmlns:a16="http://schemas.microsoft.com/office/drawing/2014/main" xmlns="" id="{00000000-0008-0000-0000-000028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601" name="Text Box 69">
          <a:extLst>
            <a:ext uri="{FF2B5EF4-FFF2-40B4-BE49-F238E27FC236}">
              <a16:creationId xmlns:a16="http://schemas.microsoft.com/office/drawing/2014/main" xmlns="" id="{00000000-0008-0000-0000-000029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602" name="Text Box 70">
          <a:extLst>
            <a:ext uri="{FF2B5EF4-FFF2-40B4-BE49-F238E27FC236}">
              <a16:creationId xmlns:a16="http://schemas.microsoft.com/office/drawing/2014/main" xmlns="" id="{00000000-0008-0000-0000-00002A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603" name="Text Box 71">
          <a:extLst>
            <a:ext uri="{FF2B5EF4-FFF2-40B4-BE49-F238E27FC236}">
              <a16:creationId xmlns:a16="http://schemas.microsoft.com/office/drawing/2014/main" xmlns="" id="{00000000-0008-0000-0000-00002B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604" name="Text Box 72">
          <a:extLst>
            <a:ext uri="{FF2B5EF4-FFF2-40B4-BE49-F238E27FC236}">
              <a16:creationId xmlns:a16="http://schemas.microsoft.com/office/drawing/2014/main" xmlns="" id="{00000000-0008-0000-0000-00002C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605" name="Text Box 73">
          <a:extLst>
            <a:ext uri="{FF2B5EF4-FFF2-40B4-BE49-F238E27FC236}">
              <a16:creationId xmlns:a16="http://schemas.microsoft.com/office/drawing/2014/main" xmlns="" id="{00000000-0008-0000-0000-00002D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606" name="Text Box 74">
          <a:extLst>
            <a:ext uri="{FF2B5EF4-FFF2-40B4-BE49-F238E27FC236}">
              <a16:creationId xmlns:a16="http://schemas.microsoft.com/office/drawing/2014/main" xmlns="" id="{00000000-0008-0000-0000-00002E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607" name="Text Box 75">
          <a:extLst>
            <a:ext uri="{FF2B5EF4-FFF2-40B4-BE49-F238E27FC236}">
              <a16:creationId xmlns:a16="http://schemas.microsoft.com/office/drawing/2014/main" xmlns="" id="{00000000-0008-0000-0000-00002F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608" name="Text Box 76">
          <a:extLst>
            <a:ext uri="{FF2B5EF4-FFF2-40B4-BE49-F238E27FC236}">
              <a16:creationId xmlns:a16="http://schemas.microsoft.com/office/drawing/2014/main" xmlns="" id="{00000000-0008-0000-0000-000030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609" name="Text Box 77">
          <a:extLst>
            <a:ext uri="{FF2B5EF4-FFF2-40B4-BE49-F238E27FC236}">
              <a16:creationId xmlns:a16="http://schemas.microsoft.com/office/drawing/2014/main" xmlns="" id="{00000000-0008-0000-0000-000031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610" name="Text Box 78">
          <a:extLst>
            <a:ext uri="{FF2B5EF4-FFF2-40B4-BE49-F238E27FC236}">
              <a16:creationId xmlns:a16="http://schemas.microsoft.com/office/drawing/2014/main" xmlns="" id="{00000000-0008-0000-0000-000032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611" name="Text Box 79">
          <a:extLst>
            <a:ext uri="{FF2B5EF4-FFF2-40B4-BE49-F238E27FC236}">
              <a16:creationId xmlns:a16="http://schemas.microsoft.com/office/drawing/2014/main" xmlns="" id="{00000000-0008-0000-0000-000033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612" name="Text Box 80">
          <a:extLst>
            <a:ext uri="{FF2B5EF4-FFF2-40B4-BE49-F238E27FC236}">
              <a16:creationId xmlns:a16="http://schemas.microsoft.com/office/drawing/2014/main" xmlns="" id="{00000000-0008-0000-0000-000034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613" name="Text Box 81">
          <a:extLst>
            <a:ext uri="{FF2B5EF4-FFF2-40B4-BE49-F238E27FC236}">
              <a16:creationId xmlns:a16="http://schemas.microsoft.com/office/drawing/2014/main" xmlns="" id="{00000000-0008-0000-0000-000035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47625"/>
    <xdr:sp macro="" textlink="">
      <xdr:nvSpPr>
        <xdr:cNvPr id="2614" name="Text Box 82">
          <a:extLst>
            <a:ext uri="{FF2B5EF4-FFF2-40B4-BE49-F238E27FC236}">
              <a16:creationId xmlns:a16="http://schemas.microsoft.com/office/drawing/2014/main" xmlns="" id="{00000000-0008-0000-0000-000036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615" name="Text Box 3079">
          <a:extLst>
            <a:ext uri="{FF2B5EF4-FFF2-40B4-BE49-F238E27FC236}">
              <a16:creationId xmlns:a16="http://schemas.microsoft.com/office/drawing/2014/main" xmlns="" id="{00000000-0008-0000-0000-000037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616" name="Text Box 3080">
          <a:extLst>
            <a:ext uri="{FF2B5EF4-FFF2-40B4-BE49-F238E27FC236}">
              <a16:creationId xmlns:a16="http://schemas.microsoft.com/office/drawing/2014/main" xmlns="" id="{00000000-0008-0000-0000-000038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617" name="Text Box 3081">
          <a:extLst>
            <a:ext uri="{FF2B5EF4-FFF2-40B4-BE49-F238E27FC236}">
              <a16:creationId xmlns:a16="http://schemas.microsoft.com/office/drawing/2014/main" xmlns="" id="{00000000-0008-0000-0000-000039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618" name="Text Box 3082">
          <a:extLst>
            <a:ext uri="{FF2B5EF4-FFF2-40B4-BE49-F238E27FC236}">
              <a16:creationId xmlns:a16="http://schemas.microsoft.com/office/drawing/2014/main" xmlns="" id="{00000000-0008-0000-0000-00003A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619" name="Text Box 3083">
          <a:extLst>
            <a:ext uri="{FF2B5EF4-FFF2-40B4-BE49-F238E27FC236}">
              <a16:creationId xmlns:a16="http://schemas.microsoft.com/office/drawing/2014/main" xmlns="" id="{00000000-0008-0000-0000-00003B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620" name="Text Box 3084">
          <a:extLst>
            <a:ext uri="{FF2B5EF4-FFF2-40B4-BE49-F238E27FC236}">
              <a16:creationId xmlns:a16="http://schemas.microsoft.com/office/drawing/2014/main" xmlns="" id="{00000000-0008-0000-0000-00003C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621" name="Text Box 3085">
          <a:extLst>
            <a:ext uri="{FF2B5EF4-FFF2-40B4-BE49-F238E27FC236}">
              <a16:creationId xmlns:a16="http://schemas.microsoft.com/office/drawing/2014/main" xmlns="" id="{00000000-0008-0000-0000-00003D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622" name="Text Box 3086">
          <a:extLst>
            <a:ext uri="{FF2B5EF4-FFF2-40B4-BE49-F238E27FC236}">
              <a16:creationId xmlns:a16="http://schemas.microsoft.com/office/drawing/2014/main" xmlns="" id="{00000000-0008-0000-0000-00003E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623" name="Text Box 3087">
          <a:extLst>
            <a:ext uri="{FF2B5EF4-FFF2-40B4-BE49-F238E27FC236}">
              <a16:creationId xmlns:a16="http://schemas.microsoft.com/office/drawing/2014/main" xmlns="" id="{00000000-0008-0000-0000-00003F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624" name="Text Box 3088">
          <a:extLst>
            <a:ext uri="{FF2B5EF4-FFF2-40B4-BE49-F238E27FC236}">
              <a16:creationId xmlns:a16="http://schemas.microsoft.com/office/drawing/2014/main" xmlns="" id="{00000000-0008-0000-0000-000040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625" name="Text Box 3089">
          <a:extLst>
            <a:ext uri="{FF2B5EF4-FFF2-40B4-BE49-F238E27FC236}">
              <a16:creationId xmlns:a16="http://schemas.microsoft.com/office/drawing/2014/main" xmlns="" id="{00000000-0008-0000-0000-000041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626" name="Text Box 3090">
          <a:extLst>
            <a:ext uri="{FF2B5EF4-FFF2-40B4-BE49-F238E27FC236}">
              <a16:creationId xmlns:a16="http://schemas.microsoft.com/office/drawing/2014/main" xmlns="" id="{00000000-0008-0000-0000-000042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627" name="Text Box 3091">
          <a:extLst>
            <a:ext uri="{FF2B5EF4-FFF2-40B4-BE49-F238E27FC236}">
              <a16:creationId xmlns:a16="http://schemas.microsoft.com/office/drawing/2014/main" xmlns="" id="{00000000-0008-0000-0000-000043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628" name="Text Box 3092">
          <a:extLst>
            <a:ext uri="{FF2B5EF4-FFF2-40B4-BE49-F238E27FC236}">
              <a16:creationId xmlns:a16="http://schemas.microsoft.com/office/drawing/2014/main" xmlns="" id="{00000000-0008-0000-0000-000044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629" name="Text Box 3093">
          <a:extLst>
            <a:ext uri="{FF2B5EF4-FFF2-40B4-BE49-F238E27FC236}">
              <a16:creationId xmlns:a16="http://schemas.microsoft.com/office/drawing/2014/main" xmlns="" id="{00000000-0008-0000-0000-000045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630" name="Text Box 3094">
          <a:extLst>
            <a:ext uri="{FF2B5EF4-FFF2-40B4-BE49-F238E27FC236}">
              <a16:creationId xmlns:a16="http://schemas.microsoft.com/office/drawing/2014/main" xmlns="" id="{00000000-0008-0000-0000-000046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631" name="Text Box 3095">
          <a:extLst>
            <a:ext uri="{FF2B5EF4-FFF2-40B4-BE49-F238E27FC236}">
              <a16:creationId xmlns:a16="http://schemas.microsoft.com/office/drawing/2014/main" xmlns="" id="{00000000-0008-0000-0000-000047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632" name="Text Box 3096">
          <a:extLst>
            <a:ext uri="{FF2B5EF4-FFF2-40B4-BE49-F238E27FC236}">
              <a16:creationId xmlns:a16="http://schemas.microsoft.com/office/drawing/2014/main" xmlns="" id="{00000000-0008-0000-0000-000048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633" name="Text Box 3097">
          <a:extLst>
            <a:ext uri="{FF2B5EF4-FFF2-40B4-BE49-F238E27FC236}">
              <a16:creationId xmlns:a16="http://schemas.microsoft.com/office/drawing/2014/main" xmlns="" id="{00000000-0008-0000-0000-000049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634" name="Text Box 3098">
          <a:extLst>
            <a:ext uri="{FF2B5EF4-FFF2-40B4-BE49-F238E27FC236}">
              <a16:creationId xmlns:a16="http://schemas.microsoft.com/office/drawing/2014/main" xmlns="" id="{00000000-0008-0000-0000-00004A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635" name="Text Box 3099">
          <a:extLst>
            <a:ext uri="{FF2B5EF4-FFF2-40B4-BE49-F238E27FC236}">
              <a16:creationId xmlns:a16="http://schemas.microsoft.com/office/drawing/2014/main" xmlns="" id="{00000000-0008-0000-0000-00004B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636" name="Text Box 3100">
          <a:extLst>
            <a:ext uri="{FF2B5EF4-FFF2-40B4-BE49-F238E27FC236}">
              <a16:creationId xmlns:a16="http://schemas.microsoft.com/office/drawing/2014/main" xmlns="" id="{00000000-0008-0000-0000-00004C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637" name="Text Box 3101">
          <a:extLst>
            <a:ext uri="{FF2B5EF4-FFF2-40B4-BE49-F238E27FC236}">
              <a16:creationId xmlns:a16="http://schemas.microsoft.com/office/drawing/2014/main" xmlns="" id="{00000000-0008-0000-0000-00004D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2638" name="Text Box 3102">
          <a:extLst>
            <a:ext uri="{FF2B5EF4-FFF2-40B4-BE49-F238E27FC236}">
              <a16:creationId xmlns:a16="http://schemas.microsoft.com/office/drawing/2014/main" xmlns="" id="{00000000-0008-0000-0000-00004E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639" name="Text Box 59">
          <a:extLst>
            <a:ext uri="{FF2B5EF4-FFF2-40B4-BE49-F238E27FC236}">
              <a16:creationId xmlns:a16="http://schemas.microsoft.com/office/drawing/2014/main" xmlns="" id="{00000000-0008-0000-0000-00004F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640" name="Text Box 60">
          <a:extLst>
            <a:ext uri="{FF2B5EF4-FFF2-40B4-BE49-F238E27FC236}">
              <a16:creationId xmlns:a16="http://schemas.microsoft.com/office/drawing/2014/main" xmlns="" id="{00000000-0008-0000-0000-000050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641" name="Text Box 61">
          <a:extLst>
            <a:ext uri="{FF2B5EF4-FFF2-40B4-BE49-F238E27FC236}">
              <a16:creationId xmlns:a16="http://schemas.microsoft.com/office/drawing/2014/main" xmlns="" id="{00000000-0008-0000-0000-000051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642" name="Text Box 62">
          <a:extLst>
            <a:ext uri="{FF2B5EF4-FFF2-40B4-BE49-F238E27FC236}">
              <a16:creationId xmlns:a16="http://schemas.microsoft.com/office/drawing/2014/main" xmlns="" id="{00000000-0008-0000-0000-000052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643" name="Text Box 63">
          <a:extLst>
            <a:ext uri="{FF2B5EF4-FFF2-40B4-BE49-F238E27FC236}">
              <a16:creationId xmlns:a16="http://schemas.microsoft.com/office/drawing/2014/main" xmlns="" id="{00000000-0008-0000-0000-000053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644" name="Text Box 64">
          <a:extLst>
            <a:ext uri="{FF2B5EF4-FFF2-40B4-BE49-F238E27FC236}">
              <a16:creationId xmlns:a16="http://schemas.microsoft.com/office/drawing/2014/main" xmlns="" id="{00000000-0008-0000-0000-000054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645" name="Text Box 65">
          <a:extLst>
            <a:ext uri="{FF2B5EF4-FFF2-40B4-BE49-F238E27FC236}">
              <a16:creationId xmlns:a16="http://schemas.microsoft.com/office/drawing/2014/main" xmlns="" id="{00000000-0008-0000-0000-000055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646" name="Text Box 66">
          <a:extLst>
            <a:ext uri="{FF2B5EF4-FFF2-40B4-BE49-F238E27FC236}">
              <a16:creationId xmlns:a16="http://schemas.microsoft.com/office/drawing/2014/main" xmlns="" id="{00000000-0008-0000-0000-000056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647" name="Text Box 67">
          <a:extLst>
            <a:ext uri="{FF2B5EF4-FFF2-40B4-BE49-F238E27FC236}">
              <a16:creationId xmlns:a16="http://schemas.microsoft.com/office/drawing/2014/main" xmlns="" id="{00000000-0008-0000-0000-000057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648" name="Text Box 68">
          <a:extLst>
            <a:ext uri="{FF2B5EF4-FFF2-40B4-BE49-F238E27FC236}">
              <a16:creationId xmlns:a16="http://schemas.microsoft.com/office/drawing/2014/main" xmlns="" id="{00000000-0008-0000-0000-000058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649" name="Text Box 69">
          <a:extLst>
            <a:ext uri="{FF2B5EF4-FFF2-40B4-BE49-F238E27FC236}">
              <a16:creationId xmlns:a16="http://schemas.microsoft.com/office/drawing/2014/main" xmlns="" id="{00000000-0008-0000-0000-000059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650" name="Text Box 70">
          <a:extLst>
            <a:ext uri="{FF2B5EF4-FFF2-40B4-BE49-F238E27FC236}">
              <a16:creationId xmlns:a16="http://schemas.microsoft.com/office/drawing/2014/main" xmlns="" id="{00000000-0008-0000-0000-00005A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651" name="Text Box 71">
          <a:extLst>
            <a:ext uri="{FF2B5EF4-FFF2-40B4-BE49-F238E27FC236}">
              <a16:creationId xmlns:a16="http://schemas.microsoft.com/office/drawing/2014/main" xmlns="" id="{00000000-0008-0000-0000-00005B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652" name="Text Box 72">
          <a:extLst>
            <a:ext uri="{FF2B5EF4-FFF2-40B4-BE49-F238E27FC236}">
              <a16:creationId xmlns:a16="http://schemas.microsoft.com/office/drawing/2014/main" xmlns="" id="{00000000-0008-0000-0000-00005C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653" name="Text Box 73">
          <a:extLst>
            <a:ext uri="{FF2B5EF4-FFF2-40B4-BE49-F238E27FC236}">
              <a16:creationId xmlns:a16="http://schemas.microsoft.com/office/drawing/2014/main" xmlns="" id="{00000000-0008-0000-0000-00005D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654" name="Text Box 74">
          <a:extLst>
            <a:ext uri="{FF2B5EF4-FFF2-40B4-BE49-F238E27FC236}">
              <a16:creationId xmlns:a16="http://schemas.microsoft.com/office/drawing/2014/main" xmlns="" id="{00000000-0008-0000-0000-00005E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655" name="Text Box 75">
          <a:extLst>
            <a:ext uri="{FF2B5EF4-FFF2-40B4-BE49-F238E27FC236}">
              <a16:creationId xmlns:a16="http://schemas.microsoft.com/office/drawing/2014/main" xmlns="" id="{00000000-0008-0000-0000-00005F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656" name="Text Box 76">
          <a:extLst>
            <a:ext uri="{FF2B5EF4-FFF2-40B4-BE49-F238E27FC236}">
              <a16:creationId xmlns:a16="http://schemas.microsoft.com/office/drawing/2014/main" xmlns="" id="{00000000-0008-0000-0000-000060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657" name="Text Box 77">
          <a:extLst>
            <a:ext uri="{FF2B5EF4-FFF2-40B4-BE49-F238E27FC236}">
              <a16:creationId xmlns:a16="http://schemas.microsoft.com/office/drawing/2014/main" xmlns="" id="{00000000-0008-0000-0000-000061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658" name="Text Box 78">
          <a:extLst>
            <a:ext uri="{FF2B5EF4-FFF2-40B4-BE49-F238E27FC236}">
              <a16:creationId xmlns:a16="http://schemas.microsoft.com/office/drawing/2014/main" xmlns="" id="{00000000-0008-0000-0000-000062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659" name="Text Box 79">
          <a:extLst>
            <a:ext uri="{FF2B5EF4-FFF2-40B4-BE49-F238E27FC236}">
              <a16:creationId xmlns:a16="http://schemas.microsoft.com/office/drawing/2014/main" xmlns="" id="{00000000-0008-0000-0000-000063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660" name="Text Box 80">
          <a:extLst>
            <a:ext uri="{FF2B5EF4-FFF2-40B4-BE49-F238E27FC236}">
              <a16:creationId xmlns:a16="http://schemas.microsoft.com/office/drawing/2014/main" xmlns="" id="{00000000-0008-0000-0000-000064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661" name="Text Box 81">
          <a:extLst>
            <a:ext uri="{FF2B5EF4-FFF2-40B4-BE49-F238E27FC236}">
              <a16:creationId xmlns:a16="http://schemas.microsoft.com/office/drawing/2014/main" xmlns="" id="{00000000-0008-0000-0000-000065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662" name="Text Box 3079">
          <a:extLst>
            <a:ext uri="{FF2B5EF4-FFF2-40B4-BE49-F238E27FC236}">
              <a16:creationId xmlns:a16="http://schemas.microsoft.com/office/drawing/2014/main" xmlns="" id="{00000000-0008-0000-0000-000066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663" name="Text Box 3080">
          <a:extLst>
            <a:ext uri="{FF2B5EF4-FFF2-40B4-BE49-F238E27FC236}">
              <a16:creationId xmlns:a16="http://schemas.microsoft.com/office/drawing/2014/main" xmlns="" id="{00000000-0008-0000-0000-000067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664" name="Text Box 3081">
          <a:extLst>
            <a:ext uri="{FF2B5EF4-FFF2-40B4-BE49-F238E27FC236}">
              <a16:creationId xmlns:a16="http://schemas.microsoft.com/office/drawing/2014/main" xmlns="" id="{00000000-0008-0000-0000-000068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665" name="Text Box 3082">
          <a:extLst>
            <a:ext uri="{FF2B5EF4-FFF2-40B4-BE49-F238E27FC236}">
              <a16:creationId xmlns:a16="http://schemas.microsoft.com/office/drawing/2014/main" xmlns="" id="{00000000-0008-0000-0000-000069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666" name="Text Box 3083">
          <a:extLst>
            <a:ext uri="{FF2B5EF4-FFF2-40B4-BE49-F238E27FC236}">
              <a16:creationId xmlns:a16="http://schemas.microsoft.com/office/drawing/2014/main" xmlns="" id="{00000000-0008-0000-0000-00006A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667" name="Text Box 3084">
          <a:extLst>
            <a:ext uri="{FF2B5EF4-FFF2-40B4-BE49-F238E27FC236}">
              <a16:creationId xmlns:a16="http://schemas.microsoft.com/office/drawing/2014/main" xmlns="" id="{00000000-0008-0000-0000-00006B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668" name="Text Box 3085">
          <a:extLst>
            <a:ext uri="{FF2B5EF4-FFF2-40B4-BE49-F238E27FC236}">
              <a16:creationId xmlns:a16="http://schemas.microsoft.com/office/drawing/2014/main" xmlns="" id="{00000000-0008-0000-0000-00006C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669" name="Text Box 3086">
          <a:extLst>
            <a:ext uri="{FF2B5EF4-FFF2-40B4-BE49-F238E27FC236}">
              <a16:creationId xmlns:a16="http://schemas.microsoft.com/office/drawing/2014/main" xmlns="" id="{00000000-0008-0000-0000-00006D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670" name="Text Box 3087">
          <a:extLst>
            <a:ext uri="{FF2B5EF4-FFF2-40B4-BE49-F238E27FC236}">
              <a16:creationId xmlns:a16="http://schemas.microsoft.com/office/drawing/2014/main" xmlns="" id="{00000000-0008-0000-0000-00006E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671" name="Text Box 3088">
          <a:extLst>
            <a:ext uri="{FF2B5EF4-FFF2-40B4-BE49-F238E27FC236}">
              <a16:creationId xmlns:a16="http://schemas.microsoft.com/office/drawing/2014/main" xmlns="" id="{00000000-0008-0000-0000-00006F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672" name="Text Box 3089">
          <a:extLst>
            <a:ext uri="{FF2B5EF4-FFF2-40B4-BE49-F238E27FC236}">
              <a16:creationId xmlns:a16="http://schemas.microsoft.com/office/drawing/2014/main" xmlns="" id="{00000000-0008-0000-0000-000070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673" name="Text Box 3090">
          <a:extLst>
            <a:ext uri="{FF2B5EF4-FFF2-40B4-BE49-F238E27FC236}">
              <a16:creationId xmlns:a16="http://schemas.microsoft.com/office/drawing/2014/main" xmlns="" id="{00000000-0008-0000-0000-000071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674" name="Text Box 3091">
          <a:extLst>
            <a:ext uri="{FF2B5EF4-FFF2-40B4-BE49-F238E27FC236}">
              <a16:creationId xmlns:a16="http://schemas.microsoft.com/office/drawing/2014/main" xmlns="" id="{00000000-0008-0000-0000-000072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675" name="Text Box 3092">
          <a:extLst>
            <a:ext uri="{FF2B5EF4-FFF2-40B4-BE49-F238E27FC236}">
              <a16:creationId xmlns:a16="http://schemas.microsoft.com/office/drawing/2014/main" xmlns="" id="{00000000-0008-0000-0000-000073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676" name="Text Box 3093">
          <a:extLst>
            <a:ext uri="{FF2B5EF4-FFF2-40B4-BE49-F238E27FC236}">
              <a16:creationId xmlns:a16="http://schemas.microsoft.com/office/drawing/2014/main" xmlns="" id="{00000000-0008-0000-0000-000074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677" name="Text Box 3094">
          <a:extLst>
            <a:ext uri="{FF2B5EF4-FFF2-40B4-BE49-F238E27FC236}">
              <a16:creationId xmlns:a16="http://schemas.microsoft.com/office/drawing/2014/main" xmlns="" id="{00000000-0008-0000-0000-000075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678" name="Text Box 3095">
          <a:extLst>
            <a:ext uri="{FF2B5EF4-FFF2-40B4-BE49-F238E27FC236}">
              <a16:creationId xmlns:a16="http://schemas.microsoft.com/office/drawing/2014/main" xmlns="" id="{00000000-0008-0000-0000-000076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679" name="Text Box 3096">
          <a:extLst>
            <a:ext uri="{FF2B5EF4-FFF2-40B4-BE49-F238E27FC236}">
              <a16:creationId xmlns:a16="http://schemas.microsoft.com/office/drawing/2014/main" xmlns="" id="{00000000-0008-0000-0000-000077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680" name="Text Box 3097">
          <a:extLst>
            <a:ext uri="{FF2B5EF4-FFF2-40B4-BE49-F238E27FC236}">
              <a16:creationId xmlns:a16="http://schemas.microsoft.com/office/drawing/2014/main" xmlns="" id="{00000000-0008-0000-0000-000078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681" name="Text Box 3098">
          <a:extLst>
            <a:ext uri="{FF2B5EF4-FFF2-40B4-BE49-F238E27FC236}">
              <a16:creationId xmlns:a16="http://schemas.microsoft.com/office/drawing/2014/main" xmlns="" id="{00000000-0008-0000-0000-000079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682" name="Text Box 3099">
          <a:extLst>
            <a:ext uri="{FF2B5EF4-FFF2-40B4-BE49-F238E27FC236}">
              <a16:creationId xmlns:a16="http://schemas.microsoft.com/office/drawing/2014/main" xmlns="" id="{00000000-0008-0000-0000-00007A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683" name="Text Box 3100">
          <a:extLst>
            <a:ext uri="{FF2B5EF4-FFF2-40B4-BE49-F238E27FC236}">
              <a16:creationId xmlns:a16="http://schemas.microsoft.com/office/drawing/2014/main" xmlns="" id="{00000000-0008-0000-0000-00007B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684" name="Text Box 3101">
          <a:extLst>
            <a:ext uri="{FF2B5EF4-FFF2-40B4-BE49-F238E27FC236}">
              <a16:creationId xmlns:a16="http://schemas.microsoft.com/office/drawing/2014/main" xmlns="" id="{00000000-0008-0000-0000-00007C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2685" name="Text Box 3102">
          <a:extLst>
            <a:ext uri="{FF2B5EF4-FFF2-40B4-BE49-F238E27FC236}">
              <a16:creationId xmlns:a16="http://schemas.microsoft.com/office/drawing/2014/main" xmlns="" id="{00000000-0008-0000-0000-00007D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686" name="Text Box 59">
          <a:extLst>
            <a:ext uri="{FF2B5EF4-FFF2-40B4-BE49-F238E27FC236}">
              <a16:creationId xmlns:a16="http://schemas.microsoft.com/office/drawing/2014/main" xmlns="" id="{00000000-0008-0000-0000-00007E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687" name="Text Box 60">
          <a:extLst>
            <a:ext uri="{FF2B5EF4-FFF2-40B4-BE49-F238E27FC236}">
              <a16:creationId xmlns:a16="http://schemas.microsoft.com/office/drawing/2014/main" xmlns="" id="{00000000-0008-0000-0000-00007F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688" name="Text Box 61">
          <a:extLst>
            <a:ext uri="{FF2B5EF4-FFF2-40B4-BE49-F238E27FC236}">
              <a16:creationId xmlns:a16="http://schemas.microsoft.com/office/drawing/2014/main" xmlns="" id="{00000000-0008-0000-0000-000080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689" name="Text Box 62">
          <a:extLst>
            <a:ext uri="{FF2B5EF4-FFF2-40B4-BE49-F238E27FC236}">
              <a16:creationId xmlns:a16="http://schemas.microsoft.com/office/drawing/2014/main" xmlns="" id="{00000000-0008-0000-0000-000081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690" name="Text Box 63">
          <a:extLst>
            <a:ext uri="{FF2B5EF4-FFF2-40B4-BE49-F238E27FC236}">
              <a16:creationId xmlns:a16="http://schemas.microsoft.com/office/drawing/2014/main" xmlns="" id="{00000000-0008-0000-0000-000082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691" name="Text Box 64">
          <a:extLst>
            <a:ext uri="{FF2B5EF4-FFF2-40B4-BE49-F238E27FC236}">
              <a16:creationId xmlns:a16="http://schemas.microsoft.com/office/drawing/2014/main" xmlns="" id="{00000000-0008-0000-0000-000083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692" name="Text Box 65">
          <a:extLst>
            <a:ext uri="{FF2B5EF4-FFF2-40B4-BE49-F238E27FC236}">
              <a16:creationId xmlns:a16="http://schemas.microsoft.com/office/drawing/2014/main" xmlns="" id="{00000000-0008-0000-0000-000084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693" name="Text Box 66">
          <a:extLst>
            <a:ext uri="{FF2B5EF4-FFF2-40B4-BE49-F238E27FC236}">
              <a16:creationId xmlns:a16="http://schemas.microsoft.com/office/drawing/2014/main" xmlns="" id="{00000000-0008-0000-0000-000085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694" name="Text Box 67">
          <a:extLst>
            <a:ext uri="{FF2B5EF4-FFF2-40B4-BE49-F238E27FC236}">
              <a16:creationId xmlns:a16="http://schemas.microsoft.com/office/drawing/2014/main" xmlns="" id="{00000000-0008-0000-0000-000086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695" name="Text Box 68">
          <a:extLst>
            <a:ext uri="{FF2B5EF4-FFF2-40B4-BE49-F238E27FC236}">
              <a16:creationId xmlns:a16="http://schemas.microsoft.com/office/drawing/2014/main" xmlns="" id="{00000000-0008-0000-0000-000087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696" name="Text Box 69">
          <a:extLst>
            <a:ext uri="{FF2B5EF4-FFF2-40B4-BE49-F238E27FC236}">
              <a16:creationId xmlns:a16="http://schemas.microsoft.com/office/drawing/2014/main" xmlns="" id="{00000000-0008-0000-0000-000088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697" name="Text Box 70">
          <a:extLst>
            <a:ext uri="{FF2B5EF4-FFF2-40B4-BE49-F238E27FC236}">
              <a16:creationId xmlns:a16="http://schemas.microsoft.com/office/drawing/2014/main" xmlns="" id="{00000000-0008-0000-0000-000089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698" name="Text Box 71">
          <a:extLst>
            <a:ext uri="{FF2B5EF4-FFF2-40B4-BE49-F238E27FC236}">
              <a16:creationId xmlns:a16="http://schemas.microsoft.com/office/drawing/2014/main" xmlns="" id="{00000000-0008-0000-0000-00008A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699" name="Text Box 72">
          <a:extLst>
            <a:ext uri="{FF2B5EF4-FFF2-40B4-BE49-F238E27FC236}">
              <a16:creationId xmlns:a16="http://schemas.microsoft.com/office/drawing/2014/main" xmlns="" id="{00000000-0008-0000-0000-00008B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700" name="Text Box 73">
          <a:extLst>
            <a:ext uri="{FF2B5EF4-FFF2-40B4-BE49-F238E27FC236}">
              <a16:creationId xmlns:a16="http://schemas.microsoft.com/office/drawing/2014/main" xmlns="" id="{00000000-0008-0000-0000-00008C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701" name="Text Box 74">
          <a:extLst>
            <a:ext uri="{FF2B5EF4-FFF2-40B4-BE49-F238E27FC236}">
              <a16:creationId xmlns:a16="http://schemas.microsoft.com/office/drawing/2014/main" xmlns="" id="{00000000-0008-0000-0000-00008D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702" name="Text Box 75">
          <a:extLst>
            <a:ext uri="{FF2B5EF4-FFF2-40B4-BE49-F238E27FC236}">
              <a16:creationId xmlns:a16="http://schemas.microsoft.com/office/drawing/2014/main" xmlns="" id="{00000000-0008-0000-0000-00008E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703" name="Text Box 76">
          <a:extLst>
            <a:ext uri="{FF2B5EF4-FFF2-40B4-BE49-F238E27FC236}">
              <a16:creationId xmlns:a16="http://schemas.microsoft.com/office/drawing/2014/main" xmlns="" id="{00000000-0008-0000-0000-00008F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704" name="Text Box 77">
          <a:extLst>
            <a:ext uri="{FF2B5EF4-FFF2-40B4-BE49-F238E27FC236}">
              <a16:creationId xmlns:a16="http://schemas.microsoft.com/office/drawing/2014/main" xmlns="" id="{00000000-0008-0000-0000-000090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705" name="Text Box 78">
          <a:extLst>
            <a:ext uri="{FF2B5EF4-FFF2-40B4-BE49-F238E27FC236}">
              <a16:creationId xmlns:a16="http://schemas.microsoft.com/office/drawing/2014/main" xmlns="" id="{00000000-0008-0000-0000-000091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706" name="Text Box 79">
          <a:extLst>
            <a:ext uri="{FF2B5EF4-FFF2-40B4-BE49-F238E27FC236}">
              <a16:creationId xmlns:a16="http://schemas.microsoft.com/office/drawing/2014/main" xmlns="" id="{00000000-0008-0000-0000-000092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707" name="Text Box 80">
          <a:extLst>
            <a:ext uri="{FF2B5EF4-FFF2-40B4-BE49-F238E27FC236}">
              <a16:creationId xmlns:a16="http://schemas.microsoft.com/office/drawing/2014/main" xmlns="" id="{00000000-0008-0000-0000-000093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708" name="Text Box 81">
          <a:extLst>
            <a:ext uri="{FF2B5EF4-FFF2-40B4-BE49-F238E27FC236}">
              <a16:creationId xmlns:a16="http://schemas.microsoft.com/office/drawing/2014/main" xmlns="" id="{00000000-0008-0000-0000-000094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47625"/>
    <xdr:sp macro="" textlink="">
      <xdr:nvSpPr>
        <xdr:cNvPr id="2709" name="Text Box 82">
          <a:extLst>
            <a:ext uri="{FF2B5EF4-FFF2-40B4-BE49-F238E27FC236}">
              <a16:creationId xmlns:a16="http://schemas.microsoft.com/office/drawing/2014/main" xmlns="" id="{00000000-0008-0000-0000-000095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710" name="Text Box 3079">
          <a:extLst>
            <a:ext uri="{FF2B5EF4-FFF2-40B4-BE49-F238E27FC236}">
              <a16:creationId xmlns:a16="http://schemas.microsoft.com/office/drawing/2014/main" xmlns="" id="{00000000-0008-0000-0000-000096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711" name="Text Box 3080">
          <a:extLst>
            <a:ext uri="{FF2B5EF4-FFF2-40B4-BE49-F238E27FC236}">
              <a16:creationId xmlns:a16="http://schemas.microsoft.com/office/drawing/2014/main" xmlns="" id="{00000000-0008-0000-0000-000097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712" name="Text Box 3081">
          <a:extLst>
            <a:ext uri="{FF2B5EF4-FFF2-40B4-BE49-F238E27FC236}">
              <a16:creationId xmlns:a16="http://schemas.microsoft.com/office/drawing/2014/main" xmlns="" id="{00000000-0008-0000-0000-000098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713" name="Text Box 3082">
          <a:extLst>
            <a:ext uri="{FF2B5EF4-FFF2-40B4-BE49-F238E27FC236}">
              <a16:creationId xmlns:a16="http://schemas.microsoft.com/office/drawing/2014/main" xmlns="" id="{00000000-0008-0000-0000-000099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714" name="Text Box 3083">
          <a:extLst>
            <a:ext uri="{FF2B5EF4-FFF2-40B4-BE49-F238E27FC236}">
              <a16:creationId xmlns:a16="http://schemas.microsoft.com/office/drawing/2014/main" xmlns="" id="{00000000-0008-0000-0000-00009A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715" name="Text Box 3084">
          <a:extLst>
            <a:ext uri="{FF2B5EF4-FFF2-40B4-BE49-F238E27FC236}">
              <a16:creationId xmlns:a16="http://schemas.microsoft.com/office/drawing/2014/main" xmlns="" id="{00000000-0008-0000-0000-00009B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716" name="Text Box 3085">
          <a:extLst>
            <a:ext uri="{FF2B5EF4-FFF2-40B4-BE49-F238E27FC236}">
              <a16:creationId xmlns:a16="http://schemas.microsoft.com/office/drawing/2014/main" xmlns="" id="{00000000-0008-0000-0000-00009C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717" name="Text Box 3086">
          <a:extLst>
            <a:ext uri="{FF2B5EF4-FFF2-40B4-BE49-F238E27FC236}">
              <a16:creationId xmlns:a16="http://schemas.microsoft.com/office/drawing/2014/main" xmlns="" id="{00000000-0008-0000-0000-00009D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718" name="Text Box 3087">
          <a:extLst>
            <a:ext uri="{FF2B5EF4-FFF2-40B4-BE49-F238E27FC236}">
              <a16:creationId xmlns:a16="http://schemas.microsoft.com/office/drawing/2014/main" xmlns="" id="{00000000-0008-0000-0000-00009E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719" name="Text Box 3088">
          <a:extLst>
            <a:ext uri="{FF2B5EF4-FFF2-40B4-BE49-F238E27FC236}">
              <a16:creationId xmlns:a16="http://schemas.microsoft.com/office/drawing/2014/main" xmlns="" id="{00000000-0008-0000-0000-00009F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720" name="Text Box 3089">
          <a:extLst>
            <a:ext uri="{FF2B5EF4-FFF2-40B4-BE49-F238E27FC236}">
              <a16:creationId xmlns:a16="http://schemas.microsoft.com/office/drawing/2014/main" xmlns="" id="{00000000-0008-0000-0000-0000A0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721" name="Text Box 3090">
          <a:extLst>
            <a:ext uri="{FF2B5EF4-FFF2-40B4-BE49-F238E27FC236}">
              <a16:creationId xmlns:a16="http://schemas.microsoft.com/office/drawing/2014/main" xmlns="" id="{00000000-0008-0000-0000-0000A1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722" name="Text Box 3091">
          <a:extLst>
            <a:ext uri="{FF2B5EF4-FFF2-40B4-BE49-F238E27FC236}">
              <a16:creationId xmlns:a16="http://schemas.microsoft.com/office/drawing/2014/main" xmlns="" id="{00000000-0008-0000-0000-0000A2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723" name="Text Box 3092">
          <a:extLst>
            <a:ext uri="{FF2B5EF4-FFF2-40B4-BE49-F238E27FC236}">
              <a16:creationId xmlns:a16="http://schemas.microsoft.com/office/drawing/2014/main" xmlns="" id="{00000000-0008-0000-0000-0000A3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724" name="Text Box 3093">
          <a:extLst>
            <a:ext uri="{FF2B5EF4-FFF2-40B4-BE49-F238E27FC236}">
              <a16:creationId xmlns:a16="http://schemas.microsoft.com/office/drawing/2014/main" xmlns="" id="{00000000-0008-0000-0000-0000A4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725" name="Text Box 3094">
          <a:extLst>
            <a:ext uri="{FF2B5EF4-FFF2-40B4-BE49-F238E27FC236}">
              <a16:creationId xmlns:a16="http://schemas.microsoft.com/office/drawing/2014/main" xmlns="" id="{00000000-0008-0000-0000-0000A5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726" name="Text Box 3095">
          <a:extLst>
            <a:ext uri="{FF2B5EF4-FFF2-40B4-BE49-F238E27FC236}">
              <a16:creationId xmlns:a16="http://schemas.microsoft.com/office/drawing/2014/main" xmlns="" id="{00000000-0008-0000-0000-0000A6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727" name="Text Box 3096">
          <a:extLst>
            <a:ext uri="{FF2B5EF4-FFF2-40B4-BE49-F238E27FC236}">
              <a16:creationId xmlns:a16="http://schemas.microsoft.com/office/drawing/2014/main" xmlns="" id="{00000000-0008-0000-0000-0000A7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728" name="Text Box 3097">
          <a:extLst>
            <a:ext uri="{FF2B5EF4-FFF2-40B4-BE49-F238E27FC236}">
              <a16:creationId xmlns:a16="http://schemas.microsoft.com/office/drawing/2014/main" xmlns="" id="{00000000-0008-0000-0000-0000A8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729" name="Text Box 3098">
          <a:extLst>
            <a:ext uri="{FF2B5EF4-FFF2-40B4-BE49-F238E27FC236}">
              <a16:creationId xmlns:a16="http://schemas.microsoft.com/office/drawing/2014/main" xmlns="" id="{00000000-0008-0000-0000-0000A9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730" name="Text Box 3099">
          <a:extLst>
            <a:ext uri="{FF2B5EF4-FFF2-40B4-BE49-F238E27FC236}">
              <a16:creationId xmlns:a16="http://schemas.microsoft.com/office/drawing/2014/main" xmlns="" id="{00000000-0008-0000-0000-0000AA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731" name="Text Box 3100">
          <a:extLst>
            <a:ext uri="{FF2B5EF4-FFF2-40B4-BE49-F238E27FC236}">
              <a16:creationId xmlns:a16="http://schemas.microsoft.com/office/drawing/2014/main" xmlns="" id="{00000000-0008-0000-0000-0000AB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732" name="Text Box 3101">
          <a:extLst>
            <a:ext uri="{FF2B5EF4-FFF2-40B4-BE49-F238E27FC236}">
              <a16:creationId xmlns:a16="http://schemas.microsoft.com/office/drawing/2014/main" xmlns="" id="{00000000-0008-0000-0000-0000AC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2733" name="Text Box 3102">
          <a:extLst>
            <a:ext uri="{FF2B5EF4-FFF2-40B4-BE49-F238E27FC236}">
              <a16:creationId xmlns:a16="http://schemas.microsoft.com/office/drawing/2014/main" xmlns="" id="{00000000-0008-0000-0000-0000AD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734" name="Text Box 59">
          <a:extLst>
            <a:ext uri="{FF2B5EF4-FFF2-40B4-BE49-F238E27FC236}">
              <a16:creationId xmlns:a16="http://schemas.microsoft.com/office/drawing/2014/main" xmlns="" id="{00000000-0008-0000-0000-0000AE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735" name="Text Box 60">
          <a:extLst>
            <a:ext uri="{FF2B5EF4-FFF2-40B4-BE49-F238E27FC236}">
              <a16:creationId xmlns:a16="http://schemas.microsoft.com/office/drawing/2014/main" xmlns="" id="{00000000-0008-0000-0000-0000AF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736" name="Text Box 61">
          <a:extLst>
            <a:ext uri="{FF2B5EF4-FFF2-40B4-BE49-F238E27FC236}">
              <a16:creationId xmlns:a16="http://schemas.microsoft.com/office/drawing/2014/main" xmlns="" id="{00000000-0008-0000-0000-0000B0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737" name="Text Box 62">
          <a:extLst>
            <a:ext uri="{FF2B5EF4-FFF2-40B4-BE49-F238E27FC236}">
              <a16:creationId xmlns:a16="http://schemas.microsoft.com/office/drawing/2014/main" xmlns="" id="{00000000-0008-0000-0000-0000B1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738" name="Text Box 63">
          <a:extLst>
            <a:ext uri="{FF2B5EF4-FFF2-40B4-BE49-F238E27FC236}">
              <a16:creationId xmlns:a16="http://schemas.microsoft.com/office/drawing/2014/main" xmlns="" id="{00000000-0008-0000-0000-0000B2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739" name="Text Box 64">
          <a:extLst>
            <a:ext uri="{FF2B5EF4-FFF2-40B4-BE49-F238E27FC236}">
              <a16:creationId xmlns:a16="http://schemas.microsoft.com/office/drawing/2014/main" xmlns="" id="{00000000-0008-0000-0000-0000B3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740" name="Text Box 65">
          <a:extLst>
            <a:ext uri="{FF2B5EF4-FFF2-40B4-BE49-F238E27FC236}">
              <a16:creationId xmlns:a16="http://schemas.microsoft.com/office/drawing/2014/main" xmlns="" id="{00000000-0008-0000-0000-0000B4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741" name="Text Box 66">
          <a:extLst>
            <a:ext uri="{FF2B5EF4-FFF2-40B4-BE49-F238E27FC236}">
              <a16:creationId xmlns:a16="http://schemas.microsoft.com/office/drawing/2014/main" xmlns="" id="{00000000-0008-0000-0000-0000B5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742" name="Text Box 67">
          <a:extLst>
            <a:ext uri="{FF2B5EF4-FFF2-40B4-BE49-F238E27FC236}">
              <a16:creationId xmlns:a16="http://schemas.microsoft.com/office/drawing/2014/main" xmlns="" id="{00000000-0008-0000-0000-0000B6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743" name="Text Box 68">
          <a:extLst>
            <a:ext uri="{FF2B5EF4-FFF2-40B4-BE49-F238E27FC236}">
              <a16:creationId xmlns:a16="http://schemas.microsoft.com/office/drawing/2014/main" xmlns="" id="{00000000-0008-0000-0000-0000B7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744" name="Text Box 69">
          <a:extLst>
            <a:ext uri="{FF2B5EF4-FFF2-40B4-BE49-F238E27FC236}">
              <a16:creationId xmlns:a16="http://schemas.microsoft.com/office/drawing/2014/main" xmlns="" id="{00000000-0008-0000-0000-0000B8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745" name="Text Box 70">
          <a:extLst>
            <a:ext uri="{FF2B5EF4-FFF2-40B4-BE49-F238E27FC236}">
              <a16:creationId xmlns:a16="http://schemas.microsoft.com/office/drawing/2014/main" xmlns="" id="{00000000-0008-0000-0000-0000B9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746" name="Text Box 71">
          <a:extLst>
            <a:ext uri="{FF2B5EF4-FFF2-40B4-BE49-F238E27FC236}">
              <a16:creationId xmlns:a16="http://schemas.microsoft.com/office/drawing/2014/main" xmlns="" id="{00000000-0008-0000-0000-0000BA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747" name="Text Box 72">
          <a:extLst>
            <a:ext uri="{FF2B5EF4-FFF2-40B4-BE49-F238E27FC236}">
              <a16:creationId xmlns:a16="http://schemas.microsoft.com/office/drawing/2014/main" xmlns="" id="{00000000-0008-0000-0000-0000BB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748" name="Text Box 73">
          <a:extLst>
            <a:ext uri="{FF2B5EF4-FFF2-40B4-BE49-F238E27FC236}">
              <a16:creationId xmlns:a16="http://schemas.microsoft.com/office/drawing/2014/main" xmlns="" id="{00000000-0008-0000-0000-0000BC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749" name="Text Box 74">
          <a:extLst>
            <a:ext uri="{FF2B5EF4-FFF2-40B4-BE49-F238E27FC236}">
              <a16:creationId xmlns:a16="http://schemas.microsoft.com/office/drawing/2014/main" xmlns="" id="{00000000-0008-0000-0000-0000BD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750" name="Text Box 75">
          <a:extLst>
            <a:ext uri="{FF2B5EF4-FFF2-40B4-BE49-F238E27FC236}">
              <a16:creationId xmlns:a16="http://schemas.microsoft.com/office/drawing/2014/main" xmlns="" id="{00000000-0008-0000-0000-0000BE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751" name="Text Box 76">
          <a:extLst>
            <a:ext uri="{FF2B5EF4-FFF2-40B4-BE49-F238E27FC236}">
              <a16:creationId xmlns:a16="http://schemas.microsoft.com/office/drawing/2014/main" xmlns="" id="{00000000-0008-0000-0000-0000BF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752" name="Text Box 77">
          <a:extLst>
            <a:ext uri="{FF2B5EF4-FFF2-40B4-BE49-F238E27FC236}">
              <a16:creationId xmlns:a16="http://schemas.microsoft.com/office/drawing/2014/main" xmlns="" id="{00000000-0008-0000-0000-0000C0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753" name="Text Box 78">
          <a:extLst>
            <a:ext uri="{FF2B5EF4-FFF2-40B4-BE49-F238E27FC236}">
              <a16:creationId xmlns:a16="http://schemas.microsoft.com/office/drawing/2014/main" xmlns="" id="{00000000-0008-0000-0000-0000C1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754" name="Text Box 79">
          <a:extLst>
            <a:ext uri="{FF2B5EF4-FFF2-40B4-BE49-F238E27FC236}">
              <a16:creationId xmlns:a16="http://schemas.microsoft.com/office/drawing/2014/main" xmlns="" id="{00000000-0008-0000-0000-0000C2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755" name="Text Box 80">
          <a:extLst>
            <a:ext uri="{FF2B5EF4-FFF2-40B4-BE49-F238E27FC236}">
              <a16:creationId xmlns:a16="http://schemas.microsoft.com/office/drawing/2014/main" xmlns="" id="{00000000-0008-0000-0000-0000C3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756" name="Text Box 81">
          <a:extLst>
            <a:ext uri="{FF2B5EF4-FFF2-40B4-BE49-F238E27FC236}">
              <a16:creationId xmlns:a16="http://schemas.microsoft.com/office/drawing/2014/main" xmlns="" id="{00000000-0008-0000-0000-0000C4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757" name="Text Box 3079">
          <a:extLst>
            <a:ext uri="{FF2B5EF4-FFF2-40B4-BE49-F238E27FC236}">
              <a16:creationId xmlns:a16="http://schemas.microsoft.com/office/drawing/2014/main" xmlns="" id="{00000000-0008-0000-0000-0000C5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758" name="Text Box 3080">
          <a:extLst>
            <a:ext uri="{FF2B5EF4-FFF2-40B4-BE49-F238E27FC236}">
              <a16:creationId xmlns:a16="http://schemas.microsoft.com/office/drawing/2014/main" xmlns="" id="{00000000-0008-0000-0000-0000C6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759" name="Text Box 3081">
          <a:extLst>
            <a:ext uri="{FF2B5EF4-FFF2-40B4-BE49-F238E27FC236}">
              <a16:creationId xmlns:a16="http://schemas.microsoft.com/office/drawing/2014/main" xmlns="" id="{00000000-0008-0000-0000-0000C7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760" name="Text Box 3082">
          <a:extLst>
            <a:ext uri="{FF2B5EF4-FFF2-40B4-BE49-F238E27FC236}">
              <a16:creationId xmlns:a16="http://schemas.microsoft.com/office/drawing/2014/main" xmlns="" id="{00000000-0008-0000-0000-0000C8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761" name="Text Box 3083">
          <a:extLst>
            <a:ext uri="{FF2B5EF4-FFF2-40B4-BE49-F238E27FC236}">
              <a16:creationId xmlns:a16="http://schemas.microsoft.com/office/drawing/2014/main" xmlns="" id="{00000000-0008-0000-0000-0000C9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762" name="Text Box 3084">
          <a:extLst>
            <a:ext uri="{FF2B5EF4-FFF2-40B4-BE49-F238E27FC236}">
              <a16:creationId xmlns:a16="http://schemas.microsoft.com/office/drawing/2014/main" xmlns="" id="{00000000-0008-0000-0000-0000CA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763" name="Text Box 3085">
          <a:extLst>
            <a:ext uri="{FF2B5EF4-FFF2-40B4-BE49-F238E27FC236}">
              <a16:creationId xmlns:a16="http://schemas.microsoft.com/office/drawing/2014/main" xmlns="" id="{00000000-0008-0000-0000-0000CB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764" name="Text Box 3086">
          <a:extLst>
            <a:ext uri="{FF2B5EF4-FFF2-40B4-BE49-F238E27FC236}">
              <a16:creationId xmlns:a16="http://schemas.microsoft.com/office/drawing/2014/main" xmlns="" id="{00000000-0008-0000-0000-0000CC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765" name="Text Box 3087">
          <a:extLst>
            <a:ext uri="{FF2B5EF4-FFF2-40B4-BE49-F238E27FC236}">
              <a16:creationId xmlns:a16="http://schemas.microsoft.com/office/drawing/2014/main" xmlns="" id="{00000000-0008-0000-0000-0000CD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766" name="Text Box 3088">
          <a:extLst>
            <a:ext uri="{FF2B5EF4-FFF2-40B4-BE49-F238E27FC236}">
              <a16:creationId xmlns:a16="http://schemas.microsoft.com/office/drawing/2014/main" xmlns="" id="{00000000-0008-0000-0000-0000CE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767" name="Text Box 3089">
          <a:extLst>
            <a:ext uri="{FF2B5EF4-FFF2-40B4-BE49-F238E27FC236}">
              <a16:creationId xmlns:a16="http://schemas.microsoft.com/office/drawing/2014/main" xmlns="" id="{00000000-0008-0000-0000-0000CF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768" name="Text Box 3090">
          <a:extLst>
            <a:ext uri="{FF2B5EF4-FFF2-40B4-BE49-F238E27FC236}">
              <a16:creationId xmlns:a16="http://schemas.microsoft.com/office/drawing/2014/main" xmlns="" id="{00000000-0008-0000-0000-0000D0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769" name="Text Box 3091">
          <a:extLst>
            <a:ext uri="{FF2B5EF4-FFF2-40B4-BE49-F238E27FC236}">
              <a16:creationId xmlns:a16="http://schemas.microsoft.com/office/drawing/2014/main" xmlns="" id="{00000000-0008-0000-0000-0000D1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770" name="Text Box 3092">
          <a:extLst>
            <a:ext uri="{FF2B5EF4-FFF2-40B4-BE49-F238E27FC236}">
              <a16:creationId xmlns:a16="http://schemas.microsoft.com/office/drawing/2014/main" xmlns="" id="{00000000-0008-0000-0000-0000D2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771" name="Text Box 3093">
          <a:extLst>
            <a:ext uri="{FF2B5EF4-FFF2-40B4-BE49-F238E27FC236}">
              <a16:creationId xmlns:a16="http://schemas.microsoft.com/office/drawing/2014/main" xmlns="" id="{00000000-0008-0000-0000-0000D3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772" name="Text Box 3094">
          <a:extLst>
            <a:ext uri="{FF2B5EF4-FFF2-40B4-BE49-F238E27FC236}">
              <a16:creationId xmlns:a16="http://schemas.microsoft.com/office/drawing/2014/main" xmlns="" id="{00000000-0008-0000-0000-0000D4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773" name="Text Box 3095">
          <a:extLst>
            <a:ext uri="{FF2B5EF4-FFF2-40B4-BE49-F238E27FC236}">
              <a16:creationId xmlns:a16="http://schemas.microsoft.com/office/drawing/2014/main" xmlns="" id="{00000000-0008-0000-0000-0000D5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774" name="Text Box 3096">
          <a:extLst>
            <a:ext uri="{FF2B5EF4-FFF2-40B4-BE49-F238E27FC236}">
              <a16:creationId xmlns:a16="http://schemas.microsoft.com/office/drawing/2014/main" xmlns="" id="{00000000-0008-0000-0000-0000D6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775" name="Text Box 3097">
          <a:extLst>
            <a:ext uri="{FF2B5EF4-FFF2-40B4-BE49-F238E27FC236}">
              <a16:creationId xmlns:a16="http://schemas.microsoft.com/office/drawing/2014/main" xmlns="" id="{00000000-0008-0000-0000-0000D7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776" name="Text Box 3098">
          <a:extLst>
            <a:ext uri="{FF2B5EF4-FFF2-40B4-BE49-F238E27FC236}">
              <a16:creationId xmlns:a16="http://schemas.microsoft.com/office/drawing/2014/main" xmlns="" id="{00000000-0008-0000-0000-0000D8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777" name="Text Box 3099">
          <a:extLst>
            <a:ext uri="{FF2B5EF4-FFF2-40B4-BE49-F238E27FC236}">
              <a16:creationId xmlns:a16="http://schemas.microsoft.com/office/drawing/2014/main" xmlns="" id="{00000000-0008-0000-0000-0000D9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778" name="Text Box 3100">
          <a:extLst>
            <a:ext uri="{FF2B5EF4-FFF2-40B4-BE49-F238E27FC236}">
              <a16:creationId xmlns:a16="http://schemas.microsoft.com/office/drawing/2014/main" xmlns="" id="{00000000-0008-0000-0000-0000DA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779" name="Text Box 3101">
          <a:extLst>
            <a:ext uri="{FF2B5EF4-FFF2-40B4-BE49-F238E27FC236}">
              <a16:creationId xmlns:a16="http://schemas.microsoft.com/office/drawing/2014/main" xmlns="" id="{00000000-0008-0000-0000-0000DB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2780" name="Text Box 3102">
          <a:extLst>
            <a:ext uri="{FF2B5EF4-FFF2-40B4-BE49-F238E27FC236}">
              <a16:creationId xmlns:a16="http://schemas.microsoft.com/office/drawing/2014/main" xmlns="" id="{00000000-0008-0000-0000-0000DC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781" name="Text Box 59">
          <a:extLst>
            <a:ext uri="{FF2B5EF4-FFF2-40B4-BE49-F238E27FC236}">
              <a16:creationId xmlns:a16="http://schemas.microsoft.com/office/drawing/2014/main" xmlns="" id="{00000000-0008-0000-0000-0000DD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782" name="Text Box 60">
          <a:extLst>
            <a:ext uri="{FF2B5EF4-FFF2-40B4-BE49-F238E27FC236}">
              <a16:creationId xmlns:a16="http://schemas.microsoft.com/office/drawing/2014/main" xmlns="" id="{00000000-0008-0000-0000-0000DE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783" name="Text Box 61">
          <a:extLst>
            <a:ext uri="{FF2B5EF4-FFF2-40B4-BE49-F238E27FC236}">
              <a16:creationId xmlns:a16="http://schemas.microsoft.com/office/drawing/2014/main" xmlns="" id="{00000000-0008-0000-0000-0000DF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784" name="Text Box 62">
          <a:extLst>
            <a:ext uri="{FF2B5EF4-FFF2-40B4-BE49-F238E27FC236}">
              <a16:creationId xmlns:a16="http://schemas.microsoft.com/office/drawing/2014/main" xmlns="" id="{00000000-0008-0000-0000-0000E0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785" name="Text Box 63">
          <a:extLst>
            <a:ext uri="{FF2B5EF4-FFF2-40B4-BE49-F238E27FC236}">
              <a16:creationId xmlns:a16="http://schemas.microsoft.com/office/drawing/2014/main" xmlns="" id="{00000000-0008-0000-0000-0000E1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786" name="Text Box 64">
          <a:extLst>
            <a:ext uri="{FF2B5EF4-FFF2-40B4-BE49-F238E27FC236}">
              <a16:creationId xmlns:a16="http://schemas.microsoft.com/office/drawing/2014/main" xmlns="" id="{00000000-0008-0000-0000-0000E2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787" name="Text Box 65">
          <a:extLst>
            <a:ext uri="{FF2B5EF4-FFF2-40B4-BE49-F238E27FC236}">
              <a16:creationId xmlns:a16="http://schemas.microsoft.com/office/drawing/2014/main" xmlns="" id="{00000000-0008-0000-0000-0000E3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788" name="Text Box 66">
          <a:extLst>
            <a:ext uri="{FF2B5EF4-FFF2-40B4-BE49-F238E27FC236}">
              <a16:creationId xmlns:a16="http://schemas.microsoft.com/office/drawing/2014/main" xmlns="" id="{00000000-0008-0000-0000-0000E4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789" name="Text Box 67">
          <a:extLst>
            <a:ext uri="{FF2B5EF4-FFF2-40B4-BE49-F238E27FC236}">
              <a16:creationId xmlns:a16="http://schemas.microsoft.com/office/drawing/2014/main" xmlns="" id="{00000000-0008-0000-0000-0000E5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790" name="Text Box 68">
          <a:extLst>
            <a:ext uri="{FF2B5EF4-FFF2-40B4-BE49-F238E27FC236}">
              <a16:creationId xmlns:a16="http://schemas.microsoft.com/office/drawing/2014/main" xmlns="" id="{00000000-0008-0000-0000-0000E6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791" name="Text Box 69">
          <a:extLst>
            <a:ext uri="{FF2B5EF4-FFF2-40B4-BE49-F238E27FC236}">
              <a16:creationId xmlns:a16="http://schemas.microsoft.com/office/drawing/2014/main" xmlns="" id="{00000000-0008-0000-0000-0000E7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792" name="Text Box 70">
          <a:extLst>
            <a:ext uri="{FF2B5EF4-FFF2-40B4-BE49-F238E27FC236}">
              <a16:creationId xmlns:a16="http://schemas.microsoft.com/office/drawing/2014/main" xmlns="" id="{00000000-0008-0000-0000-0000E8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793" name="Text Box 71">
          <a:extLst>
            <a:ext uri="{FF2B5EF4-FFF2-40B4-BE49-F238E27FC236}">
              <a16:creationId xmlns:a16="http://schemas.microsoft.com/office/drawing/2014/main" xmlns="" id="{00000000-0008-0000-0000-0000E9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794" name="Text Box 72">
          <a:extLst>
            <a:ext uri="{FF2B5EF4-FFF2-40B4-BE49-F238E27FC236}">
              <a16:creationId xmlns:a16="http://schemas.microsoft.com/office/drawing/2014/main" xmlns="" id="{00000000-0008-0000-0000-0000EA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795" name="Text Box 73">
          <a:extLst>
            <a:ext uri="{FF2B5EF4-FFF2-40B4-BE49-F238E27FC236}">
              <a16:creationId xmlns:a16="http://schemas.microsoft.com/office/drawing/2014/main" xmlns="" id="{00000000-0008-0000-0000-0000EB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796" name="Text Box 74">
          <a:extLst>
            <a:ext uri="{FF2B5EF4-FFF2-40B4-BE49-F238E27FC236}">
              <a16:creationId xmlns:a16="http://schemas.microsoft.com/office/drawing/2014/main" xmlns="" id="{00000000-0008-0000-0000-0000EC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797" name="Text Box 75">
          <a:extLst>
            <a:ext uri="{FF2B5EF4-FFF2-40B4-BE49-F238E27FC236}">
              <a16:creationId xmlns:a16="http://schemas.microsoft.com/office/drawing/2014/main" xmlns="" id="{00000000-0008-0000-0000-0000ED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798" name="Text Box 76">
          <a:extLst>
            <a:ext uri="{FF2B5EF4-FFF2-40B4-BE49-F238E27FC236}">
              <a16:creationId xmlns:a16="http://schemas.microsoft.com/office/drawing/2014/main" xmlns="" id="{00000000-0008-0000-0000-0000EE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799" name="Text Box 77">
          <a:extLst>
            <a:ext uri="{FF2B5EF4-FFF2-40B4-BE49-F238E27FC236}">
              <a16:creationId xmlns:a16="http://schemas.microsoft.com/office/drawing/2014/main" xmlns="" id="{00000000-0008-0000-0000-0000EF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800" name="Text Box 78">
          <a:extLst>
            <a:ext uri="{FF2B5EF4-FFF2-40B4-BE49-F238E27FC236}">
              <a16:creationId xmlns:a16="http://schemas.microsoft.com/office/drawing/2014/main" xmlns="" id="{00000000-0008-0000-0000-0000F0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801" name="Text Box 79">
          <a:extLst>
            <a:ext uri="{FF2B5EF4-FFF2-40B4-BE49-F238E27FC236}">
              <a16:creationId xmlns:a16="http://schemas.microsoft.com/office/drawing/2014/main" xmlns="" id="{00000000-0008-0000-0000-0000F1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802" name="Text Box 80">
          <a:extLst>
            <a:ext uri="{FF2B5EF4-FFF2-40B4-BE49-F238E27FC236}">
              <a16:creationId xmlns:a16="http://schemas.microsoft.com/office/drawing/2014/main" xmlns="" id="{00000000-0008-0000-0000-0000F2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803" name="Text Box 81">
          <a:extLst>
            <a:ext uri="{FF2B5EF4-FFF2-40B4-BE49-F238E27FC236}">
              <a16:creationId xmlns:a16="http://schemas.microsoft.com/office/drawing/2014/main" xmlns="" id="{00000000-0008-0000-0000-0000F3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47625"/>
    <xdr:sp macro="" textlink="">
      <xdr:nvSpPr>
        <xdr:cNvPr id="2804" name="Text Box 82">
          <a:extLst>
            <a:ext uri="{FF2B5EF4-FFF2-40B4-BE49-F238E27FC236}">
              <a16:creationId xmlns:a16="http://schemas.microsoft.com/office/drawing/2014/main" xmlns="" id="{00000000-0008-0000-0000-0000F4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805" name="Text Box 3079">
          <a:extLst>
            <a:ext uri="{FF2B5EF4-FFF2-40B4-BE49-F238E27FC236}">
              <a16:creationId xmlns:a16="http://schemas.microsoft.com/office/drawing/2014/main" xmlns="" id="{00000000-0008-0000-0000-0000F5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806" name="Text Box 3080">
          <a:extLst>
            <a:ext uri="{FF2B5EF4-FFF2-40B4-BE49-F238E27FC236}">
              <a16:creationId xmlns:a16="http://schemas.microsoft.com/office/drawing/2014/main" xmlns="" id="{00000000-0008-0000-0000-0000F6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807" name="Text Box 3081">
          <a:extLst>
            <a:ext uri="{FF2B5EF4-FFF2-40B4-BE49-F238E27FC236}">
              <a16:creationId xmlns:a16="http://schemas.microsoft.com/office/drawing/2014/main" xmlns="" id="{00000000-0008-0000-0000-0000F7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808" name="Text Box 3082">
          <a:extLst>
            <a:ext uri="{FF2B5EF4-FFF2-40B4-BE49-F238E27FC236}">
              <a16:creationId xmlns:a16="http://schemas.microsoft.com/office/drawing/2014/main" xmlns="" id="{00000000-0008-0000-0000-0000F8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809" name="Text Box 3083">
          <a:extLst>
            <a:ext uri="{FF2B5EF4-FFF2-40B4-BE49-F238E27FC236}">
              <a16:creationId xmlns:a16="http://schemas.microsoft.com/office/drawing/2014/main" xmlns="" id="{00000000-0008-0000-0000-0000F9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810" name="Text Box 3084">
          <a:extLst>
            <a:ext uri="{FF2B5EF4-FFF2-40B4-BE49-F238E27FC236}">
              <a16:creationId xmlns:a16="http://schemas.microsoft.com/office/drawing/2014/main" xmlns="" id="{00000000-0008-0000-0000-0000FA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811" name="Text Box 3085">
          <a:extLst>
            <a:ext uri="{FF2B5EF4-FFF2-40B4-BE49-F238E27FC236}">
              <a16:creationId xmlns:a16="http://schemas.microsoft.com/office/drawing/2014/main" xmlns="" id="{00000000-0008-0000-0000-0000FB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812" name="Text Box 3086">
          <a:extLst>
            <a:ext uri="{FF2B5EF4-FFF2-40B4-BE49-F238E27FC236}">
              <a16:creationId xmlns:a16="http://schemas.microsoft.com/office/drawing/2014/main" xmlns="" id="{00000000-0008-0000-0000-0000FC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813" name="Text Box 3087">
          <a:extLst>
            <a:ext uri="{FF2B5EF4-FFF2-40B4-BE49-F238E27FC236}">
              <a16:creationId xmlns:a16="http://schemas.microsoft.com/office/drawing/2014/main" xmlns="" id="{00000000-0008-0000-0000-0000FD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814" name="Text Box 3088">
          <a:extLst>
            <a:ext uri="{FF2B5EF4-FFF2-40B4-BE49-F238E27FC236}">
              <a16:creationId xmlns:a16="http://schemas.microsoft.com/office/drawing/2014/main" xmlns="" id="{00000000-0008-0000-0000-0000FE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815" name="Text Box 3089">
          <a:extLst>
            <a:ext uri="{FF2B5EF4-FFF2-40B4-BE49-F238E27FC236}">
              <a16:creationId xmlns:a16="http://schemas.microsoft.com/office/drawing/2014/main" xmlns="" id="{00000000-0008-0000-0000-0000FF0A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816" name="Text Box 3090">
          <a:extLst>
            <a:ext uri="{FF2B5EF4-FFF2-40B4-BE49-F238E27FC236}">
              <a16:creationId xmlns:a16="http://schemas.microsoft.com/office/drawing/2014/main" xmlns="" id="{00000000-0008-0000-0000-000000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817" name="Text Box 3091">
          <a:extLst>
            <a:ext uri="{FF2B5EF4-FFF2-40B4-BE49-F238E27FC236}">
              <a16:creationId xmlns:a16="http://schemas.microsoft.com/office/drawing/2014/main" xmlns="" id="{00000000-0008-0000-0000-000001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818" name="Text Box 3092">
          <a:extLst>
            <a:ext uri="{FF2B5EF4-FFF2-40B4-BE49-F238E27FC236}">
              <a16:creationId xmlns:a16="http://schemas.microsoft.com/office/drawing/2014/main" xmlns="" id="{00000000-0008-0000-0000-000002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819" name="Text Box 3093">
          <a:extLst>
            <a:ext uri="{FF2B5EF4-FFF2-40B4-BE49-F238E27FC236}">
              <a16:creationId xmlns:a16="http://schemas.microsoft.com/office/drawing/2014/main" xmlns="" id="{00000000-0008-0000-0000-000003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820" name="Text Box 3094">
          <a:extLst>
            <a:ext uri="{FF2B5EF4-FFF2-40B4-BE49-F238E27FC236}">
              <a16:creationId xmlns:a16="http://schemas.microsoft.com/office/drawing/2014/main" xmlns="" id="{00000000-0008-0000-0000-000004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821" name="Text Box 3095">
          <a:extLst>
            <a:ext uri="{FF2B5EF4-FFF2-40B4-BE49-F238E27FC236}">
              <a16:creationId xmlns:a16="http://schemas.microsoft.com/office/drawing/2014/main" xmlns="" id="{00000000-0008-0000-0000-000005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822" name="Text Box 3096">
          <a:extLst>
            <a:ext uri="{FF2B5EF4-FFF2-40B4-BE49-F238E27FC236}">
              <a16:creationId xmlns:a16="http://schemas.microsoft.com/office/drawing/2014/main" xmlns="" id="{00000000-0008-0000-0000-000006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823" name="Text Box 3097">
          <a:extLst>
            <a:ext uri="{FF2B5EF4-FFF2-40B4-BE49-F238E27FC236}">
              <a16:creationId xmlns:a16="http://schemas.microsoft.com/office/drawing/2014/main" xmlns="" id="{00000000-0008-0000-0000-000007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824" name="Text Box 3098">
          <a:extLst>
            <a:ext uri="{FF2B5EF4-FFF2-40B4-BE49-F238E27FC236}">
              <a16:creationId xmlns:a16="http://schemas.microsoft.com/office/drawing/2014/main" xmlns="" id="{00000000-0008-0000-0000-000008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825" name="Text Box 3099">
          <a:extLst>
            <a:ext uri="{FF2B5EF4-FFF2-40B4-BE49-F238E27FC236}">
              <a16:creationId xmlns:a16="http://schemas.microsoft.com/office/drawing/2014/main" xmlns="" id="{00000000-0008-0000-0000-000009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826" name="Text Box 3100">
          <a:extLst>
            <a:ext uri="{FF2B5EF4-FFF2-40B4-BE49-F238E27FC236}">
              <a16:creationId xmlns:a16="http://schemas.microsoft.com/office/drawing/2014/main" xmlns="" id="{00000000-0008-0000-0000-00000A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827" name="Text Box 3101">
          <a:extLst>
            <a:ext uri="{FF2B5EF4-FFF2-40B4-BE49-F238E27FC236}">
              <a16:creationId xmlns:a16="http://schemas.microsoft.com/office/drawing/2014/main" xmlns="" id="{00000000-0008-0000-0000-00000B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2828" name="Text Box 3102">
          <a:extLst>
            <a:ext uri="{FF2B5EF4-FFF2-40B4-BE49-F238E27FC236}">
              <a16:creationId xmlns:a16="http://schemas.microsoft.com/office/drawing/2014/main" xmlns="" id="{00000000-0008-0000-0000-00000C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829" name="Text Box 59">
          <a:extLst>
            <a:ext uri="{FF2B5EF4-FFF2-40B4-BE49-F238E27FC236}">
              <a16:creationId xmlns:a16="http://schemas.microsoft.com/office/drawing/2014/main" xmlns="" id="{00000000-0008-0000-0000-00000D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830" name="Text Box 60">
          <a:extLst>
            <a:ext uri="{FF2B5EF4-FFF2-40B4-BE49-F238E27FC236}">
              <a16:creationId xmlns:a16="http://schemas.microsoft.com/office/drawing/2014/main" xmlns="" id="{00000000-0008-0000-0000-00000E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831" name="Text Box 61">
          <a:extLst>
            <a:ext uri="{FF2B5EF4-FFF2-40B4-BE49-F238E27FC236}">
              <a16:creationId xmlns:a16="http://schemas.microsoft.com/office/drawing/2014/main" xmlns="" id="{00000000-0008-0000-0000-00000F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832" name="Text Box 62">
          <a:extLst>
            <a:ext uri="{FF2B5EF4-FFF2-40B4-BE49-F238E27FC236}">
              <a16:creationId xmlns:a16="http://schemas.microsoft.com/office/drawing/2014/main" xmlns="" id="{00000000-0008-0000-0000-000010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833" name="Text Box 63">
          <a:extLst>
            <a:ext uri="{FF2B5EF4-FFF2-40B4-BE49-F238E27FC236}">
              <a16:creationId xmlns:a16="http://schemas.microsoft.com/office/drawing/2014/main" xmlns="" id="{00000000-0008-0000-0000-000011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834" name="Text Box 64">
          <a:extLst>
            <a:ext uri="{FF2B5EF4-FFF2-40B4-BE49-F238E27FC236}">
              <a16:creationId xmlns:a16="http://schemas.microsoft.com/office/drawing/2014/main" xmlns="" id="{00000000-0008-0000-0000-000012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835" name="Text Box 65">
          <a:extLst>
            <a:ext uri="{FF2B5EF4-FFF2-40B4-BE49-F238E27FC236}">
              <a16:creationId xmlns:a16="http://schemas.microsoft.com/office/drawing/2014/main" xmlns="" id="{00000000-0008-0000-0000-000013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836" name="Text Box 66">
          <a:extLst>
            <a:ext uri="{FF2B5EF4-FFF2-40B4-BE49-F238E27FC236}">
              <a16:creationId xmlns:a16="http://schemas.microsoft.com/office/drawing/2014/main" xmlns="" id="{00000000-0008-0000-0000-000014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837" name="Text Box 67">
          <a:extLst>
            <a:ext uri="{FF2B5EF4-FFF2-40B4-BE49-F238E27FC236}">
              <a16:creationId xmlns:a16="http://schemas.microsoft.com/office/drawing/2014/main" xmlns="" id="{00000000-0008-0000-0000-000015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838" name="Text Box 68">
          <a:extLst>
            <a:ext uri="{FF2B5EF4-FFF2-40B4-BE49-F238E27FC236}">
              <a16:creationId xmlns:a16="http://schemas.microsoft.com/office/drawing/2014/main" xmlns="" id="{00000000-0008-0000-0000-000016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839" name="Text Box 69">
          <a:extLst>
            <a:ext uri="{FF2B5EF4-FFF2-40B4-BE49-F238E27FC236}">
              <a16:creationId xmlns:a16="http://schemas.microsoft.com/office/drawing/2014/main" xmlns="" id="{00000000-0008-0000-0000-000017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840" name="Text Box 70">
          <a:extLst>
            <a:ext uri="{FF2B5EF4-FFF2-40B4-BE49-F238E27FC236}">
              <a16:creationId xmlns:a16="http://schemas.microsoft.com/office/drawing/2014/main" xmlns="" id="{00000000-0008-0000-0000-000018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841" name="Text Box 71">
          <a:extLst>
            <a:ext uri="{FF2B5EF4-FFF2-40B4-BE49-F238E27FC236}">
              <a16:creationId xmlns:a16="http://schemas.microsoft.com/office/drawing/2014/main" xmlns="" id="{00000000-0008-0000-0000-000019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842" name="Text Box 72">
          <a:extLst>
            <a:ext uri="{FF2B5EF4-FFF2-40B4-BE49-F238E27FC236}">
              <a16:creationId xmlns:a16="http://schemas.microsoft.com/office/drawing/2014/main" xmlns="" id="{00000000-0008-0000-0000-00001A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843" name="Text Box 73">
          <a:extLst>
            <a:ext uri="{FF2B5EF4-FFF2-40B4-BE49-F238E27FC236}">
              <a16:creationId xmlns:a16="http://schemas.microsoft.com/office/drawing/2014/main" xmlns="" id="{00000000-0008-0000-0000-00001B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844" name="Text Box 74">
          <a:extLst>
            <a:ext uri="{FF2B5EF4-FFF2-40B4-BE49-F238E27FC236}">
              <a16:creationId xmlns:a16="http://schemas.microsoft.com/office/drawing/2014/main" xmlns="" id="{00000000-0008-0000-0000-00001C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845" name="Text Box 75">
          <a:extLst>
            <a:ext uri="{FF2B5EF4-FFF2-40B4-BE49-F238E27FC236}">
              <a16:creationId xmlns:a16="http://schemas.microsoft.com/office/drawing/2014/main" xmlns="" id="{00000000-0008-0000-0000-00001D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846" name="Text Box 76">
          <a:extLst>
            <a:ext uri="{FF2B5EF4-FFF2-40B4-BE49-F238E27FC236}">
              <a16:creationId xmlns:a16="http://schemas.microsoft.com/office/drawing/2014/main" xmlns="" id="{00000000-0008-0000-0000-00001E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847" name="Text Box 77">
          <a:extLst>
            <a:ext uri="{FF2B5EF4-FFF2-40B4-BE49-F238E27FC236}">
              <a16:creationId xmlns:a16="http://schemas.microsoft.com/office/drawing/2014/main" xmlns="" id="{00000000-0008-0000-0000-00001F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848" name="Text Box 78">
          <a:extLst>
            <a:ext uri="{FF2B5EF4-FFF2-40B4-BE49-F238E27FC236}">
              <a16:creationId xmlns:a16="http://schemas.microsoft.com/office/drawing/2014/main" xmlns="" id="{00000000-0008-0000-0000-000020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849" name="Text Box 79">
          <a:extLst>
            <a:ext uri="{FF2B5EF4-FFF2-40B4-BE49-F238E27FC236}">
              <a16:creationId xmlns:a16="http://schemas.microsoft.com/office/drawing/2014/main" xmlns="" id="{00000000-0008-0000-0000-000021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850" name="Text Box 80">
          <a:extLst>
            <a:ext uri="{FF2B5EF4-FFF2-40B4-BE49-F238E27FC236}">
              <a16:creationId xmlns:a16="http://schemas.microsoft.com/office/drawing/2014/main" xmlns="" id="{00000000-0008-0000-0000-000022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851" name="Text Box 81">
          <a:extLst>
            <a:ext uri="{FF2B5EF4-FFF2-40B4-BE49-F238E27FC236}">
              <a16:creationId xmlns:a16="http://schemas.microsoft.com/office/drawing/2014/main" xmlns="" id="{00000000-0008-0000-0000-000023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852" name="Text Box 3079">
          <a:extLst>
            <a:ext uri="{FF2B5EF4-FFF2-40B4-BE49-F238E27FC236}">
              <a16:creationId xmlns:a16="http://schemas.microsoft.com/office/drawing/2014/main" xmlns="" id="{00000000-0008-0000-0000-000024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853" name="Text Box 3080">
          <a:extLst>
            <a:ext uri="{FF2B5EF4-FFF2-40B4-BE49-F238E27FC236}">
              <a16:creationId xmlns:a16="http://schemas.microsoft.com/office/drawing/2014/main" xmlns="" id="{00000000-0008-0000-0000-000025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854" name="Text Box 3081">
          <a:extLst>
            <a:ext uri="{FF2B5EF4-FFF2-40B4-BE49-F238E27FC236}">
              <a16:creationId xmlns:a16="http://schemas.microsoft.com/office/drawing/2014/main" xmlns="" id="{00000000-0008-0000-0000-000026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855" name="Text Box 3082">
          <a:extLst>
            <a:ext uri="{FF2B5EF4-FFF2-40B4-BE49-F238E27FC236}">
              <a16:creationId xmlns:a16="http://schemas.microsoft.com/office/drawing/2014/main" xmlns="" id="{00000000-0008-0000-0000-000027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856" name="Text Box 3083">
          <a:extLst>
            <a:ext uri="{FF2B5EF4-FFF2-40B4-BE49-F238E27FC236}">
              <a16:creationId xmlns:a16="http://schemas.microsoft.com/office/drawing/2014/main" xmlns="" id="{00000000-0008-0000-0000-000028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857" name="Text Box 3084">
          <a:extLst>
            <a:ext uri="{FF2B5EF4-FFF2-40B4-BE49-F238E27FC236}">
              <a16:creationId xmlns:a16="http://schemas.microsoft.com/office/drawing/2014/main" xmlns="" id="{00000000-0008-0000-0000-000029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858" name="Text Box 3085">
          <a:extLst>
            <a:ext uri="{FF2B5EF4-FFF2-40B4-BE49-F238E27FC236}">
              <a16:creationId xmlns:a16="http://schemas.microsoft.com/office/drawing/2014/main" xmlns="" id="{00000000-0008-0000-0000-00002A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859" name="Text Box 3086">
          <a:extLst>
            <a:ext uri="{FF2B5EF4-FFF2-40B4-BE49-F238E27FC236}">
              <a16:creationId xmlns:a16="http://schemas.microsoft.com/office/drawing/2014/main" xmlns="" id="{00000000-0008-0000-0000-00002B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860" name="Text Box 3087">
          <a:extLst>
            <a:ext uri="{FF2B5EF4-FFF2-40B4-BE49-F238E27FC236}">
              <a16:creationId xmlns:a16="http://schemas.microsoft.com/office/drawing/2014/main" xmlns="" id="{00000000-0008-0000-0000-00002C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861" name="Text Box 3088">
          <a:extLst>
            <a:ext uri="{FF2B5EF4-FFF2-40B4-BE49-F238E27FC236}">
              <a16:creationId xmlns:a16="http://schemas.microsoft.com/office/drawing/2014/main" xmlns="" id="{00000000-0008-0000-0000-00002D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862" name="Text Box 3089">
          <a:extLst>
            <a:ext uri="{FF2B5EF4-FFF2-40B4-BE49-F238E27FC236}">
              <a16:creationId xmlns:a16="http://schemas.microsoft.com/office/drawing/2014/main" xmlns="" id="{00000000-0008-0000-0000-00002E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863" name="Text Box 3090">
          <a:extLst>
            <a:ext uri="{FF2B5EF4-FFF2-40B4-BE49-F238E27FC236}">
              <a16:creationId xmlns:a16="http://schemas.microsoft.com/office/drawing/2014/main" xmlns="" id="{00000000-0008-0000-0000-00002F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864" name="Text Box 3091">
          <a:extLst>
            <a:ext uri="{FF2B5EF4-FFF2-40B4-BE49-F238E27FC236}">
              <a16:creationId xmlns:a16="http://schemas.microsoft.com/office/drawing/2014/main" xmlns="" id="{00000000-0008-0000-0000-000030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865" name="Text Box 3092">
          <a:extLst>
            <a:ext uri="{FF2B5EF4-FFF2-40B4-BE49-F238E27FC236}">
              <a16:creationId xmlns:a16="http://schemas.microsoft.com/office/drawing/2014/main" xmlns="" id="{00000000-0008-0000-0000-000031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866" name="Text Box 3093">
          <a:extLst>
            <a:ext uri="{FF2B5EF4-FFF2-40B4-BE49-F238E27FC236}">
              <a16:creationId xmlns:a16="http://schemas.microsoft.com/office/drawing/2014/main" xmlns="" id="{00000000-0008-0000-0000-000032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867" name="Text Box 3094">
          <a:extLst>
            <a:ext uri="{FF2B5EF4-FFF2-40B4-BE49-F238E27FC236}">
              <a16:creationId xmlns:a16="http://schemas.microsoft.com/office/drawing/2014/main" xmlns="" id="{00000000-0008-0000-0000-000033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868" name="Text Box 3095">
          <a:extLst>
            <a:ext uri="{FF2B5EF4-FFF2-40B4-BE49-F238E27FC236}">
              <a16:creationId xmlns:a16="http://schemas.microsoft.com/office/drawing/2014/main" xmlns="" id="{00000000-0008-0000-0000-000034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869" name="Text Box 3096">
          <a:extLst>
            <a:ext uri="{FF2B5EF4-FFF2-40B4-BE49-F238E27FC236}">
              <a16:creationId xmlns:a16="http://schemas.microsoft.com/office/drawing/2014/main" xmlns="" id="{00000000-0008-0000-0000-000035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870" name="Text Box 3097">
          <a:extLst>
            <a:ext uri="{FF2B5EF4-FFF2-40B4-BE49-F238E27FC236}">
              <a16:creationId xmlns:a16="http://schemas.microsoft.com/office/drawing/2014/main" xmlns="" id="{00000000-0008-0000-0000-000036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871" name="Text Box 3098">
          <a:extLst>
            <a:ext uri="{FF2B5EF4-FFF2-40B4-BE49-F238E27FC236}">
              <a16:creationId xmlns:a16="http://schemas.microsoft.com/office/drawing/2014/main" xmlns="" id="{00000000-0008-0000-0000-000037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872" name="Text Box 3099">
          <a:extLst>
            <a:ext uri="{FF2B5EF4-FFF2-40B4-BE49-F238E27FC236}">
              <a16:creationId xmlns:a16="http://schemas.microsoft.com/office/drawing/2014/main" xmlns="" id="{00000000-0008-0000-0000-000038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873" name="Text Box 3100">
          <a:extLst>
            <a:ext uri="{FF2B5EF4-FFF2-40B4-BE49-F238E27FC236}">
              <a16:creationId xmlns:a16="http://schemas.microsoft.com/office/drawing/2014/main" xmlns="" id="{00000000-0008-0000-0000-000039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874" name="Text Box 3101">
          <a:extLst>
            <a:ext uri="{FF2B5EF4-FFF2-40B4-BE49-F238E27FC236}">
              <a16:creationId xmlns:a16="http://schemas.microsoft.com/office/drawing/2014/main" xmlns="" id="{00000000-0008-0000-0000-00003A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2875" name="Text Box 3102">
          <a:extLst>
            <a:ext uri="{FF2B5EF4-FFF2-40B4-BE49-F238E27FC236}">
              <a16:creationId xmlns:a16="http://schemas.microsoft.com/office/drawing/2014/main" xmlns="" id="{00000000-0008-0000-0000-00003B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876" name="Text Box 59">
          <a:extLst>
            <a:ext uri="{FF2B5EF4-FFF2-40B4-BE49-F238E27FC236}">
              <a16:creationId xmlns:a16="http://schemas.microsoft.com/office/drawing/2014/main" xmlns="" id="{00000000-0008-0000-0000-00003C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877" name="Text Box 60">
          <a:extLst>
            <a:ext uri="{FF2B5EF4-FFF2-40B4-BE49-F238E27FC236}">
              <a16:creationId xmlns:a16="http://schemas.microsoft.com/office/drawing/2014/main" xmlns="" id="{00000000-0008-0000-0000-00003D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878" name="Text Box 61">
          <a:extLst>
            <a:ext uri="{FF2B5EF4-FFF2-40B4-BE49-F238E27FC236}">
              <a16:creationId xmlns:a16="http://schemas.microsoft.com/office/drawing/2014/main" xmlns="" id="{00000000-0008-0000-0000-00003E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879" name="Text Box 62">
          <a:extLst>
            <a:ext uri="{FF2B5EF4-FFF2-40B4-BE49-F238E27FC236}">
              <a16:creationId xmlns:a16="http://schemas.microsoft.com/office/drawing/2014/main" xmlns="" id="{00000000-0008-0000-0000-00003F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880" name="Text Box 63">
          <a:extLst>
            <a:ext uri="{FF2B5EF4-FFF2-40B4-BE49-F238E27FC236}">
              <a16:creationId xmlns:a16="http://schemas.microsoft.com/office/drawing/2014/main" xmlns="" id="{00000000-0008-0000-0000-000040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881" name="Text Box 64">
          <a:extLst>
            <a:ext uri="{FF2B5EF4-FFF2-40B4-BE49-F238E27FC236}">
              <a16:creationId xmlns:a16="http://schemas.microsoft.com/office/drawing/2014/main" xmlns="" id="{00000000-0008-0000-0000-000041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882" name="Text Box 65">
          <a:extLst>
            <a:ext uri="{FF2B5EF4-FFF2-40B4-BE49-F238E27FC236}">
              <a16:creationId xmlns:a16="http://schemas.microsoft.com/office/drawing/2014/main" xmlns="" id="{00000000-0008-0000-0000-000042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883" name="Text Box 66">
          <a:extLst>
            <a:ext uri="{FF2B5EF4-FFF2-40B4-BE49-F238E27FC236}">
              <a16:creationId xmlns:a16="http://schemas.microsoft.com/office/drawing/2014/main" xmlns="" id="{00000000-0008-0000-0000-000043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884" name="Text Box 67">
          <a:extLst>
            <a:ext uri="{FF2B5EF4-FFF2-40B4-BE49-F238E27FC236}">
              <a16:creationId xmlns:a16="http://schemas.microsoft.com/office/drawing/2014/main" xmlns="" id="{00000000-0008-0000-0000-000044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885" name="Text Box 68">
          <a:extLst>
            <a:ext uri="{FF2B5EF4-FFF2-40B4-BE49-F238E27FC236}">
              <a16:creationId xmlns:a16="http://schemas.microsoft.com/office/drawing/2014/main" xmlns="" id="{00000000-0008-0000-0000-000045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886" name="Text Box 69">
          <a:extLst>
            <a:ext uri="{FF2B5EF4-FFF2-40B4-BE49-F238E27FC236}">
              <a16:creationId xmlns:a16="http://schemas.microsoft.com/office/drawing/2014/main" xmlns="" id="{00000000-0008-0000-0000-000046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887" name="Text Box 70">
          <a:extLst>
            <a:ext uri="{FF2B5EF4-FFF2-40B4-BE49-F238E27FC236}">
              <a16:creationId xmlns:a16="http://schemas.microsoft.com/office/drawing/2014/main" xmlns="" id="{00000000-0008-0000-0000-000047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888" name="Text Box 71">
          <a:extLst>
            <a:ext uri="{FF2B5EF4-FFF2-40B4-BE49-F238E27FC236}">
              <a16:creationId xmlns:a16="http://schemas.microsoft.com/office/drawing/2014/main" xmlns="" id="{00000000-0008-0000-0000-000048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889" name="Text Box 72">
          <a:extLst>
            <a:ext uri="{FF2B5EF4-FFF2-40B4-BE49-F238E27FC236}">
              <a16:creationId xmlns:a16="http://schemas.microsoft.com/office/drawing/2014/main" xmlns="" id="{00000000-0008-0000-0000-000049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890" name="Text Box 73">
          <a:extLst>
            <a:ext uri="{FF2B5EF4-FFF2-40B4-BE49-F238E27FC236}">
              <a16:creationId xmlns:a16="http://schemas.microsoft.com/office/drawing/2014/main" xmlns="" id="{00000000-0008-0000-0000-00004A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891" name="Text Box 74">
          <a:extLst>
            <a:ext uri="{FF2B5EF4-FFF2-40B4-BE49-F238E27FC236}">
              <a16:creationId xmlns:a16="http://schemas.microsoft.com/office/drawing/2014/main" xmlns="" id="{00000000-0008-0000-0000-00004B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892" name="Text Box 75">
          <a:extLst>
            <a:ext uri="{FF2B5EF4-FFF2-40B4-BE49-F238E27FC236}">
              <a16:creationId xmlns:a16="http://schemas.microsoft.com/office/drawing/2014/main" xmlns="" id="{00000000-0008-0000-0000-00004C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893" name="Text Box 76">
          <a:extLst>
            <a:ext uri="{FF2B5EF4-FFF2-40B4-BE49-F238E27FC236}">
              <a16:creationId xmlns:a16="http://schemas.microsoft.com/office/drawing/2014/main" xmlns="" id="{00000000-0008-0000-0000-00004D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894" name="Text Box 77">
          <a:extLst>
            <a:ext uri="{FF2B5EF4-FFF2-40B4-BE49-F238E27FC236}">
              <a16:creationId xmlns:a16="http://schemas.microsoft.com/office/drawing/2014/main" xmlns="" id="{00000000-0008-0000-0000-00004E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895" name="Text Box 78">
          <a:extLst>
            <a:ext uri="{FF2B5EF4-FFF2-40B4-BE49-F238E27FC236}">
              <a16:creationId xmlns:a16="http://schemas.microsoft.com/office/drawing/2014/main" xmlns="" id="{00000000-0008-0000-0000-00004F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896" name="Text Box 79">
          <a:extLst>
            <a:ext uri="{FF2B5EF4-FFF2-40B4-BE49-F238E27FC236}">
              <a16:creationId xmlns:a16="http://schemas.microsoft.com/office/drawing/2014/main" xmlns="" id="{00000000-0008-0000-0000-000050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897" name="Text Box 80">
          <a:extLst>
            <a:ext uri="{FF2B5EF4-FFF2-40B4-BE49-F238E27FC236}">
              <a16:creationId xmlns:a16="http://schemas.microsoft.com/office/drawing/2014/main" xmlns="" id="{00000000-0008-0000-0000-000051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898" name="Text Box 81">
          <a:extLst>
            <a:ext uri="{FF2B5EF4-FFF2-40B4-BE49-F238E27FC236}">
              <a16:creationId xmlns:a16="http://schemas.microsoft.com/office/drawing/2014/main" xmlns="" id="{00000000-0008-0000-0000-000052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47625"/>
    <xdr:sp macro="" textlink="">
      <xdr:nvSpPr>
        <xdr:cNvPr id="2899" name="Text Box 82">
          <a:extLst>
            <a:ext uri="{FF2B5EF4-FFF2-40B4-BE49-F238E27FC236}">
              <a16:creationId xmlns:a16="http://schemas.microsoft.com/office/drawing/2014/main" xmlns="" id="{00000000-0008-0000-0000-000053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900" name="Text Box 3079">
          <a:extLst>
            <a:ext uri="{FF2B5EF4-FFF2-40B4-BE49-F238E27FC236}">
              <a16:creationId xmlns:a16="http://schemas.microsoft.com/office/drawing/2014/main" xmlns="" id="{00000000-0008-0000-0000-000054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901" name="Text Box 3080">
          <a:extLst>
            <a:ext uri="{FF2B5EF4-FFF2-40B4-BE49-F238E27FC236}">
              <a16:creationId xmlns:a16="http://schemas.microsoft.com/office/drawing/2014/main" xmlns="" id="{00000000-0008-0000-0000-000055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902" name="Text Box 3081">
          <a:extLst>
            <a:ext uri="{FF2B5EF4-FFF2-40B4-BE49-F238E27FC236}">
              <a16:creationId xmlns:a16="http://schemas.microsoft.com/office/drawing/2014/main" xmlns="" id="{00000000-0008-0000-0000-000056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903" name="Text Box 3082">
          <a:extLst>
            <a:ext uri="{FF2B5EF4-FFF2-40B4-BE49-F238E27FC236}">
              <a16:creationId xmlns:a16="http://schemas.microsoft.com/office/drawing/2014/main" xmlns="" id="{00000000-0008-0000-0000-000057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904" name="Text Box 3083">
          <a:extLst>
            <a:ext uri="{FF2B5EF4-FFF2-40B4-BE49-F238E27FC236}">
              <a16:creationId xmlns:a16="http://schemas.microsoft.com/office/drawing/2014/main" xmlns="" id="{00000000-0008-0000-0000-000058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905" name="Text Box 3084">
          <a:extLst>
            <a:ext uri="{FF2B5EF4-FFF2-40B4-BE49-F238E27FC236}">
              <a16:creationId xmlns:a16="http://schemas.microsoft.com/office/drawing/2014/main" xmlns="" id="{00000000-0008-0000-0000-000059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906" name="Text Box 3085">
          <a:extLst>
            <a:ext uri="{FF2B5EF4-FFF2-40B4-BE49-F238E27FC236}">
              <a16:creationId xmlns:a16="http://schemas.microsoft.com/office/drawing/2014/main" xmlns="" id="{00000000-0008-0000-0000-00005A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907" name="Text Box 3086">
          <a:extLst>
            <a:ext uri="{FF2B5EF4-FFF2-40B4-BE49-F238E27FC236}">
              <a16:creationId xmlns:a16="http://schemas.microsoft.com/office/drawing/2014/main" xmlns="" id="{00000000-0008-0000-0000-00005B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908" name="Text Box 3087">
          <a:extLst>
            <a:ext uri="{FF2B5EF4-FFF2-40B4-BE49-F238E27FC236}">
              <a16:creationId xmlns:a16="http://schemas.microsoft.com/office/drawing/2014/main" xmlns="" id="{00000000-0008-0000-0000-00005C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909" name="Text Box 3088">
          <a:extLst>
            <a:ext uri="{FF2B5EF4-FFF2-40B4-BE49-F238E27FC236}">
              <a16:creationId xmlns:a16="http://schemas.microsoft.com/office/drawing/2014/main" xmlns="" id="{00000000-0008-0000-0000-00005D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910" name="Text Box 3089">
          <a:extLst>
            <a:ext uri="{FF2B5EF4-FFF2-40B4-BE49-F238E27FC236}">
              <a16:creationId xmlns:a16="http://schemas.microsoft.com/office/drawing/2014/main" xmlns="" id="{00000000-0008-0000-0000-00005E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911" name="Text Box 3090">
          <a:extLst>
            <a:ext uri="{FF2B5EF4-FFF2-40B4-BE49-F238E27FC236}">
              <a16:creationId xmlns:a16="http://schemas.microsoft.com/office/drawing/2014/main" xmlns="" id="{00000000-0008-0000-0000-00005F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912" name="Text Box 3091">
          <a:extLst>
            <a:ext uri="{FF2B5EF4-FFF2-40B4-BE49-F238E27FC236}">
              <a16:creationId xmlns:a16="http://schemas.microsoft.com/office/drawing/2014/main" xmlns="" id="{00000000-0008-0000-0000-000060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913" name="Text Box 3092">
          <a:extLst>
            <a:ext uri="{FF2B5EF4-FFF2-40B4-BE49-F238E27FC236}">
              <a16:creationId xmlns:a16="http://schemas.microsoft.com/office/drawing/2014/main" xmlns="" id="{00000000-0008-0000-0000-000061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914" name="Text Box 3093">
          <a:extLst>
            <a:ext uri="{FF2B5EF4-FFF2-40B4-BE49-F238E27FC236}">
              <a16:creationId xmlns:a16="http://schemas.microsoft.com/office/drawing/2014/main" xmlns="" id="{00000000-0008-0000-0000-000062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915" name="Text Box 3094">
          <a:extLst>
            <a:ext uri="{FF2B5EF4-FFF2-40B4-BE49-F238E27FC236}">
              <a16:creationId xmlns:a16="http://schemas.microsoft.com/office/drawing/2014/main" xmlns="" id="{00000000-0008-0000-0000-000063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916" name="Text Box 3095">
          <a:extLst>
            <a:ext uri="{FF2B5EF4-FFF2-40B4-BE49-F238E27FC236}">
              <a16:creationId xmlns:a16="http://schemas.microsoft.com/office/drawing/2014/main" xmlns="" id="{00000000-0008-0000-0000-000064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917" name="Text Box 3096">
          <a:extLst>
            <a:ext uri="{FF2B5EF4-FFF2-40B4-BE49-F238E27FC236}">
              <a16:creationId xmlns:a16="http://schemas.microsoft.com/office/drawing/2014/main" xmlns="" id="{00000000-0008-0000-0000-000065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918" name="Text Box 3097">
          <a:extLst>
            <a:ext uri="{FF2B5EF4-FFF2-40B4-BE49-F238E27FC236}">
              <a16:creationId xmlns:a16="http://schemas.microsoft.com/office/drawing/2014/main" xmlns="" id="{00000000-0008-0000-0000-000066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919" name="Text Box 3098">
          <a:extLst>
            <a:ext uri="{FF2B5EF4-FFF2-40B4-BE49-F238E27FC236}">
              <a16:creationId xmlns:a16="http://schemas.microsoft.com/office/drawing/2014/main" xmlns="" id="{00000000-0008-0000-0000-000067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920" name="Text Box 3099">
          <a:extLst>
            <a:ext uri="{FF2B5EF4-FFF2-40B4-BE49-F238E27FC236}">
              <a16:creationId xmlns:a16="http://schemas.microsoft.com/office/drawing/2014/main" xmlns="" id="{00000000-0008-0000-0000-000068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921" name="Text Box 3100">
          <a:extLst>
            <a:ext uri="{FF2B5EF4-FFF2-40B4-BE49-F238E27FC236}">
              <a16:creationId xmlns:a16="http://schemas.microsoft.com/office/drawing/2014/main" xmlns="" id="{00000000-0008-0000-0000-000069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922" name="Text Box 3101">
          <a:extLst>
            <a:ext uri="{FF2B5EF4-FFF2-40B4-BE49-F238E27FC236}">
              <a16:creationId xmlns:a16="http://schemas.microsoft.com/office/drawing/2014/main" xmlns="" id="{00000000-0008-0000-0000-00006A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2923" name="Text Box 3102">
          <a:extLst>
            <a:ext uri="{FF2B5EF4-FFF2-40B4-BE49-F238E27FC236}">
              <a16:creationId xmlns:a16="http://schemas.microsoft.com/office/drawing/2014/main" xmlns="" id="{00000000-0008-0000-0000-00006B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924" name="Text Box 59">
          <a:extLst>
            <a:ext uri="{FF2B5EF4-FFF2-40B4-BE49-F238E27FC236}">
              <a16:creationId xmlns:a16="http://schemas.microsoft.com/office/drawing/2014/main" xmlns="" id="{00000000-0008-0000-0000-00006C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925" name="Text Box 60">
          <a:extLst>
            <a:ext uri="{FF2B5EF4-FFF2-40B4-BE49-F238E27FC236}">
              <a16:creationId xmlns:a16="http://schemas.microsoft.com/office/drawing/2014/main" xmlns="" id="{00000000-0008-0000-0000-00006D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926" name="Text Box 61">
          <a:extLst>
            <a:ext uri="{FF2B5EF4-FFF2-40B4-BE49-F238E27FC236}">
              <a16:creationId xmlns:a16="http://schemas.microsoft.com/office/drawing/2014/main" xmlns="" id="{00000000-0008-0000-0000-00006E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927" name="Text Box 62">
          <a:extLst>
            <a:ext uri="{FF2B5EF4-FFF2-40B4-BE49-F238E27FC236}">
              <a16:creationId xmlns:a16="http://schemas.microsoft.com/office/drawing/2014/main" xmlns="" id="{00000000-0008-0000-0000-00006F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928" name="Text Box 63">
          <a:extLst>
            <a:ext uri="{FF2B5EF4-FFF2-40B4-BE49-F238E27FC236}">
              <a16:creationId xmlns:a16="http://schemas.microsoft.com/office/drawing/2014/main" xmlns="" id="{00000000-0008-0000-0000-000070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929" name="Text Box 64">
          <a:extLst>
            <a:ext uri="{FF2B5EF4-FFF2-40B4-BE49-F238E27FC236}">
              <a16:creationId xmlns:a16="http://schemas.microsoft.com/office/drawing/2014/main" xmlns="" id="{00000000-0008-0000-0000-000071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930" name="Text Box 65">
          <a:extLst>
            <a:ext uri="{FF2B5EF4-FFF2-40B4-BE49-F238E27FC236}">
              <a16:creationId xmlns:a16="http://schemas.microsoft.com/office/drawing/2014/main" xmlns="" id="{00000000-0008-0000-0000-000072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931" name="Text Box 66">
          <a:extLst>
            <a:ext uri="{FF2B5EF4-FFF2-40B4-BE49-F238E27FC236}">
              <a16:creationId xmlns:a16="http://schemas.microsoft.com/office/drawing/2014/main" xmlns="" id="{00000000-0008-0000-0000-000073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932" name="Text Box 67">
          <a:extLst>
            <a:ext uri="{FF2B5EF4-FFF2-40B4-BE49-F238E27FC236}">
              <a16:creationId xmlns:a16="http://schemas.microsoft.com/office/drawing/2014/main" xmlns="" id="{00000000-0008-0000-0000-000074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933" name="Text Box 68">
          <a:extLst>
            <a:ext uri="{FF2B5EF4-FFF2-40B4-BE49-F238E27FC236}">
              <a16:creationId xmlns:a16="http://schemas.microsoft.com/office/drawing/2014/main" xmlns="" id="{00000000-0008-0000-0000-000075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934" name="Text Box 69">
          <a:extLst>
            <a:ext uri="{FF2B5EF4-FFF2-40B4-BE49-F238E27FC236}">
              <a16:creationId xmlns:a16="http://schemas.microsoft.com/office/drawing/2014/main" xmlns="" id="{00000000-0008-0000-0000-000076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935" name="Text Box 70">
          <a:extLst>
            <a:ext uri="{FF2B5EF4-FFF2-40B4-BE49-F238E27FC236}">
              <a16:creationId xmlns:a16="http://schemas.microsoft.com/office/drawing/2014/main" xmlns="" id="{00000000-0008-0000-0000-000077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936" name="Text Box 71">
          <a:extLst>
            <a:ext uri="{FF2B5EF4-FFF2-40B4-BE49-F238E27FC236}">
              <a16:creationId xmlns:a16="http://schemas.microsoft.com/office/drawing/2014/main" xmlns="" id="{00000000-0008-0000-0000-000078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937" name="Text Box 72">
          <a:extLst>
            <a:ext uri="{FF2B5EF4-FFF2-40B4-BE49-F238E27FC236}">
              <a16:creationId xmlns:a16="http://schemas.microsoft.com/office/drawing/2014/main" xmlns="" id="{00000000-0008-0000-0000-000079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938" name="Text Box 73">
          <a:extLst>
            <a:ext uri="{FF2B5EF4-FFF2-40B4-BE49-F238E27FC236}">
              <a16:creationId xmlns:a16="http://schemas.microsoft.com/office/drawing/2014/main" xmlns="" id="{00000000-0008-0000-0000-00007A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939" name="Text Box 74">
          <a:extLst>
            <a:ext uri="{FF2B5EF4-FFF2-40B4-BE49-F238E27FC236}">
              <a16:creationId xmlns:a16="http://schemas.microsoft.com/office/drawing/2014/main" xmlns="" id="{00000000-0008-0000-0000-00007B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940" name="Text Box 75">
          <a:extLst>
            <a:ext uri="{FF2B5EF4-FFF2-40B4-BE49-F238E27FC236}">
              <a16:creationId xmlns:a16="http://schemas.microsoft.com/office/drawing/2014/main" xmlns="" id="{00000000-0008-0000-0000-00007C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941" name="Text Box 76">
          <a:extLst>
            <a:ext uri="{FF2B5EF4-FFF2-40B4-BE49-F238E27FC236}">
              <a16:creationId xmlns:a16="http://schemas.microsoft.com/office/drawing/2014/main" xmlns="" id="{00000000-0008-0000-0000-00007D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942" name="Text Box 77">
          <a:extLst>
            <a:ext uri="{FF2B5EF4-FFF2-40B4-BE49-F238E27FC236}">
              <a16:creationId xmlns:a16="http://schemas.microsoft.com/office/drawing/2014/main" xmlns="" id="{00000000-0008-0000-0000-00007E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943" name="Text Box 78">
          <a:extLst>
            <a:ext uri="{FF2B5EF4-FFF2-40B4-BE49-F238E27FC236}">
              <a16:creationId xmlns:a16="http://schemas.microsoft.com/office/drawing/2014/main" xmlns="" id="{00000000-0008-0000-0000-00007F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944" name="Text Box 79">
          <a:extLst>
            <a:ext uri="{FF2B5EF4-FFF2-40B4-BE49-F238E27FC236}">
              <a16:creationId xmlns:a16="http://schemas.microsoft.com/office/drawing/2014/main" xmlns="" id="{00000000-0008-0000-0000-000080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945" name="Text Box 80">
          <a:extLst>
            <a:ext uri="{FF2B5EF4-FFF2-40B4-BE49-F238E27FC236}">
              <a16:creationId xmlns:a16="http://schemas.microsoft.com/office/drawing/2014/main" xmlns="" id="{00000000-0008-0000-0000-000081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946" name="Text Box 81">
          <a:extLst>
            <a:ext uri="{FF2B5EF4-FFF2-40B4-BE49-F238E27FC236}">
              <a16:creationId xmlns:a16="http://schemas.microsoft.com/office/drawing/2014/main" xmlns="" id="{00000000-0008-0000-0000-000082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947" name="Text Box 3079">
          <a:extLst>
            <a:ext uri="{FF2B5EF4-FFF2-40B4-BE49-F238E27FC236}">
              <a16:creationId xmlns:a16="http://schemas.microsoft.com/office/drawing/2014/main" xmlns="" id="{00000000-0008-0000-0000-000083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948" name="Text Box 3080">
          <a:extLst>
            <a:ext uri="{FF2B5EF4-FFF2-40B4-BE49-F238E27FC236}">
              <a16:creationId xmlns:a16="http://schemas.microsoft.com/office/drawing/2014/main" xmlns="" id="{00000000-0008-0000-0000-000084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949" name="Text Box 3081">
          <a:extLst>
            <a:ext uri="{FF2B5EF4-FFF2-40B4-BE49-F238E27FC236}">
              <a16:creationId xmlns:a16="http://schemas.microsoft.com/office/drawing/2014/main" xmlns="" id="{00000000-0008-0000-0000-000085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950" name="Text Box 3082">
          <a:extLst>
            <a:ext uri="{FF2B5EF4-FFF2-40B4-BE49-F238E27FC236}">
              <a16:creationId xmlns:a16="http://schemas.microsoft.com/office/drawing/2014/main" xmlns="" id="{00000000-0008-0000-0000-000086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951" name="Text Box 3083">
          <a:extLst>
            <a:ext uri="{FF2B5EF4-FFF2-40B4-BE49-F238E27FC236}">
              <a16:creationId xmlns:a16="http://schemas.microsoft.com/office/drawing/2014/main" xmlns="" id="{00000000-0008-0000-0000-000087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952" name="Text Box 3084">
          <a:extLst>
            <a:ext uri="{FF2B5EF4-FFF2-40B4-BE49-F238E27FC236}">
              <a16:creationId xmlns:a16="http://schemas.microsoft.com/office/drawing/2014/main" xmlns="" id="{00000000-0008-0000-0000-000088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953" name="Text Box 3085">
          <a:extLst>
            <a:ext uri="{FF2B5EF4-FFF2-40B4-BE49-F238E27FC236}">
              <a16:creationId xmlns:a16="http://schemas.microsoft.com/office/drawing/2014/main" xmlns="" id="{00000000-0008-0000-0000-000089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954" name="Text Box 3086">
          <a:extLst>
            <a:ext uri="{FF2B5EF4-FFF2-40B4-BE49-F238E27FC236}">
              <a16:creationId xmlns:a16="http://schemas.microsoft.com/office/drawing/2014/main" xmlns="" id="{00000000-0008-0000-0000-00008A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955" name="Text Box 3087">
          <a:extLst>
            <a:ext uri="{FF2B5EF4-FFF2-40B4-BE49-F238E27FC236}">
              <a16:creationId xmlns:a16="http://schemas.microsoft.com/office/drawing/2014/main" xmlns="" id="{00000000-0008-0000-0000-00008B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956" name="Text Box 3088">
          <a:extLst>
            <a:ext uri="{FF2B5EF4-FFF2-40B4-BE49-F238E27FC236}">
              <a16:creationId xmlns:a16="http://schemas.microsoft.com/office/drawing/2014/main" xmlns="" id="{00000000-0008-0000-0000-00008C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957" name="Text Box 3089">
          <a:extLst>
            <a:ext uri="{FF2B5EF4-FFF2-40B4-BE49-F238E27FC236}">
              <a16:creationId xmlns:a16="http://schemas.microsoft.com/office/drawing/2014/main" xmlns="" id="{00000000-0008-0000-0000-00008D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958" name="Text Box 3090">
          <a:extLst>
            <a:ext uri="{FF2B5EF4-FFF2-40B4-BE49-F238E27FC236}">
              <a16:creationId xmlns:a16="http://schemas.microsoft.com/office/drawing/2014/main" xmlns="" id="{00000000-0008-0000-0000-00008E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959" name="Text Box 3091">
          <a:extLst>
            <a:ext uri="{FF2B5EF4-FFF2-40B4-BE49-F238E27FC236}">
              <a16:creationId xmlns:a16="http://schemas.microsoft.com/office/drawing/2014/main" xmlns="" id="{00000000-0008-0000-0000-00008F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960" name="Text Box 3092">
          <a:extLst>
            <a:ext uri="{FF2B5EF4-FFF2-40B4-BE49-F238E27FC236}">
              <a16:creationId xmlns:a16="http://schemas.microsoft.com/office/drawing/2014/main" xmlns="" id="{00000000-0008-0000-0000-000090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961" name="Text Box 3093">
          <a:extLst>
            <a:ext uri="{FF2B5EF4-FFF2-40B4-BE49-F238E27FC236}">
              <a16:creationId xmlns:a16="http://schemas.microsoft.com/office/drawing/2014/main" xmlns="" id="{00000000-0008-0000-0000-000091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962" name="Text Box 3094">
          <a:extLst>
            <a:ext uri="{FF2B5EF4-FFF2-40B4-BE49-F238E27FC236}">
              <a16:creationId xmlns:a16="http://schemas.microsoft.com/office/drawing/2014/main" xmlns="" id="{00000000-0008-0000-0000-000092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963" name="Text Box 3095">
          <a:extLst>
            <a:ext uri="{FF2B5EF4-FFF2-40B4-BE49-F238E27FC236}">
              <a16:creationId xmlns:a16="http://schemas.microsoft.com/office/drawing/2014/main" xmlns="" id="{00000000-0008-0000-0000-000093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964" name="Text Box 3096">
          <a:extLst>
            <a:ext uri="{FF2B5EF4-FFF2-40B4-BE49-F238E27FC236}">
              <a16:creationId xmlns:a16="http://schemas.microsoft.com/office/drawing/2014/main" xmlns="" id="{00000000-0008-0000-0000-000094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965" name="Text Box 3097">
          <a:extLst>
            <a:ext uri="{FF2B5EF4-FFF2-40B4-BE49-F238E27FC236}">
              <a16:creationId xmlns:a16="http://schemas.microsoft.com/office/drawing/2014/main" xmlns="" id="{00000000-0008-0000-0000-000095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966" name="Text Box 3098">
          <a:extLst>
            <a:ext uri="{FF2B5EF4-FFF2-40B4-BE49-F238E27FC236}">
              <a16:creationId xmlns:a16="http://schemas.microsoft.com/office/drawing/2014/main" xmlns="" id="{00000000-0008-0000-0000-000096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967" name="Text Box 3099">
          <a:extLst>
            <a:ext uri="{FF2B5EF4-FFF2-40B4-BE49-F238E27FC236}">
              <a16:creationId xmlns:a16="http://schemas.microsoft.com/office/drawing/2014/main" xmlns="" id="{00000000-0008-0000-0000-000097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968" name="Text Box 3100">
          <a:extLst>
            <a:ext uri="{FF2B5EF4-FFF2-40B4-BE49-F238E27FC236}">
              <a16:creationId xmlns:a16="http://schemas.microsoft.com/office/drawing/2014/main" xmlns="" id="{00000000-0008-0000-0000-000098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969" name="Text Box 3101">
          <a:extLst>
            <a:ext uri="{FF2B5EF4-FFF2-40B4-BE49-F238E27FC236}">
              <a16:creationId xmlns:a16="http://schemas.microsoft.com/office/drawing/2014/main" xmlns="" id="{00000000-0008-0000-0000-000099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2970" name="Text Box 3102">
          <a:extLst>
            <a:ext uri="{FF2B5EF4-FFF2-40B4-BE49-F238E27FC236}">
              <a16:creationId xmlns:a16="http://schemas.microsoft.com/office/drawing/2014/main" xmlns="" id="{00000000-0008-0000-0000-00009A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971" name="Text Box 59">
          <a:extLst>
            <a:ext uri="{FF2B5EF4-FFF2-40B4-BE49-F238E27FC236}">
              <a16:creationId xmlns:a16="http://schemas.microsoft.com/office/drawing/2014/main" xmlns="" id="{00000000-0008-0000-0000-00009B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972" name="Text Box 60">
          <a:extLst>
            <a:ext uri="{FF2B5EF4-FFF2-40B4-BE49-F238E27FC236}">
              <a16:creationId xmlns:a16="http://schemas.microsoft.com/office/drawing/2014/main" xmlns="" id="{00000000-0008-0000-0000-00009C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973" name="Text Box 61">
          <a:extLst>
            <a:ext uri="{FF2B5EF4-FFF2-40B4-BE49-F238E27FC236}">
              <a16:creationId xmlns:a16="http://schemas.microsoft.com/office/drawing/2014/main" xmlns="" id="{00000000-0008-0000-0000-00009D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974" name="Text Box 62">
          <a:extLst>
            <a:ext uri="{FF2B5EF4-FFF2-40B4-BE49-F238E27FC236}">
              <a16:creationId xmlns:a16="http://schemas.microsoft.com/office/drawing/2014/main" xmlns="" id="{00000000-0008-0000-0000-00009E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975" name="Text Box 63">
          <a:extLst>
            <a:ext uri="{FF2B5EF4-FFF2-40B4-BE49-F238E27FC236}">
              <a16:creationId xmlns:a16="http://schemas.microsoft.com/office/drawing/2014/main" xmlns="" id="{00000000-0008-0000-0000-00009F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976" name="Text Box 64">
          <a:extLst>
            <a:ext uri="{FF2B5EF4-FFF2-40B4-BE49-F238E27FC236}">
              <a16:creationId xmlns:a16="http://schemas.microsoft.com/office/drawing/2014/main" xmlns="" id="{00000000-0008-0000-0000-0000A0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977" name="Text Box 65">
          <a:extLst>
            <a:ext uri="{FF2B5EF4-FFF2-40B4-BE49-F238E27FC236}">
              <a16:creationId xmlns:a16="http://schemas.microsoft.com/office/drawing/2014/main" xmlns="" id="{00000000-0008-0000-0000-0000A1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978" name="Text Box 66">
          <a:extLst>
            <a:ext uri="{FF2B5EF4-FFF2-40B4-BE49-F238E27FC236}">
              <a16:creationId xmlns:a16="http://schemas.microsoft.com/office/drawing/2014/main" xmlns="" id="{00000000-0008-0000-0000-0000A2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979" name="Text Box 67">
          <a:extLst>
            <a:ext uri="{FF2B5EF4-FFF2-40B4-BE49-F238E27FC236}">
              <a16:creationId xmlns:a16="http://schemas.microsoft.com/office/drawing/2014/main" xmlns="" id="{00000000-0008-0000-0000-0000A3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980" name="Text Box 68">
          <a:extLst>
            <a:ext uri="{FF2B5EF4-FFF2-40B4-BE49-F238E27FC236}">
              <a16:creationId xmlns:a16="http://schemas.microsoft.com/office/drawing/2014/main" xmlns="" id="{00000000-0008-0000-0000-0000A4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981" name="Text Box 69">
          <a:extLst>
            <a:ext uri="{FF2B5EF4-FFF2-40B4-BE49-F238E27FC236}">
              <a16:creationId xmlns:a16="http://schemas.microsoft.com/office/drawing/2014/main" xmlns="" id="{00000000-0008-0000-0000-0000A5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982" name="Text Box 70">
          <a:extLst>
            <a:ext uri="{FF2B5EF4-FFF2-40B4-BE49-F238E27FC236}">
              <a16:creationId xmlns:a16="http://schemas.microsoft.com/office/drawing/2014/main" xmlns="" id="{00000000-0008-0000-0000-0000A6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983" name="Text Box 71">
          <a:extLst>
            <a:ext uri="{FF2B5EF4-FFF2-40B4-BE49-F238E27FC236}">
              <a16:creationId xmlns:a16="http://schemas.microsoft.com/office/drawing/2014/main" xmlns="" id="{00000000-0008-0000-0000-0000A7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984" name="Text Box 72">
          <a:extLst>
            <a:ext uri="{FF2B5EF4-FFF2-40B4-BE49-F238E27FC236}">
              <a16:creationId xmlns:a16="http://schemas.microsoft.com/office/drawing/2014/main" xmlns="" id="{00000000-0008-0000-0000-0000A8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985" name="Text Box 73">
          <a:extLst>
            <a:ext uri="{FF2B5EF4-FFF2-40B4-BE49-F238E27FC236}">
              <a16:creationId xmlns:a16="http://schemas.microsoft.com/office/drawing/2014/main" xmlns="" id="{00000000-0008-0000-0000-0000A9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986" name="Text Box 74">
          <a:extLst>
            <a:ext uri="{FF2B5EF4-FFF2-40B4-BE49-F238E27FC236}">
              <a16:creationId xmlns:a16="http://schemas.microsoft.com/office/drawing/2014/main" xmlns="" id="{00000000-0008-0000-0000-0000AA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987" name="Text Box 75">
          <a:extLst>
            <a:ext uri="{FF2B5EF4-FFF2-40B4-BE49-F238E27FC236}">
              <a16:creationId xmlns:a16="http://schemas.microsoft.com/office/drawing/2014/main" xmlns="" id="{00000000-0008-0000-0000-0000AB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988" name="Text Box 76">
          <a:extLst>
            <a:ext uri="{FF2B5EF4-FFF2-40B4-BE49-F238E27FC236}">
              <a16:creationId xmlns:a16="http://schemas.microsoft.com/office/drawing/2014/main" xmlns="" id="{00000000-0008-0000-0000-0000AC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989" name="Text Box 77">
          <a:extLst>
            <a:ext uri="{FF2B5EF4-FFF2-40B4-BE49-F238E27FC236}">
              <a16:creationId xmlns:a16="http://schemas.microsoft.com/office/drawing/2014/main" xmlns="" id="{00000000-0008-0000-0000-0000AD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990" name="Text Box 78">
          <a:extLst>
            <a:ext uri="{FF2B5EF4-FFF2-40B4-BE49-F238E27FC236}">
              <a16:creationId xmlns:a16="http://schemas.microsoft.com/office/drawing/2014/main" xmlns="" id="{00000000-0008-0000-0000-0000AE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991" name="Text Box 79">
          <a:extLst>
            <a:ext uri="{FF2B5EF4-FFF2-40B4-BE49-F238E27FC236}">
              <a16:creationId xmlns:a16="http://schemas.microsoft.com/office/drawing/2014/main" xmlns="" id="{00000000-0008-0000-0000-0000AF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992" name="Text Box 80">
          <a:extLst>
            <a:ext uri="{FF2B5EF4-FFF2-40B4-BE49-F238E27FC236}">
              <a16:creationId xmlns:a16="http://schemas.microsoft.com/office/drawing/2014/main" xmlns="" id="{00000000-0008-0000-0000-0000B0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2993" name="Text Box 81">
          <a:extLst>
            <a:ext uri="{FF2B5EF4-FFF2-40B4-BE49-F238E27FC236}">
              <a16:creationId xmlns:a16="http://schemas.microsoft.com/office/drawing/2014/main" xmlns="" id="{00000000-0008-0000-0000-0000B1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47625"/>
    <xdr:sp macro="" textlink="">
      <xdr:nvSpPr>
        <xdr:cNvPr id="2994" name="Text Box 82">
          <a:extLst>
            <a:ext uri="{FF2B5EF4-FFF2-40B4-BE49-F238E27FC236}">
              <a16:creationId xmlns:a16="http://schemas.microsoft.com/office/drawing/2014/main" xmlns="" id="{00000000-0008-0000-0000-0000B2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995" name="Text Box 3079">
          <a:extLst>
            <a:ext uri="{FF2B5EF4-FFF2-40B4-BE49-F238E27FC236}">
              <a16:creationId xmlns:a16="http://schemas.microsoft.com/office/drawing/2014/main" xmlns="" id="{00000000-0008-0000-0000-0000B3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996" name="Text Box 3080">
          <a:extLst>
            <a:ext uri="{FF2B5EF4-FFF2-40B4-BE49-F238E27FC236}">
              <a16:creationId xmlns:a16="http://schemas.microsoft.com/office/drawing/2014/main" xmlns="" id="{00000000-0008-0000-0000-0000B4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997" name="Text Box 3081">
          <a:extLst>
            <a:ext uri="{FF2B5EF4-FFF2-40B4-BE49-F238E27FC236}">
              <a16:creationId xmlns:a16="http://schemas.microsoft.com/office/drawing/2014/main" xmlns="" id="{00000000-0008-0000-0000-0000B5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998" name="Text Box 3082">
          <a:extLst>
            <a:ext uri="{FF2B5EF4-FFF2-40B4-BE49-F238E27FC236}">
              <a16:creationId xmlns:a16="http://schemas.microsoft.com/office/drawing/2014/main" xmlns="" id="{00000000-0008-0000-0000-0000B6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2999" name="Text Box 3083">
          <a:extLst>
            <a:ext uri="{FF2B5EF4-FFF2-40B4-BE49-F238E27FC236}">
              <a16:creationId xmlns:a16="http://schemas.microsoft.com/office/drawing/2014/main" xmlns="" id="{00000000-0008-0000-0000-0000B7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000" name="Text Box 3084">
          <a:extLst>
            <a:ext uri="{FF2B5EF4-FFF2-40B4-BE49-F238E27FC236}">
              <a16:creationId xmlns:a16="http://schemas.microsoft.com/office/drawing/2014/main" xmlns="" id="{00000000-0008-0000-0000-0000B8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001" name="Text Box 3085">
          <a:extLst>
            <a:ext uri="{FF2B5EF4-FFF2-40B4-BE49-F238E27FC236}">
              <a16:creationId xmlns:a16="http://schemas.microsoft.com/office/drawing/2014/main" xmlns="" id="{00000000-0008-0000-0000-0000B9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002" name="Text Box 3086">
          <a:extLst>
            <a:ext uri="{FF2B5EF4-FFF2-40B4-BE49-F238E27FC236}">
              <a16:creationId xmlns:a16="http://schemas.microsoft.com/office/drawing/2014/main" xmlns="" id="{00000000-0008-0000-0000-0000BA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003" name="Text Box 3087">
          <a:extLst>
            <a:ext uri="{FF2B5EF4-FFF2-40B4-BE49-F238E27FC236}">
              <a16:creationId xmlns:a16="http://schemas.microsoft.com/office/drawing/2014/main" xmlns="" id="{00000000-0008-0000-0000-0000BB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004" name="Text Box 3088">
          <a:extLst>
            <a:ext uri="{FF2B5EF4-FFF2-40B4-BE49-F238E27FC236}">
              <a16:creationId xmlns:a16="http://schemas.microsoft.com/office/drawing/2014/main" xmlns="" id="{00000000-0008-0000-0000-0000BC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005" name="Text Box 3089">
          <a:extLst>
            <a:ext uri="{FF2B5EF4-FFF2-40B4-BE49-F238E27FC236}">
              <a16:creationId xmlns:a16="http://schemas.microsoft.com/office/drawing/2014/main" xmlns="" id="{00000000-0008-0000-0000-0000BD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006" name="Text Box 3090">
          <a:extLst>
            <a:ext uri="{FF2B5EF4-FFF2-40B4-BE49-F238E27FC236}">
              <a16:creationId xmlns:a16="http://schemas.microsoft.com/office/drawing/2014/main" xmlns="" id="{00000000-0008-0000-0000-0000BE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007" name="Text Box 3091">
          <a:extLst>
            <a:ext uri="{FF2B5EF4-FFF2-40B4-BE49-F238E27FC236}">
              <a16:creationId xmlns:a16="http://schemas.microsoft.com/office/drawing/2014/main" xmlns="" id="{00000000-0008-0000-0000-0000BF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008" name="Text Box 3092">
          <a:extLst>
            <a:ext uri="{FF2B5EF4-FFF2-40B4-BE49-F238E27FC236}">
              <a16:creationId xmlns:a16="http://schemas.microsoft.com/office/drawing/2014/main" xmlns="" id="{00000000-0008-0000-0000-0000C0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009" name="Text Box 3093">
          <a:extLst>
            <a:ext uri="{FF2B5EF4-FFF2-40B4-BE49-F238E27FC236}">
              <a16:creationId xmlns:a16="http://schemas.microsoft.com/office/drawing/2014/main" xmlns="" id="{00000000-0008-0000-0000-0000C1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010" name="Text Box 3094">
          <a:extLst>
            <a:ext uri="{FF2B5EF4-FFF2-40B4-BE49-F238E27FC236}">
              <a16:creationId xmlns:a16="http://schemas.microsoft.com/office/drawing/2014/main" xmlns="" id="{00000000-0008-0000-0000-0000C2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011" name="Text Box 3095">
          <a:extLst>
            <a:ext uri="{FF2B5EF4-FFF2-40B4-BE49-F238E27FC236}">
              <a16:creationId xmlns:a16="http://schemas.microsoft.com/office/drawing/2014/main" xmlns="" id="{00000000-0008-0000-0000-0000C3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012" name="Text Box 3096">
          <a:extLst>
            <a:ext uri="{FF2B5EF4-FFF2-40B4-BE49-F238E27FC236}">
              <a16:creationId xmlns:a16="http://schemas.microsoft.com/office/drawing/2014/main" xmlns="" id="{00000000-0008-0000-0000-0000C4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013" name="Text Box 3097">
          <a:extLst>
            <a:ext uri="{FF2B5EF4-FFF2-40B4-BE49-F238E27FC236}">
              <a16:creationId xmlns:a16="http://schemas.microsoft.com/office/drawing/2014/main" xmlns="" id="{00000000-0008-0000-0000-0000C5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014" name="Text Box 3098">
          <a:extLst>
            <a:ext uri="{FF2B5EF4-FFF2-40B4-BE49-F238E27FC236}">
              <a16:creationId xmlns:a16="http://schemas.microsoft.com/office/drawing/2014/main" xmlns="" id="{00000000-0008-0000-0000-0000C6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015" name="Text Box 3099">
          <a:extLst>
            <a:ext uri="{FF2B5EF4-FFF2-40B4-BE49-F238E27FC236}">
              <a16:creationId xmlns:a16="http://schemas.microsoft.com/office/drawing/2014/main" xmlns="" id="{00000000-0008-0000-0000-0000C7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016" name="Text Box 3100">
          <a:extLst>
            <a:ext uri="{FF2B5EF4-FFF2-40B4-BE49-F238E27FC236}">
              <a16:creationId xmlns:a16="http://schemas.microsoft.com/office/drawing/2014/main" xmlns="" id="{00000000-0008-0000-0000-0000C8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017" name="Text Box 3101">
          <a:extLst>
            <a:ext uri="{FF2B5EF4-FFF2-40B4-BE49-F238E27FC236}">
              <a16:creationId xmlns:a16="http://schemas.microsoft.com/office/drawing/2014/main" xmlns="" id="{00000000-0008-0000-0000-0000C9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3018" name="Text Box 3102">
          <a:extLst>
            <a:ext uri="{FF2B5EF4-FFF2-40B4-BE49-F238E27FC236}">
              <a16:creationId xmlns:a16="http://schemas.microsoft.com/office/drawing/2014/main" xmlns="" id="{00000000-0008-0000-0000-0000CA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019" name="Text Box 59">
          <a:extLst>
            <a:ext uri="{FF2B5EF4-FFF2-40B4-BE49-F238E27FC236}">
              <a16:creationId xmlns:a16="http://schemas.microsoft.com/office/drawing/2014/main" xmlns="" id="{00000000-0008-0000-0000-0000CB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020" name="Text Box 60">
          <a:extLst>
            <a:ext uri="{FF2B5EF4-FFF2-40B4-BE49-F238E27FC236}">
              <a16:creationId xmlns:a16="http://schemas.microsoft.com/office/drawing/2014/main" xmlns="" id="{00000000-0008-0000-0000-0000CC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021" name="Text Box 61">
          <a:extLst>
            <a:ext uri="{FF2B5EF4-FFF2-40B4-BE49-F238E27FC236}">
              <a16:creationId xmlns:a16="http://schemas.microsoft.com/office/drawing/2014/main" xmlns="" id="{00000000-0008-0000-0000-0000CD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022" name="Text Box 62">
          <a:extLst>
            <a:ext uri="{FF2B5EF4-FFF2-40B4-BE49-F238E27FC236}">
              <a16:creationId xmlns:a16="http://schemas.microsoft.com/office/drawing/2014/main" xmlns="" id="{00000000-0008-0000-0000-0000CE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023" name="Text Box 63">
          <a:extLst>
            <a:ext uri="{FF2B5EF4-FFF2-40B4-BE49-F238E27FC236}">
              <a16:creationId xmlns:a16="http://schemas.microsoft.com/office/drawing/2014/main" xmlns="" id="{00000000-0008-0000-0000-0000CF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024" name="Text Box 64">
          <a:extLst>
            <a:ext uri="{FF2B5EF4-FFF2-40B4-BE49-F238E27FC236}">
              <a16:creationId xmlns:a16="http://schemas.microsoft.com/office/drawing/2014/main" xmlns="" id="{00000000-0008-0000-0000-0000D0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025" name="Text Box 65">
          <a:extLst>
            <a:ext uri="{FF2B5EF4-FFF2-40B4-BE49-F238E27FC236}">
              <a16:creationId xmlns:a16="http://schemas.microsoft.com/office/drawing/2014/main" xmlns="" id="{00000000-0008-0000-0000-0000D1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026" name="Text Box 66">
          <a:extLst>
            <a:ext uri="{FF2B5EF4-FFF2-40B4-BE49-F238E27FC236}">
              <a16:creationId xmlns:a16="http://schemas.microsoft.com/office/drawing/2014/main" xmlns="" id="{00000000-0008-0000-0000-0000D2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027" name="Text Box 67">
          <a:extLst>
            <a:ext uri="{FF2B5EF4-FFF2-40B4-BE49-F238E27FC236}">
              <a16:creationId xmlns:a16="http://schemas.microsoft.com/office/drawing/2014/main" xmlns="" id="{00000000-0008-0000-0000-0000D3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028" name="Text Box 68">
          <a:extLst>
            <a:ext uri="{FF2B5EF4-FFF2-40B4-BE49-F238E27FC236}">
              <a16:creationId xmlns:a16="http://schemas.microsoft.com/office/drawing/2014/main" xmlns="" id="{00000000-0008-0000-0000-0000D4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029" name="Text Box 69">
          <a:extLst>
            <a:ext uri="{FF2B5EF4-FFF2-40B4-BE49-F238E27FC236}">
              <a16:creationId xmlns:a16="http://schemas.microsoft.com/office/drawing/2014/main" xmlns="" id="{00000000-0008-0000-0000-0000D5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030" name="Text Box 70">
          <a:extLst>
            <a:ext uri="{FF2B5EF4-FFF2-40B4-BE49-F238E27FC236}">
              <a16:creationId xmlns:a16="http://schemas.microsoft.com/office/drawing/2014/main" xmlns="" id="{00000000-0008-0000-0000-0000D6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031" name="Text Box 71">
          <a:extLst>
            <a:ext uri="{FF2B5EF4-FFF2-40B4-BE49-F238E27FC236}">
              <a16:creationId xmlns:a16="http://schemas.microsoft.com/office/drawing/2014/main" xmlns="" id="{00000000-0008-0000-0000-0000D7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032" name="Text Box 72">
          <a:extLst>
            <a:ext uri="{FF2B5EF4-FFF2-40B4-BE49-F238E27FC236}">
              <a16:creationId xmlns:a16="http://schemas.microsoft.com/office/drawing/2014/main" xmlns="" id="{00000000-0008-0000-0000-0000D8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033" name="Text Box 73">
          <a:extLst>
            <a:ext uri="{FF2B5EF4-FFF2-40B4-BE49-F238E27FC236}">
              <a16:creationId xmlns:a16="http://schemas.microsoft.com/office/drawing/2014/main" xmlns="" id="{00000000-0008-0000-0000-0000D9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034" name="Text Box 74">
          <a:extLst>
            <a:ext uri="{FF2B5EF4-FFF2-40B4-BE49-F238E27FC236}">
              <a16:creationId xmlns:a16="http://schemas.microsoft.com/office/drawing/2014/main" xmlns="" id="{00000000-0008-0000-0000-0000DA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035" name="Text Box 75">
          <a:extLst>
            <a:ext uri="{FF2B5EF4-FFF2-40B4-BE49-F238E27FC236}">
              <a16:creationId xmlns:a16="http://schemas.microsoft.com/office/drawing/2014/main" xmlns="" id="{00000000-0008-0000-0000-0000DB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036" name="Text Box 76">
          <a:extLst>
            <a:ext uri="{FF2B5EF4-FFF2-40B4-BE49-F238E27FC236}">
              <a16:creationId xmlns:a16="http://schemas.microsoft.com/office/drawing/2014/main" xmlns="" id="{00000000-0008-0000-0000-0000DC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037" name="Text Box 77">
          <a:extLst>
            <a:ext uri="{FF2B5EF4-FFF2-40B4-BE49-F238E27FC236}">
              <a16:creationId xmlns:a16="http://schemas.microsoft.com/office/drawing/2014/main" xmlns="" id="{00000000-0008-0000-0000-0000DD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038" name="Text Box 78">
          <a:extLst>
            <a:ext uri="{FF2B5EF4-FFF2-40B4-BE49-F238E27FC236}">
              <a16:creationId xmlns:a16="http://schemas.microsoft.com/office/drawing/2014/main" xmlns="" id="{00000000-0008-0000-0000-0000DE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039" name="Text Box 79">
          <a:extLst>
            <a:ext uri="{FF2B5EF4-FFF2-40B4-BE49-F238E27FC236}">
              <a16:creationId xmlns:a16="http://schemas.microsoft.com/office/drawing/2014/main" xmlns="" id="{00000000-0008-0000-0000-0000DF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040" name="Text Box 80">
          <a:extLst>
            <a:ext uri="{FF2B5EF4-FFF2-40B4-BE49-F238E27FC236}">
              <a16:creationId xmlns:a16="http://schemas.microsoft.com/office/drawing/2014/main" xmlns="" id="{00000000-0008-0000-0000-0000E0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041" name="Text Box 81">
          <a:extLst>
            <a:ext uri="{FF2B5EF4-FFF2-40B4-BE49-F238E27FC236}">
              <a16:creationId xmlns:a16="http://schemas.microsoft.com/office/drawing/2014/main" xmlns="" id="{00000000-0008-0000-0000-0000E1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042" name="Text Box 3079">
          <a:extLst>
            <a:ext uri="{FF2B5EF4-FFF2-40B4-BE49-F238E27FC236}">
              <a16:creationId xmlns:a16="http://schemas.microsoft.com/office/drawing/2014/main" xmlns="" id="{00000000-0008-0000-0000-0000E2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043" name="Text Box 3080">
          <a:extLst>
            <a:ext uri="{FF2B5EF4-FFF2-40B4-BE49-F238E27FC236}">
              <a16:creationId xmlns:a16="http://schemas.microsoft.com/office/drawing/2014/main" xmlns="" id="{00000000-0008-0000-0000-0000E3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044" name="Text Box 3081">
          <a:extLst>
            <a:ext uri="{FF2B5EF4-FFF2-40B4-BE49-F238E27FC236}">
              <a16:creationId xmlns:a16="http://schemas.microsoft.com/office/drawing/2014/main" xmlns="" id="{00000000-0008-0000-0000-0000E4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045" name="Text Box 3082">
          <a:extLst>
            <a:ext uri="{FF2B5EF4-FFF2-40B4-BE49-F238E27FC236}">
              <a16:creationId xmlns:a16="http://schemas.microsoft.com/office/drawing/2014/main" xmlns="" id="{00000000-0008-0000-0000-0000E5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046" name="Text Box 3083">
          <a:extLst>
            <a:ext uri="{FF2B5EF4-FFF2-40B4-BE49-F238E27FC236}">
              <a16:creationId xmlns:a16="http://schemas.microsoft.com/office/drawing/2014/main" xmlns="" id="{00000000-0008-0000-0000-0000E6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047" name="Text Box 3084">
          <a:extLst>
            <a:ext uri="{FF2B5EF4-FFF2-40B4-BE49-F238E27FC236}">
              <a16:creationId xmlns:a16="http://schemas.microsoft.com/office/drawing/2014/main" xmlns="" id="{00000000-0008-0000-0000-0000E7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048" name="Text Box 3085">
          <a:extLst>
            <a:ext uri="{FF2B5EF4-FFF2-40B4-BE49-F238E27FC236}">
              <a16:creationId xmlns:a16="http://schemas.microsoft.com/office/drawing/2014/main" xmlns="" id="{00000000-0008-0000-0000-0000E8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049" name="Text Box 3086">
          <a:extLst>
            <a:ext uri="{FF2B5EF4-FFF2-40B4-BE49-F238E27FC236}">
              <a16:creationId xmlns:a16="http://schemas.microsoft.com/office/drawing/2014/main" xmlns="" id="{00000000-0008-0000-0000-0000E9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050" name="Text Box 3087">
          <a:extLst>
            <a:ext uri="{FF2B5EF4-FFF2-40B4-BE49-F238E27FC236}">
              <a16:creationId xmlns:a16="http://schemas.microsoft.com/office/drawing/2014/main" xmlns="" id="{00000000-0008-0000-0000-0000EA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051" name="Text Box 3088">
          <a:extLst>
            <a:ext uri="{FF2B5EF4-FFF2-40B4-BE49-F238E27FC236}">
              <a16:creationId xmlns:a16="http://schemas.microsoft.com/office/drawing/2014/main" xmlns="" id="{00000000-0008-0000-0000-0000EB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052" name="Text Box 3089">
          <a:extLst>
            <a:ext uri="{FF2B5EF4-FFF2-40B4-BE49-F238E27FC236}">
              <a16:creationId xmlns:a16="http://schemas.microsoft.com/office/drawing/2014/main" xmlns="" id="{00000000-0008-0000-0000-0000EC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053" name="Text Box 3090">
          <a:extLst>
            <a:ext uri="{FF2B5EF4-FFF2-40B4-BE49-F238E27FC236}">
              <a16:creationId xmlns:a16="http://schemas.microsoft.com/office/drawing/2014/main" xmlns="" id="{00000000-0008-0000-0000-0000ED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054" name="Text Box 3091">
          <a:extLst>
            <a:ext uri="{FF2B5EF4-FFF2-40B4-BE49-F238E27FC236}">
              <a16:creationId xmlns:a16="http://schemas.microsoft.com/office/drawing/2014/main" xmlns="" id="{00000000-0008-0000-0000-0000EE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055" name="Text Box 3092">
          <a:extLst>
            <a:ext uri="{FF2B5EF4-FFF2-40B4-BE49-F238E27FC236}">
              <a16:creationId xmlns:a16="http://schemas.microsoft.com/office/drawing/2014/main" xmlns="" id="{00000000-0008-0000-0000-0000EF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056" name="Text Box 3093">
          <a:extLst>
            <a:ext uri="{FF2B5EF4-FFF2-40B4-BE49-F238E27FC236}">
              <a16:creationId xmlns:a16="http://schemas.microsoft.com/office/drawing/2014/main" xmlns="" id="{00000000-0008-0000-0000-0000F0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057" name="Text Box 3094">
          <a:extLst>
            <a:ext uri="{FF2B5EF4-FFF2-40B4-BE49-F238E27FC236}">
              <a16:creationId xmlns:a16="http://schemas.microsoft.com/office/drawing/2014/main" xmlns="" id="{00000000-0008-0000-0000-0000F1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058" name="Text Box 3095">
          <a:extLst>
            <a:ext uri="{FF2B5EF4-FFF2-40B4-BE49-F238E27FC236}">
              <a16:creationId xmlns:a16="http://schemas.microsoft.com/office/drawing/2014/main" xmlns="" id="{00000000-0008-0000-0000-0000F2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059" name="Text Box 3096">
          <a:extLst>
            <a:ext uri="{FF2B5EF4-FFF2-40B4-BE49-F238E27FC236}">
              <a16:creationId xmlns:a16="http://schemas.microsoft.com/office/drawing/2014/main" xmlns="" id="{00000000-0008-0000-0000-0000F3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060" name="Text Box 3097">
          <a:extLst>
            <a:ext uri="{FF2B5EF4-FFF2-40B4-BE49-F238E27FC236}">
              <a16:creationId xmlns:a16="http://schemas.microsoft.com/office/drawing/2014/main" xmlns="" id="{00000000-0008-0000-0000-0000F4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061" name="Text Box 3098">
          <a:extLst>
            <a:ext uri="{FF2B5EF4-FFF2-40B4-BE49-F238E27FC236}">
              <a16:creationId xmlns:a16="http://schemas.microsoft.com/office/drawing/2014/main" xmlns="" id="{00000000-0008-0000-0000-0000F5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062" name="Text Box 3099">
          <a:extLst>
            <a:ext uri="{FF2B5EF4-FFF2-40B4-BE49-F238E27FC236}">
              <a16:creationId xmlns:a16="http://schemas.microsoft.com/office/drawing/2014/main" xmlns="" id="{00000000-0008-0000-0000-0000F6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063" name="Text Box 3100">
          <a:extLst>
            <a:ext uri="{FF2B5EF4-FFF2-40B4-BE49-F238E27FC236}">
              <a16:creationId xmlns:a16="http://schemas.microsoft.com/office/drawing/2014/main" xmlns="" id="{00000000-0008-0000-0000-0000F7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064" name="Text Box 3101">
          <a:extLst>
            <a:ext uri="{FF2B5EF4-FFF2-40B4-BE49-F238E27FC236}">
              <a16:creationId xmlns:a16="http://schemas.microsoft.com/office/drawing/2014/main" xmlns="" id="{00000000-0008-0000-0000-0000F8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3065" name="Text Box 3102">
          <a:extLst>
            <a:ext uri="{FF2B5EF4-FFF2-40B4-BE49-F238E27FC236}">
              <a16:creationId xmlns:a16="http://schemas.microsoft.com/office/drawing/2014/main" xmlns="" id="{00000000-0008-0000-0000-0000F9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066" name="Text Box 59">
          <a:extLst>
            <a:ext uri="{FF2B5EF4-FFF2-40B4-BE49-F238E27FC236}">
              <a16:creationId xmlns:a16="http://schemas.microsoft.com/office/drawing/2014/main" xmlns="" id="{00000000-0008-0000-0000-0000FA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067" name="Text Box 60">
          <a:extLst>
            <a:ext uri="{FF2B5EF4-FFF2-40B4-BE49-F238E27FC236}">
              <a16:creationId xmlns:a16="http://schemas.microsoft.com/office/drawing/2014/main" xmlns="" id="{00000000-0008-0000-0000-0000FB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068" name="Text Box 61">
          <a:extLst>
            <a:ext uri="{FF2B5EF4-FFF2-40B4-BE49-F238E27FC236}">
              <a16:creationId xmlns:a16="http://schemas.microsoft.com/office/drawing/2014/main" xmlns="" id="{00000000-0008-0000-0000-0000FC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069" name="Text Box 62">
          <a:extLst>
            <a:ext uri="{FF2B5EF4-FFF2-40B4-BE49-F238E27FC236}">
              <a16:creationId xmlns:a16="http://schemas.microsoft.com/office/drawing/2014/main" xmlns="" id="{00000000-0008-0000-0000-0000FD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070" name="Text Box 63">
          <a:extLst>
            <a:ext uri="{FF2B5EF4-FFF2-40B4-BE49-F238E27FC236}">
              <a16:creationId xmlns:a16="http://schemas.microsoft.com/office/drawing/2014/main" xmlns="" id="{00000000-0008-0000-0000-0000FE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071" name="Text Box 64">
          <a:extLst>
            <a:ext uri="{FF2B5EF4-FFF2-40B4-BE49-F238E27FC236}">
              <a16:creationId xmlns:a16="http://schemas.microsoft.com/office/drawing/2014/main" xmlns="" id="{00000000-0008-0000-0000-0000FF0B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072" name="Text Box 65">
          <a:extLst>
            <a:ext uri="{FF2B5EF4-FFF2-40B4-BE49-F238E27FC236}">
              <a16:creationId xmlns:a16="http://schemas.microsoft.com/office/drawing/2014/main" xmlns="" id="{00000000-0008-0000-0000-000000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073" name="Text Box 66">
          <a:extLst>
            <a:ext uri="{FF2B5EF4-FFF2-40B4-BE49-F238E27FC236}">
              <a16:creationId xmlns:a16="http://schemas.microsoft.com/office/drawing/2014/main" xmlns="" id="{00000000-0008-0000-0000-000001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074" name="Text Box 67">
          <a:extLst>
            <a:ext uri="{FF2B5EF4-FFF2-40B4-BE49-F238E27FC236}">
              <a16:creationId xmlns:a16="http://schemas.microsoft.com/office/drawing/2014/main" xmlns="" id="{00000000-0008-0000-0000-000002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075" name="Text Box 68">
          <a:extLst>
            <a:ext uri="{FF2B5EF4-FFF2-40B4-BE49-F238E27FC236}">
              <a16:creationId xmlns:a16="http://schemas.microsoft.com/office/drawing/2014/main" xmlns="" id="{00000000-0008-0000-0000-000003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076" name="Text Box 69">
          <a:extLst>
            <a:ext uri="{FF2B5EF4-FFF2-40B4-BE49-F238E27FC236}">
              <a16:creationId xmlns:a16="http://schemas.microsoft.com/office/drawing/2014/main" xmlns="" id="{00000000-0008-0000-0000-000004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077" name="Text Box 70">
          <a:extLst>
            <a:ext uri="{FF2B5EF4-FFF2-40B4-BE49-F238E27FC236}">
              <a16:creationId xmlns:a16="http://schemas.microsoft.com/office/drawing/2014/main" xmlns="" id="{00000000-0008-0000-0000-000005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078" name="Text Box 71">
          <a:extLst>
            <a:ext uri="{FF2B5EF4-FFF2-40B4-BE49-F238E27FC236}">
              <a16:creationId xmlns:a16="http://schemas.microsoft.com/office/drawing/2014/main" xmlns="" id="{00000000-0008-0000-0000-000006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079" name="Text Box 72">
          <a:extLst>
            <a:ext uri="{FF2B5EF4-FFF2-40B4-BE49-F238E27FC236}">
              <a16:creationId xmlns:a16="http://schemas.microsoft.com/office/drawing/2014/main" xmlns="" id="{00000000-0008-0000-0000-000007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080" name="Text Box 73">
          <a:extLst>
            <a:ext uri="{FF2B5EF4-FFF2-40B4-BE49-F238E27FC236}">
              <a16:creationId xmlns:a16="http://schemas.microsoft.com/office/drawing/2014/main" xmlns="" id="{00000000-0008-0000-0000-000008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081" name="Text Box 74">
          <a:extLst>
            <a:ext uri="{FF2B5EF4-FFF2-40B4-BE49-F238E27FC236}">
              <a16:creationId xmlns:a16="http://schemas.microsoft.com/office/drawing/2014/main" xmlns="" id="{00000000-0008-0000-0000-000009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082" name="Text Box 75">
          <a:extLst>
            <a:ext uri="{FF2B5EF4-FFF2-40B4-BE49-F238E27FC236}">
              <a16:creationId xmlns:a16="http://schemas.microsoft.com/office/drawing/2014/main" xmlns="" id="{00000000-0008-0000-0000-00000A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083" name="Text Box 76">
          <a:extLst>
            <a:ext uri="{FF2B5EF4-FFF2-40B4-BE49-F238E27FC236}">
              <a16:creationId xmlns:a16="http://schemas.microsoft.com/office/drawing/2014/main" xmlns="" id="{00000000-0008-0000-0000-00000B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084" name="Text Box 77">
          <a:extLst>
            <a:ext uri="{FF2B5EF4-FFF2-40B4-BE49-F238E27FC236}">
              <a16:creationId xmlns:a16="http://schemas.microsoft.com/office/drawing/2014/main" xmlns="" id="{00000000-0008-0000-0000-00000C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085" name="Text Box 78">
          <a:extLst>
            <a:ext uri="{FF2B5EF4-FFF2-40B4-BE49-F238E27FC236}">
              <a16:creationId xmlns:a16="http://schemas.microsoft.com/office/drawing/2014/main" xmlns="" id="{00000000-0008-0000-0000-00000D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086" name="Text Box 79">
          <a:extLst>
            <a:ext uri="{FF2B5EF4-FFF2-40B4-BE49-F238E27FC236}">
              <a16:creationId xmlns:a16="http://schemas.microsoft.com/office/drawing/2014/main" xmlns="" id="{00000000-0008-0000-0000-00000E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087" name="Text Box 80">
          <a:extLst>
            <a:ext uri="{FF2B5EF4-FFF2-40B4-BE49-F238E27FC236}">
              <a16:creationId xmlns:a16="http://schemas.microsoft.com/office/drawing/2014/main" xmlns="" id="{00000000-0008-0000-0000-00000F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088" name="Text Box 81">
          <a:extLst>
            <a:ext uri="{FF2B5EF4-FFF2-40B4-BE49-F238E27FC236}">
              <a16:creationId xmlns:a16="http://schemas.microsoft.com/office/drawing/2014/main" xmlns="" id="{00000000-0008-0000-0000-000010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47625"/>
    <xdr:sp macro="" textlink="">
      <xdr:nvSpPr>
        <xdr:cNvPr id="3089" name="Text Box 82">
          <a:extLst>
            <a:ext uri="{FF2B5EF4-FFF2-40B4-BE49-F238E27FC236}">
              <a16:creationId xmlns:a16="http://schemas.microsoft.com/office/drawing/2014/main" xmlns="" id="{00000000-0008-0000-0000-000011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090" name="Text Box 3079">
          <a:extLst>
            <a:ext uri="{FF2B5EF4-FFF2-40B4-BE49-F238E27FC236}">
              <a16:creationId xmlns:a16="http://schemas.microsoft.com/office/drawing/2014/main" xmlns="" id="{00000000-0008-0000-0000-000012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091" name="Text Box 3080">
          <a:extLst>
            <a:ext uri="{FF2B5EF4-FFF2-40B4-BE49-F238E27FC236}">
              <a16:creationId xmlns:a16="http://schemas.microsoft.com/office/drawing/2014/main" xmlns="" id="{00000000-0008-0000-0000-000013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092" name="Text Box 3081">
          <a:extLst>
            <a:ext uri="{FF2B5EF4-FFF2-40B4-BE49-F238E27FC236}">
              <a16:creationId xmlns:a16="http://schemas.microsoft.com/office/drawing/2014/main" xmlns="" id="{00000000-0008-0000-0000-000014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093" name="Text Box 3082">
          <a:extLst>
            <a:ext uri="{FF2B5EF4-FFF2-40B4-BE49-F238E27FC236}">
              <a16:creationId xmlns:a16="http://schemas.microsoft.com/office/drawing/2014/main" xmlns="" id="{00000000-0008-0000-0000-000015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094" name="Text Box 3083">
          <a:extLst>
            <a:ext uri="{FF2B5EF4-FFF2-40B4-BE49-F238E27FC236}">
              <a16:creationId xmlns:a16="http://schemas.microsoft.com/office/drawing/2014/main" xmlns="" id="{00000000-0008-0000-0000-000016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095" name="Text Box 3084">
          <a:extLst>
            <a:ext uri="{FF2B5EF4-FFF2-40B4-BE49-F238E27FC236}">
              <a16:creationId xmlns:a16="http://schemas.microsoft.com/office/drawing/2014/main" xmlns="" id="{00000000-0008-0000-0000-000017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096" name="Text Box 3085">
          <a:extLst>
            <a:ext uri="{FF2B5EF4-FFF2-40B4-BE49-F238E27FC236}">
              <a16:creationId xmlns:a16="http://schemas.microsoft.com/office/drawing/2014/main" xmlns="" id="{00000000-0008-0000-0000-000018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097" name="Text Box 3086">
          <a:extLst>
            <a:ext uri="{FF2B5EF4-FFF2-40B4-BE49-F238E27FC236}">
              <a16:creationId xmlns:a16="http://schemas.microsoft.com/office/drawing/2014/main" xmlns="" id="{00000000-0008-0000-0000-000019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098" name="Text Box 3087">
          <a:extLst>
            <a:ext uri="{FF2B5EF4-FFF2-40B4-BE49-F238E27FC236}">
              <a16:creationId xmlns:a16="http://schemas.microsoft.com/office/drawing/2014/main" xmlns="" id="{00000000-0008-0000-0000-00001A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099" name="Text Box 3088">
          <a:extLst>
            <a:ext uri="{FF2B5EF4-FFF2-40B4-BE49-F238E27FC236}">
              <a16:creationId xmlns:a16="http://schemas.microsoft.com/office/drawing/2014/main" xmlns="" id="{00000000-0008-0000-0000-00001B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100" name="Text Box 3089">
          <a:extLst>
            <a:ext uri="{FF2B5EF4-FFF2-40B4-BE49-F238E27FC236}">
              <a16:creationId xmlns:a16="http://schemas.microsoft.com/office/drawing/2014/main" xmlns="" id="{00000000-0008-0000-0000-00001C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101" name="Text Box 3090">
          <a:extLst>
            <a:ext uri="{FF2B5EF4-FFF2-40B4-BE49-F238E27FC236}">
              <a16:creationId xmlns:a16="http://schemas.microsoft.com/office/drawing/2014/main" xmlns="" id="{00000000-0008-0000-0000-00001D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102" name="Text Box 3091">
          <a:extLst>
            <a:ext uri="{FF2B5EF4-FFF2-40B4-BE49-F238E27FC236}">
              <a16:creationId xmlns:a16="http://schemas.microsoft.com/office/drawing/2014/main" xmlns="" id="{00000000-0008-0000-0000-00001E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103" name="Text Box 3092">
          <a:extLst>
            <a:ext uri="{FF2B5EF4-FFF2-40B4-BE49-F238E27FC236}">
              <a16:creationId xmlns:a16="http://schemas.microsoft.com/office/drawing/2014/main" xmlns="" id="{00000000-0008-0000-0000-00001F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104" name="Text Box 3093">
          <a:extLst>
            <a:ext uri="{FF2B5EF4-FFF2-40B4-BE49-F238E27FC236}">
              <a16:creationId xmlns:a16="http://schemas.microsoft.com/office/drawing/2014/main" xmlns="" id="{00000000-0008-0000-0000-000020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105" name="Text Box 3094">
          <a:extLst>
            <a:ext uri="{FF2B5EF4-FFF2-40B4-BE49-F238E27FC236}">
              <a16:creationId xmlns:a16="http://schemas.microsoft.com/office/drawing/2014/main" xmlns="" id="{00000000-0008-0000-0000-000021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106" name="Text Box 3095">
          <a:extLst>
            <a:ext uri="{FF2B5EF4-FFF2-40B4-BE49-F238E27FC236}">
              <a16:creationId xmlns:a16="http://schemas.microsoft.com/office/drawing/2014/main" xmlns="" id="{00000000-0008-0000-0000-000022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107" name="Text Box 3096">
          <a:extLst>
            <a:ext uri="{FF2B5EF4-FFF2-40B4-BE49-F238E27FC236}">
              <a16:creationId xmlns:a16="http://schemas.microsoft.com/office/drawing/2014/main" xmlns="" id="{00000000-0008-0000-0000-000023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108" name="Text Box 3097">
          <a:extLst>
            <a:ext uri="{FF2B5EF4-FFF2-40B4-BE49-F238E27FC236}">
              <a16:creationId xmlns:a16="http://schemas.microsoft.com/office/drawing/2014/main" xmlns="" id="{00000000-0008-0000-0000-000024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109" name="Text Box 3098">
          <a:extLst>
            <a:ext uri="{FF2B5EF4-FFF2-40B4-BE49-F238E27FC236}">
              <a16:creationId xmlns:a16="http://schemas.microsoft.com/office/drawing/2014/main" xmlns="" id="{00000000-0008-0000-0000-000025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110" name="Text Box 3099">
          <a:extLst>
            <a:ext uri="{FF2B5EF4-FFF2-40B4-BE49-F238E27FC236}">
              <a16:creationId xmlns:a16="http://schemas.microsoft.com/office/drawing/2014/main" xmlns="" id="{00000000-0008-0000-0000-000026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111" name="Text Box 3100">
          <a:extLst>
            <a:ext uri="{FF2B5EF4-FFF2-40B4-BE49-F238E27FC236}">
              <a16:creationId xmlns:a16="http://schemas.microsoft.com/office/drawing/2014/main" xmlns="" id="{00000000-0008-0000-0000-000027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112" name="Text Box 3101">
          <a:extLst>
            <a:ext uri="{FF2B5EF4-FFF2-40B4-BE49-F238E27FC236}">
              <a16:creationId xmlns:a16="http://schemas.microsoft.com/office/drawing/2014/main" xmlns="" id="{00000000-0008-0000-0000-000028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3113" name="Text Box 3102">
          <a:extLst>
            <a:ext uri="{FF2B5EF4-FFF2-40B4-BE49-F238E27FC236}">
              <a16:creationId xmlns:a16="http://schemas.microsoft.com/office/drawing/2014/main" xmlns="" id="{00000000-0008-0000-0000-000029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114" name="Text Box 59">
          <a:extLst>
            <a:ext uri="{FF2B5EF4-FFF2-40B4-BE49-F238E27FC236}">
              <a16:creationId xmlns:a16="http://schemas.microsoft.com/office/drawing/2014/main" xmlns="" id="{00000000-0008-0000-0000-00002A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115" name="Text Box 60">
          <a:extLst>
            <a:ext uri="{FF2B5EF4-FFF2-40B4-BE49-F238E27FC236}">
              <a16:creationId xmlns:a16="http://schemas.microsoft.com/office/drawing/2014/main" xmlns="" id="{00000000-0008-0000-0000-00002B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116" name="Text Box 61">
          <a:extLst>
            <a:ext uri="{FF2B5EF4-FFF2-40B4-BE49-F238E27FC236}">
              <a16:creationId xmlns:a16="http://schemas.microsoft.com/office/drawing/2014/main" xmlns="" id="{00000000-0008-0000-0000-00002C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117" name="Text Box 62">
          <a:extLst>
            <a:ext uri="{FF2B5EF4-FFF2-40B4-BE49-F238E27FC236}">
              <a16:creationId xmlns:a16="http://schemas.microsoft.com/office/drawing/2014/main" xmlns="" id="{00000000-0008-0000-0000-00002D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118" name="Text Box 63">
          <a:extLst>
            <a:ext uri="{FF2B5EF4-FFF2-40B4-BE49-F238E27FC236}">
              <a16:creationId xmlns:a16="http://schemas.microsoft.com/office/drawing/2014/main" xmlns="" id="{00000000-0008-0000-0000-00002E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119" name="Text Box 64">
          <a:extLst>
            <a:ext uri="{FF2B5EF4-FFF2-40B4-BE49-F238E27FC236}">
              <a16:creationId xmlns:a16="http://schemas.microsoft.com/office/drawing/2014/main" xmlns="" id="{00000000-0008-0000-0000-00002F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120" name="Text Box 65">
          <a:extLst>
            <a:ext uri="{FF2B5EF4-FFF2-40B4-BE49-F238E27FC236}">
              <a16:creationId xmlns:a16="http://schemas.microsoft.com/office/drawing/2014/main" xmlns="" id="{00000000-0008-0000-0000-000030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121" name="Text Box 66">
          <a:extLst>
            <a:ext uri="{FF2B5EF4-FFF2-40B4-BE49-F238E27FC236}">
              <a16:creationId xmlns:a16="http://schemas.microsoft.com/office/drawing/2014/main" xmlns="" id="{00000000-0008-0000-0000-000031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122" name="Text Box 67">
          <a:extLst>
            <a:ext uri="{FF2B5EF4-FFF2-40B4-BE49-F238E27FC236}">
              <a16:creationId xmlns:a16="http://schemas.microsoft.com/office/drawing/2014/main" xmlns="" id="{00000000-0008-0000-0000-000032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123" name="Text Box 68">
          <a:extLst>
            <a:ext uri="{FF2B5EF4-FFF2-40B4-BE49-F238E27FC236}">
              <a16:creationId xmlns:a16="http://schemas.microsoft.com/office/drawing/2014/main" xmlns="" id="{00000000-0008-0000-0000-000033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124" name="Text Box 69">
          <a:extLst>
            <a:ext uri="{FF2B5EF4-FFF2-40B4-BE49-F238E27FC236}">
              <a16:creationId xmlns:a16="http://schemas.microsoft.com/office/drawing/2014/main" xmlns="" id="{00000000-0008-0000-0000-000034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125" name="Text Box 70">
          <a:extLst>
            <a:ext uri="{FF2B5EF4-FFF2-40B4-BE49-F238E27FC236}">
              <a16:creationId xmlns:a16="http://schemas.microsoft.com/office/drawing/2014/main" xmlns="" id="{00000000-0008-0000-0000-000035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126" name="Text Box 71">
          <a:extLst>
            <a:ext uri="{FF2B5EF4-FFF2-40B4-BE49-F238E27FC236}">
              <a16:creationId xmlns:a16="http://schemas.microsoft.com/office/drawing/2014/main" xmlns="" id="{00000000-0008-0000-0000-000036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127" name="Text Box 72">
          <a:extLst>
            <a:ext uri="{FF2B5EF4-FFF2-40B4-BE49-F238E27FC236}">
              <a16:creationId xmlns:a16="http://schemas.microsoft.com/office/drawing/2014/main" xmlns="" id="{00000000-0008-0000-0000-000037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128" name="Text Box 73">
          <a:extLst>
            <a:ext uri="{FF2B5EF4-FFF2-40B4-BE49-F238E27FC236}">
              <a16:creationId xmlns:a16="http://schemas.microsoft.com/office/drawing/2014/main" xmlns="" id="{00000000-0008-0000-0000-000038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129" name="Text Box 74">
          <a:extLst>
            <a:ext uri="{FF2B5EF4-FFF2-40B4-BE49-F238E27FC236}">
              <a16:creationId xmlns:a16="http://schemas.microsoft.com/office/drawing/2014/main" xmlns="" id="{00000000-0008-0000-0000-000039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130" name="Text Box 75">
          <a:extLst>
            <a:ext uri="{FF2B5EF4-FFF2-40B4-BE49-F238E27FC236}">
              <a16:creationId xmlns:a16="http://schemas.microsoft.com/office/drawing/2014/main" xmlns="" id="{00000000-0008-0000-0000-00003A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131" name="Text Box 76">
          <a:extLst>
            <a:ext uri="{FF2B5EF4-FFF2-40B4-BE49-F238E27FC236}">
              <a16:creationId xmlns:a16="http://schemas.microsoft.com/office/drawing/2014/main" xmlns="" id="{00000000-0008-0000-0000-00003B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132" name="Text Box 77">
          <a:extLst>
            <a:ext uri="{FF2B5EF4-FFF2-40B4-BE49-F238E27FC236}">
              <a16:creationId xmlns:a16="http://schemas.microsoft.com/office/drawing/2014/main" xmlns="" id="{00000000-0008-0000-0000-00003C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133" name="Text Box 78">
          <a:extLst>
            <a:ext uri="{FF2B5EF4-FFF2-40B4-BE49-F238E27FC236}">
              <a16:creationId xmlns:a16="http://schemas.microsoft.com/office/drawing/2014/main" xmlns="" id="{00000000-0008-0000-0000-00003D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134" name="Text Box 79">
          <a:extLst>
            <a:ext uri="{FF2B5EF4-FFF2-40B4-BE49-F238E27FC236}">
              <a16:creationId xmlns:a16="http://schemas.microsoft.com/office/drawing/2014/main" xmlns="" id="{00000000-0008-0000-0000-00003E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135" name="Text Box 80">
          <a:extLst>
            <a:ext uri="{FF2B5EF4-FFF2-40B4-BE49-F238E27FC236}">
              <a16:creationId xmlns:a16="http://schemas.microsoft.com/office/drawing/2014/main" xmlns="" id="{00000000-0008-0000-0000-00003F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136" name="Text Box 81">
          <a:extLst>
            <a:ext uri="{FF2B5EF4-FFF2-40B4-BE49-F238E27FC236}">
              <a16:creationId xmlns:a16="http://schemas.microsoft.com/office/drawing/2014/main" xmlns="" id="{00000000-0008-0000-0000-000040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137" name="Text Box 3079">
          <a:extLst>
            <a:ext uri="{FF2B5EF4-FFF2-40B4-BE49-F238E27FC236}">
              <a16:creationId xmlns:a16="http://schemas.microsoft.com/office/drawing/2014/main" xmlns="" id="{00000000-0008-0000-0000-000041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138" name="Text Box 3080">
          <a:extLst>
            <a:ext uri="{FF2B5EF4-FFF2-40B4-BE49-F238E27FC236}">
              <a16:creationId xmlns:a16="http://schemas.microsoft.com/office/drawing/2014/main" xmlns="" id="{00000000-0008-0000-0000-000042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139" name="Text Box 3081">
          <a:extLst>
            <a:ext uri="{FF2B5EF4-FFF2-40B4-BE49-F238E27FC236}">
              <a16:creationId xmlns:a16="http://schemas.microsoft.com/office/drawing/2014/main" xmlns="" id="{00000000-0008-0000-0000-000043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140" name="Text Box 3082">
          <a:extLst>
            <a:ext uri="{FF2B5EF4-FFF2-40B4-BE49-F238E27FC236}">
              <a16:creationId xmlns:a16="http://schemas.microsoft.com/office/drawing/2014/main" xmlns="" id="{00000000-0008-0000-0000-000044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141" name="Text Box 3083">
          <a:extLst>
            <a:ext uri="{FF2B5EF4-FFF2-40B4-BE49-F238E27FC236}">
              <a16:creationId xmlns:a16="http://schemas.microsoft.com/office/drawing/2014/main" xmlns="" id="{00000000-0008-0000-0000-000045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142" name="Text Box 3084">
          <a:extLst>
            <a:ext uri="{FF2B5EF4-FFF2-40B4-BE49-F238E27FC236}">
              <a16:creationId xmlns:a16="http://schemas.microsoft.com/office/drawing/2014/main" xmlns="" id="{00000000-0008-0000-0000-000046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143" name="Text Box 3085">
          <a:extLst>
            <a:ext uri="{FF2B5EF4-FFF2-40B4-BE49-F238E27FC236}">
              <a16:creationId xmlns:a16="http://schemas.microsoft.com/office/drawing/2014/main" xmlns="" id="{00000000-0008-0000-0000-000047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144" name="Text Box 3086">
          <a:extLst>
            <a:ext uri="{FF2B5EF4-FFF2-40B4-BE49-F238E27FC236}">
              <a16:creationId xmlns:a16="http://schemas.microsoft.com/office/drawing/2014/main" xmlns="" id="{00000000-0008-0000-0000-000048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145" name="Text Box 3087">
          <a:extLst>
            <a:ext uri="{FF2B5EF4-FFF2-40B4-BE49-F238E27FC236}">
              <a16:creationId xmlns:a16="http://schemas.microsoft.com/office/drawing/2014/main" xmlns="" id="{00000000-0008-0000-0000-000049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146" name="Text Box 3088">
          <a:extLst>
            <a:ext uri="{FF2B5EF4-FFF2-40B4-BE49-F238E27FC236}">
              <a16:creationId xmlns:a16="http://schemas.microsoft.com/office/drawing/2014/main" xmlns="" id="{00000000-0008-0000-0000-00004A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147" name="Text Box 3089">
          <a:extLst>
            <a:ext uri="{FF2B5EF4-FFF2-40B4-BE49-F238E27FC236}">
              <a16:creationId xmlns:a16="http://schemas.microsoft.com/office/drawing/2014/main" xmlns="" id="{00000000-0008-0000-0000-00004B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148" name="Text Box 3090">
          <a:extLst>
            <a:ext uri="{FF2B5EF4-FFF2-40B4-BE49-F238E27FC236}">
              <a16:creationId xmlns:a16="http://schemas.microsoft.com/office/drawing/2014/main" xmlns="" id="{00000000-0008-0000-0000-00004C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149" name="Text Box 3091">
          <a:extLst>
            <a:ext uri="{FF2B5EF4-FFF2-40B4-BE49-F238E27FC236}">
              <a16:creationId xmlns:a16="http://schemas.microsoft.com/office/drawing/2014/main" xmlns="" id="{00000000-0008-0000-0000-00004D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150" name="Text Box 3092">
          <a:extLst>
            <a:ext uri="{FF2B5EF4-FFF2-40B4-BE49-F238E27FC236}">
              <a16:creationId xmlns:a16="http://schemas.microsoft.com/office/drawing/2014/main" xmlns="" id="{00000000-0008-0000-0000-00004E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151" name="Text Box 3093">
          <a:extLst>
            <a:ext uri="{FF2B5EF4-FFF2-40B4-BE49-F238E27FC236}">
              <a16:creationId xmlns:a16="http://schemas.microsoft.com/office/drawing/2014/main" xmlns="" id="{00000000-0008-0000-0000-00004F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152" name="Text Box 3094">
          <a:extLst>
            <a:ext uri="{FF2B5EF4-FFF2-40B4-BE49-F238E27FC236}">
              <a16:creationId xmlns:a16="http://schemas.microsoft.com/office/drawing/2014/main" xmlns="" id="{00000000-0008-0000-0000-000050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153" name="Text Box 3095">
          <a:extLst>
            <a:ext uri="{FF2B5EF4-FFF2-40B4-BE49-F238E27FC236}">
              <a16:creationId xmlns:a16="http://schemas.microsoft.com/office/drawing/2014/main" xmlns="" id="{00000000-0008-0000-0000-000051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154" name="Text Box 3096">
          <a:extLst>
            <a:ext uri="{FF2B5EF4-FFF2-40B4-BE49-F238E27FC236}">
              <a16:creationId xmlns:a16="http://schemas.microsoft.com/office/drawing/2014/main" xmlns="" id="{00000000-0008-0000-0000-000052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155" name="Text Box 3097">
          <a:extLst>
            <a:ext uri="{FF2B5EF4-FFF2-40B4-BE49-F238E27FC236}">
              <a16:creationId xmlns:a16="http://schemas.microsoft.com/office/drawing/2014/main" xmlns="" id="{00000000-0008-0000-0000-000053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156" name="Text Box 3098">
          <a:extLst>
            <a:ext uri="{FF2B5EF4-FFF2-40B4-BE49-F238E27FC236}">
              <a16:creationId xmlns:a16="http://schemas.microsoft.com/office/drawing/2014/main" xmlns="" id="{00000000-0008-0000-0000-000054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157" name="Text Box 3099">
          <a:extLst>
            <a:ext uri="{FF2B5EF4-FFF2-40B4-BE49-F238E27FC236}">
              <a16:creationId xmlns:a16="http://schemas.microsoft.com/office/drawing/2014/main" xmlns="" id="{00000000-0008-0000-0000-000055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158" name="Text Box 3100">
          <a:extLst>
            <a:ext uri="{FF2B5EF4-FFF2-40B4-BE49-F238E27FC236}">
              <a16:creationId xmlns:a16="http://schemas.microsoft.com/office/drawing/2014/main" xmlns="" id="{00000000-0008-0000-0000-000056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159" name="Text Box 3101">
          <a:extLst>
            <a:ext uri="{FF2B5EF4-FFF2-40B4-BE49-F238E27FC236}">
              <a16:creationId xmlns:a16="http://schemas.microsoft.com/office/drawing/2014/main" xmlns="" id="{00000000-0008-0000-0000-000057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3160" name="Text Box 3102">
          <a:extLst>
            <a:ext uri="{FF2B5EF4-FFF2-40B4-BE49-F238E27FC236}">
              <a16:creationId xmlns:a16="http://schemas.microsoft.com/office/drawing/2014/main" xmlns="" id="{00000000-0008-0000-0000-000058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161" name="Text Box 59">
          <a:extLst>
            <a:ext uri="{FF2B5EF4-FFF2-40B4-BE49-F238E27FC236}">
              <a16:creationId xmlns:a16="http://schemas.microsoft.com/office/drawing/2014/main" xmlns="" id="{00000000-0008-0000-0000-000059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162" name="Text Box 60">
          <a:extLst>
            <a:ext uri="{FF2B5EF4-FFF2-40B4-BE49-F238E27FC236}">
              <a16:creationId xmlns:a16="http://schemas.microsoft.com/office/drawing/2014/main" xmlns="" id="{00000000-0008-0000-0000-00005A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163" name="Text Box 61">
          <a:extLst>
            <a:ext uri="{FF2B5EF4-FFF2-40B4-BE49-F238E27FC236}">
              <a16:creationId xmlns:a16="http://schemas.microsoft.com/office/drawing/2014/main" xmlns="" id="{00000000-0008-0000-0000-00005B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164" name="Text Box 62">
          <a:extLst>
            <a:ext uri="{FF2B5EF4-FFF2-40B4-BE49-F238E27FC236}">
              <a16:creationId xmlns:a16="http://schemas.microsoft.com/office/drawing/2014/main" xmlns="" id="{00000000-0008-0000-0000-00005C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165" name="Text Box 63">
          <a:extLst>
            <a:ext uri="{FF2B5EF4-FFF2-40B4-BE49-F238E27FC236}">
              <a16:creationId xmlns:a16="http://schemas.microsoft.com/office/drawing/2014/main" xmlns="" id="{00000000-0008-0000-0000-00005D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166" name="Text Box 64">
          <a:extLst>
            <a:ext uri="{FF2B5EF4-FFF2-40B4-BE49-F238E27FC236}">
              <a16:creationId xmlns:a16="http://schemas.microsoft.com/office/drawing/2014/main" xmlns="" id="{00000000-0008-0000-0000-00005E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167" name="Text Box 65">
          <a:extLst>
            <a:ext uri="{FF2B5EF4-FFF2-40B4-BE49-F238E27FC236}">
              <a16:creationId xmlns:a16="http://schemas.microsoft.com/office/drawing/2014/main" xmlns="" id="{00000000-0008-0000-0000-00005F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168" name="Text Box 66">
          <a:extLst>
            <a:ext uri="{FF2B5EF4-FFF2-40B4-BE49-F238E27FC236}">
              <a16:creationId xmlns:a16="http://schemas.microsoft.com/office/drawing/2014/main" xmlns="" id="{00000000-0008-0000-0000-000060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169" name="Text Box 67">
          <a:extLst>
            <a:ext uri="{FF2B5EF4-FFF2-40B4-BE49-F238E27FC236}">
              <a16:creationId xmlns:a16="http://schemas.microsoft.com/office/drawing/2014/main" xmlns="" id="{00000000-0008-0000-0000-000061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170" name="Text Box 68">
          <a:extLst>
            <a:ext uri="{FF2B5EF4-FFF2-40B4-BE49-F238E27FC236}">
              <a16:creationId xmlns:a16="http://schemas.microsoft.com/office/drawing/2014/main" xmlns="" id="{00000000-0008-0000-0000-000062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171" name="Text Box 69">
          <a:extLst>
            <a:ext uri="{FF2B5EF4-FFF2-40B4-BE49-F238E27FC236}">
              <a16:creationId xmlns:a16="http://schemas.microsoft.com/office/drawing/2014/main" xmlns="" id="{00000000-0008-0000-0000-000063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172" name="Text Box 70">
          <a:extLst>
            <a:ext uri="{FF2B5EF4-FFF2-40B4-BE49-F238E27FC236}">
              <a16:creationId xmlns:a16="http://schemas.microsoft.com/office/drawing/2014/main" xmlns="" id="{00000000-0008-0000-0000-000064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173" name="Text Box 71">
          <a:extLst>
            <a:ext uri="{FF2B5EF4-FFF2-40B4-BE49-F238E27FC236}">
              <a16:creationId xmlns:a16="http://schemas.microsoft.com/office/drawing/2014/main" xmlns="" id="{00000000-0008-0000-0000-000065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174" name="Text Box 72">
          <a:extLst>
            <a:ext uri="{FF2B5EF4-FFF2-40B4-BE49-F238E27FC236}">
              <a16:creationId xmlns:a16="http://schemas.microsoft.com/office/drawing/2014/main" xmlns="" id="{00000000-0008-0000-0000-000066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175" name="Text Box 73">
          <a:extLst>
            <a:ext uri="{FF2B5EF4-FFF2-40B4-BE49-F238E27FC236}">
              <a16:creationId xmlns:a16="http://schemas.microsoft.com/office/drawing/2014/main" xmlns="" id="{00000000-0008-0000-0000-000067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176" name="Text Box 74">
          <a:extLst>
            <a:ext uri="{FF2B5EF4-FFF2-40B4-BE49-F238E27FC236}">
              <a16:creationId xmlns:a16="http://schemas.microsoft.com/office/drawing/2014/main" xmlns="" id="{00000000-0008-0000-0000-000068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177" name="Text Box 75">
          <a:extLst>
            <a:ext uri="{FF2B5EF4-FFF2-40B4-BE49-F238E27FC236}">
              <a16:creationId xmlns:a16="http://schemas.microsoft.com/office/drawing/2014/main" xmlns="" id="{00000000-0008-0000-0000-000069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178" name="Text Box 76">
          <a:extLst>
            <a:ext uri="{FF2B5EF4-FFF2-40B4-BE49-F238E27FC236}">
              <a16:creationId xmlns:a16="http://schemas.microsoft.com/office/drawing/2014/main" xmlns="" id="{00000000-0008-0000-0000-00006A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179" name="Text Box 77">
          <a:extLst>
            <a:ext uri="{FF2B5EF4-FFF2-40B4-BE49-F238E27FC236}">
              <a16:creationId xmlns:a16="http://schemas.microsoft.com/office/drawing/2014/main" xmlns="" id="{00000000-0008-0000-0000-00006B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180" name="Text Box 78">
          <a:extLst>
            <a:ext uri="{FF2B5EF4-FFF2-40B4-BE49-F238E27FC236}">
              <a16:creationId xmlns:a16="http://schemas.microsoft.com/office/drawing/2014/main" xmlns="" id="{00000000-0008-0000-0000-00006C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181" name="Text Box 79">
          <a:extLst>
            <a:ext uri="{FF2B5EF4-FFF2-40B4-BE49-F238E27FC236}">
              <a16:creationId xmlns:a16="http://schemas.microsoft.com/office/drawing/2014/main" xmlns="" id="{00000000-0008-0000-0000-00006D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182" name="Text Box 80">
          <a:extLst>
            <a:ext uri="{FF2B5EF4-FFF2-40B4-BE49-F238E27FC236}">
              <a16:creationId xmlns:a16="http://schemas.microsoft.com/office/drawing/2014/main" xmlns="" id="{00000000-0008-0000-0000-00006E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183" name="Text Box 81">
          <a:extLst>
            <a:ext uri="{FF2B5EF4-FFF2-40B4-BE49-F238E27FC236}">
              <a16:creationId xmlns:a16="http://schemas.microsoft.com/office/drawing/2014/main" xmlns="" id="{00000000-0008-0000-0000-00006F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47625"/>
    <xdr:sp macro="" textlink="">
      <xdr:nvSpPr>
        <xdr:cNvPr id="3184" name="Text Box 82">
          <a:extLst>
            <a:ext uri="{FF2B5EF4-FFF2-40B4-BE49-F238E27FC236}">
              <a16:creationId xmlns:a16="http://schemas.microsoft.com/office/drawing/2014/main" xmlns="" id="{00000000-0008-0000-0000-000070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185" name="Text Box 3079">
          <a:extLst>
            <a:ext uri="{FF2B5EF4-FFF2-40B4-BE49-F238E27FC236}">
              <a16:creationId xmlns:a16="http://schemas.microsoft.com/office/drawing/2014/main" xmlns="" id="{00000000-0008-0000-0000-000071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186" name="Text Box 3080">
          <a:extLst>
            <a:ext uri="{FF2B5EF4-FFF2-40B4-BE49-F238E27FC236}">
              <a16:creationId xmlns:a16="http://schemas.microsoft.com/office/drawing/2014/main" xmlns="" id="{00000000-0008-0000-0000-000072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187" name="Text Box 3081">
          <a:extLst>
            <a:ext uri="{FF2B5EF4-FFF2-40B4-BE49-F238E27FC236}">
              <a16:creationId xmlns:a16="http://schemas.microsoft.com/office/drawing/2014/main" xmlns="" id="{00000000-0008-0000-0000-000073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188" name="Text Box 3082">
          <a:extLst>
            <a:ext uri="{FF2B5EF4-FFF2-40B4-BE49-F238E27FC236}">
              <a16:creationId xmlns:a16="http://schemas.microsoft.com/office/drawing/2014/main" xmlns="" id="{00000000-0008-0000-0000-000074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189" name="Text Box 3083">
          <a:extLst>
            <a:ext uri="{FF2B5EF4-FFF2-40B4-BE49-F238E27FC236}">
              <a16:creationId xmlns:a16="http://schemas.microsoft.com/office/drawing/2014/main" xmlns="" id="{00000000-0008-0000-0000-000075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190" name="Text Box 3084">
          <a:extLst>
            <a:ext uri="{FF2B5EF4-FFF2-40B4-BE49-F238E27FC236}">
              <a16:creationId xmlns:a16="http://schemas.microsoft.com/office/drawing/2014/main" xmlns="" id="{00000000-0008-0000-0000-000076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191" name="Text Box 3085">
          <a:extLst>
            <a:ext uri="{FF2B5EF4-FFF2-40B4-BE49-F238E27FC236}">
              <a16:creationId xmlns:a16="http://schemas.microsoft.com/office/drawing/2014/main" xmlns="" id="{00000000-0008-0000-0000-000077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192" name="Text Box 3086">
          <a:extLst>
            <a:ext uri="{FF2B5EF4-FFF2-40B4-BE49-F238E27FC236}">
              <a16:creationId xmlns:a16="http://schemas.microsoft.com/office/drawing/2014/main" xmlns="" id="{00000000-0008-0000-0000-000078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193" name="Text Box 3087">
          <a:extLst>
            <a:ext uri="{FF2B5EF4-FFF2-40B4-BE49-F238E27FC236}">
              <a16:creationId xmlns:a16="http://schemas.microsoft.com/office/drawing/2014/main" xmlns="" id="{00000000-0008-0000-0000-000079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194" name="Text Box 3088">
          <a:extLst>
            <a:ext uri="{FF2B5EF4-FFF2-40B4-BE49-F238E27FC236}">
              <a16:creationId xmlns:a16="http://schemas.microsoft.com/office/drawing/2014/main" xmlns="" id="{00000000-0008-0000-0000-00007A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195" name="Text Box 3089">
          <a:extLst>
            <a:ext uri="{FF2B5EF4-FFF2-40B4-BE49-F238E27FC236}">
              <a16:creationId xmlns:a16="http://schemas.microsoft.com/office/drawing/2014/main" xmlns="" id="{00000000-0008-0000-0000-00007B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196" name="Text Box 3090">
          <a:extLst>
            <a:ext uri="{FF2B5EF4-FFF2-40B4-BE49-F238E27FC236}">
              <a16:creationId xmlns:a16="http://schemas.microsoft.com/office/drawing/2014/main" xmlns="" id="{00000000-0008-0000-0000-00007C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197" name="Text Box 3091">
          <a:extLst>
            <a:ext uri="{FF2B5EF4-FFF2-40B4-BE49-F238E27FC236}">
              <a16:creationId xmlns:a16="http://schemas.microsoft.com/office/drawing/2014/main" xmlns="" id="{00000000-0008-0000-0000-00007D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198" name="Text Box 3092">
          <a:extLst>
            <a:ext uri="{FF2B5EF4-FFF2-40B4-BE49-F238E27FC236}">
              <a16:creationId xmlns:a16="http://schemas.microsoft.com/office/drawing/2014/main" xmlns="" id="{00000000-0008-0000-0000-00007E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199" name="Text Box 3093">
          <a:extLst>
            <a:ext uri="{FF2B5EF4-FFF2-40B4-BE49-F238E27FC236}">
              <a16:creationId xmlns:a16="http://schemas.microsoft.com/office/drawing/2014/main" xmlns="" id="{00000000-0008-0000-0000-00007F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200" name="Text Box 3094">
          <a:extLst>
            <a:ext uri="{FF2B5EF4-FFF2-40B4-BE49-F238E27FC236}">
              <a16:creationId xmlns:a16="http://schemas.microsoft.com/office/drawing/2014/main" xmlns="" id="{00000000-0008-0000-0000-000080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201" name="Text Box 3095">
          <a:extLst>
            <a:ext uri="{FF2B5EF4-FFF2-40B4-BE49-F238E27FC236}">
              <a16:creationId xmlns:a16="http://schemas.microsoft.com/office/drawing/2014/main" xmlns="" id="{00000000-0008-0000-0000-000081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202" name="Text Box 3096">
          <a:extLst>
            <a:ext uri="{FF2B5EF4-FFF2-40B4-BE49-F238E27FC236}">
              <a16:creationId xmlns:a16="http://schemas.microsoft.com/office/drawing/2014/main" xmlns="" id="{00000000-0008-0000-0000-000082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203" name="Text Box 3097">
          <a:extLst>
            <a:ext uri="{FF2B5EF4-FFF2-40B4-BE49-F238E27FC236}">
              <a16:creationId xmlns:a16="http://schemas.microsoft.com/office/drawing/2014/main" xmlns="" id="{00000000-0008-0000-0000-000083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204" name="Text Box 3098">
          <a:extLst>
            <a:ext uri="{FF2B5EF4-FFF2-40B4-BE49-F238E27FC236}">
              <a16:creationId xmlns:a16="http://schemas.microsoft.com/office/drawing/2014/main" xmlns="" id="{00000000-0008-0000-0000-000084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205" name="Text Box 3099">
          <a:extLst>
            <a:ext uri="{FF2B5EF4-FFF2-40B4-BE49-F238E27FC236}">
              <a16:creationId xmlns:a16="http://schemas.microsoft.com/office/drawing/2014/main" xmlns="" id="{00000000-0008-0000-0000-000085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206" name="Text Box 3100">
          <a:extLst>
            <a:ext uri="{FF2B5EF4-FFF2-40B4-BE49-F238E27FC236}">
              <a16:creationId xmlns:a16="http://schemas.microsoft.com/office/drawing/2014/main" xmlns="" id="{00000000-0008-0000-0000-000086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207" name="Text Box 3101">
          <a:extLst>
            <a:ext uri="{FF2B5EF4-FFF2-40B4-BE49-F238E27FC236}">
              <a16:creationId xmlns:a16="http://schemas.microsoft.com/office/drawing/2014/main" xmlns="" id="{00000000-0008-0000-0000-000087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3208" name="Text Box 3102">
          <a:extLst>
            <a:ext uri="{FF2B5EF4-FFF2-40B4-BE49-F238E27FC236}">
              <a16:creationId xmlns:a16="http://schemas.microsoft.com/office/drawing/2014/main" xmlns="" id="{00000000-0008-0000-0000-000088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209" name="Text Box 59">
          <a:extLst>
            <a:ext uri="{FF2B5EF4-FFF2-40B4-BE49-F238E27FC236}">
              <a16:creationId xmlns:a16="http://schemas.microsoft.com/office/drawing/2014/main" xmlns="" id="{00000000-0008-0000-0000-000089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210" name="Text Box 60">
          <a:extLst>
            <a:ext uri="{FF2B5EF4-FFF2-40B4-BE49-F238E27FC236}">
              <a16:creationId xmlns:a16="http://schemas.microsoft.com/office/drawing/2014/main" xmlns="" id="{00000000-0008-0000-0000-00008A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211" name="Text Box 61">
          <a:extLst>
            <a:ext uri="{FF2B5EF4-FFF2-40B4-BE49-F238E27FC236}">
              <a16:creationId xmlns:a16="http://schemas.microsoft.com/office/drawing/2014/main" xmlns="" id="{00000000-0008-0000-0000-00008B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212" name="Text Box 62">
          <a:extLst>
            <a:ext uri="{FF2B5EF4-FFF2-40B4-BE49-F238E27FC236}">
              <a16:creationId xmlns:a16="http://schemas.microsoft.com/office/drawing/2014/main" xmlns="" id="{00000000-0008-0000-0000-00008C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213" name="Text Box 63">
          <a:extLst>
            <a:ext uri="{FF2B5EF4-FFF2-40B4-BE49-F238E27FC236}">
              <a16:creationId xmlns:a16="http://schemas.microsoft.com/office/drawing/2014/main" xmlns="" id="{00000000-0008-0000-0000-00008D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214" name="Text Box 64">
          <a:extLst>
            <a:ext uri="{FF2B5EF4-FFF2-40B4-BE49-F238E27FC236}">
              <a16:creationId xmlns:a16="http://schemas.microsoft.com/office/drawing/2014/main" xmlns="" id="{00000000-0008-0000-0000-00008E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215" name="Text Box 65">
          <a:extLst>
            <a:ext uri="{FF2B5EF4-FFF2-40B4-BE49-F238E27FC236}">
              <a16:creationId xmlns:a16="http://schemas.microsoft.com/office/drawing/2014/main" xmlns="" id="{00000000-0008-0000-0000-00008F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216" name="Text Box 66">
          <a:extLst>
            <a:ext uri="{FF2B5EF4-FFF2-40B4-BE49-F238E27FC236}">
              <a16:creationId xmlns:a16="http://schemas.microsoft.com/office/drawing/2014/main" xmlns="" id="{00000000-0008-0000-0000-000090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217" name="Text Box 67">
          <a:extLst>
            <a:ext uri="{FF2B5EF4-FFF2-40B4-BE49-F238E27FC236}">
              <a16:creationId xmlns:a16="http://schemas.microsoft.com/office/drawing/2014/main" xmlns="" id="{00000000-0008-0000-0000-000091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218" name="Text Box 68">
          <a:extLst>
            <a:ext uri="{FF2B5EF4-FFF2-40B4-BE49-F238E27FC236}">
              <a16:creationId xmlns:a16="http://schemas.microsoft.com/office/drawing/2014/main" xmlns="" id="{00000000-0008-0000-0000-000092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219" name="Text Box 69">
          <a:extLst>
            <a:ext uri="{FF2B5EF4-FFF2-40B4-BE49-F238E27FC236}">
              <a16:creationId xmlns:a16="http://schemas.microsoft.com/office/drawing/2014/main" xmlns="" id="{00000000-0008-0000-0000-000093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220" name="Text Box 70">
          <a:extLst>
            <a:ext uri="{FF2B5EF4-FFF2-40B4-BE49-F238E27FC236}">
              <a16:creationId xmlns:a16="http://schemas.microsoft.com/office/drawing/2014/main" xmlns="" id="{00000000-0008-0000-0000-000094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221" name="Text Box 71">
          <a:extLst>
            <a:ext uri="{FF2B5EF4-FFF2-40B4-BE49-F238E27FC236}">
              <a16:creationId xmlns:a16="http://schemas.microsoft.com/office/drawing/2014/main" xmlns="" id="{00000000-0008-0000-0000-000095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222" name="Text Box 72">
          <a:extLst>
            <a:ext uri="{FF2B5EF4-FFF2-40B4-BE49-F238E27FC236}">
              <a16:creationId xmlns:a16="http://schemas.microsoft.com/office/drawing/2014/main" xmlns="" id="{00000000-0008-0000-0000-000096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223" name="Text Box 73">
          <a:extLst>
            <a:ext uri="{FF2B5EF4-FFF2-40B4-BE49-F238E27FC236}">
              <a16:creationId xmlns:a16="http://schemas.microsoft.com/office/drawing/2014/main" xmlns="" id="{00000000-0008-0000-0000-000097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224" name="Text Box 74">
          <a:extLst>
            <a:ext uri="{FF2B5EF4-FFF2-40B4-BE49-F238E27FC236}">
              <a16:creationId xmlns:a16="http://schemas.microsoft.com/office/drawing/2014/main" xmlns="" id="{00000000-0008-0000-0000-000098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225" name="Text Box 75">
          <a:extLst>
            <a:ext uri="{FF2B5EF4-FFF2-40B4-BE49-F238E27FC236}">
              <a16:creationId xmlns:a16="http://schemas.microsoft.com/office/drawing/2014/main" xmlns="" id="{00000000-0008-0000-0000-000099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226" name="Text Box 76">
          <a:extLst>
            <a:ext uri="{FF2B5EF4-FFF2-40B4-BE49-F238E27FC236}">
              <a16:creationId xmlns:a16="http://schemas.microsoft.com/office/drawing/2014/main" xmlns="" id="{00000000-0008-0000-0000-00009A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227" name="Text Box 77">
          <a:extLst>
            <a:ext uri="{FF2B5EF4-FFF2-40B4-BE49-F238E27FC236}">
              <a16:creationId xmlns:a16="http://schemas.microsoft.com/office/drawing/2014/main" xmlns="" id="{00000000-0008-0000-0000-00009B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228" name="Text Box 78">
          <a:extLst>
            <a:ext uri="{FF2B5EF4-FFF2-40B4-BE49-F238E27FC236}">
              <a16:creationId xmlns:a16="http://schemas.microsoft.com/office/drawing/2014/main" xmlns="" id="{00000000-0008-0000-0000-00009C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229" name="Text Box 79">
          <a:extLst>
            <a:ext uri="{FF2B5EF4-FFF2-40B4-BE49-F238E27FC236}">
              <a16:creationId xmlns:a16="http://schemas.microsoft.com/office/drawing/2014/main" xmlns="" id="{00000000-0008-0000-0000-00009D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230" name="Text Box 80">
          <a:extLst>
            <a:ext uri="{FF2B5EF4-FFF2-40B4-BE49-F238E27FC236}">
              <a16:creationId xmlns:a16="http://schemas.microsoft.com/office/drawing/2014/main" xmlns="" id="{00000000-0008-0000-0000-00009E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231" name="Text Box 81">
          <a:extLst>
            <a:ext uri="{FF2B5EF4-FFF2-40B4-BE49-F238E27FC236}">
              <a16:creationId xmlns:a16="http://schemas.microsoft.com/office/drawing/2014/main" xmlns="" id="{00000000-0008-0000-0000-00009F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232" name="Text Box 3079">
          <a:extLst>
            <a:ext uri="{FF2B5EF4-FFF2-40B4-BE49-F238E27FC236}">
              <a16:creationId xmlns:a16="http://schemas.microsoft.com/office/drawing/2014/main" xmlns="" id="{00000000-0008-0000-0000-0000A0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233" name="Text Box 3080">
          <a:extLst>
            <a:ext uri="{FF2B5EF4-FFF2-40B4-BE49-F238E27FC236}">
              <a16:creationId xmlns:a16="http://schemas.microsoft.com/office/drawing/2014/main" xmlns="" id="{00000000-0008-0000-0000-0000A1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234" name="Text Box 3081">
          <a:extLst>
            <a:ext uri="{FF2B5EF4-FFF2-40B4-BE49-F238E27FC236}">
              <a16:creationId xmlns:a16="http://schemas.microsoft.com/office/drawing/2014/main" xmlns="" id="{00000000-0008-0000-0000-0000A2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235" name="Text Box 3082">
          <a:extLst>
            <a:ext uri="{FF2B5EF4-FFF2-40B4-BE49-F238E27FC236}">
              <a16:creationId xmlns:a16="http://schemas.microsoft.com/office/drawing/2014/main" xmlns="" id="{00000000-0008-0000-0000-0000A3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236" name="Text Box 3083">
          <a:extLst>
            <a:ext uri="{FF2B5EF4-FFF2-40B4-BE49-F238E27FC236}">
              <a16:creationId xmlns:a16="http://schemas.microsoft.com/office/drawing/2014/main" xmlns="" id="{00000000-0008-0000-0000-0000A4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237" name="Text Box 3084">
          <a:extLst>
            <a:ext uri="{FF2B5EF4-FFF2-40B4-BE49-F238E27FC236}">
              <a16:creationId xmlns:a16="http://schemas.microsoft.com/office/drawing/2014/main" xmlns="" id="{00000000-0008-0000-0000-0000A5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238" name="Text Box 3085">
          <a:extLst>
            <a:ext uri="{FF2B5EF4-FFF2-40B4-BE49-F238E27FC236}">
              <a16:creationId xmlns:a16="http://schemas.microsoft.com/office/drawing/2014/main" xmlns="" id="{00000000-0008-0000-0000-0000A6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239" name="Text Box 3086">
          <a:extLst>
            <a:ext uri="{FF2B5EF4-FFF2-40B4-BE49-F238E27FC236}">
              <a16:creationId xmlns:a16="http://schemas.microsoft.com/office/drawing/2014/main" xmlns="" id="{00000000-0008-0000-0000-0000A7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240" name="Text Box 3087">
          <a:extLst>
            <a:ext uri="{FF2B5EF4-FFF2-40B4-BE49-F238E27FC236}">
              <a16:creationId xmlns:a16="http://schemas.microsoft.com/office/drawing/2014/main" xmlns="" id="{00000000-0008-0000-0000-0000A8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241" name="Text Box 3088">
          <a:extLst>
            <a:ext uri="{FF2B5EF4-FFF2-40B4-BE49-F238E27FC236}">
              <a16:creationId xmlns:a16="http://schemas.microsoft.com/office/drawing/2014/main" xmlns="" id="{00000000-0008-0000-0000-0000A9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242" name="Text Box 3089">
          <a:extLst>
            <a:ext uri="{FF2B5EF4-FFF2-40B4-BE49-F238E27FC236}">
              <a16:creationId xmlns:a16="http://schemas.microsoft.com/office/drawing/2014/main" xmlns="" id="{00000000-0008-0000-0000-0000AA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243" name="Text Box 3090">
          <a:extLst>
            <a:ext uri="{FF2B5EF4-FFF2-40B4-BE49-F238E27FC236}">
              <a16:creationId xmlns:a16="http://schemas.microsoft.com/office/drawing/2014/main" xmlns="" id="{00000000-0008-0000-0000-0000AB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244" name="Text Box 3091">
          <a:extLst>
            <a:ext uri="{FF2B5EF4-FFF2-40B4-BE49-F238E27FC236}">
              <a16:creationId xmlns:a16="http://schemas.microsoft.com/office/drawing/2014/main" xmlns="" id="{00000000-0008-0000-0000-0000AC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245" name="Text Box 3092">
          <a:extLst>
            <a:ext uri="{FF2B5EF4-FFF2-40B4-BE49-F238E27FC236}">
              <a16:creationId xmlns:a16="http://schemas.microsoft.com/office/drawing/2014/main" xmlns="" id="{00000000-0008-0000-0000-0000AD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246" name="Text Box 3093">
          <a:extLst>
            <a:ext uri="{FF2B5EF4-FFF2-40B4-BE49-F238E27FC236}">
              <a16:creationId xmlns:a16="http://schemas.microsoft.com/office/drawing/2014/main" xmlns="" id="{00000000-0008-0000-0000-0000AE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247" name="Text Box 3094">
          <a:extLst>
            <a:ext uri="{FF2B5EF4-FFF2-40B4-BE49-F238E27FC236}">
              <a16:creationId xmlns:a16="http://schemas.microsoft.com/office/drawing/2014/main" xmlns="" id="{00000000-0008-0000-0000-0000AF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248" name="Text Box 3095">
          <a:extLst>
            <a:ext uri="{FF2B5EF4-FFF2-40B4-BE49-F238E27FC236}">
              <a16:creationId xmlns:a16="http://schemas.microsoft.com/office/drawing/2014/main" xmlns="" id="{00000000-0008-0000-0000-0000B0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249" name="Text Box 3096">
          <a:extLst>
            <a:ext uri="{FF2B5EF4-FFF2-40B4-BE49-F238E27FC236}">
              <a16:creationId xmlns:a16="http://schemas.microsoft.com/office/drawing/2014/main" xmlns="" id="{00000000-0008-0000-0000-0000B1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250" name="Text Box 3097">
          <a:extLst>
            <a:ext uri="{FF2B5EF4-FFF2-40B4-BE49-F238E27FC236}">
              <a16:creationId xmlns:a16="http://schemas.microsoft.com/office/drawing/2014/main" xmlns="" id="{00000000-0008-0000-0000-0000B2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251" name="Text Box 3098">
          <a:extLst>
            <a:ext uri="{FF2B5EF4-FFF2-40B4-BE49-F238E27FC236}">
              <a16:creationId xmlns:a16="http://schemas.microsoft.com/office/drawing/2014/main" xmlns="" id="{00000000-0008-0000-0000-0000B3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252" name="Text Box 3099">
          <a:extLst>
            <a:ext uri="{FF2B5EF4-FFF2-40B4-BE49-F238E27FC236}">
              <a16:creationId xmlns:a16="http://schemas.microsoft.com/office/drawing/2014/main" xmlns="" id="{00000000-0008-0000-0000-0000B4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253" name="Text Box 3100">
          <a:extLst>
            <a:ext uri="{FF2B5EF4-FFF2-40B4-BE49-F238E27FC236}">
              <a16:creationId xmlns:a16="http://schemas.microsoft.com/office/drawing/2014/main" xmlns="" id="{00000000-0008-0000-0000-0000B5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254" name="Text Box 3101">
          <a:extLst>
            <a:ext uri="{FF2B5EF4-FFF2-40B4-BE49-F238E27FC236}">
              <a16:creationId xmlns:a16="http://schemas.microsoft.com/office/drawing/2014/main" xmlns="" id="{00000000-0008-0000-0000-0000B6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3255" name="Text Box 3102">
          <a:extLst>
            <a:ext uri="{FF2B5EF4-FFF2-40B4-BE49-F238E27FC236}">
              <a16:creationId xmlns:a16="http://schemas.microsoft.com/office/drawing/2014/main" xmlns="" id="{00000000-0008-0000-0000-0000B7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256" name="Text Box 59">
          <a:extLst>
            <a:ext uri="{FF2B5EF4-FFF2-40B4-BE49-F238E27FC236}">
              <a16:creationId xmlns:a16="http://schemas.microsoft.com/office/drawing/2014/main" xmlns="" id="{00000000-0008-0000-0000-0000B8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257" name="Text Box 60">
          <a:extLst>
            <a:ext uri="{FF2B5EF4-FFF2-40B4-BE49-F238E27FC236}">
              <a16:creationId xmlns:a16="http://schemas.microsoft.com/office/drawing/2014/main" xmlns="" id="{00000000-0008-0000-0000-0000B9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258" name="Text Box 61">
          <a:extLst>
            <a:ext uri="{FF2B5EF4-FFF2-40B4-BE49-F238E27FC236}">
              <a16:creationId xmlns:a16="http://schemas.microsoft.com/office/drawing/2014/main" xmlns="" id="{00000000-0008-0000-0000-0000BA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259" name="Text Box 62">
          <a:extLst>
            <a:ext uri="{FF2B5EF4-FFF2-40B4-BE49-F238E27FC236}">
              <a16:creationId xmlns:a16="http://schemas.microsoft.com/office/drawing/2014/main" xmlns="" id="{00000000-0008-0000-0000-0000BB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260" name="Text Box 63">
          <a:extLst>
            <a:ext uri="{FF2B5EF4-FFF2-40B4-BE49-F238E27FC236}">
              <a16:creationId xmlns:a16="http://schemas.microsoft.com/office/drawing/2014/main" xmlns="" id="{00000000-0008-0000-0000-0000BC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261" name="Text Box 64">
          <a:extLst>
            <a:ext uri="{FF2B5EF4-FFF2-40B4-BE49-F238E27FC236}">
              <a16:creationId xmlns:a16="http://schemas.microsoft.com/office/drawing/2014/main" xmlns="" id="{00000000-0008-0000-0000-0000BD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262" name="Text Box 65">
          <a:extLst>
            <a:ext uri="{FF2B5EF4-FFF2-40B4-BE49-F238E27FC236}">
              <a16:creationId xmlns:a16="http://schemas.microsoft.com/office/drawing/2014/main" xmlns="" id="{00000000-0008-0000-0000-0000BE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263" name="Text Box 66">
          <a:extLst>
            <a:ext uri="{FF2B5EF4-FFF2-40B4-BE49-F238E27FC236}">
              <a16:creationId xmlns:a16="http://schemas.microsoft.com/office/drawing/2014/main" xmlns="" id="{00000000-0008-0000-0000-0000BF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264" name="Text Box 67">
          <a:extLst>
            <a:ext uri="{FF2B5EF4-FFF2-40B4-BE49-F238E27FC236}">
              <a16:creationId xmlns:a16="http://schemas.microsoft.com/office/drawing/2014/main" xmlns="" id="{00000000-0008-0000-0000-0000C0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265" name="Text Box 68">
          <a:extLst>
            <a:ext uri="{FF2B5EF4-FFF2-40B4-BE49-F238E27FC236}">
              <a16:creationId xmlns:a16="http://schemas.microsoft.com/office/drawing/2014/main" xmlns="" id="{00000000-0008-0000-0000-0000C1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266" name="Text Box 69">
          <a:extLst>
            <a:ext uri="{FF2B5EF4-FFF2-40B4-BE49-F238E27FC236}">
              <a16:creationId xmlns:a16="http://schemas.microsoft.com/office/drawing/2014/main" xmlns="" id="{00000000-0008-0000-0000-0000C2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267" name="Text Box 70">
          <a:extLst>
            <a:ext uri="{FF2B5EF4-FFF2-40B4-BE49-F238E27FC236}">
              <a16:creationId xmlns:a16="http://schemas.microsoft.com/office/drawing/2014/main" xmlns="" id="{00000000-0008-0000-0000-0000C3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268" name="Text Box 71">
          <a:extLst>
            <a:ext uri="{FF2B5EF4-FFF2-40B4-BE49-F238E27FC236}">
              <a16:creationId xmlns:a16="http://schemas.microsoft.com/office/drawing/2014/main" xmlns="" id="{00000000-0008-0000-0000-0000C4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269" name="Text Box 72">
          <a:extLst>
            <a:ext uri="{FF2B5EF4-FFF2-40B4-BE49-F238E27FC236}">
              <a16:creationId xmlns:a16="http://schemas.microsoft.com/office/drawing/2014/main" xmlns="" id="{00000000-0008-0000-0000-0000C5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270" name="Text Box 73">
          <a:extLst>
            <a:ext uri="{FF2B5EF4-FFF2-40B4-BE49-F238E27FC236}">
              <a16:creationId xmlns:a16="http://schemas.microsoft.com/office/drawing/2014/main" xmlns="" id="{00000000-0008-0000-0000-0000C6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271" name="Text Box 74">
          <a:extLst>
            <a:ext uri="{FF2B5EF4-FFF2-40B4-BE49-F238E27FC236}">
              <a16:creationId xmlns:a16="http://schemas.microsoft.com/office/drawing/2014/main" xmlns="" id="{00000000-0008-0000-0000-0000C7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272" name="Text Box 75">
          <a:extLst>
            <a:ext uri="{FF2B5EF4-FFF2-40B4-BE49-F238E27FC236}">
              <a16:creationId xmlns:a16="http://schemas.microsoft.com/office/drawing/2014/main" xmlns="" id="{00000000-0008-0000-0000-0000C8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273" name="Text Box 76">
          <a:extLst>
            <a:ext uri="{FF2B5EF4-FFF2-40B4-BE49-F238E27FC236}">
              <a16:creationId xmlns:a16="http://schemas.microsoft.com/office/drawing/2014/main" xmlns="" id="{00000000-0008-0000-0000-0000C9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274" name="Text Box 77">
          <a:extLst>
            <a:ext uri="{FF2B5EF4-FFF2-40B4-BE49-F238E27FC236}">
              <a16:creationId xmlns:a16="http://schemas.microsoft.com/office/drawing/2014/main" xmlns="" id="{00000000-0008-0000-0000-0000CA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275" name="Text Box 78">
          <a:extLst>
            <a:ext uri="{FF2B5EF4-FFF2-40B4-BE49-F238E27FC236}">
              <a16:creationId xmlns:a16="http://schemas.microsoft.com/office/drawing/2014/main" xmlns="" id="{00000000-0008-0000-0000-0000CB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276" name="Text Box 79">
          <a:extLst>
            <a:ext uri="{FF2B5EF4-FFF2-40B4-BE49-F238E27FC236}">
              <a16:creationId xmlns:a16="http://schemas.microsoft.com/office/drawing/2014/main" xmlns="" id="{00000000-0008-0000-0000-0000CC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277" name="Text Box 80">
          <a:extLst>
            <a:ext uri="{FF2B5EF4-FFF2-40B4-BE49-F238E27FC236}">
              <a16:creationId xmlns:a16="http://schemas.microsoft.com/office/drawing/2014/main" xmlns="" id="{00000000-0008-0000-0000-0000CD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278" name="Text Box 81">
          <a:extLst>
            <a:ext uri="{FF2B5EF4-FFF2-40B4-BE49-F238E27FC236}">
              <a16:creationId xmlns:a16="http://schemas.microsoft.com/office/drawing/2014/main" xmlns="" id="{00000000-0008-0000-0000-0000CE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47625"/>
    <xdr:sp macro="" textlink="">
      <xdr:nvSpPr>
        <xdr:cNvPr id="3279" name="Text Box 82">
          <a:extLst>
            <a:ext uri="{FF2B5EF4-FFF2-40B4-BE49-F238E27FC236}">
              <a16:creationId xmlns:a16="http://schemas.microsoft.com/office/drawing/2014/main" xmlns="" id="{00000000-0008-0000-0000-0000CF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280" name="Text Box 3079">
          <a:extLst>
            <a:ext uri="{FF2B5EF4-FFF2-40B4-BE49-F238E27FC236}">
              <a16:creationId xmlns:a16="http://schemas.microsoft.com/office/drawing/2014/main" xmlns="" id="{00000000-0008-0000-0000-0000D0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281" name="Text Box 3080">
          <a:extLst>
            <a:ext uri="{FF2B5EF4-FFF2-40B4-BE49-F238E27FC236}">
              <a16:creationId xmlns:a16="http://schemas.microsoft.com/office/drawing/2014/main" xmlns="" id="{00000000-0008-0000-0000-0000D1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282" name="Text Box 3081">
          <a:extLst>
            <a:ext uri="{FF2B5EF4-FFF2-40B4-BE49-F238E27FC236}">
              <a16:creationId xmlns:a16="http://schemas.microsoft.com/office/drawing/2014/main" xmlns="" id="{00000000-0008-0000-0000-0000D2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283" name="Text Box 3082">
          <a:extLst>
            <a:ext uri="{FF2B5EF4-FFF2-40B4-BE49-F238E27FC236}">
              <a16:creationId xmlns:a16="http://schemas.microsoft.com/office/drawing/2014/main" xmlns="" id="{00000000-0008-0000-0000-0000D3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284" name="Text Box 3083">
          <a:extLst>
            <a:ext uri="{FF2B5EF4-FFF2-40B4-BE49-F238E27FC236}">
              <a16:creationId xmlns:a16="http://schemas.microsoft.com/office/drawing/2014/main" xmlns="" id="{00000000-0008-0000-0000-0000D4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285" name="Text Box 3084">
          <a:extLst>
            <a:ext uri="{FF2B5EF4-FFF2-40B4-BE49-F238E27FC236}">
              <a16:creationId xmlns:a16="http://schemas.microsoft.com/office/drawing/2014/main" xmlns="" id="{00000000-0008-0000-0000-0000D5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286" name="Text Box 3085">
          <a:extLst>
            <a:ext uri="{FF2B5EF4-FFF2-40B4-BE49-F238E27FC236}">
              <a16:creationId xmlns:a16="http://schemas.microsoft.com/office/drawing/2014/main" xmlns="" id="{00000000-0008-0000-0000-0000D6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287" name="Text Box 3086">
          <a:extLst>
            <a:ext uri="{FF2B5EF4-FFF2-40B4-BE49-F238E27FC236}">
              <a16:creationId xmlns:a16="http://schemas.microsoft.com/office/drawing/2014/main" xmlns="" id="{00000000-0008-0000-0000-0000D7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288" name="Text Box 3087">
          <a:extLst>
            <a:ext uri="{FF2B5EF4-FFF2-40B4-BE49-F238E27FC236}">
              <a16:creationId xmlns:a16="http://schemas.microsoft.com/office/drawing/2014/main" xmlns="" id="{00000000-0008-0000-0000-0000D8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289" name="Text Box 3088">
          <a:extLst>
            <a:ext uri="{FF2B5EF4-FFF2-40B4-BE49-F238E27FC236}">
              <a16:creationId xmlns:a16="http://schemas.microsoft.com/office/drawing/2014/main" xmlns="" id="{00000000-0008-0000-0000-0000D9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290" name="Text Box 3089">
          <a:extLst>
            <a:ext uri="{FF2B5EF4-FFF2-40B4-BE49-F238E27FC236}">
              <a16:creationId xmlns:a16="http://schemas.microsoft.com/office/drawing/2014/main" xmlns="" id="{00000000-0008-0000-0000-0000DA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291" name="Text Box 3090">
          <a:extLst>
            <a:ext uri="{FF2B5EF4-FFF2-40B4-BE49-F238E27FC236}">
              <a16:creationId xmlns:a16="http://schemas.microsoft.com/office/drawing/2014/main" xmlns="" id="{00000000-0008-0000-0000-0000DB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292" name="Text Box 3091">
          <a:extLst>
            <a:ext uri="{FF2B5EF4-FFF2-40B4-BE49-F238E27FC236}">
              <a16:creationId xmlns:a16="http://schemas.microsoft.com/office/drawing/2014/main" xmlns="" id="{00000000-0008-0000-0000-0000DC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293" name="Text Box 3092">
          <a:extLst>
            <a:ext uri="{FF2B5EF4-FFF2-40B4-BE49-F238E27FC236}">
              <a16:creationId xmlns:a16="http://schemas.microsoft.com/office/drawing/2014/main" xmlns="" id="{00000000-0008-0000-0000-0000DD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294" name="Text Box 3093">
          <a:extLst>
            <a:ext uri="{FF2B5EF4-FFF2-40B4-BE49-F238E27FC236}">
              <a16:creationId xmlns:a16="http://schemas.microsoft.com/office/drawing/2014/main" xmlns="" id="{00000000-0008-0000-0000-0000DE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295" name="Text Box 3094">
          <a:extLst>
            <a:ext uri="{FF2B5EF4-FFF2-40B4-BE49-F238E27FC236}">
              <a16:creationId xmlns:a16="http://schemas.microsoft.com/office/drawing/2014/main" xmlns="" id="{00000000-0008-0000-0000-0000DF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296" name="Text Box 3095">
          <a:extLst>
            <a:ext uri="{FF2B5EF4-FFF2-40B4-BE49-F238E27FC236}">
              <a16:creationId xmlns:a16="http://schemas.microsoft.com/office/drawing/2014/main" xmlns="" id="{00000000-0008-0000-0000-0000E0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297" name="Text Box 3096">
          <a:extLst>
            <a:ext uri="{FF2B5EF4-FFF2-40B4-BE49-F238E27FC236}">
              <a16:creationId xmlns:a16="http://schemas.microsoft.com/office/drawing/2014/main" xmlns="" id="{00000000-0008-0000-0000-0000E1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298" name="Text Box 3097">
          <a:extLst>
            <a:ext uri="{FF2B5EF4-FFF2-40B4-BE49-F238E27FC236}">
              <a16:creationId xmlns:a16="http://schemas.microsoft.com/office/drawing/2014/main" xmlns="" id="{00000000-0008-0000-0000-0000E2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299" name="Text Box 3098">
          <a:extLst>
            <a:ext uri="{FF2B5EF4-FFF2-40B4-BE49-F238E27FC236}">
              <a16:creationId xmlns:a16="http://schemas.microsoft.com/office/drawing/2014/main" xmlns="" id="{00000000-0008-0000-0000-0000E3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300" name="Text Box 3099">
          <a:extLst>
            <a:ext uri="{FF2B5EF4-FFF2-40B4-BE49-F238E27FC236}">
              <a16:creationId xmlns:a16="http://schemas.microsoft.com/office/drawing/2014/main" xmlns="" id="{00000000-0008-0000-0000-0000E4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301" name="Text Box 3100">
          <a:extLst>
            <a:ext uri="{FF2B5EF4-FFF2-40B4-BE49-F238E27FC236}">
              <a16:creationId xmlns:a16="http://schemas.microsoft.com/office/drawing/2014/main" xmlns="" id="{00000000-0008-0000-0000-0000E5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302" name="Text Box 3101">
          <a:extLst>
            <a:ext uri="{FF2B5EF4-FFF2-40B4-BE49-F238E27FC236}">
              <a16:creationId xmlns:a16="http://schemas.microsoft.com/office/drawing/2014/main" xmlns="" id="{00000000-0008-0000-0000-0000E6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3303" name="Text Box 3102">
          <a:extLst>
            <a:ext uri="{FF2B5EF4-FFF2-40B4-BE49-F238E27FC236}">
              <a16:creationId xmlns:a16="http://schemas.microsoft.com/office/drawing/2014/main" xmlns="" id="{00000000-0008-0000-0000-0000E7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304" name="Text Box 59">
          <a:extLst>
            <a:ext uri="{FF2B5EF4-FFF2-40B4-BE49-F238E27FC236}">
              <a16:creationId xmlns:a16="http://schemas.microsoft.com/office/drawing/2014/main" xmlns="" id="{00000000-0008-0000-0000-0000E8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305" name="Text Box 60">
          <a:extLst>
            <a:ext uri="{FF2B5EF4-FFF2-40B4-BE49-F238E27FC236}">
              <a16:creationId xmlns:a16="http://schemas.microsoft.com/office/drawing/2014/main" xmlns="" id="{00000000-0008-0000-0000-0000E9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306" name="Text Box 61">
          <a:extLst>
            <a:ext uri="{FF2B5EF4-FFF2-40B4-BE49-F238E27FC236}">
              <a16:creationId xmlns:a16="http://schemas.microsoft.com/office/drawing/2014/main" xmlns="" id="{00000000-0008-0000-0000-0000EA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307" name="Text Box 62">
          <a:extLst>
            <a:ext uri="{FF2B5EF4-FFF2-40B4-BE49-F238E27FC236}">
              <a16:creationId xmlns:a16="http://schemas.microsoft.com/office/drawing/2014/main" xmlns="" id="{00000000-0008-0000-0000-0000EB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308" name="Text Box 63">
          <a:extLst>
            <a:ext uri="{FF2B5EF4-FFF2-40B4-BE49-F238E27FC236}">
              <a16:creationId xmlns:a16="http://schemas.microsoft.com/office/drawing/2014/main" xmlns="" id="{00000000-0008-0000-0000-0000EC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309" name="Text Box 64">
          <a:extLst>
            <a:ext uri="{FF2B5EF4-FFF2-40B4-BE49-F238E27FC236}">
              <a16:creationId xmlns:a16="http://schemas.microsoft.com/office/drawing/2014/main" xmlns="" id="{00000000-0008-0000-0000-0000ED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310" name="Text Box 65">
          <a:extLst>
            <a:ext uri="{FF2B5EF4-FFF2-40B4-BE49-F238E27FC236}">
              <a16:creationId xmlns:a16="http://schemas.microsoft.com/office/drawing/2014/main" xmlns="" id="{00000000-0008-0000-0000-0000EE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311" name="Text Box 66">
          <a:extLst>
            <a:ext uri="{FF2B5EF4-FFF2-40B4-BE49-F238E27FC236}">
              <a16:creationId xmlns:a16="http://schemas.microsoft.com/office/drawing/2014/main" xmlns="" id="{00000000-0008-0000-0000-0000EF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312" name="Text Box 67">
          <a:extLst>
            <a:ext uri="{FF2B5EF4-FFF2-40B4-BE49-F238E27FC236}">
              <a16:creationId xmlns:a16="http://schemas.microsoft.com/office/drawing/2014/main" xmlns="" id="{00000000-0008-0000-0000-0000F0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313" name="Text Box 68">
          <a:extLst>
            <a:ext uri="{FF2B5EF4-FFF2-40B4-BE49-F238E27FC236}">
              <a16:creationId xmlns:a16="http://schemas.microsoft.com/office/drawing/2014/main" xmlns="" id="{00000000-0008-0000-0000-0000F1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314" name="Text Box 69">
          <a:extLst>
            <a:ext uri="{FF2B5EF4-FFF2-40B4-BE49-F238E27FC236}">
              <a16:creationId xmlns:a16="http://schemas.microsoft.com/office/drawing/2014/main" xmlns="" id="{00000000-0008-0000-0000-0000F2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315" name="Text Box 70">
          <a:extLst>
            <a:ext uri="{FF2B5EF4-FFF2-40B4-BE49-F238E27FC236}">
              <a16:creationId xmlns:a16="http://schemas.microsoft.com/office/drawing/2014/main" xmlns="" id="{00000000-0008-0000-0000-0000F3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316" name="Text Box 71">
          <a:extLst>
            <a:ext uri="{FF2B5EF4-FFF2-40B4-BE49-F238E27FC236}">
              <a16:creationId xmlns:a16="http://schemas.microsoft.com/office/drawing/2014/main" xmlns="" id="{00000000-0008-0000-0000-0000F4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317" name="Text Box 72">
          <a:extLst>
            <a:ext uri="{FF2B5EF4-FFF2-40B4-BE49-F238E27FC236}">
              <a16:creationId xmlns:a16="http://schemas.microsoft.com/office/drawing/2014/main" xmlns="" id="{00000000-0008-0000-0000-0000F5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318" name="Text Box 73">
          <a:extLst>
            <a:ext uri="{FF2B5EF4-FFF2-40B4-BE49-F238E27FC236}">
              <a16:creationId xmlns:a16="http://schemas.microsoft.com/office/drawing/2014/main" xmlns="" id="{00000000-0008-0000-0000-0000F6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319" name="Text Box 74">
          <a:extLst>
            <a:ext uri="{FF2B5EF4-FFF2-40B4-BE49-F238E27FC236}">
              <a16:creationId xmlns:a16="http://schemas.microsoft.com/office/drawing/2014/main" xmlns="" id="{00000000-0008-0000-0000-0000F7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320" name="Text Box 75">
          <a:extLst>
            <a:ext uri="{FF2B5EF4-FFF2-40B4-BE49-F238E27FC236}">
              <a16:creationId xmlns:a16="http://schemas.microsoft.com/office/drawing/2014/main" xmlns="" id="{00000000-0008-0000-0000-0000F8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321" name="Text Box 76">
          <a:extLst>
            <a:ext uri="{FF2B5EF4-FFF2-40B4-BE49-F238E27FC236}">
              <a16:creationId xmlns:a16="http://schemas.microsoft.com/office/drawing/2014/main" xmlns="" id="{00000000-0008-0000-0000-0000F9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322" name="Text Box 77">
          <a:extLst>
            <a:ext uri="{FF2B5EF4-FFF2-40B4-BE49-F238E27FC236}">
              <a16:creationId xmlns:a16="http://schemas.microsoft.com/office/drawing/2014/main" xmlns="" id="{00000000-0008-0000-0000-0000FA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323" name="Text Box 78">
          <a:extLst>
            <a:ext uri="{FF2B5EF4-FFF2-40B4-BE49-F238E27FC236}">
              <a16:creationId xmlns:a16="http://schemas.microsoft.com/office/drawing/2014/main" xmlns="" id="{00000000-0008-0000-0000-0000FB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324" name="Text Box 79">
          <a:extLst>
            <a:ext uri="{FF2B5EF4-FFF2-40B4-BE49-F238E27FC236}">
              <a16:creationId xmlns:a16="http://schemas.microsoft.com/office/drawing/2014/main" xmlns="" id="{00000000-0008-0000-0000-0000FC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325" name="Text Box 80">
          <a:extLst>
            <a:ext uri="{FF2B5EF4-FFF2-40B4-BE49-F238E27FC236}">
              <a16:creationId xmlns:a16="http://schemas.microsoft.com/office/drawing/2014/main" xmlns="" id="{00000000-0008-0000-0000-0000FD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326" name="Text Box 81">
          <a:extLst>
            <a:ext uri="{FF2B5EF4-FFF2-40B4-BE49-F238E27FC236}">
              <a16:creationId xmlns:a16="http://schemas.microsoft.com/office/drawing/2014/main" xmlns="" id="{00000000-0008-0000-0000-0000FE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327" name="Text Box 3079">
          <a:extLst>
            <a:ext uri="{FF2B5EF4-FFF2-40B4-BE49-F238E27FC236}">
              <a16:creationId xmlns:a16="http://schemas.microsoft.com/office/drawing/2014/main" xmlns="" id="{00000000-0008-0000-0000-0000FF0C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328" name="Text Box 3080">
          <a:extLst>
            <a:ext uri="{FF2B5EF4-FFF2-40B4-BE49-F238E27FC236}">
              <a16:creationId xmlns:a16="http://schemas.microsoft.com/office/drawing/2014/main" xmlns="" id="{00000000-0008-0000-0000-000000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329" name="Text Box 3081">
          <a:extLst>
            <a:ext uri="{FF2B5EF4-FFF2-40B4-BE49-F238E27FC236}">
              <a16:creationId xmlns:a16="http://schemas.microsoft.com/office/drawing/2014/main" xmlns="" id="{00000000-0008-0000-0000-000001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330" name="Text Box 3082">
          <a:extLst>
            <a:ext uri="{FF2B5EF4-FFF2-40B4-BE49-F238E27FC236}">
              <a16:creationId xmlns:a16="http://schemas.microsoft.com/office/drawing/2014/main" xmlns="" id="{00000000-0008-0000-0000-000002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331" name="Text Box 3083">
          <a:extLst>
            <a:ext uri="{FF2B5EF4-FFF2-40B4-BE49-F238E27FC236}">
              <a16:creationId xmlns:a16="http://schemas.microsoft.com/office/drawing/2014/main" xmlns="" id="{00000000-0008-0000-0000-000003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332" name="Text Box 3084">
          <a:extLst>
            <a:ext uri="{FF2B5EF4-FFF2-40B4-BE49-F238E27FC236}">
              <a16:creationId xmlns:a16="http://schemas.microsoft.com/office/drawing/2014/main" xmlns="" id="{00000000-0008-0000-0000-000004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333" name="Text Box 3085">
          <a:extLst>
            <a:ext uri="{FF2B5EF4-FFF2-40B4-BE49-F238E27FC236}">
              <a16:creationId xmlns:a16="http://schemas.microsoft.com/office/drawing/2014/main" xmlns="" id="{00000000-0008-0000-0000-000005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334" name="Text Box 3086">
          <a:extLst>
            <a:ext uri="{FF2B5EF4-FFF2-40B4-BE49-F238E27FC236}">
              <a16:creationId xmlns:a16="http://schemas.microsoft.com/office/drawing/2014/main" xmlns="" id="{00000000-0008-0000-0000-000006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335" name="Text Box 3087">
          <a:extLst>
            <a:ext uri="{FF2B5EF4-FFF2-40B4-BE49-F238E27FC236}">
              <a16:creationId xmlns:a16="http://schemas.microsoft.com/office/drawing/2014/main" xmlns="" id="{00000000-0008-0000-0000-000007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336" name="Text Box 3088">
          <a:extLst>
            <a:ext uri="{FF2B5EF4-FFF2-40B4-BE49-F238E27FC236}">
              <a16:creationId xmlns:a16="http://schemas.microsoft.com/office/drawing/2014/main" xmlns="" id="{00000000-0008-0000-0000-000008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337" name="Text Box 3089">
          <a:extLst>
            <a:ext uri="{FF2B5EF4-FFF2-40B4-BE49-F238E27FC236}">
              <a16:creationId xmlns:a16="http://schemas.microsoft.com/office/drawing/2014/main" xmlns="" id="{00000000-0008-0000-0000-000009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338" name="Text Box 3090">
          <a:extLst>
            <a:ext uri="{FF2B5EF4-FFF2-40B4-BE49-F238E27FC236}">
              <a16:creationId xmlns:a16="http://schemas.microsoft.com/office/drawing/2014/main" xmlns="" id="{00000000-0008-0000-0000-00000A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339" name="Text Box 3091">
          <a:extLst>
            <a:ext uri="{FF2B5EF4-FFF2-40B4-BE49-F238E27FC236}">
              <a16:creationId xmlns:a16="http://schemas.microsoft.com/office/drawing/2014/main" xmlns="" id="{00000000-0008-0000-0000-00000B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340" name="Text Box 3092">
          <a:extLst>
            <a:ext uri="{FF2B5EF4-FFF2-40B4-BE49-F238E27FC236}">
              <a16:creationId xmlns:a16="http://schemas.microsoft.com/office/drawing/2014/main" xmlns="" id="{00000000-0008-0000-0000-00000C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341" name="Text Box 3093">
          <a:extLst>
            <a:ext uri="{FF2B5EF4-FFF2-40B4-BE49-F238E27FC236}">
              <a16:creationId xmlns:a16="http://schemas.microsoft.com/office/drawing/2014/main" xmlns="" id="{00000000-0008-0000-0000-00000D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342" name="Text Box 3094">
          <a:extLst>
            <a:ext uri="{FF2B5EF4-FFF2-40B4-BE49-F238E27FC236}">
              <a16:creationId xmlns:a16="http://schemas.microsoft.com/office/drawing/2014/main" xmlns="" id="{00000000-0008-0000-0000-00000E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343" name="Text Box 3095">
          <a:extLst>
            <a:ext uri="{FF2B5EF4-FFF2-40B4-BE49-F238E27FC236}">
              <a16:creationId xmlns:a16="http://schemas.microsoft.com/office/drawing/2014/main" xmlns="" id="{00000000-0008-0000-0000-00000F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344" name="Text Box 3096">
          <a:extLst>
            <a:ext uri="{FF2B5EF4-FFF2-40B4-BE49-F238E27FC236}">
              <a16:creationId xmlns:a16="http://schemas.microsoft.com/office/drawing/2014/main" xmlns="" id="{00000000-0008-0000-0000-000010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345" name="Text Box 3097">
          <a:extLst>
            <a:ext uri="{FF2B5EF4-FFF2-40B4-BE49-F238E27FC236}">
              <a16:creationId xmlns:a16="http://schemas.microsoft.com/office/drawing/2014/main" xmlns="" id="{00000000-0008-0000-0000-000011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346" name="Text Box 3098">
          <a:extLst>
            <a:ext uri="{FF2B5EF4-FFF2-40B4-BE49-F238E27FC236}">
              <a16:creationId xmlns:a16="http://schemas.microsoft.com/office/drawing/2014/main" xmlns="" id="{00000000-0008-0000-0000-000012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347" name="Text Box 3099">
          <a:extLst>
            <a:ext uri="{FF2B5EF4-FFF2-40B4-BE49-F238E27FC236}">
              <a16:creationId xmlns:a16="http://schemas.microsoft.com/office/drawing/2014/main" xmlns="" id="{00000000-0008-0000-0000-000013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348" name="Text Box 3100">
          <a:extLst>
            <a:ext uri="{FF2B5EF4-FFF2-40B4-BE49-F238E27FC236}">
              <a16:creationId xmlns:a16="http://schemas.microsoft.com/office/drawing/2014/main" xmlns="" id="{00000000-0008-0000-0000-000014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349" name="Text Box 3101">
          <a:extLst>
            <a:ext uri="{FF2B5EF4-FFF2-40B4-BE49-F238E27FC236}">
              <a16:creationId xmlns:a16="http://schemas.microsoft.com/office/drawing/2014/main" xmlns="" id="{00000000-0008-0000-0000-000015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3350" name="Text Box 3102">
          <a:extLst>
            <a:ext uri="{FF2B5EF4-FFF2-40B4-BE49-F238E27FC236}">
              <a16:creationId xmlns:a16="http://schemas.microsoft.com/office/drawing/2014/main" xmlns="" id="{00000000-0008-0000-0000-000016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351" name="Text Box 59">
          <a:extLst>
            <a:ext uri="{FF2B5EF4-FFF2-40B4-BE49-F238E27FC236}">
              <a16:creationId xmlns:a16="http://schemas.microsoft.com/office/drawing/2014/main" xmlns="" id="{00000000-0008-0000-0000-000017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352" name="Text Box 60">
          <a:extLst>
            <a:ext uri="{FF2B5EF4-FFF2-40B4-BE49-F238E27FC236}">
              <a16:creationId xmlns:a16="http://schemas.microsoft.com/office/drawing/2014/main" xmlns="" id="{00000000-0008-0000-0000-000018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353" name="Text Box 61">
          <a:extLst>
            <a:ext uri="{FF2B5EF4-FFF2-40B4-BE49-F238E27FC236}">
              <a16:creationId xmlns:a16="http://schemas.microsoft.com/office/drawing/2014/main" xmlns="" id="{00000000-0008-0000-0000-000019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354" name="Text Box 62">
          <a:extLst>
            <a:ext uri="{FF2B5EF4-FFF2-40B4-BE49-F238E27FC236}">
              <a16:creationId xmlns:a16="http://schemas.microsoft.com/office/drawing/2014/main" xmlns="" id="{00000000-0008-0000-0000-00001A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355" name="Text Box 63">
          <a:extLst>
            <a:ext uri="{FF2B5EF4-FFF2-40B4-BE49-F238E27FC236}">
              <a16:creationId xmlns:a16="http://schemas.microsoft.com/office/drawing/2014/main" xmlns="" id="{00000000-0008-0000-0000-00001B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356" name="Text Box 64">
          <a:extLst>
            <a:ext uri="{FF2B5EF4-FFF2-40B4-BE49-F238E27FC236}">
              <a16:creationId xmlns:a16="http://schemas.microsoft.com/office/drawing/2014/main" xmlns="" id="{00000000-0008-0000-0000-00001C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357" name="Text Box 65">
          <a:extLst>
            <a:ext uri="{FF2B5EF4-FFF2-40B4-BE49-F238E27FC236}">
              <a16:creationId xmlns:a16="http://schemas.microsoft.com/office/drawing/2014/main" xmlns="" id="{00000000-0008-0000-0000-00001D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358" name="Text Box 66">
          <a:extLst>
            <a:ext uri="{FF2B5EF4-FFF2-40B4-BE49-F238E27FC236}">
              <a16:creationId xmlns:a16="http://schemas.microsoft.com/office/drawing/2014/main" xmlns="" id="{00000000-0008-0000-0000-00001E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359" name="Text Box 67">
          <a:extLst>
            <a:ext uri="{FF2B5EF4-FFF2-40B4-BE49-F238E27FC236}">
              <a16:creationId xmlns:a16="http://schemas.microsoft.com/office/drawing/2014/main" xmlns="" id="{00000000-0008-0000-0000-00001F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360" name="Text Box 68">
          <a:extLst>
            <a:ext uri="{FF2B5EF4-FFF2-40B4-BE49-F238E27FC236}">
              <a16:creationId xmlns:a16="http://schemas.microsoft.com/office/drawing/2014/main" xmlns="" id="{00000000-0008-0000-0000-000020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361" name="Text Box 69">
          <a:extLst>
            <a:ext uri="{FF2B5EF4-FFF2-40B4-BE49-F238E27FC236}">
              <a16:creationId xmlns:a16="http://schemas.microsoft.com/office/drawing/2014/main" xmlns="" id="{00000000-0008-0000-0000-000021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362" name="Text Box 70">
          <a:extLst>
            <a:ext uri="{FF2B5EF4-FFF2-40B4-BE49-F238E27FC236}">
              <a16:creationId xmlns:a16="http://schemas.microsoft.com/office/drawing/2014/main" xmlns="" id="{00000000-0008-0000-0000-000022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363" name="Text Box 71">
          <a:extLst>
            <a:ext uri="{FF2B5EF4-FFF2-40B4-BE49-F238E27FC236}">
              <a16:creationId xmlns:a16="http://schemas.microsoft.com/office/drawing/2014/main" xmlns="" id="{00000000-0008-0000-0000-000023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364" name="Text Box 72">
          <a:extLst>
            <a:ext uri="{FF2B5EF4-FFF2-40B4-BE49-F238E27FC236}">
              <a16:creationId xmlns:a16="http://schemas.microsoft.com/office/drawing/2014/main" xmlns="" id="{00000000-0008-0000-0000-000024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365" name="Text Box 73">
          <a:extLst>
            <a:ext uri="{FF2B5EF4-FFF2-40B4-BE49-F238E27FC236}">
              <a16:creationId xmlns:a16="http://schemas.microsoft.com/office/drawing/2014/main" xmlns="" id="{00000000-0008-0000-0000-000025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366" name="Text Box 74">
          <a:extLst>
            <a:ext uri="{FF2B5EF4-FFF2-40B4-BE49-F238E27FC236}">
              <a16:creationId xmlns:a16="http://schemas.microsoft.com/office/drawing/2014/main" xmlns="" id="{00000000-0008-0000-0000-000026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367" name="Text Box 75">
          <a:extLst>
            <a:ext uri="{FF2B5EF4-FFF2-40B4-BE49-F238E27FC236}">
              <a16:creationId xmlns:a16="http://schemas.microsoft.com/office/drawing/2014/main" xmlns="" id="{00000000-0008-0000-0000-000027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368" name="Text Box 76">
          <a:extLst>
            <a:ext uri="{FF2B5EF4-FFF2-40B4-BE49-F238E27FC236}">
              <a16:creationId xmlns:a16="http://schemas.microsoft.com/office/drawing/2014/main" xmlns="" id="{00000000-0008-0000-0000-000028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369" name="Text Box 77">
          <a:extLst>
            <a:ext uri="{FF2B5EF4-FFF2-40B4-BE49-F238E27FC236}">
              <a16:creationId xmlns:a16="http://schemas.microsoft.com/office/drawing/2014/main" xmlns="" id="{00000000-0008-0000-0000-000029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370" name="Text Box 78">
          <a:extLst>
            <a:ext uri="{FF2B5EF4-FFF2-40B4-BE49-F238E27FC236}">
              <a16:creationId xmlns:a16="http://schemas.microsoft.com/office/drawing/2014/main" xmlns="" id="{00000000-0008-0000-0000-00002A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371" name="Text Box 79">
          <a:extLst>
            <a:ext uri="{FF2B5EF4-FFF2-40B4-BE49-F238E27FC236}">
              <a16:creationId xmlns:a16="http://schemas.microsoft.com/office/drawing/2014/main" xmlns="" id="{00000000-0008-0000-0000-00002B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372" name="Text Box 80">
          <a:extLst>
            <a:ext uri="{FF2B5EF4-FFF2-40B4-BE49-F238E27FC236}">
              <a16:creationId xmlns:a16="http://schemas.microsoft.com/office/drawing/2014/main" xmlns="" id="{00000000-0008-0000-0000-00002C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373" name="Text Box 81">
          <a:extLst>
            <a:ext uri="{FF2B5EF4-FFF2-40B4-BE49-F238E27FC236}">
              <a16:creationId xmlns:a16="http://schemas.microsoft.com/office/drawing/2014/main" xmlns="" id="{00000000-0008-0000-0000-00002D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47625"/>
    <xdr:sp macro="" textlink="">
      <xdr:nvSpPr>
        <xdr:cNvPr id="3374" name="Text Box 82">
          <a:extLst>
            <a:ext uri="{FF2B5EF4-FFF2-40B4-BE49-F238E27FC236}">
              <a16:creationId xmlns:a16="http://schemas.microsoft.com/office/drawing/2014/main" xmlns="" id="{00000000-0008-0000-0000-00002E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375" name="Text Box 3079">
          <a:extLst>
            <a:ext uri="{FF2B5EF4-FFF2-40B4-BE49-F238E27FC236}">
              <a16:creationId xmlns:a16="http://schemas.microsoft.com/office/drawing/2014/main" xmlns="" id="{00000000-0008-0000-0000-00002F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376" name="Text Box 3080">
          <a:extLst>
            <a:ext uri="{FF2B5EF4-FFF2-40B4-BE49-F238E27FC236}">
              <a16:creationId xmlns:a16="http://schemas.microsoft.com/office/drawing/2014/main" xmlns="" id="{00000000-0008-0000-0000-000030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377" name="Text Box 3081">
          <a:extLst>
            <a:ext uri="{FF2B5EF4-FFF2-40B4-BE49-F238E27FC236}">
              <a16:creationId xmlns:a16="http://schemas.microsoft.com/office/drawing/2014/main" xmlns="" id="{00000000-0008-0000-0000-000031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378" name="Text Box 3082">
          <a:extLst>
            <a:ext uri="{FF2B5EF4-FFF2-40B4-BE49-F238E27FC236}">
              <a16:creationId xmlns:a16="http://schemas.microsoft.com/office/drawing/2014/main" xmlns="" id="{00000000-0008-0000-0000-000032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379" name="Text Box 3083">
          <a:extLst>
            <a:ext uri="{FF2B5EF4-FFF2-40B4-BE49-F238E27FC236}">
              <a16:creationId xmlns:a16="http://schemas.microsoft.com/office/drawing/2014/main" xmlns="" id="{00000000-0008-0000-0000-000033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380" name="Text Box 3084">
          <a:extLst>
            <a:ext uri="{FF2B5EF4-FFF2-40B4-BE49-F238E27FC236}">
              <a16:creationId xmlns:a16="http://schemas.microsoft.com/office/drawing/2014/main" xmlns="" id="{00000000-0008-0000-0000-000034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381" name="Text Box 3085">
          <a:extLst>
            <a:ext uri="{FF2B5EF4-FFF2-40B4-BE49-F238E27FC236}">
              <a16:creationId xmlns:a16="http://schemas.microsoft.com/office/drawing/2014/main" xmlns="" id="{00000000-0008-0000-0000-000035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382" name="Text Box 3086">
          <a:extLst>
            <a:ext uri="{FF2B5EF4-FFF2-40B4-BE49-F238E27FC236}">
              <a16:creationId xmlns:a16="http://schemas.microsoft.com/office/drawing/2014/main" xmlns="" id="{00000000-0008-0000-0000-000036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383" name="Text Box 3087">
          <a:extLst>
            <a:ext uri="{FF2B5EF4-FFF2-40B4-BE49-F238E27FC236}">
              <a16:creationId xmlns:a16="http://schemas.microsoft.com/office/drawing/2014/main" xmlns="" id="{00000000-0008-0000-0000-000037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384" name="Text Box 3088">
          <a:extLst>
            <a:ext uri="{FF2B5EF4-FFF2-40B4-BE49-F238E27FC236}">
              <a16:creationId xmlns:a16="http://schemas.microsoft.com/office/drawing/2014/main" xmlns="" id="{00000000-0008-0000-0000-000038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385" name="Text Box 3089">
          <a:extLst>
            <a:ext uri="{FF2B5EF4-FFF2-40B4-BE49-F238E27FC236}">
              <a16:creationId xmlns:a16="http://schemas.microsoft.com/office/drawing/2014/main" xmlns="" id="{00000000-0008-0000-0000-000039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386" name="Text Box 3090">
          <a:extLst>
            <a:ext uri="{FF2B5EF4-FFF2-40B4-BE49-F238E27FC236}">
              <a16:creationId xmlns:a16="http://schemas.microsoft.com/office/drawing/2014/main" xmlns="" id="{00000000-0008-0000-0000-00003A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387" name="Text Box 3091">
          <a:extLst>
            <a:ext uri="{FF2B5EF4-FFF2-40B4-BE49-F238E27FC236}">
              <a16:creationId xmlns:a16="http://schemas.microsoft.com/office/drawing/2014/main" xmlns="" id="{00000000-0008-0000-0000-00003B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388" name="Text Box 3092">
          <a:extLst>
            <a:ext uri="{FF2B5EF4-FFF2-40B4-BE49-F238E27FC236}">
              <a16:creationId xmlns:a16="http://schemas.microsoft.com/office/drawing/2014/main" xmlns="" id="{00000000-0008-0000-0000-00003C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389" name="Text Box 3093">
          <a:extLst>
            <a:ext uri="{FF2B5EF4-FFF2-40B4-BE49-F238E27FC236}">
              <a16:creationId xmlns:a16="http://schemas.microsoft.com/office/drawing/2014/main" xmlns="" id="{00000000-0008-0000-0000-00003D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390" name="Text Box 3094">
          <a:extLst>
            <a:ext uri="{FF2B5EF4-FFF2-40B4-BE49-F238E27FC236}">
              <a16:creationId xmlns:a16="http://schemas.microsoft.com/office/drawing/2014/main" xmlns="" id="{00000000-0008-0000-0000-00003E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391" name="Text Box 3095">
          <a:extLst>
            <a:ext uri="{FF2B5EF4-FFF2-40B4-BE49-F238E27FC236}">
              <a16:creationId xmlns:a16="http://schemas.microsoft.com/office/drawing/2014/main" xmlns="" id="{00000000-0008-0000-0000-00003F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392" name="Text Box 3096">
          <a:extLst>
            <a:ext uri="{FF2B5EF4-FFF2-40B4-BE49-F238E27FC236}">
              <a16:creationId xmlns:a16="http://schemas.microsoft.com/office/drawing/2014/main" xmlns="" id="{00000000-0008-0000-0000-000040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393" name="Text Box 3097">
          <a:extLst>
            <a:ext uri="{FF2B5EF4-FFF2-40B4-BE49-F238E27FC236}">
              <a16:creationId xmlns:a16="http://schemas.microsoft.com/office/drawing/2014/main" xmlns="" id="{00000000-0008-0000-0000-000041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394" name="Text Box 3098">
          <a:extLst>
            <a:ext uri="{FF2B5EF4-FFF2-40B4-BE49-F238E27FC236}">
              <a16:creationId xmlns:a16="http://schemas.microsoft.com/office/drawing/2014/main" xmlns="" id="{00000000-0008-0000-0000-000042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395" name="Text Box 3099">
          <a:extLst>
            <a:ext uri="{FF2B5EF4-FFF2-40B4-BE49-F238E27FC236}">
              <a16:creationId xmlns:a16="http://schemas.microsoft.com/office/drawing/2014/main" xmlns="" id="{00000000-0008-0000-0000-000043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396" name="Text Box 3100">
          <a:extLst>
            <a:ext uri="{FF2B5EF4-FFF2-40B4-BE49-F238E27FC236}">
              <a16:creationId xmlns:a16="http://schemas.microsoft.com/office/drawing/2014/main" xmlns="" id="{00000000-0008-0000-0000-000044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397" name="Text Box 3101">
          <a:extLst>
            <a:ext uri="{FF2B5EF4-FFF2-40B4-BE49-F238E27FC236}">
              <a16:creationId xmlns:a16="http://schemas.microsoft.com/office/drawing/2014/main" xmlns="" id="{00000000-0008-0000-0000-000045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3398" name="Text Box 3102">
          <a:extLst>
            <a:ext uri="{FF2B5EF4-FFF2-40B4-BE49-F238E27FC236}">
              <a16:creationId xmlns:a16="http://schemas.microsoft.com/office/drawing/2014/main" xmlns="" id="{00000000-0008-0000-0000-000046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399" name="Text Box 59">
          <a:extLst>
            <a:ext uri="{FF2B5EF4-FFF2-40B4-BE49-F238E27FC236}">
              <a16:creationId xmlns:a16="http://schemas.microsoft.com/office/drawing/2014/main" xmlns="" id="{00000000-0008-0000-0000-000047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400" name="Text Box 60">
          <a:extLst>
            <a:ext uri="{FF2B5EF4-FFF2-40B4-BE49-F238E27FC236}">
              <a16:creationId xmlns:a16="http://schemas.microsoft.com/office/drawing/2014/main" xmlns="" id="{00000000-0008-0000-0000-000048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401" name="Text Box 61">
          <a:extLst>
            <a:ext uri="{FF2B5EF4-FFF2-40B4-BE49-F238E27FC236}">
              <a16:creationId xmlns:a16="http://schemas.microsoft.com/office/drawing/2014/main" xmlns="" id="{00000000-0008-0000-0000-000049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402" name="Text Box 62">
          <a:extLst>
            <a:ext uri="{FF2B5EF4-FFF2-40B4-BE49-F238E27FC236}">
              <a16:creationId xmlns:a16="http://schemas.microsoft.com/office/drawing/2014/main" xmlns="" id="{00000000-0008-0000-0000-00004A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403" name="Text Box 63">
          <a:extLst>
            <a:ext uri="{FF2B5EF4-FFF2-40B4-BE49-F238E27FC236}">
              <a16:creationId xmlns:a16="http://schemas.microsoft.com/office/drawing/2014/main" xmlns="" id="{00000000-0008-0000-0000-00004B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404" name="Text Box 64">
          <a:extLst>
            <a:ext uri="{FF2B5EF4-FFF2-40B4-BE49-F238E27FC236}">
              <a16:creationId xmlns:a16="http://schemas.microsoft.com/office/drawing/2014/main" xmlns="" id="{00000000-0008-0000-0000-00004C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405" name="Text Box 65">
          <a:extLst>
            <a:ext uri="{FF2B5EF4-FFF2-40B4-BE49-F238E27FC236}">
              <a16:creationId xmlns:a16="http://schemas.microsoft.com/office/drawing/2014/main" xmlns="" id="{00000000-0008-0000-0000-00004D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406" name="Text Box 66">
          <a:extLst>
            <a:ext uri="{FF2B5EF4-FFF2-40B4-BE49-F238E27FC236}">
              <a16:creationId xmlns:a16="http://schemas.microsoft.com/office/drawing/2014/main" xmlns="" id="{00000000-0008-0000-0000-00004E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407" name="Text Box 67">
          <a:extLst>
            <a:ext uri="{FF2B5EF4-FFF2-40B4-BE49-F238E27FC236}">
              <a16:creationId xmlns:a16="http://schemas.microsoft.com/office/drawing/2014/main" xmlns="" id="{00000000-0008-0000-0000-00004F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408" name="Text Box 68">
          <a:extLst>
            <a:ext uri="{FF2B5EF4-FFF2-40B4-BE49-F238E27FC236}">
              <a16:creationId xmlns:a16="http://schemas.microsoft.com/office/drawing/2014/main" xmlns="" id="{00000000-0008-0000-0000-000050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409" name="Text Box 69">
          <a:extLst>
            <a:ext uri="{FF2B5EF4-FFF2-40B4-BE49-F238E27FC236}">
              <a16:creationId xmlns:a16="http://schemas.microsoft.com/office/drawing/2014/main" xmlns="" id="{00000000-0008-0000-0000-000051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410" name="Text Box 70">
          <a:extLst>
            <a:ext uri="{FF2B5EF4-FFF2-40B4-BE49-F238E27FC236}">
              <a16:creationId xmlns:a16="http://schemas.microsoft.com/office/drawing/2014/main" xmlns="" id="{00000000-0008-0000-0000-000052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411" name="Text Box 71">
          <a:extLst>
            <a:ext uri="{FF2B5EF4-FFF2-40B4-BE49-F238E27FC236}">
              <a16:creationId xmlns:a16="http://schemas.microsoft.com/office/drawing/2014/main" xmlns="" id="{00000000-0008-0000-0000-000053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412" name="Text Box 72">
          <a:extLst>
            <a:ext uri="{FF2B5EF4-FFF2-40B4-BE49-F238E27FC236}">
              <a16:creationId xmlns:a16="http://schemas.microsoft.com/office/drawing/2014/main" xmlns="" id="{00000000-0008-0000-0000-000054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413" name="Text Box 73">
          <a:extLst>
            <a:ext uri="{FF2B5EF4-FFF2-40B4-BE49-F238E27FC236}">
              <a16:creationId xmlns:a16="http://schemas.microsoft.com/office/drawing/2014/main" xmlns="" id="{00000000-0008-0000-0000-000055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414" name="Text Box 74">
          <a:extLst>
            <a:ext uri="{FF2B5EF4-FFF2-40B4-BE49-F238E27FC236}">
              <a16:creationId xmlns:a16="http://schemas.microsoft.com/office/drawing/2014/main" xmlns="" id="{00000000-0008-0000-0000-000056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415" name="Text Box 75">
          <a:extLst>
            <a:ext uri="{FF2B5EF4-FFF2-40B4-BE49-F238E27FC236}">
              <a16:creationId xmlns:a16="http://schemas.microsoft.com/office/drawing/2014/main" xmlns="" id="{00000000-0008-0000-0000-000057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416" name="Text Box 76">
          <a:extLst>
            <a:ext uri="{FF2B5EF4-FFF2-40B4-BE49-F238E27FC236}">
              <a16:creationId xmlns:a16="http://schemas.microsoft.com/office/drawing/2014/main" xmlns="" id="{00000000-0008-0000-0000-000058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417" name="Text Box 77">
          <a:extLst>
            <a:ext uri="{FF2B5EF4-FFF2-40B4-BE49-F238E27FC236}">
              <a16:creationId xmlns:a16="http://schemas.microsoft.com/office/drawing/2014/main" xmlns="" id="{00000000-0008-0000-0000-000059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418" name="Text Box 78">
          <a:extLst>
            <a:ext uri="{FF2B5EF4-FFF2-40B4-BE49-F238E27FC236}">
              <a16:creationId xmlns:a16="http://schemas.microsoft.com/office/drawing/2014/main" xmlns="" id="{00000000-0008-0000-0000-00005A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419" name="Text Box 79">
          <a:extLst>
            <a:ext uri="{FF2B5EF4-FFF2-40B4-BE49-F238E27FC236}">
              <a16:creationId xmlns:a16="http://schemas.microsoft.com/office/drawing/2014/main" xmlns="" id="{00000000-0008-0000-0000-00005B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420" name="Text Box 80">
          <a:extLst>
            <a:ext uri="{FF2B5EF4-FFF2-40B4-BE49-F238E27FC236}">
              <a16:creationId xmlns:a16="http://schemas.microsoft.com/office/drawing/2014/main" xmlns="" id="{00000000-0008-0000-0000-00005C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421" name="Text Box 81">
          <a:extLst>
            <a:ext uri="{FF2B5EF4-FFF2-40B4-BE49-F238E27FC236}">
              <a16:creationId xmlns:a16="http://schemas.microsoft.com/office/drawing/2014/main" xmlns="" id="{00000000-0008-0000-0000-00005D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422" name="Text Box 3079">
          <a:extLst>
            <a:ext uri="{FF2B5EF4-FFF2-40B4-BE49-F238E27FC236}">
              <a16:creationId xmlns:a16="http://schemas.microsoft.com/office/drawing/2014/main" xmlns="" id="{00000000-0008-0000-0000-00005E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423" name="Text Box 3080">
          <a:extLst>
            <a:ext uri="{FF2B5EF4-FFF2-40B4-BE49-F238E27FC236}">
              <a16:creationId xmlns:a16="http://schemas.microsoft.com/office/drawing/2014/main" xmlns="" id="{00000000-0008-0000-0000-00005F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424" name="Text Box 3081">
          <a:extLst>
            <a:ext uri="{FF2B5EF4-FFF2-40B4-BE49-F238E27FC236}">
              <a16:creationId xmlns:a16="http://schemas.microsoft.com/office/drawing/2014/main" xmlns="" id="{00000000-0008-0000-0000-000060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425" name="Text Box 3082">
          <a:extLst>
            <a:ext uri="{FF2B5EF4-FFF2-40B4-BE49-F238E27FC236}">
              <a16:creationId xmlns:a16="http://schemas.microsoft.com/office/drawing/2014/main" xmlns="" id="{00000000-0008-0000-0000-000061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426" name="Text Box 3083">
          <a:extLst>
            <a:ext uri="{FF2B5EF4-FFF2-40B4-BE49-F238E27FC236}">
              <a16:creationId xmlns:a16="http://schemas.microsoft.com/office/drawing/2014/main" xmlns="" id="{00000000-0008-0000-0000-000062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427" name="Text Box 3084">
          <a:extLst>
            <a:ext uri="{FF2B5EF4-FFF2-40B4-BE49-F238E27FC236}">
              <a16:creationId xmlns:a16="http://schemas.microsoft.com/office/drawing/2014/main" xmlns="" id="{00000000-0008-0000-0000-000063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428" name="Text Box 3085">
          <a:extLst>
            <a:ext uri="{FF2B5EF4-FFF2-40B4-BE49-F238E27FC236}">
              <a16:creationId xmlns:a16="http://schemas.microsoft.com/office/drawing/2014/main" xmlns="" id="{00000000-0008-0000-0000-000064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429" name="Text Box 3086">
          <a:extLst>
            <a:ext uri="{FF2B5EF4-FFF2-40B4-BE49-F238E27FC236}">
              <a16:creationId xmlns:a16="http://schemas.microsoft.com/office/drawing/2014/main" xmlns="" id="{00000000-0008-0000-0000-000065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430" name="Text Box 3087">
          <a:extLst>
            <a:ext uri="{FF2B5EF4-FFF2-40B4-BE49-F238E27FC236}">
              <a16:creationId xmlns:a16="http://schemas.microsoft.com/office/drawing/2014/main" xmlns="" id="{00000000-0008-0000-0000-000066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431" name="Text Box 3088">
          <a:extLst>
            <a:ext uri="{FF2B5EF4-FFF2-40B4-BE49-F238E27FC236}">
              <a16:creationId xmlns:a16="http://schemas.microsoft.com/office/drawing/2014/main" xmlns="" id="{00000000-0008-0000-0000-000067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432" name="Text Box 3089">
          <a:extLst>
            <a:ext uri="{FF2B5EF4-FFF2-40B4-BE49-F238E27FC236}">
              <a16:creationId xmlns:a16="http://schemas.microsoft.com/office/drawing/2014/main" xmlns="" id="{00000000-0008-0000-0000-000068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433" name="Text Box 3090">
          <a:extLst>
            <a:ext uri="{FF2B5EF4-FFF2-40B4-BE49-F238E27FC236}">
              <a16:creationId xmlns:a16="http://schemas.microsoft.com/office/drawing/2014/main" xmlns="" id="{00000000-0008-0000-0000-000069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434" name="Text Box 3091">
          <a:extLst>
            <a:ext uri="{FF2B5EF4-FFF2-40B4-BE49-F238E27FC236}">
              <a16:creationId xmlns:a16="http://schemas.microsoft.com/office/drawing/2014/main" xmlns="" id="{00000000-0008-0000-0000-00006A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435" name="Text Box 3092">
          <a:extLst>
            <a:ext uri="{FF2B5EF4-FFF2-40B4-BE49-F238E27FC236}">
              <a16:creationId xmlns:a16="http://schemas.microsoft.com/office/drawing/2014/main" xmlns="" id="{00000000-0008-0000-0000-00006B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436" name="Text Box 3093">
          <a:extLst>
            <a:ext uri="{FF2B5EF4-FFF2-40B4-BE49-F238E27FC236}">
              <a16:creationId xmlns:a16="http://schemas.microsoft.com/office/drawing/2014/main" xmlns="" id="{00000000-0008-0000-0000-00006C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437" name="Text Box 3094">
          <a:extLst>
            <a:ext uri="{FF2B5EF4-FFF2-40B4-BE49-F238E27FC236}">
              <a16:creationId xmlns:a16="http://schemas.microsoft.com/office/drawing/2014/main" xmlns="" id="{00000000-0008-0000-0000-00006D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438" name="Text Box 3095">
          <a:extLst>
            <a:ext uri="{FF2B5EF4-FFF2-40B4-BE49-F238E27FC236}">
              <a16:creationId xmlns:a16="http://schemas.microsoft.com/office/drawing/2014/main" xmlns="" id="{00000000-0008-0000-0000-00006E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439" name="Text Box 3096">
          <a:extLst>
            <a:ext uri="{FF2B5EF4-FFF2-40B4-BE49-F238E27FC236}">
              <a16:creationId xmlns:a16="http://schemas.microsoft.com/office/drawing/2014/main" xmlns="" id="{00000000-0008-0000-0000-00006F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440" name="Text Box 3097">
          <a:extLst>
            <a:ext uri="{FF2B5EF4-FFF2-40B4-BE49-F238E27FC236}">
              <a16:creationId xmlns:a16="http://schemas.microsoft.com/office/drawing/2014/main" xmlns="" id="{00000000-0008-0000-0000-000070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441" name="Text Box 3098">
          <a:extLst>
            <a:ext uri="{FF2B5EF4-FFF2-40B4-BE49-F238E27FC236}">
              <a16:creationId xmlns:a16="http://schemas.microsoft.com/office/drawing/2014/main" xmlns="" id="{00000000-0008-0000-0000-000071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442" name="Text Box 3099">
          <a:extLst>
            <a:ext uri="{FF2B5EF4-FFF2-40B4-BE49-F238E27FC236}">
              <a16:creationId xmlns:a16="http://schemas.microsoft.com/office/drawing/2014/main" xmlns="" id="{00000000-0008-0000-0000-000072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443" name="Text Box 3100">
          <a:extLst>
            <a:ext uri="{FF2B5EF4-FFF2-40B4-BE49-F238E27FC236}">
              <a16:creationId xmlns:a16="http://schemas.microsoft.com/office/drawing/2014/main" xmlns="" id="{00000000-0008-0000-0000-000073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444" name="Text Box 3101">
          <a:extLst>
            <a:ext uri="{FF2B5EF4-FFF2-40B4-BE49-F238E27FC236}">
              <a16:creationId xmlns:a16="http://schemas.microsoft.com/office/drawing/2014/main" xmlns="" id="{00000000-0008-0000-0000-000074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3445" name="Text Box 3102">
          <a:extLst>
            <a:ext uri="{FF2B5EF4-FFF2-40B4-BE49-F238E27FC236}">
              <a16:creationId xmlns:a16="http://schemas.microsoft.com/office/drawing/2014/main" xmlns="" id="{00000000-0008-0000-0000-000075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446" name="Text Box 59">
          <a:extLst>
            <a:ext uri="{FF2B5EF4-FFF2-40B4-BE49-F238E27FC236}">
              <a16:creationId xmlns:a16="http://schemas.microsoft.com/office/drawing/2014/main" xmlns="" id="{00000000-0008-0000-0000-000076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447" name="Text Box 60">
          <a:extLst>
            <a:ext uri="{FF2B5EF4-FFF2-40B4-BE49-F238E27FC236}">
              <a16:creationId xmlns:a16="http://schemas.microsoft.com/office/drawing/2014/main" xmlns="" id="{00000000-0008-0000-0000-000077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448" name="Text Box 61">
          <a:extLst>
            <a:ext uri="{FF2B5EF4-FFF2-40B4-BE49-F238E27FC236}">
              <a16:creationId xmlns:a16="http://schemas.microsoft.com/office/drawing/2014/main" xmlns="" id="{00000000-0008-0000-0000-000078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449" name="Text Box 62">
          <a:extLst>
            <a:ext uri="{FF2B5EF4-FFF2-40B4-BE49-F238E27FC236}">
              <a16:creationId xmlns:a16="http://schemas.microsoft.com/office/drawing/2014/main" xmlns="" id="{00000000-0008-0000-0000-000079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450" name="Text Box 63">
          <a:extLst>
            <a:ext uri="{FF2B5EF4-FFF2-40B4-BE49-F238E27FC236}">
              <a16:creationId xmlns:a16="http://schemas.microsoft.com/office/drawing/2014/main" xmlns="" id="{00000000-0008-0000-0000-00007A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451" name="Text Box 64">
          <a:extLst>
            <a:ext uri="{FF2B5EF4-FFF2-40B4-BE49-F238E27FC236}">
              <a16:creationId xmlns:a16="http://schemas.microsoft.com/office/drawing/2014/main" xmlns="" id="{00000000-0008-0000-0000-00007B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452" name="Text Box 65">
          <a:extLst>
            <a:ext uri="{FF2B5EF4-FFF2-40B4-BE49-F238E27FC236}">
              <a16:creationId xmlns:a16="http://schemas.microsoft.com/office/drawing/2014/main" xmlns="" id="{00000000-0008-0000-0000-00007C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453" name="Text Box 66">
          <a:extLst>
            <a:ext uri="{FF2B5EF4-FFF2-40B4-BE49-F238E27FC236}">
              <a16:creationId xmlns:a16="http://schemas.microsoft.com/office/drawing/2014/main" xmlns="" id="{00000000-0008-0000-0000-00007D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454" name="Text Box 67">
          <a:extLst>
            <a:ext uri="{FF2B5EF4-FFF2-40B4-BE49-F238E27FC236}">
              <a16:creationId xmlns:a16="http://schemas.microsoft.com/office/drawing/2014/main" xmlns="" id="{00000000-0008-0000-0000-00007E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455" name="Text Box 68">
          <a:extLst>
            <a:ext uri="{FF2B5EF4-FFF2-40B4-BE49-F238E27FC236}">
              <a16:creationId xmlns:a16="http://schemas.microsoft.com/office/drawing/2014/main" xmlns="" id="{00000000-0008-0000-0000-00007F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456" name="Text Box 69">
          <a:extLst>
            <a:ext uri="{FF2B5EF4-FFF2-40B4-BE49-F238E27FC236}">
              <a16:creationId xmlns:a16="http://schemas.microsoft.com/office/drawing/2014/main" xmlns="" id="{00000000-0008-0000-0000-000080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457" name="Text Box 70">
          <a:extLst>
            <a:ext uri="{FF2B5EF4-FFF2-40B4-BE49-F238E27FC236}">
              <a16:creationId xmlns:a16="http://schemas.microsoft.com/office/drawing/2014/main" xmlns="" id="{00000000-0008-0000-0000-000081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458" name="Text Box 71">
          <a:extLst>
            <a:ext uri="{FF2B5EF4-FFF2-40B4-BE49-F238E27FC236}">
              <a16:creationId xmlns:a16="http://schemas.microsoft.com/office/drawing/2014/main" xmlns="" id="{00000000-0008-0000-0000-000082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459" name="Text Box 72">
          <a:extLst>
            <a:ext uri="{FF2B5EF4-FFF2-40B4-BE49-F238E27FC236}">
              <a16:creationId xmlns:a16="http://schemas.microsoft.com/office/drawing/2014/main" xmlns="" id="{00000000-0008-0000-0000-000083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460" name="Text Box 73">
          <a:extLst>
            <a:ext uri="{FF2B5EF4-FFF2-40B4-BE49-F238E27FC236}">
              <a16:creationId xmlns:a16="http://schemas.microsoft.com/office/drawing/2014/main" xmlns="" id="{00000000-0008-0000-0000-000084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461" name="Text Box 74">
          <a:extLst>
            <a:ext uri="{FF2B5EF4-FFF2-40B4-BE49-F238E27FC236}">
              <a16:creationId xmlns:a16="http://schemas.microsoft.com/office/drawing/2014/main" xmlns="" id="{00000000-0008-0000-0000-000085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462" name="Text Box 75">
          <a:extLst>
            <a:ext uri="{FF2B5EF4-FFF2-40B4-BE49-F238E27FC236}">
              <a16:creationId xmlns:a16="http://schemas.microsoft.com/office/drawing/2014/main" xmlns="" id="{00000000-0008-0000-0000-000086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463" name="Text Box 76">
          <a:extLst>
            <a:ext uri="{FF2B5EF4-FFF2-40B4-BE49-F238E27FC236}">
              <a16:creationId xmlns:a16="http://schemas.microsoft.com/office/drawing/2014/main" xmlns="" id="{00000000-0008-0000-0000-000087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464" name="Text Box 77">
          <a:extLst>
            <a:ext uri="{FF2B5EF4-FFF2-40B4-BE49-F238E27FC236}">
              <a16:creationId xmlns:a16="http://schemas.microsoft.com/office/drawing/2014/main" xmlns="" id="{00000000-0008-0000-0000-000088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465" name="Text Box 78">
          <a:extLst>
            <a:ext uri="{FF2B5EF4-FFF2-40B4-BE49-F238E27FC236}">
              <a16:creationId xmlns:a16="http://schemas.microsoft.com/office/drawing/2014/main" xmlns="" id="{00000000-0008-0000-0000-000089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466" name="Text Box 79">
          <a:extLst>
            <a:ext uri="{FF2B5EF4-FFF2-40B4-BE49-F238E27FC236}">
              <a16:creationId xmlns:a16="http://schemas.microsoft.com/office/drawing/2014/main" xmlns="" id="{00000000-0008-0000-0000-00008A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467" name="Text Box 80">
          <a:extLst>
            <a:ext uri="{FF2B5EF4-FFF2-40B4-BE49-F238E27FC236}">
              <a16:creationId xmlns:a16="http://schemas.microsoft.com/office/drawing/2014/main" xmlns="" id="{00000000-0008-0000-0000-00008B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468" name="Text Box 81">
          <a:extLst>
            <a:ext uri="{FF2B5EF4-FFF2-40B4-BE49-F238E27FC236}">
              <a16:creationId xmlns:a16="http://schemas.microsoft.com/office/drawing/2014/main" xmlns="" id="{00000000-0008-0000-0000-00008C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47625"/>
    <xdr:sp macro="" textlink="">
      <xdr:nvSpPr>
        <xdr:cNvPr id="3469" name="Text Box 82">
          <a:extLst>
            <a:ext uri="{FF2B5EF4-FFF2-40B4-BE49-F238E27FC236}">
              <a16:creationId xmlns:a16="http://schemas.microsoft.com/office/drawing/2014/main" xmlns="" id="{00000000-0008-0000-0000-00008D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470" name="Text Box 3079">
          <a:extLst>
            <a:ext uri="{FF2B5EF4-FFF2-40B4-BE49-F238E27FC236}">
              <a16:creationId xmlns:a16="http://schemas.microsoft.com/office/drawing/2014/main" xmlns="" id="{00000000-0008-0000-0000-00008E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471" name="Text Box 3080">
          <a:extLst>
            <a:ext uri="{FF2B5EF4-FFF2-40B4-BE49-F238E27FC236}">
              <a16:creationId xmlns:a16="http://schemas.microsoft.com/office/drawing/2014/main" xmlns="" id="{00000000-0008-0000-0000-00008F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472" name="Text Box 3081">
          <a:extLst>
            <a:ext uri="{FF2B5EF4-FFF2-40B4-BE49-F238E27FC236}">
              <a16:creationId xmlns:a16="http://schemas.microsoft.com/office/drawing/2014/main" xmlns="" id="{00000000-0008-0000-0000-000090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473" name="Text Box 3082">
          <a:extLst>
            <a:ext uri="{FF2B5EF4-FFF2-40B4-BE49-F238E27FC236}">
              <a16:creationId xmlns:a16="http://schemas.microsoft.com/office/drawing/2014/main" xmlns="" id="{00000000-0008-0000-0000-000091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474" name="Text Box 3083">
          <a:extLst>
            <a:ext uri="{FF2B5EF4-FFF2-40B4-BE49-F238E27FC236}">
              <a16:creationId xmlns:a16="http://schemas.microsoft.com/office/drawing/2014/main" xmlns="" id="{00000000-0008-0000-0000-000092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475" name="Text Box 3084">
          <a:extLst>
            <a:ext uri="{FF2B5EF4-FFF2-40B4-BE49-F238E27FC236}">
              <a16:creationId xmlns:a16="http://schemas.microsoft.com/office/drawing/2014/main" xmlns="" id="{00000000-0008-0000-0000-000093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476" name="Text Box 3085">
          <a:extLst>
            <a:ext uri="{FF2B5EF4-FFF2-40B4-BE49-F238E27FC236}">
              <a16:creationId xmlns:a16="http://schemas.microsoft.com/office/drawing/2014/main" xmlns="" id="{00000000-0008-0000-0000-000094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477" name="Text Box 3086">
          <a:extLst>
            <a:ext uri="{FF2B5EF4-FFF2-40B4-BE49-F238E27FC236}">
              <a16:creationId xmlns:a16="http://schemas.microsoft.com/office/drawing/2014/main" xmlns="" id="{00000000-0008-0000-0000-000095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478" name="Text Box 3087">
          <a:extLst>
            <a:ext uri="{FF2B5EF4-FFF2-40B4-BE49-F238E27FC236}">
              <a16:creationId xmlns:a16="http://schemas.microsoft.com/office/drawing/2014/main" xmlns="" id="{00000000-0008-0000-0000-000096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479" name="Text Box 3088">
          <a:extLst>
            <a:ext uri="{FF2B5EF4-FFF2-40B4-BE49-F238E27FC236}">
              <a16:creationId xmlns:a16="http://schemas.microsoft.com/office/drawing/2014/main" xmlns="" id="{00000000-0008-0000-0000-000097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480" name="Text Box 3089">
          <a:extLst>
            <a:ext uri="{FF2B5EF4-FFF2-40B4-BE49-F238E27FC236}">
              <a16:creationId xmlns:a16="http://schemas.microsoft.com/office/drawing/2014/main" xmlns="" id="{00000000-0008-0000-0000-000098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481" name="Text Box 3090">
          <a:extLst>
            <a:ext uri="{FF2B5EF4-FFF2-40B4-BE49-F238E27FC236}">
              <a16:creationId xmlns:a16="http://schemas.microsoft.com/office/drawing/2014/main" xmlns="" id="{00000000-0008-0000-0000-000099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482" name="Text Box 3091">
          <a:extLst>
            <a:ext uri="{FF2B5EF4-FFF2-40B4-BE49-F238E27FC236}">
              <a16:creationId xmlns:a16="http://schemas.microsoft.com/office/drawing/2014/main" xmlns="" id="{00000000-0008-0000-0000-00009A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483" name="Text Box 3092">
          <a:extLst>
            <a:ext uri="{FF2B5EF4-FFF2-40B4-BE49-F238E27FC236}">
              <a16:creationId xmlns:a16="http://schemas.microsoft.com/office/drawing/2014/main" xmlns="" id="{00000000-0008-0000-0000-00009B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484" name="Text Box 3093">
          <a:extLst>
            <a:ext uri="{FF2B5EF4-FFF2-40B4-BE49-F238E27FC236}">
              <a16:creationId xmlns:a16="http://schemas.microsoft.com/office/drawing/2014/main" xmlns="" id="{00000000-0008-0000-0000-00009C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485" name="Text Box 3094">
          <a:extLst>
            <a:ext uri="{FF2B5EF4-FFF2-40B4-BE49-F238E27FC236}">
              <a16:creationId xmlns:a16="http://schemas.microsoft.com/office/drawing/2014/main" xmlns="" id="{00000000-0008-0000-0000-00009D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486" name="Text Box 3095">
          <a:extLst>
            <a:ext uri="{FF2B5EF4-FFF2-40B4-BE49-F238E27FC236}">
              <a16:creationId xmlns:a16="http://schemas.microsoft.com/office/drawing/2014/main" xmlns="" id="{00000000-0008-0000-0000-00009E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487" name="Text Box 3096">
          <a:extLst>
            <a:ext uri="{FF2B5EF4-FFF2-40B4-BE49-F238E27FC236}">
              <a16:creationId xmlns:a16="http://schemas.microsoft.com/office/drawing/2014/main" xmlns="" id="{00000000-0008-0000-0000-00009F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488" name="Text Box 3097">
          <a:extLst>
            <a:ext uri="{FF2B5EF4-FFF2-40B4-BE49-F238E27FC236}">
              <a16:creationId xmlns:a16="http://schemas.microsoft.com/office/drawing/2014/main" xmlns="" id="{00000000-0008-0000-0000-0000A0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489" name="Text Box 3098">
          <a:extLst>
            <a:ext uri="{FF2B5EF4-FFF2-40B4-BE49-F238E27FC236}">
              <a16:creationId xmlns:a16="http://schemas.microsoft.com/office/drawing/2014/main" xmlns="" id="{00000000-0008-0000-0000-0000A1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490" name="Text Box 3099">
          <a:extLst>
            <a:ext uri="{FF2B5EF4-FFF2-40B4-BE49-F238E27FC236}">
              <a16:creationId xmlns:a16="http://schemas.microsoft.com/office/drawing/2014/main" xmlns="" id="{00000000-0008-0000-0000-0000A2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491" name="Text Box 3100">
          <a:extLst>
            <a:ext uri="{FF2B5EF4-FFF2-40B4-BE49-F238E27FC236}">
              <a16:creationId xmlns:a16="http://schemas.microsoft.com/office/drawing/2014/main" xmlns="" id="{00000000-0008-0000-0000-0000A3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492" name="Text Box 3101">
          <a:extLst>
            <a:ext uri="{FF2B5EF4-FFF2-40B4-BE49-F238E27FC236}">
              <a16:creationId xmlns:a16="http://schemas.microsoft.com/office/drawing/2014/main" xmlns="" id="{00000000-0008-0000-0000-0000A4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3493" name="Text Box 3102">
          <a:extLst>
            <a:ext uri="{FF2B5EF4-FFF2-40B4-BE49-F238E27FC236}">
              <a16:creationId xmlns:a16="http://schemas.microsoft.com/office/drawing/2014/main" xmlns="" id="{00000000-0008-0000-0000-0000A5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494" name="Text Box 59">
          <a:extLst>
            <a:ext uri="{FF2B5EF4-FFF2-40B4-BE49-F238E27FC236}">
              <a16:creationId xmlns:a16="http://schemas.microsoft.com/office/drawing/2014/main" xmlns="" id="{00000000-0008-0000-0000-0000A6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495" name="Text Box 60">
          <a:extLst>
            <a:ext uri="{FF2B5EF4-FFF2-40B4-BE49-F238E27FC236}">
              <a16:creationId xmlns:a16="http://schemas.microsoft.com/office/drawing/2014/main" xmlns="" id="{00000000-0008-0000-0000-0000A7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496" name="Text Box 61">
          <a:extLst>
            <a:ext uri="{FF2B5EF4-FFF2-40B4-BE49-F238E27FC236}">
              <a16:creationId xmlns:a16="http://schemas.microsoft.com/office/drawing/2014/main" xmlns="" id="{00000000-0008-0000-0000-0000A8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497" name="Text Box 62">
          <a:extLst>
            <a:ext uri="{FF2B5EF4-FFF2-40B4-BE49-F238E27FC236}">
              <a16:creationId xmlns:a16="http://schemas.microsoft.com/office/drawing/2014/main" xmlns="" id="{00000000-0008-0000-0000-0000A9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498" name="Text Box 63">
          <a:extLst>
            <a:ext uri="{FF2B5EF4-FFF2-40B4-BE49-F238E27FC236}">
              <a16:creationId xmlns:a16="http://schemas.microsoft.com/office/drawing/2014/main" xmlns="" id="{00000000-0008-0000-0000-0000AA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499" name="Text Box 64">
          <a:extLst>
            <a:ext uri="{FF2B5EF4-FFF2-40B4-BE49-F238E27FC236}">
              <a16:creationId xmlns:a16="http://schemas.microsoft.com/office/drawing/2014/main" xmlns="" id="{00000000-0008-0000-0000-0000AB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500" name="Text Box 65">
          <a:extLst>
            <a:ext uri="{FF2B5EF4-FFF2-40B4-BE49-F238E27FC236}">
              <a16:creationId xmlns:a16="http://schemas.microsoft.com/office/drawing/2014/main" xmlns="" id="{00000000-0008-0000-0000-0000AC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501" name="Text Box 66">
          <a:extLst>
            <a:ext uri="{FF2B5EF4-FFF2-40B4-BE49-F238E27FC236}">
              <a16:creationId xmlns:a16="http://schemas.microsoft.com/office/drawing/2014/main" xmlns="" id="{00000000-0008-0000-0000-0000AD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502" name="Text Box 67">
          <a:extLst>
            <a:ext uri="{FF2B5EF4-FFF2-40B4-BE49-F238E27FC236}">
              <a16:creationId xmlns:a16="http://schemas.microsoft.com/office/drawing/2014/main" xmlns="" id="{00000000-0008-0000-0000-0000AE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503" name="Text Box 68">
          <a:extLst>
            <a:ext uri="{FF2B5EF4-FFF2-40B4-BE49-F238E27FC236}">
              <a16:creationId xmlns:a16="http://schemas.microsoft.com/office/drawing/2014/main" xmlns="" id="{00000000-0008-0000-0000-0000AF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504" name="Text Box 69">
          <a:extLst>
            <a:ext uri="{FF2B5EF4-FFF2-40B4-BE49-F238E27FC236}">
              <a16:creationId xmlns:a16="http://schemas.microsoft.com/office/drawing/2014/main" xmlns="" id="{00000000-0008-0000-0000-0000B0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505" name="Text Box 70">
          <a:extLst>
            <a:ext uri="{FF2B5EF4-FFF2-40B4-BE49-F238E27FC236}">
              <a16:creationId xmlns:a16="http://schemas.microsoft.com/office/drawing/2014/main" xmlns="" id="{00000000-0008-0000-0000-0000B1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506" name="Text Box 71">
          <a:extLst>
            <a:ext uri="{FF2B5EF4-FFF2-40B4-BE49-F238E27FC236}">
              <a16:creationId xmlns:a16="http://schemas.microsoft.com/office/drawing/2014/main" xmlns="" id="{00000000-0008-0000-0000-0000B2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507" name="Text Box 72">
          <a:extLst>
            <a:ext uri="{FF2B5EF4-FFF2-40B4-BE49-F238E27FC236}">
              <a16:creationId xmlns:a16="http://schemas.microsoft.com/office/drawing/2014/main" xmlns="" id="{00000000-0008-0000-0000-0000B3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508" name="Text Box 73">
          <a:extLst>
            <a:ext uri="{FF2B5EF4-FFF2-40B4-BE49-F238E27FC236}">
              <a16:creationId xmlns:a16="http://schemas.microsoft.com/office/drawing/2014/main" xmlns="" id="{00000000-0008-0000-0000-0000B4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509" name="Text Box 74">
          <a:extLst>
            <a:ext uri="{FF2B5EF4-FFF2-40B4-BE49-F238E27FC236}">
              <a16:creationId xmlns:a16="http://schemas.microsoft.com/office/drawing/2014/main" xmlns="" id="{00000000-0008-0000-0000-0000B5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510" name="Text Box 75">
          <a:extLst>
            <a:ext uri="{FF2B5EF4-FFF2-40B4-BE49-F238E27FC236}">
              <a16:creationId xmlns:a16="http://schemas.microsoft.com/office/drawing/2014/main" xmlns="" id="{00000000-0008-0000-0000-0000B6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511" name="Text Box 76">
          <a:extLst>
            <a:ext uri="{FF2B5EF4-FFF2-40B4-BE49-F238E27FC236}">
              <a16:creationId xmlns:a16="http://schemas.microsoft.com/office/drawing/2014/main" xmlns="" id="{00000000-0008-0000-0000-0000B7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512" name="Text Box 77">
          <a:extLst>
            <a:ext uri="{FF2B5EF4-FFF2-40B4-BE49-F238E27FC236}">
              <a16:creationId xmlns:a16="http://schemas.microsoft.com/office/drawing/2014/main" xmlns="" id="{00000000-0008-0000-0000-0000B8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513" name="Text Box 78">
          <a:extLst>
            <a:ext uri="{FF2B5EF4-FFF2-40B4-BE49-F238E27FC236}">
              <a16:creationId xmlns:a16="http://schemas.microsoft.com/office/drawing/2014/main" xmlns="" id="{00000000-0008-0000-0000-0000B9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514" name="Text Box 79">
          <a:extLst>
            <a:ext uri="{FF2B5EF4-FFF2-40B4-BE49-F238E27FC236}">
              <a16:creationId xmlns:a16="http://schemas.microsoft.com/office/drawing/2014/main" xmlns="" id="{00000000-0008-0000-0000-0000BA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515" name="Text Box 80">
          <a:extLst>
            <a:ext uri="{FF2B5EF4-FFF2-40B4-BE49-F238E27FC236}">
              <a16:creationId xmlns:a16="http://schemas.microsoft.com/office/drawing/2014/main" xmlns="" id="{00000000-0008-0000-0000-0000BB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516" name="Text Box 81">
          <a:extLst>
            <a:ext uri="{FF2B5EF4-FFF2-40B4-BE49-F238E27FC236}">
              <a16:creationId xmlns:a16="http://schemas.microsoft.com/office/drawing/2014/main" xmlns="" id="{00000000-0008-0000-0000-0000BC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517" name="Text Box 3079">
          <a:extLst>
            <a:ext uri="{FF2B5EF4-FFF2-40B4-BE49-F238E27FC236}">
              <a16:creationId xmlns:a16="http://schemas.microsoft.com/office/drawing/2014/main" xmlns="" id="{00000000-0008-0000-0000-0000BD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518" name="Text Box 3080">
          <a:extLst>
            <a:ext uri="{FF2B5EF4-FFF2-40B4-BE49-F238E27FC236}">
              <a16:creationId xmlns:a16="http://schemas.microsoft.com/office/drawing/2014/main" xmlns="" id="{00000000-0008-0000-0000-0000BE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519" name="Text Box 3081">
          <a:extLst>
            <a:ext uri="{FF2B5EF4-FFF2-40B4-BE49-F238E27FC236}">
              <a16:creationId xmlns:a16="http://schemas.microsoft.com/office/drawing/2014/main" xmlns="" id="{00000000-0008-0000-0000-0000BF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520" name="Text Box 3082">
          <a:extLst>
            <a:ext uri="{FF2B5EF4-FFF2-40B4-BE49-F238E27FC236}">
              <a16:creationId xmlns:a16="http://schemas.microsoft.com/office/drawing/2014/main" xmlns="" id="{00000000-0008-0000-0000-0000C0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521" name="Text Box 3083">
          <a:extLst>
            <a:ext uri="{FF2B5EF4-FFF2-40B4-BE49-F238E27FC236}">
              <a16:creationId xmlns:a16="http://schemas.microsoft.com/office/drawing/2014/main" xmlns="" id="{00000000-0008-0000-0000-0000C1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522" name="Text Box 3084">
          <a:extLst>
            <a:ext uri="{FF2B5EF4-FFF2-40B4-BE49-F238E27FC236}">
              <a16:creationId xmlns:a16="http://schemas.microsoft.com/office/drawing/2014/main" xmlns="" id="{00000000-0008-0000-0000-0000C2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523" name="Text Box 3085">
          <a:extLst>
            <a:ext uri="{FF2B5EF4-FFF2-40B4-BE49-F238E27FC236}">
              <a16:creationId xmlns:a16="http://schemas.microsoft.com/office/drawing/2014/main" xmlns="" id="{00000000-0008-0000-0000-0000C3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524" name="Text Box 3086">
          <a:extLst>
            <a:ext uri="{FF2B5EF4-FFF2-40B4-BE49-F238E27FC236}">
              <a16:creationId xmlns:a16="http://schemas.microsoft.com/office/drawing/2014/main" xmlns="" id="{00000000-0008-0000-0000-0000C4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525" name="Text Box 3087">
          <a:extLst>
            <a:ext uri="{FF2B5EF4-FFF2-40B4-BE49-F238E27FC236}">
              <a16:creationId xmlns:a16="http://schemas.microsoft.com/office/drawing/2014/main" xmlns="" id="{00000000-0008-0000-0000-0000C5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526" name="Text Box 3088">
          <a:extLst>
            <a:ext uri="{FF2B5EF4-FFF2-40B4-BE49-F238E27FC236}">
              <a16:creationId xmlns:a16="http://schemas.microsoft.com/office/drawing/2014/main" xmlns="" id="{00000000-0008-0000-0000-0000C6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527" name="Text Box 3089">
          <a:extLst>
            <a:ext uri="{FF2B5EF4-FFF2-40B4-BE49-F238E27FC236}">
              <a16:creationId xmlns:a16="http://schemas.microsoft.com/office/drawing/2014/main" xmlns="" id="{00000000-0008-0000-0000-0000C7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528" name="Text Box 3090">
          <a:extLst>
            <a:ext uri="{FF2B5EF4-FFF2-40B4-BE49-F238E27FC236}">
              <a16:creationId xmlns:a16="http://schemas.microsoft.com/office/drawing/2014/main" xmlns="" id="{00000000-0008-0000-0000-0000C8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529" name="Text Box 3091">
          <a:extLst>
            <a:ext uri="{FF2B5EF4-FFF2-40B4-BE49-F238E27FC236}">
              <a16:creationId xmlns:a16="http://schemas.microsoft.com/office/drawing/2014/main" xmlns="" id="{00000000-0008-0000-0000-0000C9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530" name="Text Box 3092">
          <a:extLst>
            <a:ext uri="{FF2B5EF4-FFF2-40B4-BE49-F238E27FC236}">
              <a16:creationId xmlns:a16="http://schemas.microsoft.com/office/drawing/2014/main" xmlns="" id="{00000000-0008-0000-0000-0000CA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531" name="Text Box 3093">
          <a:extLst>
            <a:ext uri="{FF2B5EF4-FFF2-40B4-BE49-F238E27FC236}">
              <a16:creationId xmlns:a16="http://schemas.microsoft.com/office/drawing/2014/main" xmlns="" id="{00000000-0008-0000-0000-0000CB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532" name="Text Box 3094">
          <a:extLst>
            <a:ext uri="{FF2B5EF4-FFF2-40B4-BE49-F238E27FC236}">
              <a16:creationId xmlns:a16="http://schemas.microsoft.com/office/drawing/2014/main" xmlns="" id="{00000000-0008-0000-0000-0000CC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533" name="Text Box 3095">
          <a:extLst>
            <a:ext uri="{FF2B5EF4-FFF2-40B4-BE49-F238E27FC236}">
              <a16:creationId xmlns:a16="http://schemas.microsoft.com/office/drawing/2014/main" xmlns="" id="{00000000-0008-0000-0000-0000CD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534" name="Text Box 3096">
          <a:extLst>
            <a:ext uri="{FF2B5EF4-FFF2-40B4-BE49-F238E27FC236}">
              <a16:creationId xmlns:a16="http://schemas.microsoft.com/office/drawing/2014/main" xmlns="" id="{00000000-0008-0000-0000-0000CE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535" name="Text Box 3097">
          <a:extLst>
            <a:ext uri="{FF2B5EF4-FFF2-40B4-BE49-F238E27FC236}">
              <a16:creationId xmlns:a16="http://schemas.microsoft.com/office/drawing/2014/main" xmlns="" id="{00000000-0008-0000-0000-0000CF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536" name="Text Box 3098">
          <a:extLst>
            <a:ext uri="{FF2B5EF4-FFF2-40B4-BE49-F238E27FC236}">
              <a16:creationId xmlns:a16="http://schemas.microsoft.com/office/drawing/2014/main" xmlns="" id="{00000000-0008-0000-0000-0000D0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537" name="Text Box 3099">
          <a:extLst>
            <a:ext uri="{FF2B5EF4-FFF2-40B4-BE49-F238E27FC236}">
              <a16:creationId xmlns:a16="http://schemas.microsoft.com/office/drawing/2014/main" xmlns="" id="{00000000-0008-0000-0000-0000D1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538" name="Text Box 3100">
          <a:extLst>
            <a:ext uri="{FF2B5EF4-FFF2-40B4-BE49-F238E27FC236}">
              <a16:creationId xmlns:a16="http://schemas.microsoft.com/office/drawing/2014/main" xmlns="" id="{00000000-0008-0000-0000-0000D2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539" name="Text Box 3101">
          <a:extLst>
            <a:ext uri="{FF2B5EF4-FFF2-40B4-BE49-F238E27FC236}">
              <a16:creationId xmlns:a16="http://schemas.microsoft.com/office/drawing/2014/main" xmlns="" id="{00000000-0008-0000-0000-0000D3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3540" name="Text Box 3102">
          <a:extLst>
            <a:ext uri="{FF2B5EF4-FFF2-40B4-BE49-F238E27FC236}">
              <a16:creationId xmlns:a16="http://schemas.microsoft.com/office/drawing/2014/main" xmlns="" id="{00000000-0008-0000-0000-0000D4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541" name="Text Box 59">
          <a:extLst>
            <a:ext uri="{FF2B5EF4-FFF2-40B4-BE49-F238E27FC236}">
              <a16:creationId xmlns:a16="http://schemas.microsoft.com/office/drawing/2014/main" xmlns="" id="{00000000-0008-0000-0000-0000D5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542" name="Text Box 60">
          <a:extLst>
            <a:ext uri="{FF2B5EF4-FFF2-40B4-BE49-F238E27FC236}">
              <a16:creationId xmlns:a16="http://schemas.microsoft.com/office/drawing/2014/main" xmlns="" id="{00000000-0008-0000-0000-0000D6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543" name="Text Box 61">
          <a:extLst>
            <a:ext uri="{FF2B5EF4-FFF2-40B4-BE49-F238E27FC236}">
              <a16:creationId xmlns:a16="http://schemas.microsoft.com/office/drawing/2014/main" xmlns="" id="{00000000-0008-0000-0000-0000D7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544" name="Text Box 62">
          <a:extLst>
            <a:ext uri="{FF2B5EF4-FFF2-40B4-BE49-F238E27FC236}">
              <a16:creationId xmlns:a16="http://schemas.microsoft.com/office/drawing/2014/main" xmlns="" id="{00000000-0008-0000-0000-0000D8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545" name="Text Box 63">
          <a:extLst>
            <a:ext uri="{FF2B5EF4-FFF2-40B4-BE49-F238E27FC236}">
              <a16:creationId xmlns:a16="http://schemas.microsoft.com/office/drawing/2014/main" xmlns="" id="{00000000-0008-0000-0000-0000D9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546" name="Text Box 64">
          <a:extLst>
            <a:ext uri="{FF2B5EF4-FFF2-40B4-BE49-F238E27FC236}">
              <a16:creationId xmlns:a16="http://schemas.microsoft.com/office/drawing/2014/main" xmlns="" id="{00000000-0008-0000-0000-0000DA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547" name="Text Box 65">
          <a:extLst>
            <a:ext uri="{FF2B5EF4-FFF2-40B4-BE49-F238E27FC236}">
              <a16:creationId xmlns:a16="http://schemas.microsoft.com/office/drawing/2014/main" xmlns="" id="{00000000-0008-0000-0000-0000DB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548" name="Text Box 66">
          <a:extLst>
            <a:ext uri="{FF2B5EF4-FFF2-40B4-BE49-F238E27FC236}">
              <a16:creationId xmlns:a16="http://schemas.microsoft.com/office/drawing/2014/main" xmlns="" id="{00000000-0008-0000-0000-0000DC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549" name="Text Box 67">
          <a:extLst>
            <a:ext uri="{FF2B5EF4-FFF2-40B4-BE49-F238E27FC236}">
              <a16:creationId xmlns:a16="http://schemas.microsoft.com/office/drawing/2014/main" xmlns="" id="{00000000-0008-0000-0000-0000DD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550" name="Text Box 68">
          <a:extLst>
            <a:ext uri="{FF2B5EF4-FFF2-40B4-BE49-F238E27FC236}">
              <a16:creationId xmlns:a16="http://schemas.microsoft.com/office/drawing/2014/main" xmlns="" id="{00000000-0008-0000-0000-0000DE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551" name="Text Box 69">
          <a:extLst>
            <a:ext uri="{FF2B5EF4-FFF2-40B4-BE49-F238E27FC236}">
              <a16:creationId xmlns:a16="http://schemas.microsoft.com/office/drawing/2014/main" xmlns="" id="{00000000-0008-0000-0000-0000DF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552" name="Text Box 70">
          <a:extLst>
            <a:ext uri="{FF2B5EF4-FFF2-40B4-BE49-F238E27FC236}">
              <a16:creationId xmlns:a16="http://schemas.microsoft.com/office/drawing/2014/main" xmlns="" id="{00000000-0008-0000-0000-0000E0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553" name="Text Box 71">
          <a:extLst>
            <a:ext uri="{FF2B5EF4-FFF2-40B4-BE49-F238E27FC236}">
              <a16:creationId xmlns:a16="http://schemas.microsoft.com/office/drawing/2014/main" xmlns="" id="{00000000-0008-0000-0000-0000E1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554" name="Text Box 72">
          <a:extLst>
            <a:ext uri="{FF2B5EF4-FFF2-40B4-BE49-F238E27FC236}">
              <a16:creationId xmlns:a16="http://schemas.microsoft.com/office/drawing/2014/main" xmlns="" id="{00000000-0008-0000-0000-0000E2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555" name="Text Box 73">
          <a:extLst>
            <a:ext uri="{FF2B5EF4-FFF2-40B4-BE49-F238E27FC236}">
              <a16:creationId xmlns:a16="http://schemas.microsoft.com/office/drawing/2014/main" xmlns="" id="{00000000-0008-0000-0000-0000E3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556" name="Text Box 74">
          <a:extLst>
            <a:ext uri="{FF2B5EF4-FFF2-40B4-BE49-F238E27FC236}">
              <a16:creationId xmlns:a16="http://schemas.microsoft.com/office/drawing/2014/main" xmlns="" id="{00000000-0008-0000-0000-0000E4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557" name="Text Box 75">
          <a:extLst>
            <a:ext uri="{FF2B5EF4-FFF2-40B4-BE49-F238E27FC236}">
              <a16:creationId xmlns:a16="http://schemas.microsoft.com/office/drawing/2014/main" xmlns="" id="{00000000-0008-0000-0000-0000E5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558" name="Text Box 76">
          <a:extLst>
            <a:ext uri="{FF2B5EF4-FFF2-40B4-BE49-F238E27FC236}">
              <a16:creationId xmlns:a16="http://schemas.microsoft.com/office/drawing/2014/main" xmlns="" id="{00000000-0008-0000-0000-0000E6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559" name="Text Box 77">
          <a:extLst>
            <a:ext uri="{FF2B5EF4-FFF2-40B4-BE49-F238E27FC236}">
              <a16:creationId xmlns:a16="http://schemas.microsoft.com/office/drawing/2014/main" xmlns="" id="{00000000-0008-0000-0000-0000E7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560" name="Text Box 78">
          <a:extLst>
            <a:ext uri="{FF2B5EF4-FFF2-40B4-BE49-F238E27FC236}">
              <a16:creationId xmlns:a16="http://schemas.microsoft.com/office/drawing/2014/main" xmlns="" id="{00000000-0008-0000-0000-0000E8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561" name="Text Box 79">
          <a:extLst>
            <a:ext uri="{FF2B5EF4-FFF2-40B4-BE49-F238E27FC236}">
              <a16:creationId xmlns:a16="http://schemas.microsoft.com/office/drawing/2014/main" xmlns="" id="{00000000-0008-0000-0000-0000E9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562" name="Text Box 80">
          <a:extLst>
            <a:ext uri="{FF2B5EF4-FFF2-40B4-BE49-F238E27FC236}">
              <a16:creationId xmlns:a16="http://schemas.microsoft.com/office/drawing/2014/main" xmlns="" id="{00000000-0008-0000-0000-0000EA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563" name="Text Box 81">
          <a:extLst>
            <a:ext uri="{FF2B5EF4-FFF2-40B4-BE49-F238E27FC236}">
              <a16:creationId xmlns:a16="http://schemas.microsoft.com/office/drawing/2014/main" xmlns="" id="{00000000-0008-0000-0000-0000EB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47625"/>
    <xdr:sp macro="" textlink="">
      <xdr:nvSpPr>
        <xdr:cNvPr id="3564" name="Text Box 82">
          <a:extLst>
            <a:ext uri="{FF2B5EF4-FFF2-40B4-BE49-F238E27FC236}">
              <a16:creationId xmlns:a16="http://schemas.microsoft.com/office/drawing/2014/main" xmlns="" id="{00000000-0008-0000-0000-0000EC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565" name="Text Box 3079">
          <a:extLst>
            <a:ext uri="{FF2B5EF4-FFF2-40B4-BE49-F238E27FC236}">
              <a16:creationId xmlns:a16="http://schemas.microsoft.com/office/drawing/2014/main" xmlns="" id="{00000000-0008-0000-0000-0000ED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566" name="Text Box 3080">
          <a:extLst>
            <a:ext uri="{FF2B5EF4-FFF2-40B4-BE49-F238E27FC236}">
              <a16:creationId xmlns:a16="http://schemas.microsoft.com/office/drawing/2014/main" xmlns="" id="{00000000-0008-0000-0000-0000EE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567" name="Text Box 3081">
          <a:extLst>
            <a:ext uri="{FF2B5EF4-FFF2-40B4-BE49-F238E27FC236}">
              <a16:creationId xmlns:a16="http://schemas.microsoft.com/office/drawing/2014/main" xmlns="" id="{00000000-0008-0000-0000-0000EF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568" name="Text Box 3082">
          <a:extLst>
            <a:ext uri="{FF2B5EF4-FFF2-40B4-BE49-F238E27FC236}">
              <a16:creationId xmlns:a16="http://schemas.microsoft.com/office/drawing/2014/main" xmlns="" id="{00000000-0008-0000-0000-0000F0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569" name="Text Box 3083">
          <a:extLst>
            <a:ext uri="{FF2B5EF4-FFF2-40B4-BE49-F238E27FC236}">
              <a16:creationId xmlns:a16="http://schemas.microsoft.com/office/drawing/2014/main" xmlns="" id="{00000000-0008-0000-0000-0000F1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570" name="Text Box 3084">
          <a:extLst>
            <a:ext uri="{FF2B5EF4-FFF2-40B4-BE49-F238E27FC236}">
              <a16:creationId xmlns:a16="http://schemas.microsoft.com/office/drawing/2014/main" xmlns="" id="{00000000-0008-0000-0000-0000F2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571" name="Text Box 3085">
          <a:extLst>
            <a:ext uri="{FF2B5EF4-FFF2-40B4-BE49-F238E27FC236}">
              <a16:creationId xmlns:a16="http://schemas.microsoft.com/office/drawing/2014/main" xmlns="" id="{00000000-0008-0000-0000-0000F3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572" name="Text Box 3086">
          <a:extLst>
            <a:ext uri="{FF2B5EF4-FFF2-40B4-BE49-F238E27FC236}">
              <a16:creationId xmlns:a16="http://schemas.microsoft.com/office/drawing/2014/main" xmlns="" id="{00000000-0008-0000-0000-0000F4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573" name="Text Box 3087">
          <a:extLst>
            <a:ext uri="{FF2B5EF4-FFF2-40B4-BE49-F238E27FC236}">
              <a16:creationId xmlns:a16="http://schemas.microsoft.com/office/drawing/2014/main" xmlns="" id="{00000000-0008-0000-0000-0000F5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574" name="Text Box 3088">
          <a:extLst>
            <a:ext uri="{FF2B5EF4-FFF2-40B4-BE49-F238E27FC236}">
              <a16:creationId xmlns:a16="http://schemas.microsoft.com/office/drawing/2014/main" xmlns="" id="{00000000-0008-0000-0000-0000F6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575" name="Text Box 3089">
          <a:extLst>
            <a:ext uri="{FF2B5EF4-FFF2-40B4-BE49-F238E27FC236}">
              <a16:creationId xmlns:a16="http://schemas.microsoft.com/office/drawing/2014/main" xmlns="" id="{00000000-0008-0000-0000-0000F7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576" name="Text Box 3090">
          <a:extLst>
            <a:ext uri="{FF2B5EF4-FFF2-40B4-BE49-F238E27FC236}">
              <a16:creationId xmlns:a16="http://schemas.microsoft.com/office/drawing/2014/main" xmlns="" id="{00000000-0008-0000-0000-0000F8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577" name="Text Box 3091">
          <a:extLst>
            <a:ext uri="{FF2B5EF4-FFF2-40B4-BE49-F238E27FC236}">
              <a16:creationId xmlns:a16="http://schemas.microsoft.com/office/drawing/2014/main" xmlns="" id="{00000000-0008-0000-0000-0000F9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578" name="Text Box 3092">
          <a:extLst>
            <a:ext uri="{FF2B5EF4-FFF2-40B4-BE49-F238E27FC236}">
              <a16:creationId xmlns:a16="http://schemas.microsoft.com/office/drawing/2014/main" xmlns="" id="{00000000-0008-0000-0000-0000FA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579" name="Text Box 3093">
          <a:extLst>
            <a:ext uri="{FF2B5EF4-FFF2-40B4-BE49-F238E27FC236}">
              <a16:creationId xmlns:a16="http://schemas.microsoft.com/office/drawing/2014/main" xmlns="" id="{00000000-0008-0000-0000-0000FB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580" name="Text Box 3094">
          <a:extLst>
            <a:ext uri="{FF2B5EF4-FFF2-40B4-BE49-F238E27FC236}">
              <a16:creationId xmlns:a16="http://schemas.microsoft.com/office/drawing/2014/main" xmlns="" id="{00000000-0008-0000-0000-0000FC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581" name="Text Box 3095">
          <a:extLst>
            <a:ext uri="{FF2B5EF4-FFF2-40B4-BE49-F238E27FC236}">
              <a16:creationId xmlns:a16="http://schemas.microsoft.com/office/drawing/2014/main" xmlns="" id="{00000000-0008-0000-0000-0000FD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582" name="Text Box 3096">
          <a:extLst>
            <a:ext uri="{FF2B5EF4-FFF2-40B4-BE49-F238E27FC236}">
              <a16:creationId xmlns:a16="http://schemas.microsoft.com/office/drawing/2014/main" xmlns="" id="{00000000-0008-0000-0000-0000FE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583" name="Text Box 3097">
          <a:extLst>
            <a:ext uri="{FF2B5EF4-FFF2-40B4-BE49-F238E27FC236}">
              <a16:creationId xmlns:a16="http://schemas.microsoft.com/office/drawing/2014/main" xmlns="" id="{00000000-0008-0000-0000-0000FF0D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584" name="Text Box 3098">
          <a:extLst>
            <a:ext uri="{FF2B5EF4-FFF2-40B4-BE49-F238E27FC236}">
              <a16:creationId xmlns:a16="http://schemas.microsoft.com/office/drawing/2014/main" xmlns="" id="{00000000-0008-0000-0000-000000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585" name="Text Box 3099">
          <a:extLst>
            <a:ext uri="{FF2B5EF4-FFF2-40B4-BE49-F238E27FC236}">
              <a16:creationId xmlns:a16="http://schemas.microsoft.com/office/drawing/2014/main" xmlns="" id="{00000000-0008-0000-0000-000001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586" name="Text Box 3100">
          <a:extLst>
            <a:ext uri="{FF2B5EF4-FFF2-40B4-BE49-F238E27FC236}">
              <a16:creationId xmlns:a16="http://schemas.microsoft.com/office/drawing/2014/main" xmlns="" id="{00000000-0008-0000-0000-000002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587" name="Text Box 3101">
          <a:extLst>
            <a:ext uri="{FF2B5EF4-FFF2-40B4-BE49-F238E27FC236}">
              <a16:creationId xmlns:a16="http://schemas.microsoft.com/office/drawing/2014/main" xmlns="" id="{00000000-0008-0000-0000-000003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3588" name="Text Box 3102">
          <a:extLst>
            <a:ext uri="{FF2B5EF4-FFF2-40B4-BE49-F238E27FC236}">
              <a16:creationId xmlns:a16="http://schemas.microsoft.com/office/drawing/2014/main" xmlns="" id="{00000000-0008-0000-0000-000004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589" name="Text Box 59">
          <a:extLst>
            <a:ext uri="{FF2B5EF4-FFF2-40B4-BE49-F238E27FC236}">
              <a16:creationId xmlns:a16="http://schemas.microsoft.com/office/drawing/2014/main" xmlns="" id="{00000000-0008-0000-0000-000005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590" name="Text Box 60">
          <a:extLst>
            <a:ext uri="{FF2B5EF4-FFF2-40B4-BE49-F238E27FC236}">
              <a16:creationId xmlns:a16="http://schemas.microsoft.com/office/drawing/2014/main" xmlns="" id="{00000000-0008-0000-0000-000006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591" name="Text Box 61">
          <a:extLst>
            <a:ext uri="{FF2B5EF4-FFF2-40B4-BE49-F238E27FC236}">
              <a16:creationId xmlns:a16="http://schemas.microsoft.com/office/drawing/2014/main" xmlns="" id="{00000000-0008-0000-0000-000007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592" name="Text Box 62">
          <a:extLst>
            <a:ext uri="{FF2B5EF4-FFF2-40B4-BE49-F238E27FC236}">
              <a16:creationId xmlns:a16="http://schemas.microsoft.com/office/drawing/2014/main" xmlns="" id="{00000000-0008-0000-0000-000008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593" name="Text Box 63">
          <a:extLst>
            <a:ext uri="{FF2B5EF4-FFF2-40B4-BE49-F238E27FC236}">
              <a16:creationId xmlns:a16="http://schemas.microsoft.com/office/drawing/2014/main" xmlns="" id="{00000000-0008-0000-0000-000009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594" name="Text Box 64">
          <a:extLst>
            <a:ext uri="{FF2B5EF4-FFF2-40B4-BE49-F238E27FC236}">
              <a16:creationId xmlns:a16="http://schemas.microsoft.com/office/drawing/2014/main" xmlns="" id="{00000000-0008-0000-0000-00000A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595" name="Text Box 65">
          <a:extLst>
            <a:ext uri="{FF2B5EF4-FFF2-40B4-BE49-F238E27FC236}">
              <a16:creationId xmlns:a16="http://schemas.microsoft.com/office/drawing/2014/main" xmlns="" id="{00000000-0008-0000-0000-00000B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596" name="Text Box 66">
          <a:extLst>
            <a:ext uri="{FF2B5EF4-FFF2-40B4-BE49-F238E27FC236}">
              <a16:creationId xmlns:a16="http://schemas.microsoft.com/office/drawing/2014/main" xmlns="" id="{00000000-0008-0000-0000-00000C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597" name="Text Box 67">
          <a:extLst>
            <a:ext uri="{FF2B5EF4-FFF2-40B4-BE49-F238E27FC236}">
              <a16:creationId xmlns:a16="http://schemas.microsoft.com/office/drawing/2014/main" xmlns="" id="{00000000-0008-0000-0000-00000D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598" name="Text Box 68">
          <a:extLst>
            <a:ext uri="{FF2B5EF4-FFF2-40B4-BE49-F238E27FC236}">
              <a16:creationId xmlns:a16="http://schemas.microsoft.com/office/drawing/2014/main" xmlns="" id="{00000000-0008-0000-0000-00000E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599" name="Text Box 69">
          <a:extLst>
            <a:ext uri="{FF2B5EF4-FFF2-40B4-BE49-F238E27FC236}">
              <a16:creationId xmlns:a16="http://schemas.microsoft.com/office/drawing/2014/main" xmlns="" id="{00000000-0008-0000-0000-00000F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600" name="Text Box 70">
          <a:extLst>
            <a:ext uri="{FF2B5EF4-FFF2-40B4-BE49-F238E27FC236}">
              <a16:creationId xmlns:a16="http://schemas.microsoft.com/office/drawing/2014/main" xmlns="" id="{00000000-0008-0000-0000-000010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601" name="Text Box 71">
          <a:extLst>
            <a:ext uri="{FF2B5EF4-FFF2-40B4-BE49-F238E27FC236}">
              <a16:creationId xmlns:a16="http://schemas.microsoft.com/office/drawing/2014/main" xmlns="" id="{00000000-0008-0000-0000-000011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602" name="Text Box 72">
          <a:extLst>
            <a:ext uri="{FF2B5EF4-FFF2-40B4-BE49-F238E27FC236}">
              <a16:creationId xmlns:a16="http://schemas.microsoft.com/office/drawing/2014/main" xmlns="" id="{00000000-0008-0000-0000-000012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603" name="Text Box 73">
          <a:extLst>
            <a:ext uri="{FF2B5EF4-FFF2-40B4-BE49-F238E27FC236}">
              <a16:creationId xmlns:a16="http://schemas.microsoft.com/office/drawing/2014/main" xmlns="" id="{00000000-0008-0000-0000-000013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604" name="Text Box 74">
          <a:extLst>
            <a:ext uri="{FF2B5EF4-FFF2-40B4-BE49-F238E27FC236}">
              <a16:creationId xmlns:a16="http://schemas.microsoft.com/office/drawing/2014/main" xmlns="" id="{00000000-0008-0000-0000-000014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605" name="Text Box 75">
          <a:extLst>
            <a:ext uri="{FF2B5EF4-FFF2-40B4-BE49-F238E27FC236}">
              <a16:creationId xmlns:a16="http://schemas.microsoft.com/office/drawing/2014/main" xmlns="" id="{00000000-0008-0000-0000-000015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606" name="Text Box 76">
          <a:extLst>
            <a:ext uri="{FF2B5EF4-FFF2-40B4-BE49-F238E27FC236}">
              <a16:creationId xmlns:a16="http://schemas.microsoft.com/office/drawing/2014/main" xmlns="" id="{00000000-0008-0000-0000-000016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607" name="Text Box 77">
          <a:extLst>
            <a:ext uri="{FF2B5EF4-FFF2-40B4-BE49-F238E27FC236}">
              <a16:creationId xmlns:a16="http://schemas.microsoft.com/office/drawing/2014/main" xmlns="" id="{00000000-0008-0000-0000-000017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608" name="Text Box 78">
          <a:extLst>
            <a:ext uri="{FF2B5EF4-FFF2-40B4-BE49-F238E27FC236}">
              <a16:creationId xmlns:a16="http://schemas.microsoft.com/office/drawing/2014/main" xmlns="" id="{00000000-0008-0000-0000-000018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609" name="Text Box 79">
          <a:extLst>
            <a:ext uri="{FF2B5EF4-FFF2-40B4-BE49-F238E27FC236}">
              <a16:creationId xmlns:a16="http://schemas.microsoft.com/office/drawing/2014/main" xmlns="" id="{00000000-0008-0000-0000-000019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610" name="Text Box 80">
          <a:extLst>
            <a:ext uri="{FF2B5EF4-FFF2-40B4-BE49-F238E27FC236}">
              <a16:creationId xmlns:a16="http://schemas.microsoft.com/office/drawing/2014/main" xmlns="" id="{00000000-0008-0000-0000-00001A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611" name="Text Box 81">
          <a:extLst>
            <a:ext uri="{FF2B5EF4-FFF2-40B4-BE49-F238E27FC236}">
              <a16:creationId xmlns:a16="http://schemas.microsoft.com/office/drawing/2014/main" xmlns="" id="{00000000-0008-0000-0000-00001B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612" name="Text Box 3079">
          <a:extLst>
            <a:ext uri="{FF2B5EF4-FFF2-40B4-BE49-F238E27FC236}">
              <a16:creationId xmlns:a16="http://schemas.microsoft.com/office/drawing/2014/main" xmlns="" id="{00000000-0008-0000-0000-00001C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613" name="Text Box 3080">
          <a:extLst>
            <a:ext uri="{FF2B5EF4-FFF2-40B4-BE49-F238E27FC236}">
              <a16:creationId xmlns:a16="http://schemas.microsoft.com/office/drawing/2014/main" xmlns="" id="{00000000-0008-0000-0000-00001D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614" name="Text Box 3081">
          <a:extLst>
            <a:ext uri="{FF2B5EF4-FFF2-40B4-BE49-F238E27FC236}">
              <a16:creationId xmlns:a16="http://schemas.microsoft.com/office/drawing/2014/main" xmlns="" id="{00000000-0008-0000-0000-00001E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615" name="Text Box 3082">
          <a:extLst>
            <a:ext uri="{FF2B5EF4-FFF2-40B4-BE49-F238E27FC236}">
              <a16:creationId xmlns:a16="http://schemas.microsoft.com/office/drawing/2014/main" xmlns="" id="{00000000-0008-0000-0000-00001F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616" name="Text Box 3083">
          <a:extLst>
            <a:ext uri="{FF2B5EF4-FFF2-40B4-BE49-F238E27FC236}">
              <a16:creationId xmlns:a16="http://schemas.microsoft.com/office/drawing/2014/main" xmlns="" id="{00000000-0008-0000-0000-000020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617" name="Text Box 3084">
          <a:extLst>
            <a:ext uri="{FF2B5EF4-FFF2-40B4-BE49-F238E27FC236}">
              <a16:creationId xmlns:a16="http://schemas.microsoft.com/office/drawing/2014/main" xmlns="" id="{00000000-0008-0000-0000-000021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618" name="Text Box 3085">
          <a:extLst>
            <a:ext uri="{FF2B5EF4-FFF2-40B4-BE49-F238E27FC236}">
              <a16:creationId xmlns:a16="http://schemas.microsoft.com/office/drawing/2014/main" xmlns="" id="{00000000-0008-0000-0000-000022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619" name="Text Box 3086">
          <a:extLst>
            <a:ext uri="{FF2B5EF4-FFF2-40B4-BE49-F238E27FC236}">
              <a16:creationId xmlns:a16="http://schemas.microsoft.com/office/drawing/2014/main" xmlns="" id="{00000000-0008-0000-0000-000023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620" name="Text Box 3087">
          <a:extLst>
            <a:ext uri="{FF2B5EF4-FFF2-40B4-BE49-F238E27FC236}">
              <a16:creationId xmlns:a16="http://schemas.microsoft.com/office/drawing/2014/main" xmlns="" id="{00000000-0008-0000-0000-000024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621" name="Text Box 3088">
          <a:extLst>
            <a:ext uri="{FF2B5EF4-FFF2-40B4-BE49-F238E27FC236}">
              <a16:creationId xmlns:a16="http://schemas.microsoft.com/office/drawing/2014/main" xmlns="" id="{00000000-0008-0000-0000-000025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622" name="Text Box 3089">
          <a:extLst>
            <a:ext uri="{FF2B5EF4-FFF2-40B4-BE49-F238E27FC236}">
              <a16:creationId xmlns:a16="http://schemas.microsoft.com/office/drawing/2014/main" xmlns="" id="{00000000-0008-0000-0000-000026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623" name="Text Box 3090">
          <a:extLst>
            <a:ext uri="{FF2B5EF4-FFF2-40B4-BE49-F238E27FC236}">
              <a16:creationId xmlns:a16="http://schemas.microsoft.com/office/drawing/2014/main" xmlns="" id="{00000000-0008-0000-0000-000027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624" name="Text Box 3091">
          <a:extLst>
            <a:ext uri="{FF2B5EF4-FFF2-40B4-BE49-F238E27FC236}">
              <a16:creationId xmlns:a16="http://schemas.microsoft.com/office/drawing/2014/main" xmlns="" id="{00000000-0008-0000-0000-000028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625" name="Text Box 3092">
          <a:extLst>
            <a:ext uri="{FF2B5EF4-FFF2-40B4-BE49-F238E27FC236}">
              <a16:creationId xmlns:a16="http://schemas.microsoft.com/office/drawing/2014/main" xmlns="" id="{00000000-0008-0000-0000-000029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626" name="Text Box 3093">
          <a:extLst>
            <a:ext uri="{FF2B5EF4-FFF2-40B4-BE49-F238E27FC236}">
              <a16:creationId xmlns:a16="http://schemas.microsoft.com/office/drawing/2014/main" xmlns="" id="{00000000-0008-0000-0000-00002A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627" name="Text Box 3094">
          <a:extLst>
            <a:ext uri="{FF2B5EF4-FFF2-40B4-BE49-F238E27FC236}">
              <a16:creationId xmlns:a16="http://schemas.microsoft.com/office/drawing/2014/main" xmlns="" id="{00000000-0008-0000-0000-00002B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628" name="Text Box 3095">
          <a:extLst>
            <a:ext uri="{FF2B5EF4-FFF2-40B4-BE49-F238E27FC236}">
              <a16:creationId xmlns:a16="http://schemas.microsoft.com/office/drawing/2014/main" xmlns="" id="{00000000-0008-0000-0000-00002C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629" name="Text Box 3096">
          <a:extLst>
            <a:ext uri="{FF2B5EF4-FFF2-40B4-BE49-F238E27FC236}">
              <a16:creationId xmlns:a16="http://schemas.microsoft.com/office/drawing/2014/main" xmlns="" id="{00000000-0008-0000-0000-00002D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630" name="Text Box 3097">
          <a:extLst>
            <a:ext uri="{FF2B5EF4-FFF2-40B4-BE49-F238E27FC236}">
              <a16:creationId xmlns:a16="http://schemas.microsoft.com/office/drawing/2014/main" xmlns="" id="{00000000-0008-0000-0000-00002E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631" name="Text Box 3098">
          <a:extLst>
            <a:ext uri="{FF2B5EF4-FFF2-40B4-BE49-F238E27FC236}">
              <a16:creationId xmlns:a16="http://schemas.microsoft.com/office/drawing/2014/main" xmlns="" id="{00000000-0008-0000-0000-00002F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632" name="Text Box 3099">
          <a:extLst>
            <a:ext uri="{FF2B5EF4-FFF2-40B4-BE49-F238E27FC236}">
              <a16:creationId xmlns:a16="http://schemas.microsoft.com/office/drawing/2014/main" xmlns="" id="{00000000-0008-0000-0000-000030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633" name="Text Box 3100">
          <a:extLst>
            <a:ext uri="{FF2B5EF4-FFF2-40B4-BE49-F238E27FC236}">
              <a16:creationId xmlns:a16="http://schemas.microsoft.com/office/drawing/2014/main" xmlns="" id="{00000000-0008-0000-0000-000031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634" name="Text Box 3101">
          <a:extLst>
            <a:ext uri="{FF2B5EF4-FFF2-40B4-BE49-F238E27FC236}">
              <a16:creationId xmlns:a16="http://schemas.microsoft.com/office/drawing/2014/main" xmlns="" id="{00000000-0008-0000-0000-000032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3635" name="Text Box 3102">
          <a:extLst>
            <a:ext uri="{FF2B5EF4-FFF2-40B4-BE49-F238E27FC236}">
              <a16:creationId xmlns:a16="http://schemas.microsoft.com/office/drawing/2014/main" xmlns="" id="{00000000-0008-0000-0000-000033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636" name="Text Box 59">
          <a:extLst>
            <a:ext uri="{FF2B5EF4-FFF2-40B4-BE49-F238E27FC236}">
              <a16:creationId xmlns:a16="http://schemas.microsoft.com/office/drawing/2014/main" xmlns="" id="{00000000-0008-0000-0000-000034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637" name="Text Box 60">
          <a:extLst>
            <a:ext uri="{FF2B5EF4-FFF2-40B4-BE49-F238E27FC236}">
              <a16:creationId xmlns:a16="http://schemas.microsoft.com/office/drawing/2014/main" xmlns="" id="{00000000-0008-0000-0000-000035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638" name="Text Box 61">
          <a:extLst>
            <a:ext uri="{FF2B5EF4-FFF2-40B4-BE49-F238E27FC236}">
              <a16:creationId xmlns:a16="http://schemas.microsoft.com/office/drawing/2014/main" xmlns="" id="{00000000-0008-0000-0000-000036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639" name="Text Box 62">
          <a:extLst>
            <a:ext uri="{FF2B5EF4-FFF2-40B4-BE49-F238E27FC236}">
              <a16:creationId xmlns:a16="http://schemas.microsoft.com/office/drawing/2014/main" xmlns="" id="{00000000-0008-0000-0000-000037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640" name="Text Box 63">
          <a:extLst>
            <a:ext uri="{FF2B5EF4-FFF2-40B4-BE49-F238E27FC236}">
              <a16:creationId xmlns:a16="http://schemas.microsoft.com/office/drawing/2014/main" xmlns="" id="{00000000-0008-0000-0000-000038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641" name="Text Box 64">
          <a:extLst>
            <a:ext uri="{FF2B5EF4-FFF2-40B4-BE49-F238E27FC236}">
              <a16:creationId xmlns:a16="http://schemas.microsoft.com/office/drawing/2014/main" xmlns="" id="{00000000-0008-0000-0000-000039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642" name="Text Box 65">
          <a:extLst>
            <a:ext uri="{FF2B5EF4-FFF2-40B4-BE49-F238E27FC236}">
              <a16:creationId xmlns:a16="http://schemas.microsoft.com/office/drawing/2014/main" xmlns="" id="{00000000-0008-0000-0000-00003A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643" name="Text Box 66">
          <a:extLst>
            <a:ext uri="{FF2B5EF4-FFF2-40B4-BE49-F238E27FC236}">
              <a16:creationId xmlns:a16="http://schemas.microsoft.com/office/drawing/2014/main" xmlns="" id="{00000000-0008-0000-0000-00003B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644" name="Text Box 67">
          <a:extLst>
            <a:ext uri="{FF2B5EF4-FFF2-40B4-BE49-F238E27FC236}">
              <a16:creationId xmlns:a16="http://schemas.microsoft.com/office/drawing/2014/main" xmlns="" id="{00000000-0008-0000-0000-00003C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645" name="Text Box 68">
          <a:extLst>
            <a:ext uri="{FF2B5EF4-FFF2-40B4-BE49-F238E27FC236}">
              <a16:creationId xmlns:a16="http://schemas.microsoft.com/office/drawing/2014/main" xmlns="" id="{00000000-0008-0000-0000-00003D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646" name="Text Box 69">
          <a:extLst>
            <a:ext uri="{FF2B5EF4-FFF2-40B4-BE49-F238E27FC236}">
              <a16:creationId xmlns:a16="http://schemas.microsoft.com/office/drawing/2014/main" xmlns="" id="{00000000-0008-0000-0000-00003E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647" name="Text Box 70">
          <a:extLst>
            <a:ext uri="{FF2B5EF4-FFF2-40B4-BE49-F238E27FC236}">
              <a16:creationId xmlns:a16="http://schemas.microsoft.com/office/drawing/2014/main" xmlns="" id="{00000000-0008-0000-0000-00003F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648" name="Text Box 71">
          <a:extLst>
            <a:ext uri="{FF2B5EF4-FFF2-40B4-BE49-F238E27FC236}">
              <a16:creationId xmlns:a16="http://schemas.microsoft.com/office/drawing/2014/main" xmlns="" id="{00000000-0008-0000-0000-000040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649" name="Text Box 72">
          <a:extLst>
            <a:ext uri="{FF2B5EF4-FFF2-40B4-BE49-F238E27FC236}">
              <a16:creationId xmlns:a16="http://schemas.microsoft.com/office/drawing/2014/main" xmlns="" id="{00000000-0008-0000-0000-000041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650" name="Text Box 73">
          <a:extLst>
            <a:ext uri="{FF2B5EF4-FFF2-40B4-BE49-F238E27FC236}">
              <a16:creationId xmlns:a16="http://schemas.microsoft.com/office/drawing/2014/main" xmlns="" id="{00000000-0008-0000-0000-000042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651" name="Text Box 74">
          <a:extLst>
            <a:ext uri="{FF2B5EF4-FFF2-40B4-BE49-F238E27FC236}">
              <a16:creationId xmlns:a16="http://schemas.microsoft.com/office/drawing/2014/main" xmlns="" id="{00000000-0008-0000-0000-000043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652" name="Text Box 75">
          <a:extLst>
            <a:ext uri="{FF2B5EF4-FFF2-40B4-BE49-F238E27FC236}">
              <a16:creationId xmlns:a16="http://schemas.microsoft.com/office/drawing/2014/main" xmlns="" id="{00000000-0008-0000-0000-000044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653" name="Text Box 76">
          <a:extLst>
            <a:ext uri="{FF2B5EF4-FFF2-40B4-BE49-F238E27FC236}">
              <a16:creationId xmlns:a16="http://schemas.microsoft.com/office/drawing/2014/main" xmlns="" id="{00000000-0008-0000-0000-000045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654" name="Text Box 77">
          <a:extLst>
            <a:ext uri="{FF2B5EF4-FFF2-40B4-BE49-F238E27FC236}">
              <a16:creationId xmlns:a16="http://schemas.microsoft.com/office/drawing/2014/main" xmlns="" id="{00000000-0008-0000-0000-000046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655" name="Text Box 78">
          <a:extLst>
            <a:ext uri="{FF2B5EF4-FFF2-40B4-BE49-F238E27FC236}">
              <a16:creationId xmlns:a16="http://schemas.microsoft.com/office/drawing/2014/main" xmlns="" id="{00000000-0008-0000-0000-000047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656" name="Text Box 79">
          <a:extLst>
            <a:ext uri="{FF2B5EF4-FFF2-40B4-BE49-F238E27FC236}">
              <a16:creationId xmlns:a16="http://schemas.microsoft.com/office/drawing/2014/main" xmlns="" id="{00000000-0008-0000-0000-000048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657" name="Text Box 80">
          <a:extLst>
            <a:ext uri="{FF2B5EF4-FFF2-40B4-BE49-F238E27FC236}">
              <a16:creationId xmlns:a16="http://schemas.microsoft.com/office/drawing/2014/main" xmlns="" id="{00000000-0008-0000-0000-000049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658" name="Text Box 81">
          <a:extLst>
            <a:ext uri="{FF2B5EF4-FFF2-40B4-BE49-F238E27FC236}">
              <a16:creationId xmlns:a16="http://schemas.microsoft.com/office/drawing/2014/main" xmlns="" id="{00000000-0008-0000-0000-00004A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47625"/>
    <xdr:sp macro="" textlink="">
      <xdr:nvSpPr>
        <xdr:cNvPr id="3659" name="Text Box 82">
          <a:extLst>
            <a:ext uri="{FF2B5EF4-FFF2-40B4-BE49-F238E27FC236}">
              <a16:creationId xmlns:a16="http://schemas.microsoft.com/office/drawing/2014/main" xmlns="" id="{00000000-0008-0000-0000-00004B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660" name="Text Box 3079">
          <a:extLst>
            <a:ext uri="{FF2B5EF4-FFF2-40B4-BE49-F238E27FC236}">
              <a16:creationId xmlns:a16="http://schemas.microsoft.com/office/drawing/2014/main" xmlns="" id="{00000000-0008-0000-0000-00004C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661" name="Text Box 3080">
          <a:extLst>
            <a:ext uri="{FF2B5EF4-FFF2-40B4-BE49-F238E27FC236}">
              <a16:creationId xmlns:a16="http://schemas.microsoft.com/office/drawing/2014/main" xmlns="" id="{00000000-0008-0000-0000-00004D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662" name="Text Box 3081">
          <a:extLst>
            <a:ext uri="{FF2B5EF4-FFF2-40B4-BE49-F238E27FC236}">
              <a16:creationId xmlns:a16="http://schemas.microsoft.com/office/drawing/2014/main" xmlns="" id="{00000000-0008-0000-0000-00004E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663" name="Text Box 3082">
          <a:extLst>
            <a:ext uri="{FF2B5EF4-FFF2-40B4-BE49-F238E27FC236}">
              <a16:creationId xmlns:a16="http://schemas.microsoft.com/office/drawing/2014/main" xmlns="" id="{00000000-0008-0000-0000-00004F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664" name="Text Box 3083">
          <a:extLst>
            <a:ext uri="{FF2B5EF4-FFF2-40B4-BE49-F238E27FC236}">
              <a16:creationId xmlns:a16="http://schemas.microsoft.com/office/drawing/2014/main" xmlns="" id="{00000000-0008-0000-0000-000050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665" name="Text Box 3084">
          <a:extLst>
            <a:ext uri="{FF2B5EF4-FFF2-40B4-BE49-F238E27FC236}">
              <a16:creationId xmlns:a16="http://schemas.microsoft.com/office/drawing/2014/main" xmlns="" id="{00000000-0008-0000-0000-000051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666" name="Text Box 3085">
          <a:extLst>
            <a:ext uri="{FF2B5EF4-FFF2-40B4-BE49-F238E27FC236}">
              <a16:creationId xmlns:a16="http://schemas.microsoft.com/office/drawing/2014/main" xmlns="" id="{00000000-0008-0000-0000-000052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667" name="Text Box 3086">
          <a:extLst>
            <a:ext uri="{FF2B5EF4-FFF2-40B4-BE49-F238E27FC236}">
              <a16:creationId xmlns:a16="http://schemas.microsoft.com/office/drawing/2014/main" xmlns="" id="{00000000-0008-0000-0000-000053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668" name="Text Box 3087">
          <a:extLst>
            <a:ext uri="{FF2B5EF4-FFF2-40B4-BE49-F238E27FC236}">
              <a16:creationId xmlns:a16="http://schemas.microsoft.com/office/drawing/2014/main" xmlns="" id="{00000000-0008-0000-0000-000054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669" name="Text Box 3088">
          <a:extLst>
            <a:ext uri="{FF2B5EF4-FFF2-40B4-BE49-F238E27FC236}">
              <a16:creationId xmlns:a16="http://schemas.microsoft.com/office/drawing/2014/main" xmlns="" id="{00000000-0008-0000-0000-000055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670" name="Text Box 3089">
          <a:extLst>
            <a:ext uri="{FF2B5EF4-FFF2-40B4-BE49-F238E27FC236}">
              <a16:creationId xmlns:a16="http://schemas.microsoft.com/office/drawing/2014/main" xmlns="" id="{00000000-0008-0000-0000-000056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671" name="Text Box 3090">
          <a:extLst>
            <a:ext uri="{FF2B5EF4-FFF2-40B4-BE49-F238E27FC236}">
              <a16:creationId xmlns:a16="http://schemas.microsoft.com/office/drawing/2014/main" xmlns="" id="{00000000-0008-0000-0000-000057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672" name="Text Box 3091">
          <a:extLst>
            <a:ext uri="{FF2B5EF4-FFF2-40B4-BE49-F238E27FC236}">
              <a16:creationId xmlns:a16="http://schemas.microsoft.com/office/drawing/2014/main" xmlns="" id="{00000000-0008-0000-0000-000058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673" name="Text Box 3092">
          <a:extLst>
            <a:ext uri="{FF2B5EF4-FFF2-40B4-BE49-F238E27FC236}">
              <a16:creationId xmlns:a16="http://schemas.microsoft.com/office/drawing/2014/main" xmlns="" id="{00000000-0008-0000-0000-000059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674" name="Text Box 3093">
          <a:extLst>
            <a:ext uri="{FF2B5EF4-FFF2-40B4-BE49-F238E27FC236}">
              <a16:creationId xmlns:a16="http://schemas.microsoft.com/office/drawing/2014/main" xmlns="" id="{00000000-0008-0000-0000-00005A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675" name="Text Box 3094">
          <a:extLst>
            <a:ext uri="{FF2B5EF4-FFF2-40B4-BE49-F238E27FC236}">
              <a16:creationId xmlns:a16="http://schemas.microsoft.com/office/drawing/2014/main" xmlns="" id="{00000000-0008-0000-0000-00005B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676" name="Text Box 3095">
          <a:extLst>
            <a:ext uri="{FF2B5EF4-FFF2-40B4-BE49-F238E27FC236}">
              <a16:creationId xmlns:a16="http://schemas.microsoft.com/office/drawing/2014/main" xmlns="" id="{00000000-0008-0000-0000-00005C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677" name="Text Box 3096">
          <a:extLst>
            <a:ext uri="{FF2B5EF4-FFF2-40B4-BE49-F238E27FC236}">
              <a16:creationId xmlns:a16="http://schemas.microsoft.com/office/drawing/2014/main" xmlns="" id="{00000000-0008-0000-0000-00005D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678" name="Text Box 3097">
          <a:extLst>
            <a:ext uri="{FF2B5EF4-FFF2-40B4-BE49-F238E27FC236}">
              <a16:creationId xmlns:a16="http://schemas.microsoft.com/office/drawing/2014/main" xmlns="" id="{00000000-0008-0000-0000-00005E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679" name="Text Box 3098">
          <a:extLst>
            <a:ext uri="{FF2B5EF4-FFF2-40B4-BE49-F238E27FC236}">
              <a16:creationId xmlns:a16="http://schemas.microsoft.com/office/drawing/2014/main" xmlns="" id="{00000000-0008-0000-0000-00005F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680" name="Text Box 3099">
          <a:extLst>
            <a:ext uri="{FF2B5EF4-FFF2-40B4-BE49-F238E27FC236}">
              <a16:creationId xmlns:a16="http://schemas.microsoft.com/office/drawing/2014/main" xmlns="" id="{00000000-0008-0000-0000-000060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681" name="Text Box 3100">
          <a:extLst>
            <a:ext uri="{FF2B5EF4-FFF2-40B4-BE49-F238E27FC236}">
              <a16:creationId xmlns:a16="http://schemas.microsoft.com/office/drawing/2014/main" xmlns="" id="{00000000-0008-0000-0000-000061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682" name="Text Box 3101">
          <a:extLst>
            <a:ext uri="{FF2B5EF4-FFF2-40B4-BE49-F238E27FC236}">
              <a16:creationId xmlns:a16="http://schemas.microsoft.com/office/drawing/2014/main" xmlns="" id="{00000000-0008-0000-0000-000062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3683" name="Text Box 3102">
          <a:extLst>
            <a:ext uri="{FF2B5EF4-FFF2-40B4-BE49-F238E27FC236}">
              <a16:creationId xmlns:a16="http://schemas.microsoft.com/office/drawing/2014/main" xmlns="" id="{00000000-0008-0000-0000-000063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684" name="Text Box 59">
          <a:extLst>
            <a:ext uri="{FF2B5EF4-FFF2-40B4-BE49-F238E27FC236}">
              <a16:creationId xmlns:a16="http://schemas.microsoft.com/office/drawing/2014/main" xmlns="" id="{00000000-0008-0000-0000-000064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685" name="Text Box 60">
          <a:extLst>
            <a:ext uri="{FF2B5EF4-FFF2-40B4-BE49-F238E27FC236}">
              <a16:creationId xmlns:a16="http://schemas.microsoft.com/office/drawing/2014/main" xmlns="" id="{00000000-0008-0000-0000-000065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686" name="Text Box 61">
          <a:extLst>
            <a:ext uri="{FF2B5EF4-FFF2-40B4-BE49-F238E27FC236}">
              <a16:creationId xmlns:a16="http://schemas.microsoft.com/office/drawing/2014/main" xmlns="" id="{00000000-0008-0000-0000-000066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687" name="Text Box 62">
          <a:extLst>
            <a:ext uri="{FF2B5EF4-FFF2-40B4-BE49-F238E27FC236}">
              <a16:creationId xmlns:a16="http://schemas.microsoft.com/office/drawing/2014/main" xmlns="" id="{00000000-0008-0000-0000-000067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688" name="Text Box 63">
          <a:extLst>
            <a:ext uri="{FF2B5EF4-FFF2-40B4-BE49-F238E27FC236}">
              <a16:creationId xmlns:a16="http://schemas.microsoft.com/office/drawing/2014/main" xmlns="" id="{00000000-0008-0000-0000-000068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689" name="Text Box 64">
          <a:extLst>
            <a:ext uri="{FF2B5EF4-FFF2-40B4-BE49-F238E27FC236}">
              <a16:creationId xmlns:a16="http://schemas.microsoft.com/office/drawing/2014/main" xmlns="" id="{00000000-0008-0000-0000-000069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690" name="Text Box 65">
          <a:extLst>
            <a:ext uri="{FF2B5EF4-FFF2-40B4-BE49-F238E27FC236}">
              <a16:creationId xmlns:a16="http://schemas.microsoft.com/office/drawing/2014/main" xmlns="" id="{00000000-0008-0000-0000-00006A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691" name="Text Box 66">
          <a:extLst>
            <a:ext uri="{FF2B5EF4-FFF2-40B4-BE49-F238E27FC236}">
              <a16:creationId xmlns:a16="http://schemas.microsoft.com/office/drawing/2014/main" xmlns="" id="{00000000-0008-0000-0000-00006B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692" name="Text Box 67">
          <a:extLst>
            <a:ext uri="{FF2B5EF4-FFF2-40B4-BE49-F238E27FC236}">
              <a16:creationId xmlns:a16="http://schemas.microsoft.com/office/drawing/2014/main" xmlns="" id="{00000000-0008-0000-0000-00006C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693" name="Text Box 68">
          <a:extLst>
            <a:ext uri="{FF2B5EF4-FFF2-40B4-BE49-F238E27FC236}">
              <a16:creationId xmlns:a16="http://schemas.microsoft.com/office/drawing/2014/main" xmlns="" id="{00000000-0008-0000-0000-00006D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694" name="Text Box 69">
          <a:extLst>
            <a:ext uri="{FF2B5EF4-FFF2-40B4-BE49-F238E27FC236}">
              <a16:creationId xmlns:a16="http://schemas.microsoft.com/office/drawing/2014/main" xmlns="" id="{00000000-0008-0000-0000-00006E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695" name="Text Box 70">
          <a:extLst>
            <a:ext uri="{FF2B5EF4-FFF2-40B4-BE49-F238E27FC236}">
              <a16:creationId xmlns:a16="http://schemas.microsoft.com/office/drawing/2014/main" xmlns="" id="{00000000-0008-0000-0000-00006F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696" name="Text Box 71">
          <a:extLst>
            <a:ext uri="{FF2B5EF4-FFF2-40B4-BE49-F238E27FC236}">
              <a16:creationId xmlns:a16="http://schemas.microsoft.com/office/drawing/2014/main" xmlns="" id="{00000000-0008-0000-0000-000070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697" name="Text Box 72">
          <a:extLst>
            <a:ext uri="{FF2B5EF4-FFF2-40B4-BE49-F238E27FC236}">
              <a16:creationId xmlns:a16="http://schemas.microsoft.com/office/drawing/2014/main" xmlns="" id="{00000000-0008-0000-0000-000071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698" name="Text Box 73">
          <a:extLst>
            <a:ext uri="{FF2B5EF4-FFF2-40B4-BE49-F238E27FC236}">
              <a16:creationId xmlns:a16="http://schemas.microsoft.com/office/drawing/2014/main" xmlns="" id="{00000000-0008-0000-0000-000072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699" name="Text Box 74">
          <a:extLst>
            <a:ext uri="{FF2B5EF4-FFF2-40B4-BE49-F238E27FC236}">
              <a16:creationId xmlns:a16="http://schemas.microsoft.com/office/drawing/2014/main" xmlns="" id="{00000000-0008-0000-0000-000073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700" name="Text Box 75">
          <a:extLst>
            <a:ext uri="{FF2B5EF4-FFF2-40B4-BE49-F238E27FC236}">
              <a16:creationId xmlns:a16="http://schemas.microsoft.com/office/drawing/2014/main" xmlns="" id="{00000000-0008-0000-0000-000074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701" name="Text Box 76">
          <a:extLst>
            <a:ext uri="{FF2B5EF4-FFF2-40B4-BE49-F238E27FC236}">
              <a16:creationId xmlns:a16="http://schemas.microsoft.com/office/drawing/2014/main" xmlns="" id="{00000000-0008-0000-0000-000075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702" name="Text Box 77">
          <a:extLst>
            <a:ext uri="{FF2B5EF4-FFF2-40B4-BE49-F238E27FC236}">
              <a16:creationId xmlns:a16="http://schemas.microsoft.com/office/drawing/2014/main" xmlns="" id="{00000000-0008-0000-0000-000076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703" name="Text Box 78">
          <a:extLst>
            <a:ext uri="{FF2B5EF4-FFF2-40B4-BE49-F238E27FC236}">
              <a16:creationId xmlns:a16="http://schemas.microsoft.com/office/drawing/2014/main" xmlns="" id="{00000000-0008-0000-0000-000077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704" name="Text Box 79">
          <a:extLst>
            <a:ext uri="{FF2B5EF4-FFF2-40B4-BE49-F238E27FC236}">
              <a16:creationId xmlns:a16="http://schemas.microsoft.com/office/drawing/2014/main" xmlns="" id="{00000000-0008-0000-0000-000078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705" name="Text Box 80">
          <a:extLst>
            <a:ext uri="{FF2B5EF4-FFF2-40B4-BE49-F238E27FC236}">
              <a16:creationId xmlns:a16="http://schemas.microsoft.com/office/drawing/2014/main" xmlns="" id="{00000000-0008-0000-0000-000079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706" name="Text Box 81">
          <a:extLst>
            <a:ext uri="{FF2B5EF4-FFF2-40B4-BE49-F238E27FC236}">
              <a16:creationId xmlns:a16="http://schemas.microsoft.com/office/drawing/2014/main" xmlns="" id="{00000000-0008-0000-0000-00007A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707" name="Text Box 3079">
          <a:extLst>
            <a:ext uri="{FF2B5EF4-FFF2-40B4-BE49-F238E27FC236}">
              <a16:creationId xmlns:a16="http://schemas.microsoft.com/office/drawing/2014/main" xmlns="" id="{00000000-0008-0000-0000-00007B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708" name="Text Box 3080">
          <a:extLst>
            <a:ext uri="{FF2B5EF4-FFF2-40B4-BE49-F238E27FC236}">
              <a16:creationId xmlns:a16="http://schemas.microsoft.com/office/drawing/2014/main" xmlns="" id="{00000000-0008-0000-0000-00007C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709" name="Text Box 3081">
          <a:extLst>
            <a:ext uri="{FF2B5EF4-FFF2-40B4-BE49-F238E27FC236}">
              <a16:creationId xmlns:a16="http://schemas.microsoft.com/office/drawing/2014/main" xmlns="" id="{00000000-0008-0000-0000-00007D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710" name="Text Box 3082">
          <a:extLst>
            <a:ext uri="{FF2B5EF4-FFF2-40B4-BE49-F238E27FC236}">
              <a16:creationId xmlns:a16="http://schemas.microsoft.com/office/drawing/2014/main" xmlns="" id="{00000000-0008-0000-0000-00007E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711" name="Text Box 3083">
          <a:extLst>
            <a:ext uri="{FF2B5EF4-FFF2-40B4-BE49-F238E27FC236}">
              <a16:creationId xmlns:a16="http://schemas.microsoft.com/office/drawing/2014/main" xmlns="" id="{00000000-0008-0000-0000-00007F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712" name="Text Box 3084">
          <a:extLst>
            <a:ext uri="{FF2B5EF4-FFF2-40B4-BE49-F238E27FC236}">
              <a16:creationId xmlns:a16="http://schemas.microsoft.com/office/drawing/2014/main" xmlns="" id="{00000000-0008-0000-0000-000080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713" name="Text Box 3085">
          <a:extLst>
            <a:ext uri="{FF2B5EF4-FFF2-40B4-BE49-F238E27FC236}">
              <a16:creationId xmlns:a16="http://schemas.microsoft.com/office/drawing/2014/main" xmlns="" id="{00000000-0008-0000-0000-000081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714" name="Text Box 3086">
          <a:extLst>
            <a:ext uri="{FF2B5EF4-FFF2-40B4-BE49-F238E27FC236}">
              <a16:creationId xmlns:a16="http://schemas.microsoft.com/office/drawing/2014/main" xmlns="" id="{00000000-0008-0000-0000-000082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715" name="Text Box 3087">
          <a:extLst>
            <a:ext uri="{FF2B5EF4-FFF2-40B4-BE49-F238E27FC236}">
              <a16:creationId xmlns:a16="http://schemas.microsoft.com/office/drawing/2014/main" xmlns="" id="{00000000-0008-0000-0000-000083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716" name="Text Box 3088">
          <a:extLst>
            <a:ext uri="{FF2B5EF4-FFF2-40B4-BE49-F238E27FC236}">
              <a16:creationId xmlns:a16="http://schemas.microsoft.com/office/drawing/2014/main" xmlns="" id="{00000000-0008-0000-0000-000084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717" name="Text Box 3089">
          <a:extLst>
            <a:ext uri="{FF2B5EF4-FFF2-40B4-BE49-F238E27FC236}">
              <a16:creationId xmlns:a16="http://schemas.microsoft.com/office/drawing/2014/main" xmlns="" id="{00000000-0008-0000-0000-000085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718" name="Text Box 3090">
          <a:extLst>
            <a:ext uri="{FF2B5EF4-FFF2-40B4-BE49-F238E27FC236}">
              <a16:creationId xmlns:a16="http://schemas.microsoft.com/office/drawing/2014/main" xmlns="" id="{00000000-0008-0000-0000-000086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719" name="Text Box 3091">
          <a:extLst>
            <a:ext uri="{FF2B5EF4-FFF2-40B4-BE49-F238E27FC236}">
              <a16:creationId xmlns:a16="http://schemas.microsoft.com/office/drawing/2014/main" xmlns="" id="{00000000-0008-0000-0000-000087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720" name="Text Box 3092">
          <a:extLst>
            <a:ext uri="{FF2B5EF4-FFF2-40B4-BE49-F238E27FC236}">
              <a16:creationId xmlns:a16="http://schemas.microsoft.com/office/drawing/2014/main" xmlns="" id="{00000000-0008-0000-0000-000088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721" name="Text Box 3093">
          <a:extLst>
            <a:ext uri="{FF2B5EF4-FFF2-40B4-BE49-F238E27FC236}">
              <a16:creationId xmlns:a16="http://schemas.microsoft.com/office/drawing/2014/main" xmlns="" id="{00000000-0008-0000-0000-000089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722" name="Text Box 3094">
          <a:extLst>
            <a:ext uri="{FF2B5EF4-FFF2-40B4-BE49-F238E27FC236}">
              <a16:creationId xmlns:a16="http://schemas.microsoft.com/office/drawing/2014/main" xmlns="" id="{00000000-0008-0000-0000-00008A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723" name="Text Box 3095">
          <a:extLst>
            <a:ext uri="{FF2B5EF4-FFF2-40B4-BE49-F238E27FC236}">
              <a16:creationId xmlns:a16="http://schemas.microsoft.com/office/drawing/2014/main" xmlns="" id="{00000000-0008-0000-0000-00008B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724" name="Text Box 3096">
          <a:extLst>
            <a:ext uri="{FF2B5EF4-FFF2-40B4-BE49-F238E27FC236}">
              <a16:creationId xmlns:a16="http://schemas.microsoft.com/office/drawing/2014/main" xmlns="" id="{00000000-0008-0000-0000-00008C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725" name="Text Box 3097">
          <a:extLst>
            <a:ext uri="{FF2B5EF4-FFF2-40B4-BE49-F238E27FC236}">
              <a16:creationId xmlns:a16="http://schemas.microsoft.com/office/drawing/2014/main" xmlns="" id="{00000000-0008-0000-0000-00008D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726" name="Text Box 3098">
          <a:extLst>
            <a:ext uri="{FF2B5EF4-FFF2-40B4-BE49-F238E27FC236}">
              <a16:creationId xmlns:a16="http://schemas.microsoft.com/office/drawing/2014/main" xmlns="" id="{00000000-0008-0000-0000-00008E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727" name="Text Box 3099">
          <a:extLst>
            <a:ext uri="{FF2B5EF4-FFF2-40B4-BE49-F238E27FC236}">
              <a16:creationId xmlns:a16="http://schemas.microsoft.com/office/drawing/2014/main" xmlns="" id="{00000000-0008-0000-0000-00008F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728" name="Text Box 3100">
          <a:extLst>
            <a:ext uri="{FF2B5EF4-FFF2-40B4-BE49-F238E27FC236}">
              <a16:creationId xmlns:a16="http://schemas.microsoft.com/office/drawing/2014/main" xmlns="" id="{00000000-0008-0000-0000-000090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729" name="Text Box 3101">
          <a:extLst>
            <a:ext uri="{FF2B5EF4-FFF2-40B4-BE49-F238E27FC236}">
              <a16:creationId xmlns:a16="http://schemas.microsoft.com/office/drawing/2014/main" xmlns="" id="{00000000-0008-0000-0000-000091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3730" name="Text Box 3102">
          <a:extLst>
            <a:ext uri="{FF2B5EF4-FFF2-40B4-BE49-F238E27FC236}">
              <a16:creationId xmlns:a16="http://schemas.microsoft.com/office/drawing/2014/main" xmlns="" id="{00000000-0008-0000-0000-000092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731" name="Text Box 59">
          <a:extLst>
            <a:ext uri="{FF2B5EF4-FFF2-40B4-BE49-F238E27FC236}">
              <a16:creationId xmlns:a16="http://schemas.microsoft.com/office/drawing/2014/main" xmlns="" id="{00000000-0008-0000-0000-000093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732" name="Text Box 60">
          <a:extLst>
            <a:ext uri="{FF2B5EF4-FFF2-40B4-BE49-F238E27FC236}">
              <a16:creationId xmlns:a16="http://schemas.microsoft.com/office/drawing/2014/main" xmlns="" id="{00000000-0008-0000-0000-000094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733" name="Text Box 61">
          <a:extLst>
            <a:ext uri="{FF2B5EF4-FFF2-40B4-BE49-F238E27FC236}">
              <a16:creationId xmlns:a16="http://schemas.microsoft.com/office/drawing/2014/main" xmlns="" id="{00000000-0008-0000-0000-000095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734" name="Text Box 62">
          <a:extLst>
            <a:ext uri="{FF2B5EF4-FFF2-40B4-BE49-F238E27FC236}">
              <a16:creationId xmlns:a16="http://schemas.microsoft.com/office/drawing/2014/main" xmlns="" id="{00000000-0008-0000-0000-000096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735" name="Text Box 63">
          <a:extLst>
            <a:ext uri="{FF2B5EF4-FFF2-40B4-BE49-F238E27FC236}">
              <a16:creationId xmlns:a16="http://schemas.microsoft.com/office/drawing/2014/main" xmlns="" id="{00000000-0008-0000-0000-000097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736" name="Text Box 64">
          <a:extLst>
            <a:ext uri="{FF2B5EF4-FFF2-40B4-BE49-F238E27FC236}">
              <a16:creationId xmlns:a16="http://schemas.microsoft.com/office/drawing/2014/main" xmlns="" id="{00000000-0008-0000-0000-000098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737" name="Text Box 65">
          <a:extLst>
            <a:ext uri="{FF2B5EF4-FFF2-40B4-BE49-F238E27FC236}">
              <a16:creationId xmlns:a16="http://schemas.microsoft.com/office/drawing/2014/main" xmlns="" id="{00000000-0008-0000-0000-000099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738" name="Text Box 66">
          <a:extLst>
            <a:ext uri="{FF2B5EF4-FFF2-40B4-BE49-F238E27FC236}">
              <a16:creationId xmlns:a16="http://schemas.microsoft.com/office/drawing/2014/main" xmlns="" id="{00000000-0008-0000-0000-00009A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739" name="Text Box 67">
          <a:extLst>
            <a:ext uri="{FF2B5EF4-FFF2-40B4-BE49-F238E27FC236}">
              <a16:creationId xmlns:a16="http://schemas.microsoft.com/office/drawing/2014/main" xmlns="" id="{00000000-0008-0000-0000-00009B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740" name="Text Box 68">
          <a:extLst>
            <a:ext uri="{FF2B5EF4-FFF2-40B4-BE49-F238E27FC236}">
              <a16:creationId xmlns:a16="http://schemas.microsoft.com/office/drawing/2014/main" xmlns="" id="{00000000-0008-0000-0000-00009C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741" name="Text Box 69">
          <a:extLst>
            <a:ext uri="{FF2B5EF4-FFF2-40B4-BE49-F238E27FC236}">
              <a16:creationId xmlns:a16="http://schemas.microsoft.com/office/drawing/2014/main" xmlns="" id="{00000000-0008-0000-0000-00009D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742" name="Text Box 70">
          <a:extLst>
            <a:ext uri="{FF2B5EF4-FFF2-40B4-BE49-F238E27FC236}">
              <a16:creationId xmlns:a16="http://schemas.microsoft.com/office/drawing/2014/main" xmlns="" id="{00000000-0008-0000-0000-00009E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743" name="Text Box 71">
          <a:extLst>
            <a:ext uri="{FF2B5EF4-FFF2-40B4-BE49-F238E27FC236}">
              <a16:creationId xmlns:a16="http://schemas.microsoft.com/office/drawing/2014/main" xmlns="" id="{00000000-0008-0000-0000-00009F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744" name="Text Box 72">
          <a:extLst>
            <a:ext uri="{FF2B5EF4-FFF2-40B4-BE49-F238E27FC236}">
              <a16:creationId xmlns:a16="http://schemas.microsoft.com/office/drawing/2014/main" xmlns="" id="{00000000-0008-0000-0000-0000A0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745" name="Text Box 73">
          <a:extLst>
            <a:ext uri="{FF2B5EF4-FFF2-40B4-BE49-F238E27FC236}">
              <a16:creationId xmlns:a16="http://schemas.microsoft.com/office/drawing/2014/main" xmlns="" id="{00000000-0008-0000-0000-0000A1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746" name="Text Box 74">
          <a:extLst>
            <a:ext uri="{FF2B5EF4-FFF2-40B4-BE49-F238E27FC236}">
              <a16:creationId xmlns:a16="http://schemas.microsoft.com/office/drawing/2014/main" xmlns="" id="{00000000-0008-0000-0000-0000A2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747" name="Text Box 75">
          <a:extLst>
            <a:ext uri="{FF2B5EF4-FFF2-40B4-BE49-F238E27FC236}">
              <a16:creationId xmlns:a16="http://schemas.microsoft.com/office/drawing/2014/main" xmlns="" id="{00000000-0008-0000-0000-0000A3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748" name="Text Box 76">
          <a:extLst>
            <a:ext uri="{FF2B5EF4-FFF2-40B4-BE49-F238E27FC236}">
              <a16:creationId xmlns:a16="http://schemas.microsoft.com/office/drawing/2014/main" xmlns="" id="{00000000-0008-0000-0000-0000A4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749" name="Text Box 77">
          <a:extLst>
            <a:ext uri="{FF2B5EF4-FFF2-40B4-BE49-F238E27FC236}">
              <a16:creationId xmlns:a16="http://schemas.microsoft.com/office/drawing/2014/main" xmlns="" id="{00000000-0008-0000-0000-0000A5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750" name="Text Box 78">
          <a:extLst>
            <a:ext uri="{FF2B5EF4-FFF2-40B4-BE49-F238E27FC236}">
              <a16:creationId xmlns:a16="http://schemas.microsoft.com/office/drawing/2014/main" xmlns="" id="{00000000-0008-0000-0000-0000A6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751" name="Text Box 79">
          <a:extLst>
            <a:ext uri="{FF2B5EF4-FFF2-40B4-BE49-F238E27FC236}">
              <a16:creationId xmlns:a16="http://schemas.microsoft.com/office/drawing/2014/main" xmlns="" id="{00000000-0008-0000-0000-0000A7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752" name="Text Box 80">
          <a:extLst>
            <a:ext uri="{FF2B5EF4-FFF2-40B4-BE49-F238E27FC236}">
              <a16:creationId xmlns:a16="http://schemas.microsoft.com/office/drawing/2014/main" xmlns="" id="{00000000-0008-0000-0000-0000A8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753" name="Text Box 81">
          <a:extLst>
            <a:ext uri="{FF2B5EF4-FFF2-40B4-BE49-F238E27FC236}">
              <a16:creationId xmlns:a16="http://schemas.microsoft.com/office/drawing/2014/main" xmlns="" id="{00000000-0008-0000-0000-0000A9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47625"/>
    <xdr:sp macro="" textlink="">
      <xdr:nvSpPr>
        <xdr:cNvPr id="3754" name="Text Box 82">
          <a:extLst>
            <a:ext uri="{FF2B5EF4-FFF2-40B4-BE49-F238E27FC236}">
              <a16:creationId xmlns:a16="http://schemas.microsoft.com/office/drawing/2014/main" xmlns="" id="{00000000-0008-0000-0000-0000AA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755" name="Text Box 3079">
          <a:extLst>
            <a:ext uri="{FF2B5EF4-FFF2-40B4-BE49-F238E27FC236}">
              <a16:creationId xmlns:a16="http://schemas.microsoft.com/office/drawing/2014/main" xmlns="" id="{00000000-0008-0000-0000-0000AB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756" name="Text Box 3080">
          <a:extLst>
            <a:ext uri="{FF2B5EF4-FFF2-40B4-BE49-F238E27FC236}">
              <a16:creationId xmlns:a16="http://schemas.microsoft.com/office/drawing/2014/main" xmlns="" id="{00000000-0008-0000-0000-0000AC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757" name="Text Box 3081">
          <a:extLst>
            <a:ext uri="{FF2B5EF4-FFF2-40B4-BE49-F238E27FC236}">
              <a16:creationId xmlns:a16="http://schemas.microsoft.com/office/drawing/2014/main" xmlns="" id="{00000000-0008-0000-0000-0000AD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758" name="Text Box 3082">
          <a:extLst>
            <a:ext uri="{FF2B5EF4-FFF2-40B4-BE49-F238E27FC236}">
              <a16:creationId xmlns:a16="http://schemas.microsoft.com/office/drawing/2014/main" xmlns="" id="{00000000-0008-0000-0000-0000AE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759" name="Text Box 3083">
          <a:extLst>
            <a:ext uri="{FF2B5EF4-FFF2-40B4-BE49-F238E27FC236}">
              <a16:creationId xmlns:a16="http://schemas.microsoft.com/office/drawing/2014/main" xmlns="" id="{00000000-0008-0000-0000-0000AF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760" name="Text Box 3084">
          <a:extLst>
            <a:ext uri="{FF2B5EF4-FFF2-40B4-BE49-F238E27FC236}">
              <a16:creationId xmlns:a16="http://schemas.microsoft.com/office/drawing/2014/main" xmlns="" id="{00000000-0008-0000-0000-0000B0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761" name="Text Box 3085">
          <a:extLst>
            <a:ext uri="{FF2B5EF4-FFF2-40B4-BE49-F238E27FC236}">
              <a16:creationId xmlns:a16="http://schemas.microsoft.com/office/drawing/2014/main" xmlns="" id="{00000000-0008-0000-0000-0000B1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762" name="Text Box 3086">
          <a:extLst>
            <a:ext uri="{FF2B5EF4-FFF2-40B4-BE49-F238E27FC236}">
              <a16:creationId xmlns:a16="http://schemas.microsoft.com/office/drawing/2014/main" xmlns="" id="{00000000-0008-0000-0000-0000B2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763" name="Text Box 3087">
          <a:extLst>
            <a:ext uri="{FF2B5EF4-FFF2-40B4-BE49-F238E27FC236}">
              <a16:creationId xmlns:a16="http://schemas.microsoft.com/office/drawing/2014/main" xmlns="" id="{00000000-0008-0000-0000-0000B3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764" name="Text Box 3088">
          <a:extLst>
            <a:ext uri="{FF2B5EF4-FFF2-40B4-BE49-F238E27FC236}">
              <a16:creationId xmlns:a16="http://schemas.microsoft.com/office/drawing/2014/main" xmlns="" id="{00000000-0008-0000-0000-0000B4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765" name="Text Box 3089">
          <a:extLst>
            <a:ext uri="{FF2B5EF4-FFF2-40B4-BE49-F238E27FC236}">
              <a16:creationId xmlns:a16="http://schemas.microsoft.com/office/drawing/2014/main" xmlns="" id="{00000000-0008-0000-0000-0000B5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766" name="Text Box 3090">
          <a:extLst>
            <a:ext uri="{FF2B5EF4-FFF2-40B4-BE49-F238E27FC236}">
              <a16:creationId xmlns:a16="http://schemas.microsoft.com/office/drawing/2014/main" xmlns="" id="{00000000-0008-0000-0000-0000B6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767" name="Text Box 3091">
          <a:extLst>
            <a:ext uri="{FF2B5EF4-FFF2-40B4-BE49-F238E27FC236}">
              <a16:creationId xmlns:a16="http://schemas.microsoft.com/office/drawing/2014/main" xmlns="" id="{00000000-0008-0000-0000-0000B7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768" name="Text Box 3092">
          <a:extLst>
            <a:ext uri="{FF2B5EF4-FFF2-40B4-BE49-F238E27FC236}">
              <a16:creationId xmlns:a16="http://schemas.microsoft.com/office/drawing/2014/main" xmlns="" id="{00000000-0008-0000-0000-0000B8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769" name="Text Box 3093">
          <a:extLst>
            <a:ext uri="{FF2B5EF4-FFF2-40B4-BE49-F238E27FC236}">
              <a16:creationId xmlns:a16="http://schemas.microsoft.com/office/drawing/2014/main" xmlns="" id="{00000000-0008-0000-0000-0000B9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770" name="Text Box 3094">
          <a:extLst>
            <a:ext uri="{FF2B5EF4-FFF2-40B4-BE49-F238E27FC236}">
              <a16:creationId xmlns:a16="http://schemas.microsoft.com/office/drawing/2014/main" xmlns="" id="{00000000-0008-0000-0000-0000BA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771" name="Text Box 3095">
          <a:extLst>
            <a:ext uri="{FF2B5EF4-FFF2-40B4-BE49-F238E27FC236}">
              <a16:creationId xmlns:a16="http://schemas.microsoft.com/office/drawing/2014/main" xmlns="" id="{00000000-0008-0000-0000-0000BB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772" name="Text Box 3096">
          <a:extLst>
            <a:ext uri="{FF2B5EF4-FFF2-40B4-BE49-F238E27FC236}">
              <a16:creationId xmlns:a16="http://schemas.microsoft.com/office/drawing/2014/main" xmlns="" id="{00000000-0008-0000-0000-0000BC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773" name="Text Box 3097">
          <a:extLst>
            <a:ext uri="{FF2B5EF4-FFF2-40B4-BE49-F238E27FC236}">
              <a16:creationId xmlns:a16="http://schemas.microsoft.com/office/drawing/2014/main" xmlns="" id="{00000000-0008-0000-0000-0000BD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774" name="Text Box 3098">
          <a:extLst>
            <a:ext uri="{FF2B5EF4-FFF2-40B4-BE49-F238E27FC236}">
              <a16:creationId xmlns:a16="http://schemas.microsoft.com/office/drawing/2014/main" xmlns="" id="{00000000-0008-0000-0000-0000BE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775" name="Text Box 3099">
          <a:extLst>
            <a:ext uri="{FF2B5EF4-FFF2-40B4-BE49-F238E27FC236}">
              <a16:creationId xmlns:a16="http://schemas.microsoft.com/office/drawing/2014/main" xmlns="" id="{00000000-0008-0000-0000-0000BF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776" name="Text Box 3100">
          <a:extLst>
            <a:ext uri="{FF2B5EF4-FFF2-40B4-BE49-F238E27FC236}">
              <a16:creationId xmlns:a16="http://schemas.microsoft.com/office/drawing/2014/main" xmlns="" id="{00000000-0008-0000-0000-0000C0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777" name="Text Box 3101">
          <a:extLst>
            <a:ext uri="{FF2B5EF4-FFF2-40B4-BE49-F238E27FC236}">
              <a16:creationId xmlns:a16="http://schemas.microsoft.com/office/drawing/2014/main" xmlns="" id="{00000000-0008-0000-0000-0000C1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3778" name="Text Box 3102">
          <a:extLst>
            <a:ext uri="{FF2B5EF4-FFF2-40B4-BE49-F238E27FC236}">
              <a16:creationId xmlns:a16="http://schemas.microsoft.com/office/drawing/2014/main" xmlns="" id="{00000000-0008-0000-0000-0000C2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779" name="Text Box 59">
          <a:extLst>
            <a:ext uri="{FF2B5EF4-FFF2-40B4-BE49-F238E27FC236}">
              <a16:creationId xmlns:a16="http://schemas.microsoft.com/office/drawing/2014/main" xmlns="" id="{00000000-0008-0000-0000-0000C3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780" name="Text Box 60">
          <a:extLst>
            <a:ext uri="{FF2B5EF4-FFF2-40B4-BE49-F238E27FC236}">
              <a16:creationId xmlns:a16="http://schemas.microsoft.com/office/drawing/2014/main" xmlns="" id="{00000000-0008-0000-0000-0000C4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781" name="Text Box 61">
          <a:extLst>
            <a:ext uri="{FF2B5EF4-FFF2-40B4-BE49-F238E27FC236}">
              <a16:creationId xmlns:a16="http://schemas.microsoft.com/office/drawing/2014/main" xmlns="" id="{00000000-0008-0000-0000-0000C5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782" name="Text Box 62">
          <a:extLst>
            <a:ext uri="{FF2B5EF4-FFF2-40B4-BE49-F238E27FC236}">
              <a16:creationId xmlns:a16="http://schemas.microsoft.com/office/drawing/2014/main" xmlns="" id="{00000000-0008-0000-0000-0000C6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783" name="Text Box 63">
          <a:extLst>
            <a:ext uri="{FF2B5EF4-FFF2-40B4-BE49-F238E27FC236}">
              <a16:creationId xmlns:a16="http://schemas.microsoft.com/office/drawing/2014/main" xmlns="" id="{00000000-0008-0000-0000-0000C7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784" name="Text Box 64">
          <a:extLst>
            <a:ext uri="{FF2B5EF4-FFF2-40B4-BE49-F238E27FC236}">
              <a16:creationId xmlns:a16="http://schemas.microsoft.com/office/drawing/2014/main" xmlns="" id="{00000000-0008-0000-0000-0000C8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785" name="Text Box 65">
          <a:extLst>
            <a:ext uri="{FF2B5EF4-FFF2-40B4-BE49-F238E27FC236}">
              <a16:creationId xmlns:a16="http://schemas.microsoft.com/office/drawing/2014/main" xmlns="" id="{00000000-0008-0000-0000-0000C9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786" name="Text Box 66">
          <a:extLst>
            <a:ext uri="{FF2B5EF4-FFF2-40B4-BE49-F238E27FC236}">
              <a16:creationId xmlns:a16="http://schemas.microsoft.com/office/drawing/2014/main" xmlns="" id="{00000000-0008-0000-0000-0000CA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787" name="Text Box 67">
          <a:extLst>
            <a:ext uri="{FF2B5EF4-FFF2-40B4-BE49-F238E27FC236}">
              <a16:creationId xmlns:a16="http://schemas.microsoft.com/office/drawing/2014/main" xmlns="" id="{00000000-0008-0000-0000-0000CB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788" name="Text Box 68">
          <a:extLst>
            <a:ext uri="{FF2B5EF4-FFF2-40B4-BE49-F238E27FC236}">
              <a16:creationId xmlns:a16="http://schemas.microsoft.com/office/drawing/2014/main" xmlns="" id="{00000000-0008-0000-0000-0000CC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789" name="Text Box 69">
          <a:extLst>
            <a:ext uri="{FF2B5EF4-FFF2-40B4-BE49-F238E27FC236}">
              <a16:creationId xmlns:a16="http://schemas.microsoft.com/office/drawing/2014/main" xmlns="" id="{00000000-0008-0000-0000-0000CD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790" name="Text Box 70">
          <a:extLst>
            <a:ext uri="{FF2B5EF4-FFF2-40B4-BE49-F238E27FC236}">
              <a16:creationId xmlns:a16="http://schemas.microsoft.com/office/drawing/2014/main" xmlns="" id="{00000000-0008-0000-0000-0000CE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791" name="Text Box 71">
          <a:extLst>
            <a:ext uri="{FF2B5EF4-FFF2-40B4-BE49-F238E27FC236}">
              <a16:creationId xmlns:a16="http://schemas.microsoft.com/office/drawing/2014/main" xmlns="" id="{00000000-0008-0000-0000-0000CF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792" name="Text Box 72">
          <a:extLst>
            <a:ext uri="{FF2B5EF4-FFF2-40B4-BE49-F238E27FC236}">
              <a16:creationId xmlns:a16="http://schemas.microsoft.com/office/drawing/2014/main" xmlns="" id="{00000000-0008-0000-0000-0000D0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793" name="Text Box 73">
          <a:extLst>
            <a:ext uri="{FF2B5EF4-FFF2-40B4-BE49-F238E27FC236}">
              <a16:creationId xmlns:a16="http://schemas.microsoft.com/office/drawing/2014/main" xmlns="" id="{00000000-0008-0000-0000-0000D1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794" name="Text Box 74">
          <a:extLst>
            <a:ext uri="{FF2B5EF4-FFF2-40B4-BE49-F238E27FC236}">
              <a16:creationId xmlns:a16="http://schemas.microsoft.com/office/drawing/2014/main" xmlns="" id="{00000000-0008-0000-0000-0000D2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795" name="Text Box 75">
          <a:extLst>
            <a:ext uri="{FF2B5EF4-FFF2-40B4-BE49-F238E27FC236}">
              <a16:creationId xmlns:a16="http://schemas.microsoft.com/office/drawing/2014/main" xmlns="" id="{00000000-0008-0000-0000-0000D3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796" name="Text Box 76">
          <a:extLst>
            <a:ext uri="{FF2B5EF4-FFF2-40B4-BE49-F238E27FC236}">
              <a16:creationId xmlns:a16="http://schemas.microsoft.com/office/drawing/2014/main" xmlns="" id="{00000000-0008-0000-0000-0000D4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797" name="Text Box 77">
          <a:extLst>
            <a:ext uri="{FF2B5EF4-FFF2-40B4-BE49-F238E27FC236}">
              <a16:creationId xmlns:a16="http://schemas.microsoft.com/office/drawing/2014/main" xmlns="" id="{00000000-0008-0000-0000-0000D5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798" name="Text Box 78">
          <a:extLst>
            <a:ext uri="{FF2B5EF4-FFF2-40B4-BE49-F238E27FC236}">
              <a16:creationId xmlns:a16="http://schemas.microsoft.com/office/drawing/2014/main" xmlns="" id="{00000000-0008-0000-0000-0000D6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799" name="Text Box 79">
          <a:extLst>
            <a:ext uri="{FF2B5EF4-FFF2-40B4-BE49-F238E27FC236}">
              <a16:creationId xmlns:a16="http://schemas.microsoft.com/office/drawing/2014/main" xmlns="" id="{00000000-0008-0000-0000-0000D7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800" name="Text Box 80">
          <a:extLst>
            <a:ext uri="{FF2B5EF4-FFF2-40B4-BE49-F238E27FC236}">
              <a16:creationId xmlns:a16="http://schemas.microsoft.com/office/drawing/2014/main" xmlns="" id="{00000000-0008-0000-0000-0000D8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801" name="Text Box 81">
          <a:extLst>
            <a:ext uri="{FF2B5EF4-FFF2-40B4-BE49-F238E27FC236}">
              <a16:creationId xmlns:a16="http://schemas.microsoft.com/office/drawing/2014/main" xmlns="" id="{00000000-0008-0000-0000-0000D9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802" name="Text Box 3079">
          <a:extLst>
            <a:ext uri="{FF2B5EF4-FFF2-40B4-BE49-F238E27FC236}">
              <a16:creationId xmlns:a16="http://schemas.microsoft.com/office/drawing/2014/main" xmlns="" id="{00000000-0008-0000-0000-0000DA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803" name="Text Box 3080">
          <a:extLst>
            <a:ext uri="{FF2B5EF4-FFF2-40B4-BE49-F238E27FC236}">
              <a16:creationId xmlns:a16="http://schemas.microsoft.com/office/drawing/2014/main" xmlns="" id="{00000000-0008-0000-0000-0000DB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804" name="Text Box 3081">
          <a:extLst>
            <a:ext uri="{FF2B5EF4-FFF2-40B4-BE49-F238E27FC236}">
              <a16:creationId xmlns:a16="http://schemas.microsoft.com/office/drawing/2014/main" xmlns="" id="{00000000-0008-0000-0000-0000DC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805" name="Text Box 3082">
          <a:extLst>
            <a:ext uri="{FF2B5EF4-FFF2-40B4-BE49-F238E27FC236}">
              <a16:creationId xmlns:a16="http://schemas.microsoft.com/office/drawing/2014/main" xmlns="" id="{00000000-0008-0000-0000-0000DD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806" name="Text Box 3083">
          <a:extLst>
            <a:ext uri="{FF2B5EF4-FFF2-40B4-BE49-F238E27FC236}">
              <a16:creationId xmlns:a16="http://schemas.microsoft.com/office/drawing/2014/main" xmlns="" id="{00000000-0008-0000-0000-0000DE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807" name="Text Box 3084">
          <a:extLst>
            <a:ext uri="{FF2B5EF4-FFF2-40B4-BE49-F238E27FC236}">
              <a16:creationId xmlns:a16="http://schemas.microsoft.com/office/drawing/2014/main" xmlns="" id="{00000000-0008-0000-0000-0000DF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808" name="Text Box 3085">
          <a:extLst>
            <a:ext uri="{FF2B5EF4-FFF2-40B4-BE49-F238E27FC236}">
              <a16:creationId xmlns:a16="http://schemas.microsoft.com/office/drawing/2014/main" xmlns="" id="{00000000-0008-0000-0000-0000E0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809" name="Text Box 3086">
          <a:extLst>
            <a:ext uri="{FF2B5EF4-FFF2-40B4-BE49-F238E27FC236}">
              <a16:creationId xmlns:a16="http://schemas.microsoft.com/office/drawing/2014/main" xmlns="" id="{00000000-0008-0000-0000-0000E1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810" name="Text Box 3087">
          <a:extLst>
            <a:ext uri="{FF2B5EF4-FFF2-40B4-BE49-F238E27FC236}">
              <a16:creationId xmlns:a16="http://schemas.microsoft.com/office/drawing/2014/main" xmlns="" id="{00000000-0008-0000-0000-0000E2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811" name="Text Box 3088">
          <a:extLst>
            <a:ext uri="{FF2B5EF4-FFF2-40B4-BE49-F238E27FC236}">
              <a16:creationId xmlns:a16="http://schemas.microsoft.com/office/drawing/2014/main" xmlns="" id="{00000000-0008-0000-0000-0000E3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812" name="Text Box 3089">
          <a:extLst>
            <a:ext uri="{FF2B5EF4-FFF2-40B4-BE49-F238E27FC236}">
              <a16:creationId xmlns:a16="http://schemas.microsoft.com/office/drawing/2014/main" xmlns="" id="{00000000-0008-0000-0000-0000E4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813" name="Text Box 3090">
          <a:extLst>
            <a:ext uri="{FF2B5EF4-FFF2-40B4-BE49-F238E27FC236}">
              <a16:creationId xmlns:a16="http://schemas.microsoft.com/office/drawing/2014/main" xmlns="" id="{00000000-0008-0000-0000-0000E5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814" name="Text Box 3091">
          <a:extLst>
            <a:ext uri="{FF2B5EF4-FFF2-40B4-BE49-F238E27FC236}">
              <a16:creationId xmlns:a16="http://schemas.microsoft.com/office/drawing/2014/main" xmlns="" id="{00000000-0008-0000-0000-0000E6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815" name="Text Box 3092">
          <a:extLst>
            <a:ext uri="{FF2B5EF4-FFF2-40B4-BE49-F238E27FC236}">
              <a16:creationId xmlns:a16="http://schemas.microsoft.com/office/drawing/2014/main" xmlns="" id="{00000000-0008-0000-0000-0000E7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816" name="Text Box 3093">
          <a:extLst>
            <a:ext uri="{FF2B5EF4-FFF2-40B4-BE49-F238E27FC236}">
              <a16:creationId xmlns:a16="http://schemas.microsoft.com/office/drawing/2014/main" xmlns="" id="{00000000-0008-0000-0000-0000E8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817" name="Text Box 3094">
          <a:extLst>
            <a:ext uri="{FF2B5EF4-FFF2-40B4-BE49-F238E27FC236}">
              <a16:creationId xmlns:a16="http://schemas.microsoft.com/office/drawing/2014/main" xmlns="" id="{00000000-0008-0000-0000-0000E9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818" name="Text Box 3095">
          <a:extLst>
            <a:ext uri="{FF2B5EF4-FFF2-40B4-BE49-F238E27FC236}">
              <a16:creationId xmlns:a16="http://schemas.microsoft.com/office/drawing/2014/main" xmlns="" id="{00000000-0008-0000-0000-0000EA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819" name="Text Box 3096">
          <a:extLst>
            <a:ext uri="{FF2B5EF4-FFF2-40B4-BE49-F238E27FC236}">
              <a16:creationId xmlns:a16="http://schemas.microsoft.com/office/drawing/2014/main" xmlns="" id="{00000000-0008-0000-0000-0000EB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820" name="Text Box 3097">
          <a:extLst>
            <a:ext uri="{FF2B5EF4-FFF2-40B4-BE49-F238E27FC236}">
              <a16:creationId xmlns:a16="http://schemas.microsoft.com/office/drawing/2014/main" xmlns="" id="{00000000-0008-0000-0000-0000EC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821" name="Text Box 3098">
          <a:extLst>
            <a:ext uri="{FF2B5EF4-FFF2-40B4-BE49-F238E27FC236}">
              <a16:creationId xmlns:a16="http://schemas.microsoft.com/office/drawing/2014/main" xmlns="" id="{00000000-0008-0000-0000-0000ED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822" name="Text Box 3099">
          <a:extLst>
            <a:ext uri="{FF2B5EF4-FFF2-40B4-BE49-F238E27FC236}">
              <a16:creationId xmlns:a16="http://schemas.microsoft.com/office/drawing/2014/main" xmlns="" id="{00000000-0008-0000-0000-0000EE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823" name="Text Box 3100">
          <a:extLst>
            <a:ext uri="{FF2B5EF4-FFF2-40B4-BE49-F238E27FC236}">
              <a16:creationId xmlns:a16="http://schemas.microsoft.com/office/drawing/2014/main" xmlns="" id="{00000000-0008-0000-0000-0000EF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824" name="Text Box 3101">
          <a:extLst>
            <a:ext uri="{FF2B5EF4-FFF2-40B4-BE49-F238E27FC236}">
              <a16:creationId xmlns:a16="http://schemas.microsoft.com/office/drawing/2014/main" xmlns="" id="{00000000-0008-0000-0000-0000F0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3825" name="Text Box 3102">
          <a:extLst>
            <a:ext uri="{FF2B5EF4-FFF2-40B4-BE49-F238E27FC236}">
              <a16:creationId xmlns:a16="http://schemas.microsoft.com/office/drawing/2014/main" xmlns="" id="{00000000-0008-0000-0000-0000F1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826" name="Text Box 59">
          <a:extLst>
            <a:ext uri="{FF2B5EF4-FFF2-40B4-BE49-F238E27FC236}">
              <a16:creationId xmlns:a16="http://schemas.microsoft.com/office/drawing/2014/main" xmlns="" id="{00000000-0008-0000-0000-0000F2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827" name="Text Box 60">
          <a:extLst>
            <a:ext uri="{FF2B5EF4-FFF2-40B4-BE49-F238E27FC236}">
              <a16:creationId xmlns:a16="http://schemas.microsoft.com/office/drawing/2014/main" xmlns="" id="{00000000-0008-0000-0000-0000F3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828" name="Text Box 61">
          <a:extLst>
            <a:ext uri="{FF2B5EF4-FFF2-40B4-BE49-F238E27FC236}">
              <a16:creationId xmlns:a16="http://schemas.microsoft.com/office/drawing/2014/main" xmlns="" id="{00000000-0008-0000-0000-0000F4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829" name="Text Box 62">
          <a:extLst>
            <a:ext uri="{FF2B5EF4-FFF2-40B4-BE49-F238E27FC236}">
              <a16:creationId xmlns:a16="http://schemas.microsoft.com/office/drawing/2014/main" xmlns="" id="{00000000-0008-0000-0000-0000F5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830" name="Text Box 63">
          <a:extLst>
            <a:ext uri="{FF2B5EF4-FFF2-40B4-BE49-F238E27FC236}">
              <a16:creationId xmlns:a16="http://schemas.microsoft.com/office/drawing/2014/main" xmlns="" id="{00000000-0008-0000-0000-0000F6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831" name="Text Box 64">
          <a:extLst>
            <a:ext uri="{FF2B5EF4-FFF2-40B4-BE49-F238E27FC236}">
              <a16:creationId xmlns:a16="http://schemas.microsoft.com/office/drawing/2014/main" xmlns="" id="{00000000-0008-0000-0000-0000F7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832" name="Text Box 65">
          <a:extLst>
            <a:ext uri="{FF2B5EF4-FFF2-40B4-BE49-F238E27FC236}">
              <a16:creationId xmlns:a16="http://schemas.microsoft.com/office/drawing/2014/main" xmlns="" id="{00000000-0008-0000-0000-0000F8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833" name="Text Box 66">
          <a:extLst>
            <a:ext uri="{FF2B5EF4-FFF2-40B4-BE49-F238E27FC236}">
              <a16:creationId xmlns:a16="http://schemas.microsoft.com/office/drawing/2014/main" xmlns="" id="{00000000-0008-0000-0000-0000F9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834" name="Text Box 67">
          <a:extLst>
            <a:ext uri="{FF2B5EF4-FFF2-40B4-BE49-F238E27FC236}">
              <a16:creationId xmlns:a16="http://schemas.microsoft.com/office/drawing/2014/main" xmlns="" id="{00000000-0008-0000-0000-0000FA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835" name="Text Box 68">
          <a:extLst>
            <a:ext uri="{FF2B5EF4-FFF2-40B4-BE49-F238E27FC236}">
              <a16:creationId xmlns:a16="http://schemas.microsoft.com/office/drawing/2014/main" xmlns="" id="{00000000-0008-0000-0000-0000FB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836" name="Text Box 69">
          <a:extLst>
            <a:ext uri="{FF2B5EF4-FFF2-40B4-BE49-F238E27FC236}">
              <a16:creationId xmlns:a16="http://schemas.microsoft.com/office/drawing/2014/main" xmlns="" id="{00000000-0008-0000-0000-0000FC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837" name="Text Box 70">
          <a:extLst>
            <a:ext uri="{FF2B5EF4-FFF2-40B4-BE49-F238E27FC236}">
              <a16:creationId xmlns:a16="http://schemas.microsoft.com/office/drawing/2014/main" xmlns="" id="{00000000-0008-0000-0000-0000FD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838" name="Text Box 71">
          <a:extLst>
            <a:ext uri="{FF2B5EF4-FFF2-40B4-BE49-F238E27FC236}">
              <a16:creationId xmlns:a16="http://schemas.microsoft.com/office/drawing/2014/main" xmlns="" id="{00000000-0008-0000-0000-0000FE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839" name="Text Box 72">
          <a:extLst>
            <a:ext uri="{FF2B5EF4-FFF2-40B4-BE49-F238E27FC236}">
              <a16:creationId xmlns:a16="http://schemas.microsoft.com/office/drawing/2014/main" xmlns="" id="{00000000-0008-0000-0000-0000FF0E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840" name="Text Box 73">
          <a:extLst>
            <a:ext uri="{FF2B5EF4-FFF2-40B4-BE49-F238E27FC236}">
              <a16:creationId xmlns:a16="http://schemas.microsoft.com/office/drawing/2014/main" xmlns="" id="{00000000-0008-0000-0000-000000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841" name="Text Box 74">
          <a:extLst>
            <a:ext uri="{FF2B5EF4-FFF2-40B4-BE49-F238E27FC236}">
              <a16:creationId xmlns:a16="http://schemas.microsoft.com/office/drawing/2014/main" xmlns="" id="{00000000-0008-0000-0000-000001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842" name="Text Box 75">
          <a:extLst>
            <a:ext uri="{FF2B5EF4-FFF2-40B4-BE49-F238E27FC236}">
              <a16:creationId xmlns:a16="http://schemas.microsoft.com/office/drawing/2014/main" xmlns="" id="{00000000-0008-0000-0000-000002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843" name="Text Box 76">
          <a:extLst>
            <a:ext uri="{FF2B5EF4-FFF2-40B4-BE49-F238E27FC236}">
              <a16:creationId xmlns:a16="http://schemas.microsoft.com/office/drawing/2014/main" xmlns="" id="{00000000-0008-0000-0000-000003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844" name="Text Box 77">
          <a:extLst>
            <a:ext uri="{FF2B5EF4-FFF2-40B4-BE49-F238E27FC236}">
              <a16:creationId xmlns:a16="http://schemas.microsoft.com/office/drawing/2014/main" xmlns="" id="{00000000-0008-0000-0000-000004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845" name="Text Box 78">
          <a:extLst>
            <a:ext uri="{FF2B5EF4-FFF2-40B4-BE49-F238E27FC236}">
              <a16:creationId xmlns:a16="http://schemas.microsoft.com/office/drawing/2014/main" xmlns="" id="{00000000-0008-0000-0000-000005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846" name="Text Box 79">
          <a:extLst>
            <a:ext uri="{FF2B5EF4-FFF2-40B4-BE49-F238E27FC236}">
              <a16:creationId xmlns:a16="http://schemas.microsoft.com/office/drawing/2014/main" xmlns="" id="{00000000-0008-0000-0000-000006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847" name="Text Box 80">
          <a:extLst>
            <a:ext uri="{FF2B5EF4-FFF2-40B4-BE49-F238E27FC236}">
              <a16:creationId xmlns:a16="http://schemas.microsoft.com/office/drawing/2014/main" xmlns="" id="{00000000-0008-0000-0000-000007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848" name="Text Box 81">
          <a:extLst>
            <a:ext uri="{FF2B5EF4-FFF2-40B4-BE49-F238E27FC236}">
              <a16:creationId xmlns:a16="http://schemas.microsoft.com/office/drawing/2014/main" xmlns="" id="{00000000-0008-0000-0000-000008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47625"/>
    <xdr:sp macro="" textlink="">
      <xdr:nvSpPr>
        <xdr:cNvPr id="3849" name="Text Box 82">
          <a:extLst>
            <a:ext uri="{FF2B5EF4-FFF2-40B4-BE49-F238E27FC236}">
              <a16:creationId xmlns:a16="http://schemas.microsoft.com/office/drawing/2014/main" xmlns="" id="{00000000-0008-0000-0000-000009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850" name="Text Box 3079">
          <a:extLst>
            <a:ext uri="{FF2B5EF4-FFF2-40B4-BE49-F238E27FC236}">
              <a16:creationId xmlns:a16="http://schemas.microsoft.com/office/drawing/2014/main" xmlns="" id="{00000000-0008-0000-0000-00000A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851" name="Text Box 3080">
          <a:extLst>
            <a:ext uri="{FF2B5EF4-FFF2-40B4-BE49-F238E27FC236}">
              <a16:creationId xmlns:a16="http://schemas.microsoft.com/office/drawing/2014/main" xmlns="" id="{00000000-0008-0000-0000-00000B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852" name="Text Box 3081">
          <a:extLst>
            <a:ext uri="{FF2B5EF4-FFF2-40B4-BE49-F238E27FC236}">
              <a16:creationId xmlns:a16="http://schemas.microsoft.com/office/drawing/2014/main" xmlns="" id="{00000000-0008-0000-0000-00000C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853" name="Text Box 3082">
          <a:extLst>
            <a:ext uri="{FF2B5EF4-FFF2-40B4-BE49-F238E27FC236}">
              <a16:creationId xmlns:a16="http://schemas.microsoft.com/office/drawing/2014/main" xmlns="" id="{00000000-0008-0000-0000-00000D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854" name="Text Box 3083">
          <a:extLst>
            <a:ext uri="{FF2B5EF4-FFF2-40B4-BE49-F238E27FC236}">
              <a16:creationId xmlns:a16="http://schemas.microsoft.com/office/drawing/2014/main" xmlns="" id="{00000000-0008-0000-0000-00000E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855" name="Text Box 3084">
          <a:extLst>
            <a:ext uri="{FF2B5EF4-FFF2-40B4-BE49-F238E27FC236}">
              <a16:creationId xmlns:a16="http://schemas.microsoft.com/office/drawing/2014/main" xmlns="" id="{00000000-0008-0000-0000-00000F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856" name="Text Box 3085">
          <a:extLst>
            <a:ext uri="{FF2B5EF4-FFF2-40B4-BE49-F238E27FC236}">
              <a16:creationId xmlns:a16="http://schemas.microsoft.com/office/drawing/2014/main" xmlns="" id="{00000000-0008-0000-0000-000010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857" name="Text Box 3086">
          <a:extLst>
            <a:ext uri="{FF2B5EF4-FFF2-40B4-BE49-F238E27FC236}">
              <a16:creationId xmlns:a16="http://schemas.microsoft.com/office/drawing/2014/main" xmlns="" id="{00000000-0008-0000-0000-000011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858" name="Text Box 3087">
          <a:extLst>
            <a:ext uri="{FF2B5EF4-FFF2-40B4-BE49-F238E27FC236}">
              <a16:creationId xmlns:a16="http://schemas.microsoft.com/office/drawing/2014/main" xmlns="" id="{00000000-0008-0000-0000-000012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859" name="Text Box 3088">
          <a:extLst>
            <a:ext uri="{FF2B5EF4-FFF2-40B4-BE49-F238E27FC236}">
              <a16:creationId xmlns:a16="http://schemas.microsoft.com/office/drawing/2014/main" xmlns="" id="{00000000-0008-0000-0000-000013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860" name="Text Box 3089">
          <a:extLst>
            <a:ext uri="{FF2B5EF4-FFF2-40B4-BE49-F238E27FC236}">
              <a16:creationId xmlns:a16="http://schemas.microsoft.com/office/drawing/2014/main" xmlns="" id="{00000000-0008-0000-0000-000014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861" name="Text Box 3090">
          <a:extLst>
            <a:ext uri="{FF2B5EF4-FFF2-40B4-BE49-F238E27FC236}">
              <a16:creationId xmlns:a16="http://schemas.microsoft.com/office/drawing/2014/main" xmlns="" id="{00000000-0008-0000-0000-000015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862" name="Text Box 3091">
          <a:extLst>
            <a:ext uri="{FF2B5EF4-FFF2-40B4-BE49-F238E27FC236}">
              <a16:creationId xmlns:a16="http://schemas.microsoft.com/office/drawing/2014/main" xmlns="" id="{00000000-0008-0000-0000-000016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863" name="Text Box 3092">
          <a:extLst>
            <a:ext uri="{FF2B5EF4-FFF2-40B4-BE49-F238E27FC236}">
              <a16:creationId xmlns:a16="http://schemas.microsoft.com/office/drawing/2014/main" xmlns="" id="{00000000-0008-0000-0000-000017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864" name="Text Box 3093">
          <a:extLst>
            <a:ext uri="{FF2B5EF4-FFF2-40B4-BE49-F238E27FC236}">
              <a16:creationId xmlns:a16="http://schemas.microsoft.com/office/drawing/2014/main" xmlns="" id="{00000000-0008-0000-0000-000018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865" name="Text Box 3094">
          <a:extLst>
            <a:ext uri="{FF2B5EF4-FFF2-40B4-BE49-F238E27FC236}">
              <a16:creationId xmlns:a16="http://schemas.microsoft.com/office/drawing/2014/main" xmlns="" id="{00000000-0008-0000-0000-000019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866" name="Text Box 3095">
          <a:extLst>
            <a:ext uri="{FF2B5EF4-FFF2-40B4-BE49-F238E27FC236}">
              <a16:creationId xmlns:a16="http://schemas.microsoft.com/office/drawing/2014/main" xmlns="" id="{00000000-0008-0000-0000-00001A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867" name="Text Box 3096">
          <a:extLst>
            <a:ext uri="{FF2B5EF4-FFF2-40B4-BE49-F238E27FC236}">
              <a16:creationId xmlns:a16="http://schemas.microsoft.com/office/drawing/2014/main" xmlns="" id="{00000000-0008-0000-0000-00001B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868" name="Text Box 3097">
          <a:extLst>
            <a:ext uri="{FF2B5EF4-FFF2-40B4-BE49-F238E27FC236}">
              <a16:creationId xmlns:a16="http://schemas.microsoft.com/office/drawing/2014/main" xmlns="" id="{00000000-0008-0000-0000-00001C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869" name="Text Box 3098">
          <a:extLst>
            <a:ext uri="{FF2B5EF4-FFF2-40B4-BE49-F238E27FC236}">
              <a16:creationId xmlns:a16="http://schemas.microsoft.com/office/drawing/2014/main" xmlns="" id="{00000000-0008-0000-0000-00001D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870" name="Text Box 3099">
          <a:extLst>
            <a:ext uri="{FF2B5EF4-FFF2-40B4-BE49-F238E27FC236}">
              <a16:creationId xmlns:a16="http://schemas.microsoft.com/office/drawing/2014/main" xmlns="" id="{00000000-0008-0000-0000-00001E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871" name="Text Box 3100">
          <a:extLst>
            <a:ext uri="{FF2B5EF4-FFF2-40B4-BE49-F238E27FC236}">
              <a16:creationId xmlns:a16="http://schemas.microsoft.com/office/drawing/2014/main" xmlns="" id="{00000000-0008-0000-0000-00001F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872" name="Text Box 3101">
          <a:extLst>
            <a:ext uri="{FF2B5EF4-FFF2-40B4-BE49-F238E27FC236}">
              <a16:creationId xmlns:a16="http://schemas.microsoft.com/office/drawing/2014/main" xmlns="" id="{00000000-0008-0000-0000-000020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3873" name="Text Box 3102">
          <a:extLst>
            <a:ext uri="{FF2B5EF4-FFF2-40B4-BE49-F238E27FC236}">
              <a16:creationId xmlns:a16="http://schemas.microsoft.com/office/drawing/2014/main" xmlns="" id="{00000000-0008-0000-0000-000021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874" name="Text Box 59">
          <a:extLst>
            <a:ext uri="{FF2B5EF4-FFF2-40B4-BE49-F238E27FC236}">
              <a16:creationId xmlns:a16="http://schemas.microsoft.com/office/drawing/2014/main" xmlns="" id="{00000000-0008-0000-0000-000022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875" name="Text Box 60">
          <a:extLst>
            <a:ext uri="{FF2B5EF4-FFF2-40B4-BE49-F238E27FC236}">
              <a16:creationId xmlns:a16="http://schemas.microsoft.com/office/drawing/2014/main" xmlns="" id="{00000000-0008-0000-0000-000023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876" name="Text Box 61">
          <a:extLst>
            <a:ext uri="{FF2B5EF4-FFF2-40B4-BE49-F238E27FC236}">
              <a16:creationId xmlns:a16="http://schemas.microsoft.com/office/drawing/2014/main" xmlns="" id="{00000000-0008-0000-0000-000024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877" name="Text Box 62">
          <a:extLst>
            <a:ext uri="{FF2B5EF4-FFF2-40B4-BE49-F238E27FC236}">
              <a16:creationId xmlns:a16="http://schemas.microsoft.com/office/drawing/2014/main" xmlns="" id="{00000000-0008-0000-0000-000025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878" name="Text Box 63">
          <a:extLst>
            <a:ext uri="{FF2B5EF4-FFF2-40B4-BE49-F238E27FC236}">
              <a16:creationId xmlns:a16="http://schemas.microsoft.com/office/drawing/2014/main" xmlns="" id="{00000000-0008-0000-0000-000026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879" name="Text Box 64">
          <a:extLst>
            <a:ext uri="{FF2B5EF4-FFF2-40B4-BE49-F238E27FC236}">
              <a16:creationId xmlns:a16="http://schemas.microsoft.com/office/drawing/2014/main" xmlns="" id="{00000000-0008-0000-0000-000027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880" name="Text Box 65">
          <a:extLst>
            <a:ext uri="{FF2B5EF4-FFF2-40B4-BE49-F238E27FC236}">
              <a16:creationId xmlns:a16="http://schemas.microsoft.com/office/drawing/2014/main" xmlns="" id="{00000000-0008-0000-0000-000028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881" name="Text Box 66">
          <a:extLst>
            <a:ext uri="{FF2B5EF4-FFF2-40B4-BE49-F238E27FC236}">
              <a16:creationId xmlns:a16="http://schemas.microsoft.com/office/drawing/2014/main" xmlns="" id="{00000000-0008-0000-0000-000029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882" name="Text Box 67">
          <a:extLst>
            <a:ext uri="{FF2B5EF4-FFF2-40B4-BE49-F238E27FC236}">
              <a16:creationId xmlns:a16="http://schemas.microsoft.com/office/drawing/2014/main" xmlns="" id="{00000000-0008-0000-0000-00002A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883" name="Text Box 68">
          <a:extLst>
            <a:ext uri="{FF2B5EF4-FFF2-40B4-BE49-F238E27FC236}">
              <a16:creationId xmlns:a16="http://schemas.microsoft.com/office/drawing/2014/main" xmlns="" id="{00000000-0008-0000-0000-00002B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884" name="Text Box 69">
          <a:extLst>
            <a:ext uri="{FF2B5EF4-FFF2-40B4-BE49-F238E27FC236}">
              <a16:creationId xmlns:a16="http://schemas.microsoft.com/office/drawing/2014/main" xmlns="" id="{00000000-0008-0000-0000-00002C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885" name="Text Box 70">
          <a:extLst>
            <a:ext uri="{FF2B5EF4-FFF2-40B4-BE49-F238E27FC236}">
              <a16:creationId xmlns:a16="http://schemas.microsoft.com/office/drawing/2014/main" xmlns="" id="{00000000-0008-0000-0000-00002D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886" name="Text Box 71">
          <a:extLst>
            <a:ext uri="{FF2B5EF4-FFF2-40B4-BE49-F238E27FC236}">
              <a16:creationId xmlns:a16="http://schemas.microsoft.com/office/drawing/2014/main" xmlns="" id="{00000000-0008-0000-0000-00002E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887" name="Text Box 72">
          <a:extLst>
            <a:ext uri="{FF2B5EF4-FFF2-40B4-BE49-F238E27FC236}">
              <a16:creationId xmlns:a16="http://schemas.microsoft.com/office/drawing/2014/main" xmlns="" id="{00000000-0008-0000-0000-00002F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888" name="Text Box 73">
          <a:extLst>
            <a:ext uri="{FF2B5EF4-FFF2-40B4-BE49-F238E27FC236}">
              <a16:creationId xmlns:a16="http://schemas.microsoft.com/office/drawing/2014/main" xmlns="" id="{00000000-0008-0000-0000-000030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889" name="Text Box 74">
          <a:extLst>
            <a:ext uri="{FF2B5EF4-FFF2-40B4-BE49-F238E27FC236}">
              <a16:creationId xmlns:a16="http://schemas.microsoft.com/office/drawing/2014/main" xmlns="" id="{00000000-0008-0000-0000-000031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890" name="Text Box 75">
          <a:extLst>
            <a:ext uri="{FF2B5EF4-FFF2-40B4-BE49-F238E27FC236}">
              <a16:creationId xmlns:a16="http://schemas.microsoft.com/office/drawing/2014/main" xmlns="" id="{00000000-0008-0000-0000-000032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891" name="Text Box 76">
          <a:extLst>
            <a:ext uri="{FF2B5EF4-FFF2-40B4-BE49-F238E27FC236}">
              <a16:creationId xmlns:a16="http://schemas.microsoft.com/office/drawing/2014/main" xmlns="" id="{00000000-0008-0000-0000-000033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892" name="Text Box 77">
          <a:extLst>
            <a:ext uri="{FF2B5EF4-FFF2-40B4-BE49-F238E27FC236}">
              <a16:creationId xmlns:a16="http://schemas.microsoft.com/office/drawing/2014/main" xmlns="" id="{00000000-0008-0000-0000-000034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893" name="Text Box 78">
          <a:extLst>
            <a:ext uri="{FF2B5EF4-FFF2-40B4-BE49-F238E27FC236}">
              <a16:creationId xmlns:a16="http://schemas.microsoft.com/office/drawing/2014/main" xmlns="" id="{00000000-0008-0000-0000-000035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894" name="Text Box 79">
          <a:extLst>
            <a:ext uri="{FF2B5EF4-FFF2-40B4-BE49-F238E27FC236}">
              <a16:creationId xmlns:a16="http://schemas.microsoft.com/office/drawing/2014/main" xmlns="" id="{00000000-0008-0000-0000-000036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895" name="Text Box 80">
          <a:extLst>
            <a:ext uri="{FF2B5EF4-FFF2-40B4-BE49-F238E27FC236}">
              <a16:creationId xmlns:a16="http://schemas.microsoft.com/office/drawing/2014/main" xmlns="" id="{00000000-0008-0000-0000-000037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896" name="Text Box 81">
          <a:extLst>
            <a:ext uri="{FF2B5EF4-FFF2-40B4-BE49-F238E27FC236}">
              <a16:creationId xmlns:a16="http://schemas.microsoft.com/office/drawing/2014/main" xmlns="" id="{00000000-0008-0000-0000-000038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897" name="Text Box 3079">
          <a:extLst>
            <a:ext uri="{FF2B5EF4-FFF2-40B4-BE49-F238E27FC236}">
              <a16:creationId xmlns:a16="http://schemas.microsoft.com/office/drawing/2014/main" xmlns="" id="{00000000-0008-0000-0000-000039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898" name="Text Box 3080">
          <a:extLst>
            <a:ext uri="{FF2B5EF4-FFF2-40B4-BE49-F238E27FC236}">
              <a16:creationId xmlns:a16="http://schemas.microsoft.com/office/drawing/2014/main" xmlns="" id="{00000000-0008-0000-0000-00003A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899" name="Text Box 3081">
          <a:extLst>
            <a:ext uri="{FF2B5EF4-FFF2-40B4-BE49-F238E27FC236}">
              <a16:creationId xmlns:a16="http://schemas.microsoft.com/office/drawing/2014/main" xmlns="" id="{00000000-0008-0000-0000-00003B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900" name="Text Box 3082">
          <a:extLst>
            <a:ext uri="{FF2B5EF4-FFF2-40B4-BE49-F238E27FC236}">
              <a16:creationId xmlns:a16="http://schemas.microsoft.com/office/drawing/2014/main" xmlns="" id="{00000000-0008-0000-0000-00003C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901" name="Text Box 3083">
          <a:extLst>
            <a:ext uri="{FF2B5EF4-FFF2-40B4-BE49-F238E27FC236}">
              <a16:creationId xmlns:a16="http://schemas.microsoft.com/office/drawing/2014/main" xmlns="" id="{00000000-0008-0000-0000-00003D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902" name="Text Box 3084">
          <a:extLst>
            <a:ext uri="{FF2B5EF4-FFF2-40B4-BE49-F238E27FC236}">
              <a16:creationId xmlns:a16="http://schemas.microsoft.com/office/drawing/2014/main" xmlns="" id="{00000000-0008-0000-0000-00003E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903" name="Text Box 3085">
          <a:extLst>
            <a:ext uri="{FF2B5EF4-FFF2-40B4-BE49-F238E27FC236}">
              <a16:creationId xmlns:a16="http://schemas.microsoft.com/office/drawing/2014/main" xmlns="" id="{00000000-0008-0000-0000-00003F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904" name="Text Box 3086">
          <a:extLst>
            <a:ext uri="{FF2B5EF4-FFF2-40B4-BE49-F238E27FC236}">
              <a16:creationId xmlns:a16="http://schemas.microsoft.com/office/drawing/2014/main" xmlns="" id="{00000000-0008-0000-0000-000040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905" name="Text Box 3087">
          <a:extLst>
            <a:ext uri="{FF2B5EF4-FFF2-40B4-BE49-F238E27FC236}">
              <a16:creationId xmlns:a16="http://schemas.microsoft.com/office/drawing/2014/main" xmlns="" id="{00000000-0008-0000-0000-000041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906" name="Text Box 3088">
          <a:extLst>
            <a:ext uri="{FF2B5EF4-FFF2-40B4-BE49-F238E27FC236}">
              <a16:creationId xmlns:a16="http://schemas.microsoft.com/office/drawing/2014/main" xmlns="" id="{00000000-0008-0000-0000-000042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907" name="Text Box 3089">
          <a:extLst>
            <a:ext uri="{FF2B5EF4-FFF2-40B4-BE49-F238E27FC236}">
              <a16:creationId xmlns:a16="http://schemas.microsoft.com/office/drawing/2014/main" xmlns="" id="{00000000-0008-0000-0000-000043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908" name="Text Box 3090">
          <a:extLst>
            <a:ext uri="{FF2B5EF4-FFF2-40B4-BE49-F238E27FC236}">
              <a16:creationId xmlns:a16="http://schemas.microsoft.com/office/drawing/2014/main" xmlns="" id="{00000000-0008-0000-0000-000044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909" name="Text Box 3091">
          <a:extLst>
            <a:ext uri="{FF2B5EF4-FFF2-40B4-BE49-F238E27FC236}">
              <a16:creationId xmlns:a16="http://schemas.microsoft.com/office/drawing/2014/main" xmlns="" id="{00000000-0008-0000-0000-000045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910" name="Text Box 3092">
          <a:extLst>
            <a:ext uri="{FF2B5EF4-FFF2-40B4-BE49-F238E27FC236}">
              <a16:creationId xmlns:a16="http://schemas.microsoft.com/office/drawing/2014/main" xmlns="" id="{00000000-0008-0000-0000-000046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911" name="Text Box 3093">
          <a:extLst>
            <a:ext uri="{FF2B5EF4-FFF2-40B4-BE49-F238E27FC236}">
              <a16:creationId xmlns:a16="http://schemas.microsoft.com/office/drawing/2014/main" xmlns="" id="{00000000-0008-0000-0000-000047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912" name="Text Box 3094">
          <a:extLst>
            <a:ext uri="{FF2B5EF4-FFF2-40B4-BE49-F238E27FC236}">
              <a16:creationId xmlns:a16="http://schemas.microsoft.com/office/drawing/2014/main" xmlns="" id="{00000000-0008-0000-0000-000048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913" name="Text Box 3095">
          <a:extLst>
            <a:ext uri="{FF2B5EF4-FFF2-40B4-BE49-F238E27FC236}">
              <a16:creationId xmlns:a16="http://schemas.microsoft.com/office/drawing/2014/main" xmlns="" id="{00000000-0008-0000-0000-000049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914" name="Text Box 3096">
          <a:extLst>
            <a:ext uri="{FF2B5EF4-FFF2-40B4-BE49-F238E27FC236}">
              <a16:creationId xmlns:a16="http://schemas.microsoft.com/office/drawing/2014/main" xmlns="" id="{00000000-0008-0000-0000-00004A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915" name="Text Box 3097">
          <a:extLst>
            <a:ext uri="{FF2B5EF4-FFF2-40B4-BE49-F238E27FC236}">
              <a16:creationId xmlns:a16="http://schemas.microsoft.com/office/drawing/2014/main" xmlns="" id="{00000000-0008-0000-0000-00004B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916" name="Text Box 3098">
          <a:extLst>
            <a:ext uri="{FF2B5EF4-FFF2-40B4-BE49-F238E27FC236}">
              <a16:creationId xmlns:a16="http://schemas.microsoft.com/office/drawing/2014/main" xmlns="" id="{00000000-0008-0000-0000-00004C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917" name="Text Box 3099">
          <a:extLst>
            <a:ext uri="{FF2B5EF4-FFF2-40B4-BE49-F238E27FC236}">
              <a16:creationId xmlns:a16="http://schemas.microsoft.com/office/drawing/2014/main" xmlns="" id="{00000000-0008-0000-0000-00004D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918" name="Text Box 3100">
          <a:extLst>
            <a:ext uri="{FF2B5EF4-FFF2-40B4-BE49-F238E27FC236}">
              <a16:creationId xmlns:a16="http://schemas.microsoft.com/office/drawing/2014/main" xmlns="" id="{00000000-0008-0000-0000-00004E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919" name="Text Box 3101">
          <a:extLst>
            <a:ext uri="{FF2B5EF4-FFF2-40B4-BE49-F238E27FC236}">
              <a16:creationId xmlns:a16="http://schemas.microsoft.com/office/drawing/2014/main" xmlns="" id="{00000000-0008-0000-0000-00004F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3920" name="Text Box 3102">
          <a:extLst>
            <a:ext uri="{FF2B5EF4-FFF2-40B4-BE49-F238E27FC236}">
              <a16:creationId xmlns:a16="http://schemas.microsoft.com/office/drawing/2014/main" xmlns="" id="{00000000-0008-0000-0000-000050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921" name="Text Box 59">
          <a:extLst>
            <a:ext uri="{FF2B5EF4-FFF2-40B4-BE49-F238E27FC236}">
              <a16:creationId xmlns:a16="http://schemas.microsoft.com/office/drawing/2014/main" xmlns="" id="{00000000-0008-0000-0000-000051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922" name="Text Box 60">
          <a:extLst>
            <a:ext uri="{FF2B5EF4-FFF2-40B4-BE49-F238E27FC236}">
              <a16:creationId xmlns:a16="http://schemas.microsoft.com/office/drawing/2014/main" xmlns="" id="{00000000-0008-0000-0000-000052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923" name="Text Box 61">
          <a:extLst>
            <a:ext uri="{FF2B5EF4-FFF2-40B4-BE49-F238E27FC236}">
              <a16:creationId xmlns:a16="http://schemas.microsoft.com/office/drawing/2014/main" xmlns="" id="{00000000-0008-0000-0000-000053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924" name="Text Box 62">
          <a:extLst>
            <a:ext uri="{FF2B5EF4-FFF2-40B4-BE49-F238E27FC236}">
              <a16:creationId xmlns:a16="http://schemas.microsoft.com/office/drawing/2014/main" xmlns="" id="{00000000-0008-0000-0000-000054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925" name="Text Box 63">
          <a:extLst>
            <a:ext uri="{FF2B5EF4-FFF2-40B4-BE49-F238E27FC236}">
              <a16:creationId xmlns:a16="http://schemas.microsoft.com/office/drawing/2014/main" xmlns="" id="{00000000-0008-0000-0000-000055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926" name="Text Box 64">
          <a:extLst>
            <a:ext uri="{FF2B5EF4-FFF2-40B4-BE49-F238E27FC236}">
              <a16:creationId xmlns:a16="http://schemas.microsoft.com/office/drawing/2014/main" xmlns="" id="{00000000-0008-0000-0000-000056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927" name="Text Box 65">
          <a:extLst>
            <a:ext uri="{FF2B5EF4-FFF2-40B4-BE49-F238E27FC236}">
              <a16:creationId xmlns:a16="http://schemas.microsoft.com/office/drawing/2014/main" xmlns="" id="{00000000-0008-0000-0000-000057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928" name="Text Box 66">
          <a:extLst>
            <a:ext uri="{FF2B5EF4-FFF2-40B4-BE49-F238E27FC236}">
              <a16:creationId xmlns:a16="http://schemas.microsoft.com/office/drawing/2014/main" xmlns="" id="{00000000-0008-0000-0000-000058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929" name="Text Box 67">
          <a:extLst>
            <a:ext uri="{FF2B5EF4-FFF2-40B4-BE49-F238E27FC236}">
              <a16:creationId xmlns:a16="http://schemas.microsoft.com/office/drawing/2014/main" xmlns="" id="{00000000-0008-0000-0000-000059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930" name="Text Box 68">
          <a:extLst>
            <a:ext uri="{FF2B5EF4-FFF2-40B4-BE49-F238E27FC236}">
              <a16:creationId xmlns:a16="http://schemas.microsoft.com/office/drawing/2014/main" xmlns="" id="{00000000-0008-0000-0000-00005A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931" name="Text Box 69">
          <a:extLst>
            <a:ext uri="{FF2B5EF4-FFF2-40B4-BE49-F238E27FC236}">
              <a16:creationId xmlns:a16="http://schemas.microsoft.com/office/drawing/2014/main" xmlns="" id="{00000000-0008-0000-0000-00005B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932" name="Text Box 70">
          <a:extLst>
            <a:ext uri="{FF2B5EF4-FFF2-40B4-BE49-F238E27FC236}">
              <a16:creationId xmlns:a16="http://schemas.microsoft.com/office/drawing/2014/main" xmlns="" id="{00000000-0008-0000-0000-00005C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933" name="Text Box 71">
          <a:extLst>
            <a:ext uri="{FF2B5EF4-FFF2-40B4-BE49-F238E27FC236}">
              <a16:creationId xmlns:a16="http://schemas.microsoft.com/office/drawing/2014/main" xmlns="" id="{00000000-0008-0000-0000-00005D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934" name="Text Box 72">
          <a:extLst>
            <a:ext uri="{FF2B5EF4-FFF2-40B4-BE49-F238E27FC236}">
              <a16:creationId xmlns:a16="http://schemas.microsoft.com/office/drawing/2014/main" xmlns="" id="{00000000-0008-0000-0000-00005E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935" name="Text Box 73">
          <a:extLst>
            <a:ext uri="{FF2B5EF4-FFF2-40B4-BE49-F238E27FC236}">
              <a16:creationId xmlns:a16="http://schemas.microsoft.com/office/drawing/2014/main" xmlns="" id="{00000000-0008-0000-0000-00005F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936" name="Text Box 74">
          <a:extLst>
            <a:ext uri="{FF2B5EF4-FFF2-40B4-BE49-F238E27FC236}">
              <a16:creationId xmlns:a16="http://schemas.microsoft.com/office/drawing/2014/main" xmlns="" id="{00000000-0008-0000-0000-000060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937" name="Text Box 75">
          <a:extLst>
            <a:ext uri="{FF2B5EF4-FFF2-40B4-BE49-F238E27FC236}">
              <a16:creationId xmlns:a16="http://schemas.microsoft.com/office/drawing/2014/main" xmlns="" id="{00000000-0008-0000-0000-000061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938" name="Text Box 76">
          <a:extLst>
            <a:ext uri="{FF2B5EF4-FFF2-40B4-BE49-F238E27FC236}">
              <a16:creationId xmlns:a16="http://schemas.microsoft.com/office/drawing/2014/main" xmlns="" id="{00000000-0008-0000-0000-000062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939" name="Text Box 77">
          <a:extLst>
            <a:ext uri="{FF2B5EF4-FFF2-40B4-BE49-F238E27FC236}">
              <a16:creationId xmlns:a16="http://schemas.microsoft.com/office/drawing/2014/main" xmlns="" id="{00000000-0008-0000-0000-000063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940" name="Text Box 78">
          <a:extLst>
            <a:ext uri="{FF2B5EF4-FFF2-40B4-BE49-F238E27FC236}">
              <a16:creationId xmlns:a16="http://schemas.microsoft.com/office/drawing/2014/main" xmlns="" id="{00000000-0008-0000-0000-000064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941" name="Text Box 79">
          <a:extLst>
            <a:ext uri="{FF2B5EF4-FFF2-40B4-BE49-F238E27FC236}">
              <a16:creationId xmlns:a16="http://schemas.microsoft.com/office/drawing/2014/main" xmlns="" id="{00000000-0008-0000-0000-000065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942" name="Text Box 80">
          <a:extLst>
            <a:ext uri="{FF2B5EF4-FFF2-40B4-BE49-F238E27FC236}">
              <a16:creationId xmlns:a16="http://schemas.microsoft.com/office/drawing/2014/main" xmlns="" id="{00000000-0008-0000-0000-000066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943" name="Text Box 81">
          <a:extLst>
            <a:ext uri="{FF2B5EF4-FFF2-40B4-BE49-F238E27FC236}">
              <a16:creationId xmlns:a16="http://schemas.microsoft.com/office/drawing/2014/main" xmlns="" id="{00000000-0008-0000-0000-000067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47625"/>
    <xdr:sp macro="" textlink="">
      <xdr:nvSpPr>
        <xdr:cNvPr id="3944" name="Text Box 82">
          <a:extLst>
            <a:ext uri="{FF2B5EF4-FFF2-40B4-BE49-F238E27FC236}">
              <a16:creationId xmlns:a16="http://schemas.microsoft.com/office/drawing/2014/main" xmlns="" id="{00000000-0008-0000-0000-000068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945" name="Text Box 3079">
          <a:extLst>
            <a:ext uri="{FF2B5EF4-FFF2-40B4-BE49-F238E27FC236}">
              <a16:creationId xmlns:a16="http://schemas.microsoft.com/office/drawing/2014/main" xmlns="" id="{00000000-0008-0000-0000-000069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946" name="Text Box 3080">
          <a:extLst>
            <a:ext uri="{FF2B5EF4-FFF2-40B4-BE49-F238E27FC236}">
              <a16:creationId xmlns:a16="http://schemas.microsoft.com/office/drawing/2014/main" xmlns="" id="{00000000-0008-0000-0000-00006A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947" name="Text Box 3081">
          <a:extLst>
            <a:ext uri="{FF2B5EF4-FFF2-40B4-BE49-F238E27FC236}">
              <a16:creationId xmlns:a16="http://schemas.microsoft.com/office/drawing/2014/main" xmlns="" id="{00000000-0008-0000-0000-00006B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948" name="Text Box 3082">
          <a:extLst>
            <a:ext uri="{FF2B5EF4-FFF2-40B4-BE49-F238E27FC236}">
              <a16:creationId xmlns:a16="http://schemas.microsoft.com/office/drawing/2014/main" xmlns="" id="{00000000-0008-0000-0000-00006C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949" name="Text Box 3083">
          <a:extLst>
            <a:ext uri="{FF2B5EF4-FFF2-40B4-BE49-F238E27FC236}">
              <a16:creationId xmlns:a16="http://schemas.microsoft.com/office/drawing/2014/main" xmlns="" id="{00000000-0008-0000-0000-00006D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950" name="Text Box 3084">
          <a:extLst>
            <a:ext uri="{FF2B5EF4-FFF2-40B4-BE49-F238E27FC236}">
              <a16:creationId xmlns:a16="http://schemas.microsoft.com/office/drawing/2014/main" xmlns="" id="{00000000-0008-0000-0000-00006E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951" name="Text Box 3085">
          <a:extLst>
            <a:ext uri="{FF2B5EF4-FFF2-40B4-BE49-F238E27FC236}">
              <a16:creationId xmlns:a16="http://schemas.microsoft.com/office/drawing/2014/main" xmlns="" id="{00000000-0008-0000-0000-00006F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952" name="Text Box 3086">
          <a:extLst>
            <a:ext uri="{FF2B5EF4-FFF2-40B4-BE49-F238E27FC236}">
              <a16:creationId xmlns:a16="http://schemas.microsoft.com/office/drawing/2014/main" xmlns="" id="{00000000-0008-0000-0000-000070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953" name="Text Box 3087">
          <a:extLst>
            <a:ext uri="{FF2B5EF4-FFF2-40B4-BE49-F238E27FC236}">
              <a16:creationId xmlns:a16="http://schemas.microsoft.com/office/drawing/2014/main" xmlns="" id="{00000000-0008-0000-0000-000071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954" name="Text Box 3088">
          <a:extLst>
            <a:ext uri="{FF2B5EF4-FFF2-40B4-BE49-F238E27FC236}">
              <a16:creationId xmlns:a16="http://schemas.microsoft.com/office/drawing/2014/main" xmlns="" id="{00000000-0008-0000-0000-000072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955" name="Text Box 3089">
          <a:extLst>
            <a:ext uri="{FF2B5EF4-FFF2-40B4-BE49-F238E27FC236}">
              <a16:creationId xmlns:a16="http://schemas.microsoft.com/office/drawing/2014/main" xmlns="" id="{00000000-0008-0000-0000-000073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956" name="Text Box 3090">
          <a:extLst>
            <a:ext uri="{FF2B5EF4-FFF2-40B4-BE49-F238E27FC236}">
              <a16:creationId xmlns:a16="http://schemas.microsoft.com/office/drawing/2014/main" xmlns="" id="{00000000-0008-0000-0000-000074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957" name="Text Box 3091">
          <a:extLst>
            <a:ext uri="{FF2B5EF4-FFF2-40B4-BE49-F238E27FC236}">
              <a16:creationId xmlns:a16="http://schemas.microsoft.com/office/drawing/2014/main" xmlns="" id="{00000000-0008-0000-0000-000075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958" name="Text Box 3092">
          <a:extLst>
            <a:ext uri="{FF2B5EF4-FFF2-40B4-BE49-F238E27FC236}">
              <a16:creationId xmlns:a16="http://schemas.microsoft.com/office/drawing/2014/main" xmlns="" id="{00000000-0008-0000-0000-000076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959" name="Text Box 3093">
          <a:extLst>
            <a:ext uri="{FF2B5EF4-FFF2-40B4-BE49-F238E27FC236}">
              <a16:creationId xmlns:a16="http://schemas.microsoft.com/office/drawing/2014/main" xmlns="" id="{00000000-0008-0000-0000-000077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960" name="Text Box 3094">
          <a:extLst>
            <a:ext uri="{FF2B5EF4-FFF2-40B4-BE49-F238E27FC236}">
              <a16:creationId xmlns:a16="http://schemas.microsoft.com/office/drawing/2014/main" xmlns="" id="{00000000-0008-0000-0000-000078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961" name="Text Box 3095">
          <a:extLst>
            <a:ext uri="{FF2B5EF4-FFF2-40B4-BE49-F238E27FC236}">
              <a16:creationId xmlns:a16="http://schemas.microsoft.com/office/drawing/2014/main" xmlns="" id="{00000000-0008-0000-0000-000079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962" name="Text Box 3096">
          <a:extLst>
            <a:ext uri="{FF2B5EF4-FFF2-40B4-BE49-F238E27FC236}">
              <a16:creationId xmlns:a16="http://schemas.microsoft.com/office/drawing/2014/main" xmlns="" id="{00000000-0008-0000-0000-00007A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963" name="Text Box 3097">
          <a:extLst>
            <a:ext uri="{FF2B5EF4-FFF2-40B4-BE49-F238E27FC236}">
              <a16:creationId xmlns:a16="http://schemas.microsoft.com/office/drawing/2014/main" xmlns="" id="{00000000-0008-0000-0000-00007B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964" name="Text Box 3098">
          <a:extLst>
            <a:ext uri="{FF2B5EF4-FFF2-40B4-BE49-F238E27FC236}">
              <a16:creationId xmlns:a16="http://schemas.microsoft.com/office/drawing/2014/main" xmlns="" id="{00000000-0008-0000-0000-00007C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965" name="Text Box 3099">
          <a:extLst>
            <a:ext uri="{FF2B5EF4-FFF2-40B4-BE49-F238E27FC236}">
              <a16:creationId xmlns:a16="http://schemas.microsoft.com/office/drawing/2014/main" xmlns="" id="{00000000-0008-0000-0000-00007D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966" name="Text Box 3100">
          <a:extLst>
            <a:ext uri="{FF2B5EF4-FFF2-40B4-BE49-F238E27FC236}">
              <a16:creationId xmlns:a16="http://schemas.microsoft.com/office/drawing/2014/main" xmlns="" id="{00000000-0008-0000-0000-00007E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967" name="Text Box 3101">
          <a:extLst>
            <a:ext uri="{FF2B5EF4-FFF2-40B4-BE49-F238E27FC236}">
              <a16:creationId xmlns:a16="http://schemas.microsoft.com/office/drawing/2014/main" xmlns="" id="{00000000-0008-0000-0000-00007F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3968" name="Text Box 3102">
          <a:extLst>
            <a:ext uri="{FF2B5EF4-FFF2-40B4-BE49-F238E27FC236}">
              <a16:creationId xmlns:a16="http://schemas.microsoft.com/office/drawing/2014/main" xmlns="" id="{00000000-0008-0000-0000-000080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969" name="Text Box 59">
          <a:extLst>
            <a:ext uri="{FF2B5EF4-FFF2-40B4-BE49-F238E27FC236}">
              <a16:creationId xmlns:a16="http://schemas.microsoft.com/office/drawing/2014/main" xmlns="" id="{00000000-0008-0000-0000-000081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970" name="Text Box 60">
          <a:extLst>
            <a:ext uri="{FF2B5EF4-FFF2-40B4-BE49-F238E27FC236}">
              <a16:creationId xmlns:a16="http://schemas.microsoft.com/office/drawing/2014/main" xmlns="" id="{00000000-0008-0000-0000-000082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971" name="Text Box 61">
          <a:extLst>
            <a:ext uri="{FF2B5EF4-FFF2-40B4-BE49-F238E27FC236}">
              <a16:creationId xmlns:a16="http://schemas.microsoft.com/office/drawing/2014/main" xmlns="" id="{00000000-0008-0000-0000-000083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972" name="Text Box 62">
          <a:extLst>
            <a:ext uri="{FF2B5EF4-FFF2-40B4-BE49-F238E27FC236}">
              <a16:creationId xmlns:a16="http://schemas.microsoft.com/office/drawing/2014/main" xmlns="" id="{00000000-0008-0000-0000-000084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973" name="Text Box 63">
          <a:extLst>
            <a:ext uri="{FF2B5EF4-FFF2-40B4-BE49-F238E27FC236}">
              <a16:creationId xmlns:a16="http://schemas.microsoft.com/office/drawing/2014/main" xmlns="" id="{00000000-0008-0000-0000-000085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974" name="Text Box 64">
          <a:extLst>
            <a:ext uri="{FF2B5EF4-FFF2-40B4-BE49-F238E27FC236}">
              <a16:creationId xmlns:a16="http://schemas.microsoft.com/office/drawing/2014/main" xmlns="" id="{00000000-0008-0000-0000-000086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975" name="Text Box 65">
          <a:extLst>
            <a:ext uri="{FF2B5EF4-FFF2-40B4-BE49-F238E27FC236}">
              <a16:creationId xmlns:a16="http://schemas.microsoft.com/office/drawing/2014/main" xmlns="" id="{00000000-0008-0000-0000-000087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976" name="Text Box 66">
          <a:extLst>
            <a:ext uri="{FF2B5EF4-FFF2-40B4-BE49-F238E27FC236}">
              <a16:creationId xmlns:a16="http://schemas.microsoft.com/office/drawing/2014/main" xmlns="" id="{00000000-0008-0000-0000-000088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977" name="Text Box 67">
          <a:extLst>
            <a:ext uri="{FF2B5EF4-FFF2-40B4-BE49-F238E27FC236}">
              <a16:creationId xmlns:a16="http://schemas.microsoft.com/office/drawing/2014/main" xmlns="" id="{00000000-0008-0000-0000-000089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978" name="Text Box 68">
          <a:extLst>
            <a:ext uri="{FF2B5EF4-FFF2-40B4-BE49-F238E27FC236}">
              <a16:creationId xmlns:a16="http://schemas.microsoft.com/office/drawing/2014/main" xmlns="" id="{00000000-0008-0000-0000-00008A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979" name="Text Box 69">
          <a:extLst>
            <a:ext uri="{FF2B5EF4-FFF2-40B4-BE49-F238E27FC236}">
              <a16:creationId xmlns:a16="http://schemas.microsoft.com/office/drawing/2014/main" xmlns="" id="{00000000-0008-0000-0000-00008B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980" name="Text Box 70">
          <a:extLst>
            <a:ext uri="{FF2B5EF4-FFF2-40B4-BE49-F238E27FC236}">
              <a16:creationId xmlns:a16="http://schemas.microsoft.com/office/drawing/2014/main" xmlns="" id="{00000000-0008-0000-0000-00008C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981" name="Text Box 71">
          <a:extLst>
            <a:ext uri="{FF2B5EF4-FFF2-40B4-BE49-F238E27FC236}">
              <a16:creationId xmlns:a16="http://schemas.microsoft.com/office/drawing/2014/main" xmlns="" id="{00000000-0008-0000-0000-00008D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982" name="Text Box 72">
          <a:extLst>
            <a:ext uri="{FF2B5EF4-FFF2-40B4-BE49-F238E27FC236}">
              <a16:creationId xmlns:a16="http://schemas.microsoft.com/office/drawing/2014/main" xmlns="" id="{00000000-0008-0000-0000-00008E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983" name="Text Box 73">
          <a:extLst>
            <a:ext uri="{FF2B5EF4-FFF2-40B4-BE49-F238E27FC236}">
              <a16:creationId xmlns:a16="http://schemas.microsoft.com/office/drawing/2014/main" xmlns="" id="{00000000-0008-0000-0000-00008F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984" name="Text Box 74">
          <a:extLst>
            <a:ext uri="{FF2B5EF4-FFF2-40B4-BE49-F238E27FC236}">
              <a16:creationId xmlns:a16="http://schemas.microsoft.com/office/drawing/2014/main" xmlns="" id="{00000000-0008-0000-0000-000090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985" name="Text Box 75">
          <a:extLst>
            <a:ext uri="{FF2B5EF4-FFF2-40B4-BE49-F238E27FC236}">
              <a16:creationId xmlns:a16="http://schemas.microsoft.com/office/drawing/2014/main" xmlns="" id="{00000000-0008-0000-0000-000091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986" name="Text Box 76">
          <a:extLst>
            <a:ext uri="{FF2B5EF4-FFF2-40B4-BE49-F238E27FC236}">
              <a16:creationId xmlns:a16="http://schemas.microsoft.com/office/drawing/2014/main" xmlns="" id="{00000000-0008-0000-0000-000092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987" name="Text Box 77">
          <a:extLst>
            <a:ext uri="{FF2B5EF4-FFF2-40B4-BE49-F238E27FC236}">
              <a16:creationId xmlns:a16="http://schemas.microsoft.com/office/drawing/2014/main" xmlns="" id="{00000000-0008-0000-0000-000093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988" name="Text Box 78">
          <a:extLst>
            <a:ext uri="{FF2B5EF4-FFF2-40B4-BE49-F238E27FC236}">
              <a16:creationId xmlns:a16="http://schemas.microsoft.com/office/drawing/2014/main" xmlns="" id="{00000000-0008-0000-0000-000094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989" name="Text Box 79">
          <a:extLst>
            <a:ext uri="{FF2B5EF4-FFF2-40B4-BE49-F238E27FC236}">
              <a16:creationId xmlns:a16="http://schemas.microsoft.com/office/drawing/2014/main" xmlns="" id="{00000000-0008-0000-0000-000095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990" name="Text Box 80">
          <a:extLst>
            <a:ext uri="{FF2B5EF4-FFF2-40B4-BE49-F238E27FC236}">
              <a16:creationId xmlns:a16="http://schemas.microsoft.com/office/drawing/2014/main" xmlns="" id="{00000000-0008-0000-0000-000096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3991" name="Text Box 81">
          <a:extLst>
            <a:ext uri="{FF2B5EF4-FFF2-40B4-BE49-F238E27FC236}">
              <a16:creationId xmlns:a16="http://schemas.microsoft.com/office/drawing/2014/main" xmlns="" id="{00000000-0008-0000-0000-000097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992" name="Text Box 3079">
          <a:extLst>
            <a:ext uri="{FF2B5EF4-FFF2-40B4-BE49-F238E27FC236}">
              <a16:creationId xmlns:a16="http://schemas.microsoft.com/office/drawing/2014/main" xmlns="" id="{00000000-0008-0000-0000-000098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993" name="Text Box 3080">
          <a:extLst>
            <a:ext uri="{FF2B5EF4-FFF2-40B4-BE49-F238E27FC236}">
              <a16:creationId xmlns:a16="http://schemas.microsoft.com/office/drawing/2014/main" xmlns="" id="{00000000-0008-0000-0000-000099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994" name="Text Box 3081">
          <a:extLst>
            <a:ext uri="{FF2B5EF4-FFF2-40B4-BE49-F238E27FC236}">
              <a16:creationId xmlns:a16="http://schemas.microsoft.com/office/drawing/2014/main" xmlns="" id="{00000000-0008-0000-0000-00009A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995" name="Text Box 3082">
          <a:extLst>
            <a:ext uri="{FF2B5EF4-FFF2-40B4-BE49-F238E27FC236}">
              <a16:creationId xmlns:a16="http://schemas.microsoft.com/office/drawing/2014/main" xmlns="" id="{00000000-0008-0000-0000-00009B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996" name="Text Box 3083">
          <a:extLst>
            <a:ext uri="{FF2B5EF4-FFF2-40B4-BE49-F238E27FC236}">
              <a16:creationId xmlns:a16="http://schemas.microsoft.com/office/drawing/2014/main" xmlns="" id="{00000000-0008-0000-0000-00009C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997" name="Text Box 3084">
          <a:extLst>
            <a:ext uri="{FF2B5EF4-FFF2-40B4-BE49-F238E27FC236}">
              <a16:creationId xmlns:a16="http://schemas.microsoft.com/office/drawing/2014/main" xmlns="" id="{00000000-0008-0000-0000-00009D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998" name="Text Box 3085">
          <a:extLst>
            <a:ext uri="{FF2B5EF4-FFF2-40B4-BE49-F238E27FC236}">
              <a16:creationId xmlns:a16="http://schemas.microsoft.com/office/drawing/2014/main" xmlns="" id="{00000000-0008-0000-0000-00009E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3999" name="Text Box 3086">
          <a:extLst>
            <a:ext uri="{FF2B5EF4-FFF2-40B4-BE49-F238E27FC236}">
              <a16:creationId xmlns:a16="http://schemas.microsoft.com/office/drawing/2014/main" xmlns="" id="{00000000-0008-0000-0000-00009F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000" name="Text Box 3087">
          <a:extLst>
            <a:ext uri="{FF2B5EF4-FFF2-40B4-BE49-F238E27FC236}">
              <a16:creationId xmlns:a16="http://schemas.microsoft.com/office/drawing/2014/main" xmlns="" id="{00000000-0008-0000-0000-0000A0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001" name="Text Box 3088">
          <a:extLst>
            <a:ext uri="{FF2B5EF4-FFF2-40B4-BE49-F238E27FC236}">
              <a16:creationId xmlns:a16="http://schemas.microsoft.com/office/drawing/2014/main" xmlns="" id="{00000000-0008-0000-0000-0000A1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002" name="Text Box 3089">
          <a:extLst>
            <a:ext uri="{FF2B5EF4-FFF2-40B4-BE49-F238E27FC236}">
              <a16:creationId xmlns:a16="http://schemas.microsoft.com/office/drawing/2014/main" xmlns="" id="{00000000-0008-0000-0000-0000A2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003" name="Text Box 3090">
          <a:extLst>
            <a:ext uri="{FF2B5EF4-FFF2-40B4-BE49-F238E27FC236}">
              <a16:creationId xmlns:a16="http://schemas.microsoft.com/office/drawing/2014/main" xmlns="" id="{00000000-0008-0000-0000-0000A3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004" name="Text Box 3091">
          <a:extLst>
            <a:ext uri="{FF2B5EF4-FFF2-40B4-BE49-F238E27FC236}">
              <a16:creationId xmlns:a16="http://schemas.microsoft.com/office/drawing/2014/main" xmlns="" id="{00000000-0008-0000-0000-0000A4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005" name="Text Box 3092">
          <a:extLst>
            <a:ext uri="{FF2B5EF4-FFF2-40B4-BE49-F238E27FC236}">
              <a16:creationId xmlns:a16="http://schemas.microsoft.com/office/drawing/2014/main" xmlns="" id="{00000000-0008-0000-0000-0000A5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006" name="Text Box 3093">
          <a:extLst>
            <a:ext uri="{FF2B5EF4-FFF2-40B4-BE49-F238E27FC236}">
              <a16:creationId xmlns:a16="http://schemas.microsoft.com/office/drawing/2014/main" xmlns="" id="{00000000-0008-0000-0000-0000A6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007" name="Text Box 3094">
          <a:extLst>
            <a:ext uri="{FF2B5EF4-FFF2-40B4-BE49-F238E27FC236}">
              <a16:creationId xmlns:a16="http://schemas.microsoft.com/office/drawing/2014/main" xmlns="" id="{00000000-0008-0000-0000-0000A7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008" name="Text Box 3095">
          <a:extLst>
            <a:ext uri="{FF2B5EF4-FFF2-40B4-BE49-F238E27FC236}">
              <a16:creationId xmlns:a16="http://schemas.microsoft.com/office/drawing/2014/main" xmlns="" id="{00000000-0008-0000-0000-0000A8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009" name="Text Box 3096">
          <a:extLst>
            <a:ext uri="{FF2B5EF4-FFF2-40B4-BE49-F238E27FC236}">
              <a16:creationId xmlns:a16="http://schemas.microsoft.com/office/drawing/2014/main" xmlns="" id="{00000000-0008-0000-0000-0000A9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010" name="Text Box 3097">
          <a:extLst>
            <a:ext uri="{FF2B5EF4-FFF2-40B4-BE49-F238E27FC236}">
              <a16:creationId xmlns:a16="http://schemas.microsoft.com/office/drawing/2014/main" xmlns="" id="{00000000-0008-0000-0000-0000AA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011" name="Text Box 3098">
          <a:extLst>
            <a:ext uri="{FF2B5EF4-FFF2-40B4-BE49-F238E27FC236}">
              <a16:creationId xmlns:a16="http://schemas.microsoft.com/office/drawing/2014/main" xmlns="" id="{00000000-0008-0000-0000-0000AB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012" name="Text Box 3099">
          <a:extLst>
            <a:ext uri="{FF2B5EF4-FFF2-40B4-BE49-F238E27FC236}">
              <a16:creationId xmlns:a16="http://schemas.microsoft.com/office/drawing/2014/main" xmlns="" id="{00000000-0008-0000-0000-0000AC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013" name="Text Box 3100">
          <a:extLst>
            <a:ext uri="{FF2B5EF4-FFF2-40B4-BE49-F238E27FC236}">
              <a16:creationId xmlns:a16="http://schemas.microsoft.com/office/drawing/2014/main" xmlns="" id="{00000000-0008-0000-0000-0000AD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014" name="Text Box 3101">
          <a:extLst>
            <a:ext uri="{FF2B5EF4-FFF2-40B4-BE49-F238E27FC236}">
              <a16:creationId xmlns:a16="http://schemas.microsoft.com/office/drawing/2014/main" xmlns="" id="{00000000-0008-0000-0000-0000AE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4015" name="Text Box 3102">
          <a:extLst>
            <a:ext uri="{FF2B5EF4-FFF2-40B4-BE49-F238E27FC236}">
              <a16:creationId xmlns:a16="http://schemas.microsoft.com/office/drawing/2014/main" xmlns="" id="{00000000-0008-0000-0000-0000AF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016" name="Text Box 59">
          <a:extLst>
            <a:ext uri="{FF2B5EF4-FFF2-40B4-BE49-F238E27FC236}">
              <a16:creationId xmlns:a16="http://schemas.microsoft.com/office/drawing/2014/main" xmlns="" id="{00000000-0008-0000-0000-0000B0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017" name="Text Box 60">
          <a:extLst>
            <a:ext uri="{FF2B5EF4-FFF2-40B4-BE49-F238E27FC236}">
              <a16:creationId xmlns:a16="http://schemas.microsoft.com/office/drawing/2014/main" xmlns="" id="{00000000-0008-0000-0000-0000B1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018" name="Text Box 61">
          <a:extLst>
            <a:ext uri="{FF2B5EF4-FFF2-40B4-BE49-F238E27FC236}">
              <a16:creationId xmlns:a16="http://schemas.microsoft.com/office/drawing/2014/main" xmlns="" id="{00000000-0008-0000-0000-0000B2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019" name="Text Box 62">
          <a:extLst>
            <a:ext uri="{FF2B5EF4-FFF2-40B4-BE49-F238E27FC236}">
              <a16:creationId xmlns:a16="http://schemas.microsoft.com/office/drawing/2014/main" xmlns="" id="{00000000-0008-0000-0000-0000B3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020" name="Text Box 63">
          <a:extLst>
            <a:ext uri="{FF2B5EF4-FFF2-40B4-BE49-F238E27FC236}">
              <a16:creationId xmlns:a16="http://schemas.microsoft.com/office/drawing/2014/main" xmlns="" id="{00000000-0008-0000-0000-0000B4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021" name="Text Box 64">
          <a:extLst>
            <a:ext uri="{FF2B5EF4-FFF2-40B4-BE49-F238E27FC236}">
              <a16:creationId xmlns:a16="http://schemas.microsoft.com/office/drawing/2014/main" xmlns="" id="{00000000-0008-0000-0000-0000B5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022" name="Text Box 65">
          <a:extLst>
            <a:ext uri="{FF2B5EF4-FFF2-40B4-BE49-F238E27FC236}">
              <a16:creationId xmlns:a16="http://schemas.microsoft.com/office/drawing/2014/main" xmlns="" id="{00000000-0008-0000-0000-0000B6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023" name="Text Box 66">
          <a:extLst>
            <a:ext uri="{FF2B5EF4-FFF2-40B4-BE49-F238E27FC236}">
              <a16:creationId xmlns:a16="http://schemas.microsoft.com/office/drawing/2014/main" xmlns="" id="{00000000-0008-0000-0000-0000B7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024" name="Text Box 67">
          <a:extLst>
            <a:ext uri="{FF2B5EF4-FFF2-40B4-BE49-F238E27FC236}">
              <a16:creationId xmlns:a16="http://schemas.microsoft.com/office/drawing/2014/main" xmlns="" id="{00000000-0008-0000-0000-0000B8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025" name="Text Box 68">
          <a:extLst>
            <a:ext uri="{FF2B5EF4-FFF2-40B4-BE49-F238E27FC236}">
              <a16:creationId xmlns:a16="http://schemas.microsoft.com/office/drawing/2014/main" xmlns="" id="{00000000-0008-0000-0000-0000B9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026" name="Text Box 69">
          <a:extLst>
            <a:ext uri="{FF2B5EF4-FFF2-40B4-BE49-F238E27FC236}">
              <a16:creationId xmlns:a16="http://schemas.microsoft.com/office/drawing/2014/main" xmlns="" id="{00000000-0008-0000-0000-0000BA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027" name="Text Box 70">
          <a:extLst>
            <a:ext uri="{FF2B5EF4-FFF2-40B4-BE49-F238E27FC236}">
              <a16:creationId xmlns:a16="http://schemas.microsoft.com/office/drawing/2014/main" xmlns="" id="{00000000-0008-0000-0000-0000BB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028" name="Text Box 71">
          <a:extLst>
            <a:ext uri="{FF2B5EF4-FFF2-40B4-BE49-F238E27FC236}">
              <a16:creationId xmlns:a16="http://schemas.microsoft.com/office/drawing/2014/main" xmlns="" id="{00000000-0008-0000-0000-0000BC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029" name="Text Box 72">
          <a:extLst>
            <a:ext uri="{FF2B5EF4-FFF2-40B4-BE49-F238E27FC236}">
              <a16:creationId xmlns:a16="http://schemas.microsoft.com/office/drawing/2014/main" xmlns="" id="{00000000-0008-0000-0000-0000BD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030" name="Text Box 73">
          <a:extLst>
            <a:ext uri="{FF2B5EF4-FFF2-40B4-BE49-F238E27FC236}">
              <a16:creationId xmlns:a16="http://schemas.microsoft.com/office/drawing/2014/main" xmlns="" id="{00000000-0008-0000-0000-0000BE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031" name="Text Box 74">
          <a:extLst>
            <a:ext uri="{FF2B5EF4-FFF2-40B4-BE49-F238E27FC236}">
              <a16:creationId xmlns:a16="http://schemas.microsoft.com/office/drawing/2014/main" xmlns="" id="{00000000-0008-0000-0000-0000BF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032" name="Text Box 75">
          <a:extLst>
            <a:ext uri="{FF2B5EF4-FFF2-40B4-BE49-F238E27FC236}">
              <a16:creationId xmlns:a16="http://schemas.microsoft.com/office/drawing/2014/main" xmlns="" id="{00000000-0008-0000-0000-0000C0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033" name="Text Box 76">
          <a:extLst>
            <a:ext uri="{FF2B5EF4-FFF2-40B4-BE49-F238E27FC236}">
              <a16:creationId xmlns:a16="http://schemas.microsoft.com/office/drawing/2014/main" xmlns="" id="{00000000-0008-0000-0000-0000C1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034" name="Text Box 77">
          <a:extLst>
            <a:ext uri="{FF2B5EF4-FFF2-40B4-BE49-F238E27FC236}">
              <a16:creationId xmlns:a16="http://schemas.microsoft.com/office/drawing/2014/main" xmlns="" id="{00000000-0008-0000-0000-0000C2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035" name="Text Box 78">
          <a:extLst>
            <a:ext uri="{FF2B5EF4-FFF2-40B4-BE49-F238E27FC236}">
              <a16:creationId xmlns:a16="http://schemas.microsoft.com/office/drawing/2014/main" xmlns="" id="{00000000-0008-0000-0000-0000C3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036" name="Text Box 79">
          <a:extLst>
            <a:ext uri="{FF2B5EF4-FFF2-40B4-BE49-F238E27FC236}">
              <a16:creationId xmlns:a16="http://schemas.microsoft.com/office/drawing/2014/main" xmlns="" id="{00000000-0008-0000-0000-0000C4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037" name="Text Box 80">
          <a:extLst>
            <a:ext uri="{FF2B5EF4-FFF2-40B4-BE49-F238E27FC236}">
              <a16:creationId xmlns:a16="http://schemas.microsoft.com/office/drawing/2014/main" xmlns="" id="{00000000-0008-0000-0000-0000C5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038" name="Text Box 81">
          <a:extLst>
            <a:ext uri="{FF2B5EF4-FFF2-40B4-BE49-F238E27FC236}">
              <a16:creationId xmlns:a16="http://schemas.microsoft.com/office/drawing/2014/main" xmlns="" id="{00000000-0008-0000-0000-0000C6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47625"/>
    <xdr:sp macro="" textlink="">
      <xdr:nvSpPr>
        <xdr:cNvPr id="4039" name="Text Box 82">
          <a:extLst>
            <a:ext uri="{FF2B5EF4-FFF2-40B4-BE49-F238E27FC236}">
              <a16:creationId xmlns:a16="http://schemas.microsoft.com/office/drawing/2014/main" xmlns="" id="{00000000-0008-0000-0000-0000C7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040" name="Text Box 3079">
          <a:extLst>
            <a:ext uri="{FF2B5EF4-FFF2-40B4-BE49-F238E27FC236}">
              <a16:creationId xmlns:a16="http://schemas.microsoft.com/office/drawing/2014/main" xmlns="" id="{00000000-0008-0000-0000-0000C8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041" name="Text Box 3080">
          <a:extLst>
            <a:ext uri="{FF2B5EF4-FFF2-40B4-BE49-F238E27FC236}">
              <a16:creationId xmlns:a16="http://schemas.microsoft.com/office/drawing/2014/main" xmlns="" id="{00000000-0008-0000-0000-0000C9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042" name="Text Box 3081">
          <a:extLst>
            <a:ext uri="{FF2B5EF4-FFF2-40B4-BE49-F238E27FC236}">
              <a16:creationId xmlns:a16="http://schemas.microsoft.com/office/drawing/2014/main" xmlns="" id="{00000000-0008-0000-0000-0000CA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043" name="Text Box 3082">
          <a:extLst>
            <a:ext uri="{FF2B5EF4-FFF2-40B4-BE49-F238E27FC236}">
              <a16:creationId xmlns:a16="http://schemas.microsoft.com/office/drawing/2014/main" xmlns="" id="{00000000-0008-0000-0000-0000CB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044" name="Text Box 3083">
          <a:extLst>
            <a:ext uri="{FF2B5EF4-FFF2-40B4-BE49-F238E27FC236}">
              <a16:creationId xmlns:a16="http://schemas.microsoft.com/office/drawing/2014/main" xmlns="" id="{00000000-0008-0000-0000-0000CC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045" name="Text Box 3084">
          <a:extLst>
            <a:ext uri="{FF2B5EF4-FFF2-40B4-BE49-F238E27FC236}">
              <a16:creationId xmlns:a16="http://schemas.microsoft.com/office/drawing/2014/main" xmlns="" id="{00000000-0008-0000-0000-0000CD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046" name="Text Box 3085">
          <a:extLst>
            <a:ext uri="{FF2B5EF4-FFF2-40B4-BE49-F238E27FC236}">
              <a16:creationId xmlns:a16="http://schemas.microsoft.com/office/drawing/2014/main" xmlns="" id="{00000000-0008-0000-0000-0000CE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047" name="Text Box 3086">
          <a:extLst>
            <a:ext uri="{FF2B5EF4-FFF2-40B4-BE49-F238E27FC236}">
              <a16:creationId xmlns:a16="http://schemas.microsoft.com/office/drawing/2014/main" xmlns="" id="{00000000-0008-0000-0000-0000CF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048" name="Text Box 3087">
          <a:extLst>
            <a:ext uri="{FF2B5EF4-FFF2-40B4-BE49-F238E27FC236}">
              <a16:creationId xmlns:a16="http://schemas.microsoft.com/office/drawing/2014/main" xmlns="" id="{00000000-0008-0000-0000-0000D0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049" name="Text Box 3088">
          <a:extLst>
            <a:ext uri="{FF2B5EF4-FFF2-40B4-BE49-F238E27FC236}">
              <a16:creationId xmlns:a16="http://schemas.microsoft.com/office/drawing/2014/main" xmlns="" id="{00000000-0008-0000-0000-0000D1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050" name="Text Box 3089">
          <a:extLst>
            <a:ext uri="{FF2B5EF4-FFF2-40B4-BE49-F238E27FC236}">
              <a16:creationId xmlns:a16="http://schemas.microsoft.com/office/drawing/2014/main" xmlns="" id="{00000000-0008-0000-0000-0000D2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051" name="Text Box 3090">
          <a:extLst>
            <a:ext uri="{FF2B5EF4-FFF2-40B4-BE49-F238E27FC236}">
              <a16:creationId xmlns:a16="http://schemas.microsoft.com/office/drawing/2014/main" xmlns="" id="{00000000-0008-0000-0000-0000D3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052" name="Text Box 3091">
          <a:extLst>
            <a:ext uri="{FF2B5EF4-FFF2-40B4-BE49-F238E27FC236}">
              <a16:creationId xmlns:a16="http://schemas.microsoft.com/office/drawing/2014/main" xmlns="" id="{00000000-0008-0000-0000-0000D4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053" name="Text Box 3092">
          <a:extLst>
            <a:ext uri="{FF2B5EF4-FFF2-40B4-BE49-F238E27FC236}">
              <a16:creationId xmlns:a16="http://schemas.microsoft.com/office/drawing/2014/main" xmlns="" id="{00000000-0008-0000-0000-0000D5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054" name="Text Box 3093">
          <a:extLst>
            <a:ext uri="{FF2B5EF4-FFF2-40B4-BE49-F238E27FC236}">
              <a16:creationId xmlns:a16="http://schemas.microsoft.com/office/drawing/2014/main" xmlns="" id="{00000000-0008-0000-0000-0000D6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055" name="Text Box 3094">
          <a:extLst>
            <a:ext uri="{FF2B5EF4-FFF2-40B4-BE49-F238E27FC236}">
              <a16:creationId xmlns:a16="http://schemas.microsoft.com/office/drawing/2014/main" xmlns="" id="{00000000-0008-0000-0000-0000D7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056" name="Text Box 3095">
          <a:extLst>
            <a:ext uri="{FF2B5EF4-FFF2-40B4-BE49-F238E27FC236}">
              <a16:creationId xmlns:a16="http://schemas.microsoft.com/office/drawing/2014/main" xmlns="" id="{00000000-0008-0000-0000-0000D8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057" name="Text Box 3096">
          <a:extLst>
            <a:ext uri="{FF2B5EF4-FFF2-40B4-BE49-F238E27FC236}">
              <a16:creationId xmlns:a16="http://schemas.microsoft.com/office/drawing/2014/main" xmlns="" id="{00000000-0008-0000-0000-0000D9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058" name="Text Box 3097">
          <a:extLst>
            <a:ext uri="{FF2B5EF4-FFF2-40B4-BE49-F238E27FC236}">
              <a16:creationId xmlns:a16="http://schemas.microsoft.com/office/drawing/2014/main" xmlns="" id="{00000000-0008-0000-0000-0000DA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059" name="Text Box 3098">
          <a:extLst>
            <a:ext uri="{FF2B5EF4-FFF2-40B4-BE49-F238E27FC236}">
              <a16:creationId xmlns:a16="http://schemas.microsoft.com/office/drawing/2014/main" xmlns="" id="{00000000-0008-0000-0000-0000DB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060" name="Text Box 3099">
          <a:extLst>
            <a:ext uri="{FF2B5EF4-FFF2-40B4-BE49-F238E27FC236}">
              <a16:creationId xmlns:a16="http://schemas.microsoft.com/office/drawing/2014/main" xmlns="" id="{00000000-0008-0000-0000-0000DC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061" name="Text Box 3100">
          <a:extLst>
            <a:ext uri="{FF2B5EF4-FFF2-40B4-BE49-F238E27FC236}">
              <a16:creationId xmlns:a16="http://schemas.microsoft.com/office/drawing/2014/main" xmlns="" id="{00000000-0008-0000-0000-0000DD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062" name="Text Box 3101">
          <a:extLst>
            <a:ext uri="{FF2B5EF4-FFF2-40B4-BE49-F238E27FC236}">
              <a16:creationId xmlns:a16="http://schemas.microsoft.com/office/drawing/2014/main" xmlns="" id="{00000000-0008-0000-0000-0000DE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4063" name="Text Box 3102">
          <a:extLst>
            <a:ext uri="{FF2B5EF4-FFF2-40B4-BE49-F238E27FC236}">
              <a16:creationId xmlns:a16="http://schemas.microsoft.com/office/drawing/2014/main" xmlns="" id="{00000000-0008-0000-0000-0000DF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064" name="Text Box 59">
          <a:extLst>
            <a:ext uri="{FF2B5EF4-FFF2-40B4-BE49-F238E27FC236}">
              <a16:creationId xmlns:a16="http://schemas.microsoft.com/office/drawing/2014/main" xmlns="" id="{00000000-0008-0000-0000-0000E0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065" name="Text Box 60">
          <a:extLst>
            <a:ext uri="{FF2B5EF4-FFF2-40B4-BE49-F238E27FC236}">
              <a16:creationId xmlns:a16="http://schemas.microsoft.com/office/drawing/2014/main" xmlns="" id="{00000000-0008-0000-0000-0000E1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066" name="Text Box 61">
          <a:extLst>
            <a:ext uri="{FF2B5EF4-FFF2-40B4-BE49-F238E27FC236}">
              <a16:creationId xmlns:a16="http://schemas.microsoft.com/office/drawing/2014/main" xmlns="" id="{00000000-0008-0000-0000-0000E2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067" name="Text Box 62">
          <a:extLst>
            <a:ext uri="{FF2B5EF4-FFF2-40B4-BE49-F238E27FC236}">
              <a16:creationId xmlns:a16="http://schemas.microsoft.com/office/drawing/2014/main" xmlns="" id="{00000000-0008-0000-0000-0000E3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068" name="Text Box 63">
          <a:extLst>
            <a:ext uri="{FF2B5EF4-FFF2-40B4-BE49-F238E27FC236}">
              <a16:creationId xmlns:a16="http://schemas.microsoft.com/office/drawing/2014/main" xmlns="" id="{00000000-0008-0000-0000-0000E4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069" name="Text Box 64">
          <a:extLst>
            <a:ext uri="{FF2B5EF4-FFF2-40B4-BE49-F238E27FC236}">
              <a16:creationId xmlns:a16="http://schemas.microsoft.com/office/drawing/2014/main" xmlns="" id="{00000000-0008-0000-0000-0000E5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070" name="Text Box 65">
          <a:extLst>
            <a:ext uri="{FF2B5EF4-FFF2-40B4-BE49-F238E27FC236}">
              <a16:creationId xmlns:a16="http://schemas.microsoft.com/office/drawing/2014/main" xmlns="" id="{00000000-0008-0000-0000-0000E6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071" name="Text Box 66">
          <a:extLst>
            <a:ext uri="{FF2B5EF4-FFF2-40B4-BE49-F238E27FC236}">
              <a16:creationId xmlns:a16="http://schemas.microsoft.com/office/drawing/2014/main" xmlns="" id="{00000000-0008-0000-0000-0000E7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072" name="Text Box 67">
          <a:extLst>
            <a:ext uri="{FF2B5EF4-FFF2-40B4-BE49-F238E27FC236}">
              <a16:creationId xmlns:a16="http://schemas.microsoft.com/office/drawing/2014/main" xmlns="" id="{00000000-0008-0000-0000-0000E8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073" name="Text Box 68">
          <a:extLst>
            <a:ext uri="{FF2B5EF4-FFF2-40B4-BE49-F238E27FC236}">
              <a16:creationId xmlns:a16="http://schemas.microsoft.com/office/drawing/2014/main" xmlns="" id="{00000000-0008-0000-0000-0000E9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074" name="Text Box 69">
          <a:extLst>
            <a:ext uri="{FF2B5EF4-FFF2-40B4-BE49-F238E27FC236}">
              <a16:creationId xmlns:a16="http://schemas.microsoft.com/office/drawing/2014/main" xmlns="" id="{00000000-0008-0000-0000-0000EA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075" name="Text Box 70">
          <a:extLst>
            <a:ext uri="{FF2B5EF4-FFF2-40B4-BE49-F238E27FC236}">
              <a16:creationId xmlns:a16="http://schemas.microsoft.com/office/drawing/2014/main" xmlns="" id="{00000000-0008-0000-0000-0000EB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076" name="Text Box 71">
          <a:extLst>
            <a:ext uri="{FF2B5EF4-FFF2-40B4-BE49-F238E27FC236}">
              <a16:creationId xmlns:a16="http://schemas.microsoft.com/office/drawing/2014/main" xmlns="" id="{00000000-0008-0000-0000-0000EC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077" name="Text Box 72">
          <a:extLst>
            <a:ext uri="{FF2B5EF4-FFF2-40B4-BE49-F238E27FC236}">
              <a16:creationId xmlns:a16="http://schemas.microsoft.com/office/drawing/2014/main" xmlns="" id="{00000000-0008-0000-0000-0000ED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078" name="Text Box 73">
          <a:extLst>
            <a:ext uri="{FF2B5EF4-FFF2-40B4-BE49-F238E27FC236}">
              <a16:creationId xmlns:a16="http://schemas.microsoft.com/office/drawing/2014/main" xmlns="" id="{00000000-0008-0000-0000-0000EE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079" name="Text Box 74">
          <a:extLst>
            <a:ext uri="{FF2B5EF4-FFF2-40B4-BE49-F238E27FC236}">
              <a16:creationId xmlns:a16="http://schemas.microsoft.com/office/drawing/2014/main" xmlns="" id="{00000000-0008-0000-0000-0000EF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080" name="Text Box 75">
          <a:extLst>
            <a:ext uri="{FF2B5EF4-FFF2-40B4-BE49-F238E27FC236}">
              <a16:creationId xmlns:a16="http://schemas.microsoft.com/office/drawing/2014/main" xmlns="" id="{00000000-0008-0000-0000-0000F0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081" name="Text Box 76">
          <a:extLst>
            <a:ext uri="{FF2B5EF4-FFF2-40B4-BE49-F238E27FC236}">
              <a16:creationId xmlns:a16="http://schemas.microsoft.com/office/drawing/2014/main" xmlns="" id="{00000000-0008-0000-0000-0000F1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082" name="Text Box 77">
          <a:extLst>
            <a:ext uri="{FF2B5EF4-FFF2-40B4-BE49-F238E27FC236}">
              <a16:creationId xmlns:a16="http://schemas.microsoft.com/office/drawing/2014/main" xmlns="" id="{00000000-0008-0000-0000-0000F2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083" name="Text Box 78">
          <a:extLst>
            <a:ext uri="{FF2B5EF4-FFF2-40B4-BE49-F238E27FC236}">
              <a16:creationId xmlns:a16="http://schemas.microsoft.com/office/drawing/2014/main" xmlns="" id="{00000000-0008-0000-0000-0000F3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084" name="Text Box 79">
          <a:extLst>
            <a:ext uri="{FF2B5EF4-FFF2-40B4-BE49-F238E27FC236}">
              <a16:creationId xmlns:a16="http://schemas.microsoft.com/office/drawing/2014/main" xmlns="" id="{00000000-0008-0000-0000-0000F4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085" name="Text Box 80">
          <a:extLst>
            <a:ext uri="{FF2B5EF4-FFF2-40B4-BE49-F238E27FC236}">
              <a16:creationId xmlns:a16="http://schemas.microsoft.com/office/drawing/2014/main" xmlns="" id="{00000000-0008-0000-0000-0000F5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086" name="Text Box 81">
          <a:extLst>
            <a:ext uri="{FF2B5EF4-FFF2-40B4-BE49-F238E27FC236}">
              <a16:creationId xmlns:a16="http://schemas.microsoft.com/office/drawing/2014/main" xmlns="" id="{00000000-0008-0000-0000-0000F6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087" name="Text Box 3079">
          <a:extLst>
            <a:ext uri="{FF2B5EF4-FFF2-40B4-BE49-F238E27FC236}">
              <a16:creationId xmlns:a16="http://schemas.microsoft.com/office/drawing/2014/main" xmlns="" id="{00000000-0008-0000-0000-0000F7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088" name="Text Box 3080">
          <a:extLst>
            <a:ext uri="{FF2B5EF4-FFF2-40B4-BE49-F238E27FC236}">
              <a16:creationId xmlns:a16="http://schemas.microsoft.com/office/drawing/2014/main" xmlns="" id="{00000000-0008-0000-0000-0000F8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089" name="Text Box 3081">
          <a:extLst>
            <a:ext uri="{FF2B5EF4-FFF2-40B4-BE49-F238E27FC236}">
              <a16:creationId xmlns:a16="http://schemas.microsoft.com/office/drawing/2014/main" xmlns="" id="{00000000-0008-0000-0000-0000F9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090" name="Text Box 3082">
          <a:extLst>
            <a:ext uri="{FF2B5EF4-FFF2-40B4-BE49-F238E27FC236}">
              <a16:creationId xmlns:a16="http://schemas.microsoft.com/office/drawing/2014/main" xmlns="" id="{00000000-0008-0000-0000-0000FA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091" name="Text Box 3083">
          <a:extLst>
            <a:ext uri="{FF2B5EF4-FFF2-40B4-BE49-F238E27FC236}">
              <a16:creationId xmlns:a16="http://schemas.microsoft.com/office/drawing/2014/main" xmlns="" id="{00000000-0008-0000-0000-0000FB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092" name="Text Box 3084">
          <a:extLst>
            <a:ext uri="{FF2B5EF4-FFF2-40B4-BE49-F238E27FC236}">
              <a16:creationId xmlns:a16="http://schemas.microsoft.com/office/drawing/2014/main" xmlns="" id="{00000000-0008-0000-0000-0000FC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093" name="Text Box 3085">
          <a:extLst>
            <a:ext uri="{FF2B5EF4-FFF2-40B4-BE49-F238E27FC236}">
              <a16:creationId xmlns:a16="http://schemas.microsoft.com/office/drawing/2014/main" xmlns="" id="{00000000-0008-0000-0000-0000FD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094" name="Text Box 3086">
          <a:extLst>
            <a:ext uri="{FF2B5EF4-FFF2-40B4-BE49-F238E27FC236}">
              <a16:creationId xmlns:a16="http://schemas.microsoft.com/office/drawing/2014/main" xmlns="" id="{00000000-0008-0000-0000-0000FE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095" name="Text Box 3087">
          <a:extLst>
            <a:ext uri="{FF2B5EF4-FFF2-40B4-BE49-F238E27FC236}">
              <a16:creationId xmlns:a16="http://schemas.microsoft.com/office/drawing/2014/main" xmlns="" id="{00000000-0008-0000-0000-0000FF0F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096" name="Text Box 3088">
          <a:extLst>
            <a:ext uri="{FF2B5EF4-FFF2-40B4-BE49-F238E27FC236}">
              <a16:creationId xmlns:a16="http://schemas.microsoft.com/office/drawing/2014/main" xmlns="" id="{00000000-0008-0000-0000-000000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097" name="Text Box 3089">
          <a:extLst>
            <a:ext uri="{FF2B5EF4-FFF2-40B4-BE49-F238E27FC236}">
              <a16:creationId xmlns:a16="http://schemas.microsoft.com/office/drawing/2014/main" xmlns="" id="{00000000-0008-0000-0000-000001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098" name="Text Box 3090">
          <a:extLst>
            <a:ext uri="{FF2B5EF4-FFF2-40B4-BE49-F238E27FC236}">
              <a16:creationId xmlns:a16="http://schemas.microsoft.com/office/drawing/2014/main" xmlns="" id="{00000000-0008-0000-0000-000002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099" name="Text Box 3091">
          <a:extLst>
            <a:ext uri="{FF2B5EF4-FFF2-40B4-BE49-F238E27FC236}">
              <a16:creationId xmlns:a16="http://schemas.microsoft.com/office/drawing/2014/main" xmlns="" id="{00000000-0008-0000-0000-000003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100" name="Text Box 3092">
          <a:extLst>
            <a:ext uri="{FF2B5EF4-FFF2-40B4-BE49-F238E27FC236}">
              <a16:creationId xmlns:a16="http://schemas.microsoft.com/office/drawing/2014/main" xmlns="" id="{00000000-0008-0000-0000-000004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101" name="Text Box 3093">
          <a:extLst>
            <a:ext uri="{FF2B5EF4-FFF2-40B4-BE49-F238E27FC236}">
              <a16:creationId xmlns:a16="http://schemas.microsoft.com/office/drawing/2014/main" xmlns="" id="{00000000-0008-0000-0000-000005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102" name="Text Box 3094">
          <a:extLst>
            <a:ext uri="{FF2B5EF4-FFF2-40B4-BE49-F238E27FC236}">
              <a16:creationId xmlns:a16="http://schemas.microsoft.com/office/drawing/2014/main" xmlns="" id="{00000000-0008-0000-0000-000006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103" name="Text Box 3095">
          <a:extLst>
            <a:ext uri="{FF2B5EF4-FFF2-40B4-BE49-F238E27FC236}">
              <a16:creationId xmlns:a16="http://schemas.microsoft.com/office/drawing/2014/main" xmlns="" id="{00000000-0008-0000-0000-000007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104" name="Text Box 3096">
          <a:extLst>
            <a:ext uri="{FF2B5EF4-FFF2-40B4-BE49-F238E27FC236}">
              <a16:creationId xmlns:a16="http://schemas.microsoft.com/office/drawing/2014/main" xmlns="" id="{00000000-0008-0000-0000-000008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105" name="Text Box 3097">
          <a:extLst>
            <a:ext uri="{FF2B5EF4-FFF2-40B4-BE49-F238E27FC236}">
              <a16:creationId xmlns:a16="http://schemas.microsoft.com/office/drawing/2014/main" xmlns="" id="{00000000-0008-0000-0000-000009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106" name="Text Box 3098">
          <a:extLst>
            <a:ext uri="{FF2B5EF4-FFF2-40B4-BE49-F238E27FC236}">
              <a16:creationId xmlns:a16="http://schemas.microsoft.com/office/drawing/2014/main" xmlns="" id="{00000000-0008-0000-0000-00000A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107" name="Text Box 3099">
          <a:extLst>
            <a:ext uri="{FF2B5EF4-FFF2-40B4-BE49-F238E27FC236}">
              <a16:creationId xmlns:a16="http://schemas.microsoft.com/office/drawing/2014/main" xmlns="" id="{00000000-0008-0000-0000-00000B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108" name="Text Box 3100">
          <a:extLst>
            <a:ext uri="{FF2B5EF4-FFF2-40B4-BE49-F238E27FC236}">
              <a16:creationId xmlns:a16="http://schemas.microsoft.com/office/drawing/2014/main" xmlns="" id="{00000000-0008-0000-0000-00000C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109" name="Text Box 3101">
          <a:extLst>
            <a:ext uri="{FF2B5EF4-FFF2-40B4-BE49-F238E27FC236}">
              <a16:creationId xmlns:a16="http://schemas.microsoft.com/office/drawing/2014/main" xmlns="" id="{00000000-0008-0000-0000-00000D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4110" name="Text Box 3102">
          <a:extLst>
            <a:ext uri="{FF2B5EF4-FFF2-40B4-BE49-F238E27FC236}">
              <a16:creationId xmlns:a16="http://schemas.microsoft.com/office/drawing/2014/main" xmlns="" id="{00000000-0008-0000-0000-00000E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111" name="Text Box 59">
          <a:extLst>
            <a:ext uri="{FF2B5EF4-FFF2-40B4-BE49-F238E27FC236}">
              <a16:creationId xmlns:a16="http://schemas.microsoft.com/office/drawing/2014/main" xmlns="" id="{00000000-0008-0000-0000-00000F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112" name="Text Box 60">
          <a:extLst>
            <a:ext uri="{FF2B5EF4-FFF2-40B4-BE49-F238E27FC236}">
              <a16:creationId xmlns:a16="http://schemas.microsoft.com/office/drawing/2014/main" xmlns="" id="{00000000-0008-0000-0000-000010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113" name="Text Box 61">
          <a:extLst>
            <a:ext uri="{FF2B5EF4-FFF2-40B4-BE49-F238E27FC236}">
              <a16:creationId xmlns:a16="http://schemas.microsoft.com/office/drawing/2014/main" xmlns="" id="{00000000-0008-0000-0000-000011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114" name="Text Box 62">
          <a:extLst>
            <a:ext uri="{FF2B5EF4-FFF2-40B4-BE49-F238E27FC236}">
              <a16:creationId xmlns:a16="http://schemas.microsoft.com/office/drawing/2014/main" xmlns="" id="{00000000-0008-0000-0000-000012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115" name="Text Box 63">
          <a:extLst>
            <a:ext uri="{FF2B5EF4-FFF2-40B4-BE49-F238E27FC236}">
              <a16:creationId xmlns:a16="http://schemas.microsoft.com/office/drawing/2014/main" xmlns="" id="{00000000-0008-0000-0000-000013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116" name="Text Box 64">
          <a:extLst>
            <a:ext uri="{FF2B5EF4-FFF2-40B4-BE49-F238E27FC236}">
              <a16:creationId xmlns:a16="http://schemas.microsoft.com/office/drawing/2014/main" xmlns="" id="{00000000-0008-0000-0000-000014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117" name="Text Box 65">
          <a:extLst>
            <a:ext uri="{FF2B5EF4-FFF2-40B4-BE49-F238E27FC236}">
              <a16:creationId xmlns:a16="http://schemas.microsoft.com/office/drawing/2014/main" xmlns="" id="{00000000-0008-0000-0000-000015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118" name="Text Box 66">
          <a:extLst>
            <a:ext uri="{FF2B5EF4-FFF2-40B4-BE49-F238E27FC236}">
              <a16:creationId xmlns:a16="http://schemas.microsoft.com/office/drawing/2014/main" xmlns="" id="{00000000-0008-0000-0000-000016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119" name="Text Box 67">
          <a:extLst>
            <a:ext uri="{FF2B5EF4-FFF2-40B4-BE49-F238E27FC236}">
              <a16:creationId xmlns:a16="http://schemas.microsoft.com/office/drawing/2014/main" xmlns="" id="{00000000-0008-0000-0000-000017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120" name="Text Box 68">
          <a:extLst>
            <a:ext uri="{FF2B5EF4-FFF2-40B4-BE49-F238E27FC236}">
              <a16:creationId xmlns:a16="http://schemas.microsoft.com/office/drawing/2014/main" xmlns="" id="{00000000-0008-0000-0000-000018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121" name="Text Box 69">
          <a:extLst>
            <a:ext uri="{FF2B5EF4-FFF2-40B4-BE49-F238E27FC236}">
              <a16:creationId xmlns:a16="http://schemas.microsoft.com/office/drawing/2014/main" xmlns="" id="{00000000-0008-0000-0000-000019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122" name="Text Box 70">
          <a:extLst>
            <a:ext uri="{FF2B5EF4-FFF2-40B4-BE49-F238E27FC236}">
              <a16:creationId xmlns:a16="http://schemas.microsoft.com/office/drawing/2014/main" xmlns="" id="{00000000-0008-0000-0000-00001A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123" name="Text Box 71">
          <a:extLst>
            <a:ext uri="{FF2B5EF4-FFF2-40B4-BE49-F238E27FC236}">
              <a16:creationId xmlns:a16="http://schemas.microsoft.com/office/drawing/2014/main" xmlns="" id="{00000000-0008-0000-0000-00001B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124" name="Text Box 72">
          <a:extLst>
            <a:ext uri="{FF2B5EF4-FFF2-40B4-BE49-F238E27FC236}">
              <a16:creationId xmlns:a16="http://schemas.microsoft.com/office/drawing/2014/main" xmlns="" id="{00000000-0008-0000-0000-00001C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125" name="Text Box 73">
          <a:extLst>
            <a:ext uri="{FF2B5EF4-FFF2-40B4-BE49-F238E27FC236}">
              <a16:creationId xmlns:a16="http://schemas.microsoft.com/office/drawing/2014/main" xmlns="" id="{00000000-0008-0000-0000-00001D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126" name="Text Box 74">
          <a:extLst>
            <a:ext uri="{FF2B5EF4-FFF2-40B4-BE49-F238E27FC236}">
              <a16:creationId xmlns:a16="http://schemas.microsoft.com/office/drawing/2014/main" xmlns="" id="{00000000-0008-0000-0000-00001E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127" name="Text Box 75">
          <a:extLst>
            <a:ext uri="{FF2B5EF4-FFF2-40B4-BE49-F238E27FC236}">
              <a16:creationId xmlns:a16="http://schemas.microsoft.com/office/drawing/2014/main" xmlns="" id="{00000000-0008-0000-0000-00001F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128" name="Text Box 76">
          <a:extLst>
            <a:ext uri="{FF2B5EF4-FFF2-40B4-BE49-F238E27FC236}">
              <a16:creationId xmlns:a16="http://schemas.microsoft.com/office/drawing/2014/main" xmlns="" id="{00000000-0008-0000-0000-000020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129" name="Text Box 77">
          <a:extLst>
            <a:ext uri="{FF2B5EF4-FFF2-40B4-BE49-F238E27FC236}">
              <a16:creationId xmlns:a16="http://schemas.microsoft.com/office/drawing/2014/main" xmlns="" id="{00000000-0008-0000-0000-000021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130" name="Text Box 78">
          <a:extLst>
            <a:ext uri="{FF2B5EF4-FFF2-40B4-BE49-F238E27FC236}">
              <a16:creationId xmlns:a16="http://schemas.microsoft.com/office/drawing/2014/main" xmlns="" id="{00000000-0008-0000-0000-000022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131" name="Text Box 79">
          <a:extLst>
            <a:ext uri="{FF2B5EF4-FFF2-40B4-BE49-F238E27FC236}">
              <a16:creationId xmlns:a16="http://schemas.microsoft.com/office/drawing/2014/main" xmlns="" id="{00000000-0008-0000-0000-000023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132" name="Text Box 80">
          <a:extLst>
            <a:ext uri="{FF2B5EF4-FFF2-40B4-BE49-F238E27FC236}">
              <a16:creationId xmlns:a16="http://schemas.microsoft.com/office/drawing/2014/main" xmlns="" id="{00000000-0008-0000-0000-000024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133" name="Text Box 81">
          <a:extLst>
            <a:ext uri="{FF2B5EF4-FFF2-40B4-BE49-F238E27FC236}">
              <a16:creationId xmlns:a16="http://schemas.microsoft.com/office/drawing/2014/main" xmlns="" id="{00000000-0008-0000-0000-000025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47625"/>
    <xdr:sp macro="" textlink="">
      <xdr:nvSpPr>
        <xdr:cNvPr id="4134" name="Text Box 82">
          <a:extLst>
            <a:ext uri="{FF2B5EF4-FFF2-40B4-BE49-F238E27FC236}">
              <a16:creationId xmlns:a16="http://schemas.microsoft.com/office/drawing/2014/main" xmlns="" id="{00000000-0008-0000-0000-000026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135" name="Text Box 3079">
          <a:extLst>
            <a:ext uri="{FF2B5EF4-FFF2-40B4-BE49-F238E27FC236}">
              <a16:creationId xmlns:a16="http://schemas.microsoft.com/office/drawing/2014/main" xmlns="" id="{00000000-0008-0000-0000-000027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136" name="Text Box 3080">
          <a:extLst>
            <a:ext uri="{FF2B5EF4-FFF2-40B4-BE49-F238E27FC236}">
              <a16:creationId xmlns:a16="http://schemas.microsoft.com/office/drawing/2014/main" xmlns="" id="{00000000-0008-0000-0000-000028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137" name="Text Box 3081">
          <a:extLst>
            <a:ext uri="{FF2B5EF4-FFF2-40B4-BE49-F238E27FC236}">
              <a16:creationId xmlns:a16="http://schemas.microsoft.com/office/drawing/2014/main" xmlns="" id="{00000000-0008-0000-0000-000029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138" name="Text Box 3082">
          <a:extLst>
            <a:ext uri="{FF2B5EF4-FFF2-40B4-BE49-F238E27FC236}">
              <a16:creationId xmlns:a16="http://schemas.microsoft.com/office/drawing/2014/main" xmlns="" id="{00000000-0008-0000-0000-00002A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139" name="Text Box 3083">
          <a:extLst>
            <a:ext uri="{FF2B5EF4-FFF2-40B4-BE49-F238E27FC236}">
              <a16:creationId xmlns:a16="http://schemas.microsoft.com/office/drawing/2014/main" xmlns="" id="{00000000-0008-0000-0000-00002B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140" name="Text Box 3084">
          <a:extLst>
            <a:ext uri="{FF2B5EF4-FFF2-40B4-BE49-F238E27FC236}">
              <a16:creationId xmlns:a16="http://schemas.microsoft.com/office/drawing/2014/main" xmlns="" id="{00000000-0008-0000-0000-00002C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141" name="Text Box 3085">
          <a:extLst>
            <a:ext uri="{FF2B5EF4-FFF2-40B4-BE49-F238E27FC236}">
              <a16:creationId xmlns:a16="http://schemas.microsoft.com/office/drawing/2014/main" xmlns="" id="{00000000-0008-0000-0000-00002D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142" name="Text Box 3086">
          <a:extLst>
            <a:ext uri="{FF2B5EF4-FFF2-40B4-BE49-F238E27FC236}">
              <a16:creationId xmlns:a16="http://schemas.microsoft.com/office/drawing/2014/main" xmlns="" id="{00000000-0008-0000-0000-00002E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143" name="Text Box 3087">
          <a:extLst>
            <a:ext uri="{FF2B5EF4-FFF2-40B4-BE49-F238E27FC236}">
              <a16:creationId xmlns:a16="http://schemas.microsoft.com/office/drawing/2014/main" xmlns="" id="{00000000-0008-0000-0000-00002F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144" name="Text Box 3088">
          <a:extLst>
            <a:ext uri="{FF2B5EF4-FFF2-40B4-BE49-F238E27FC236}">
              <a16:creationId xmlns:a16="http://schemas.microsoft.com/office/drawing/2014/main" xmlns="" id="{00000000-0008-0000-0000-000030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145" name="Text Box 3089">
          <a:extLst>
            <a:ext uri="{FF2B5EF4-FFF2-40B4-BE49-F238E27FC236}">
              <a16:creationId xmlns:a16="http://schemas.microsoft.com/office/drawing/2014/main" xmlns="" id="{00000000-0008-0000-0000-000031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146" name="Text Box 3090">
          <a:extLst>
            <a:ext uri="{FF2B5EF4-FFF2-40B4-BE49-F238E27FC236}">
              <a16:creationId xmlns:a16="http://schemas.microsoft.com/office/drawing/2014/main" xmlns="" id="{00000000-0008-0000-0000-000032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147" name="Text Box 3091">
          <a:extLst>
            <a:ext uri="{FF2B5EF4-FFF2-40B4-BE49-F238E27FC236}">
              <a16:creationId xmlns:a16="http://schemas.microsoft.com/office/drawing/2014/main" xmlns="" id="{00000000-0008-0000-0000-000033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148" name="Text Box 3092">
          <a:extLst>
            <a:ext uri="{FF2B5EF4-FFF2-40B4-BE49-F238E27FC236}">
              <a16:creationId xmlns:a16="http://schemas.microsoft.com/office/drawing/2014/main" xmlns="" id="{00000000-0008-0000-0000-000034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149" name="Text Box 3093">
          <a:extLst>
            <a:ext uri="{FF2B5EF4-FFF2-40B4-BE49-F238E27FC236}">
              <a16:creationId xmlns:a16="http://schemas.microsoft.com/office/drawing/2014/main" xmlns="" id="{00000000-0008-0000-0000-000035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150" name="Text Box 3094">
          <a:extLst>
            <a:ext uri="{FF2B5EF4-FFF2-40B4-BE49-F238E27FC236}">
              <a16:creationId xmlns:a16="http://schemas.microsoft.com/office/drawing/2014/main" xmlns="" id="{00000000-0008-0000-0000-000036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151" name="Text Box 3095">
          <a:extLst>
            <a:ext uri="{FF2B5EF4-FFF2-40B4-BE49-F238E27FC236}">
              <a16:creationId xmlns:a16="http://schemas.microsoft.com/office/drawing/2014/main" xmlns="" id="{00000000-0008-0000-0000-000037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152" name="Text Box 3096">
          <a:extLst>
            <a:ext uri="{FF2B5EF4-FFF2-40B4-BE49-F238E27FC236}">
              <a16:creationId xmlns:a16="http://schemas.microsoft.com/office/drawing/2014/main" xmlns="" id="{00000000-0008-0000-0000-000038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153" name="Text Box 3097">
          <a:extLst>
            <a:ext uri="{FF2B5EF4-FFF2-40B4-BE49-F238E27FC236}">
              <a16:creationId xmlns:a16="http://schemas.microsoft.com/office/drawing/2014/main" xmlns="" id="{00000000-0008-0000-0000-000039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154" name="Text Box 3098">
          <a:extLst>
            <a:ext uri="{FF2B5EF4-FFF2-40B4-BE49-F238E27FC236}">
              <a16:creationId xmlns:a16="http://schemas.microsoft.com/office/drawing/2014/main" xmlns="" id="{00000000-0008-0000-0000-00003A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155" name="Text Box 3099">
          <a:extLst>
            <a:ext uri="{FF2B5EF4-FFF2-40B4-BE49-F238E27FC236}">
              <a16:creationId xmlns:a16="http://schemas.microsoft.com/office/drawing/2014/main" xmlns="" id="{00000000-0008-0000-0000-00003B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156" name="Text Box 3100">
          <a:extLst>
            <a:ext uri="{FF2B5EF4-FFF2-40B4-BE49-F238E27FC236}">
              <a16:creationId xmlns:a16="http://schemas.microsoft.com/office/drawing/2014/main" xmlns="" id="{00000000-0008-0000-0000-00003C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157" name="Text Box 3101">
          <a:extLst>
            <a:ext uri="{FF2B5EF4-FFF2-40B4-BE49-F238E27FC236}">
              <a16:creationId xmlns:a16="http://schemas.microsoft.com/office/drawing/2014/main" xmlns="" id="{00000000-0008-0000-0000-00003D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4158" name="Text Box 3102">
          <a:extLst>
            <a:ext uri="{FF2B5EF4-FFF2-40B4-BE49-F238E27FC236}">
              <a16:creationId xmlns:a16="http://schemas.microsoft.com/office/drawing/2014/main" xmlns="" id="{00000000-0008-0000-0000-00003E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159" name="Text Box 59">
          <a:extLst>
            <a:ext uri="{FF2B5EF4-FFF2-40B4-BE49-F238E27FC236}">
              <a16:creationId xmlns:a16="http://schemas.microsoft.com/office/drawing/2014/main" xmlns="" id="{00000000-0008-0000-0000-00003F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160" name="Text Box 60">
          <a:extLst>
            <a:ext uri="{FF2B5EF4-FFF2-40B4-BE49-F238E27FC236}">
              <a16:creationId xmlns:a16="http://schemas.microsoft.com/office/drawing/2014/main" xmlns="" id="{00000000-0008-0000-0000-000040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161" name="Text Box 61">
          <a:extLst>
            <a:ext uri="{FF2B5EF4-FFF2-40B4-BE49-F238E27FC236}">
              <a16:creationId xmlns:a16="http://schemas.microsoft.com/office/drawing/2014/main" xmlns="" id="{00000000-0008-0000-0000-000041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162" name="Text Box 62">
          <a:extLst>
            <a:ext uri="{FF2B5EF4-FFF2-40B4-BE49-F238E27FC236}">
              <a16:creationId xmlns:a16="http://schemas.microsoft.com/office/drawing/2014/main" xmlns="" id="{00000000-0008-0000-0000-000042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163" name="Text Box 63">
          <a:extLst>
            <a:ext uri="{FF2B5EF4-FFF2-40B4-BE49-F238E27FC236}">
              <a16:creationId xmlns:a16="http://schemas.microsoft.com/office/drawing/2014/main" xmlns="" id="{00000000-0008-0000-0000-000043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164" name="Text Box 64">
          <a:extLst>
            <a:ext uri="{FF2B5EF4-FFF2-40B4-BE49-F238E27FC236}">
              <a16:creationId xmlns:a16="http://schemas.microsoft.com/office/drawing/2014/main" xmlns="" id="{00000000-0008-0000-0000-000044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165" name="Text Box 65">
          <a:extLst>
            <a:ext uri="{FF2B5EF4-FFF2-40B4-BE49-F238E27FC236}">
              <a16:creationId xmlns:a16="http://schemas.microsoft.com/office/drawing/2014/main" xmlns="" id="{00000000-0008-0000-0000-000045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166" name="Text Box 66">
          <a:extLst>
            <a:ext uri="{FF2B5EF4-FFF2-40B4-BE49-F238E27FC236}">
              <a16:creationId xmlns:a16="http://schemas.microsoft.com/office/drawing/2014/main" xmlns="" id="{00000000-0008-0000-0000-000046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167" name="Text Box 67">
          <a:extLst>
            <a:ext uri="{FF2B5EF4-FFF2-40B4-BE49-F238E27FC236}">
              <a16:creationId xmlns:a16="http://schemas.microsoft.com/office/drawing/2014/main" xmlns="" id="{00000000-0008-0000-0000-000047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168" name="Text Box 68">
          <a:extLst>
            <a:ext uri="{FF2B5EF4-FFF2-40B4-BE49-F238E27FC236}">
              <a16:creationId xmlns:a16="http://schemas.microsoft.com/office/drawing/2014/main" xmlns="" id="{00000000-0008-0000-0000-000048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169" name="Text Box 69">
          <a:extLst>
            <a:ext uri="{FF2B5EF4-FFF2-40B4-BE49-F238E27FC236}">
              <a16:creationId xmlns:a16="http://schemas.microsoft.com/office/drawing/2014/main" xmlns="" id="{00000000-0008-0000-0000-000049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170" name="Text Box 70">
          <a:extLst>
            <a:ext uri="{FF2B5EF4-FFF2-40B4-BE49-F238E27FC236}">
              <a16:creationId xmlns:a16="http://schemas.microsoft.com/office/drawing/2014/main" xmlns="" id="{00000000-0008-0000-0000-00004A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171" name="Text Box 71">
          <a:extLst>
            <a:ext uri="{FF2B5EF4-FFF2-40B4-BE49-F238E27FC236}">
              <a16:creationId xmlns:a16="http://schemas.microsoft.com/office/drawing/2014/main" xmlns="" id="{00000000-0008-0000-0000-00004B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172" name="Text Box 72">
          <a:extLst>
            <a:ext uri="{FF2B5EF4-FFF2-40B4-BE49-F238E27FC236}">
              <a16:creationId xmlns:a16="http://schemas.microsoft.com/office/drawing/2014/main" xmlns="" id="{00000000-0008-0000-0000-00004C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173" name="Text Box 73">
          <a:extLst>
            <a:ext uri="{FF2B5EF4-FFF2-40B4-BE49-F238E27FC236}">
              <a16:creationId xmlns:a16="http://schemas.microsoft.com/office/drawing/2014/main" xmlns="" id="{00000000-0008-0000-0000-00004D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174" name="Text Box 74">
          <a:extLst>
            <a:ext uri="{FF2B5EF4-FFF2-40B4-BE49-F238E27FC236}">
              <a16:creationId xmlns:a16="http://schemas.microsoft.com/office/drawing/2014/main" xmlns="" id="{00000000-0008-0000-0000-00004E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175" name="Text Box 75">
          <a:extLst>
            <a:ext uri="{FF2B5EF4-FFF2-40B4-BE49-F238E27FC236}">
              <a16:creationId xmlns:a16="http://schemas.microsoft.com/office/drawing/2014/main" xmlns="" id="{00000000-0008-0000-0000-00004F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176" name="Text Box 76">
          <a:extLst>
            <a:ext uri="{FF2B5EF4-FFF2-40B4-BE49-F238E27FC236}">
              <a16:creationId xmlns:a16="http://schemas.microsoft.com/office/drawing/2014/main" xmlns="" id="{00000000-0008-0000-0000-000050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177" name="Text Box 77">
          <a:extLst>
            <a:ext uri="{FF2B5EF4-FFF2-40B4-BE49-F238E27FC236}">
              <a16:creationId xmlns:a16="http://schemas.microsoft.com/office/drawing/2014/main" xmlns="" id="{00000000-0008-0000-0000-000051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178" name="Text Box 78">
          <a:extLst>
            <a:ext uri="{FF2B5EF4-FFF2-40B4-BE49-F238E27FC236}">
              <a16:creationId xmlns:a16="http://schemas.microsoft.com/office/drawing/2014/main" xmlns="" id="{00000000-0008-0000-0000-000052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179" name="Text Box 79">
          <a:extLst>
            <a:ext uri="{FF2B5EF4-FFF2-40B4-BE49-F238E27FC236}">
              <a16:creationId xmlns:a16="http://schemas.microsoft.com/office/drawing/2014/main" xmlns="" id="{00000000-0008-0000-0000-000053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180" name="Text Box 80">
          <a:extLst>
            <a:ext uri="{FF2B5EF4-FFF2-40B4-BE49-F238E27FC236}">
              <a16:creationId xmlns:a16="http://schemas.microsoft.com/office/drawing/2014/main" xmlns="" id="{00000000-0008-0000-0000-000054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181" name="Text Box 81">
          <a:extLst>
            <a:ext uri="{FF2B5EF4-FFF2-40B4-BE49-F238E27FC236}">
              <a16:creationId xmlns:a16="http://schemas.microsoft.com/office/drawing/2014/main" xmlns="" id="{00000000-0008-0000-0000-000055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182" name="Text Box 3079">
          <a:extLst>
            <a:ext uri="{FF2B5EF4-FFF2-40B4-BE49-F238E27FC236}">
              <a16:creationId xmlns:a16="http://schemas.microsoft.com/office/drawing/2014/main" xmlns="" id="{00000000-0008-0000-0000-000056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183" name="Text Box 3080">
          <a:extLst>
            <a:ext uri="{FF2B5EF4-FFF2-40B4-BE49-F238E27FC236}">
              <a16:creationId xmlns:a16="http://schemas.microsoft.com/office/drawing/2014/main" xmlns="" id="{00000000-0008-0000-0000-000057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184" name="Text Box 3081">
          <a:extLst>
            <a:ext uri="{FF2B5EF4-FFF2-40B4-BE49-F238E27FC236}">
              <a16:creationId xmlns:a16="http://schemas.microsoft.com/office/drawing/2014/main" xmlns="" id="{00000000-0008-0000-0000-000058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185" name="Text Box 3082">
          <a:extLst>
            <a:ext uri="{FF2B5EF4-FFF2-40B4-BE49-F238E27FC236}">
              <a16:creationId xmlns:a16="http://schemas.microsoft.com/office/drawing/2014/main" xmlns="" id="{00000000-0008-0000-0000-000059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186" name="Text Box 3083">
          <a:extLst>
            <a:ext uri="{FF2B5EF4-FFF2-40B4-BE49-F238E27FC236}">
              <a16:creationId xmlns:a16="http://schemas.microsoft.com/office/drawing/2014/main" xmlns="" id="{00000000-0008-0000-0000-00005A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187" name="Text Box 3084">
          <a:extLst>
            <a:ext uri="{FF2B5EF4-FFF2-40B4-BE49-F238E27FC236}">
              <a16:creationId xmlns:a16="http://schemas.microsoft.com/office/drawing/2014/main" xmlns="" id="{00000000-0008-0000-0000-00005B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188" name="Text Box 3085">
          <a:extLst>
            <a:ext uri="{FF2B5EF4-FFF2-40B4-BE49-F238E27FC236}">
              <a16:creationId xmlns:a16="http://schemas.microsoft.com/office/drawing/2014/main" xmlns="" id="{00000000-0008-0000-0000-00005C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189" name="Text Box 3086">
          <a:extLst>
            <a:ext uri="{FF2B5EF4-FFF2-40B4-BE49-F238E27FC236}">
              <a16:creationId xmlns:a16="http://schemas.microsoft.com/office/drawing/2014/main" xmlns="" id="{00000000-0008-0000-0000-00005D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190" name="Text Box 3087">
          <a:extLst>
            <a:ext uri="{FF2B5EF4-FFF2-40B4-BE49-F238E27FC236}">
              <a16:creationId xmlns:a16="http://schemas.microsoft.com/office/drawing/2014/main" xmlns="" id="{00000000-0008-0000-0000-00005E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191" name="Text Box 3088">
          <a:extLst>
            <a:ext uri="{FF2B5EF4-FFF2-40B4-BE49-F238E27FC236}">
              <a16:creationId xmlns:a16="http://schemas.microsoft.com/office/drawing/2014/main" xmlns="" id="{00000000-0008-0000-0000-00005F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192" name="Text Box 3089">
          <a:extLst>
            <a:ext uri="{FF2B5EF4-FFF2-40B4-BE49-F238E27FC236}">
              <a16:creationId xmlns:a16="http://schemas.microsoft.com/office/drawing/2014/main" xmlns="" id="{00000000-0008-0000-0000-000060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193" name="Text Box 3090">
          <a:extLst>
            <a:ext uri="{FF2B5EF4-FFF2-40B4-BE49-F238E27FC236}">
              <a16:creationId xmlns:a16="http://schemas.microsoft.com/office/drawing/2014/main" xmlns="" id="{00000000-0008-0000-0000-000061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194" name="Text Box 3091">
          <a:extLst>
            <a:ext uri="{FF2B5EF4-FFF2-40B4-BE49-F238E27FC236}">
              <a16:creationId xmlns:a16="http://schemas.microsoft.com/office/drawing/2014/main" xmlns="" id="{00000000-0008-0000-0000-000062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195" name="Text Box 3092">
          <a:extLst>
            <a:ext uri="{FF2B5EF4-FFF2-40B4-BE49-F238E27FC236}">
              <a16:creationId xmlns:a16="http://schemas.microsoft.com/office/drawing/2014/main" xmlns="" id="{00000000-0008-0000-0000-000063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196" name="Text Box 3093">
          <a:extLst>
            <a:ext uri="{FF2B5EF4-FFF2-40B4-BE49-F238E27FC236}">
              <a16:creationId xmlns:a16="http://schemas.microsoft.com/office/drawing/2014/main" xmlns="" id="{00000000-0008-0000-0000-000064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197" name="Text Box 3094">
          <a:extLst>
            <a:ext uri="{FF2B5EF4-FFF2-40B4-BE49-F238E27FC236}">
              <a16:creationId xmlns:a16="http://schemas.microsoft.com/office/drawing/2014/main" xmlns="" id="{00000000-0008-0000-0000-000065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198" name="Text Box 3095">
          <a:extLst>
            <a:ext uri="{FF2B5EF4-FFF2-40B4-BE49-F238E27FC236}">
              <a16:creationId xmlns:a16="http://schemas.microsoft.com/office/drawing/2014/main" xmlns="" id="{00000000-0008-0000-0000-000066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199" name="Text Box 3096">
          <a:extLst>
            <a:ext uri="{FF2B5EF4-FFF2-40B4-BE49-F238E27FC236}">
              <a16:creationId xmlns:a16="http://schemas.microsoft.com/office/drawing/2014/main" xmlns="" id="{00000000-0008-0000-0000-000067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200" name="Text Box 3097">
          <a:extLst>
            <a:ext uri="{FF2B5EF4-FFF2-40B4-BE49-F238E27FC236}">
              <a16:creationId xmlns:a16="http://schemas.microsoft.com/office/drawing/2014/main" xmlns="" id="{00000000-0008-0000-0000-000068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201" name="Text Box 3098">
          <a:extLst>
            <a:ext uri="{FF2B5EF4-FFF2-40B4-BE49-F238E27FC236}">
              <a16:creationId xmlns:a16="http://schemas.microsoft.com/office/drawing/2014/main" xmlns="" id="{00000000-0008-0000-0000-000069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202" name="Text Box 3099">
          <a:extLst>
            <a:ext uri="{FF2B5EF4-FFF2-40B4-BE49-F238E27FC236}">
              <a16:creationId xmlns:a16="http://schemas.microsoft.com/office/drawing/2014/main" xmlns="" id="{00000000-0008-0000-0000-00006A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203" name="Text Box 3100">
          <a:extLst>
            <a:ext uri="{FF2B5EF4-FFF2-40B4-BE49-F238E27FC236}">
              <a16:creationId xmlns:a16="http://schemas.microsoft.com/office/drawing/2014/main" xmlns="" id="{00000000-0008-0000-0000-00006B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204" name="Text Box 3101">
          <a:extLst>
            <a:ext uri="{FF2B5EF4-FFF2-40B4-BE49-F238E27FC236}">
              <a16:creationId xmlns:a16="http://schemas.microsoft.com/office/drawing/2014/main" xmlns="" id="{00000000-0008-0000-0000-00006C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4205" name="Text Box 3102">
          <a:extLst>
            <a:ext uri="{FF2B5EF4-FFF2-40B4-BE49-F238E27FC236}">
              <a16:creationId xmlns:a16="http://schemas.microsoft.com/office/drawing/2014/main" xmlns="" id="{00000000-0008-0000-0000-00006D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206" name="Text Box 59">
          <a:extLst>
            <a:ext uri="{FF2B5EF4-FFF2-40B4-BE49-F238E27FC236}">
              <a16:creationId xmlns:a16="http://schemas.microsoft.com/office/drawing/2014/main" xmlns="" id="{00000000-0008-0000-0000-00006E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207" name="Text Box 60">
          <a:extLst>
            <a:ext uri="{FF2B5EF4-FFF2-40B4-BE49-F238E27FC236}">
              <a16:creationId xmlns:a16="http://schemas.microsoft.com/office/drawing/2014/main" xmlns="" id="{00000000-0008-0000-0000-00006F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208" name="Text Box 61">
          <a:extLst>
            <a:ext uri="{FF2B5EF4-FFF2-40B4-BE49-F238E27FC236}">
              <a16:creationId xmlns:a16="http://schemas.microsoft.com/office/drawing/2014/main" xmlns="" id="{00000000-0008-0000-0000-000070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209" name="Text Box 62">
          <a:extLst>
            <a:ext uri="{FF2B5EF4-FFF2-40B4-BE49-F238E27FC236}">
              <a16:creationId xmlns:a16="http://schemas.microsoft.com/office/drawing/2014/main" xmlns="" id="{00000000-0008-0000-0000-000071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210" name="Text Box 63">
          <a:extLst>
            <a:ext uri="{FF2B5EF4-FFF2-40B4-BE49-F238E27FC236}">
              <a16:creationId xmlns:a16="http://schemas.microsoft.com/office/drawing/2014/main" xmlns="" id="{00000000-0008-0000-0000-000072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211" name="Text Box 64">
          <a:extLst>
            <a:ext uri="{FF2B5EF4-FFF2-40B4-BE49-F238E27FC236}">
              <a16:creationId xmlns:a16="http://schemas.microsoft.com/office/drawing/2014/main" xmlns="" id="{00000000-0008-0000-0000-000073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212" name="Text Box 65">
          <a:extLst>
            <a:ext uri="{FF2B5EF4-FFF2-40B4-BE49-F238E27FC236}">
              <a16:creationId xmlns:a16="http://schemas.microsoft.com/office/drawing/2014/main" xmlns="" id="{00000000-0008-0000-0000-000074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213" name="Text Box 66">
          <a:extLst>
            <a:ext uri="{FF2B5EF4-FFF2-40B4-BE49-F238E27FC236}">
              <a16:creationId xmlns:a16="http://schemas.microsoft.com/office/drawing/2014/main" xmlns="" id="{00000000-0008-0000-0000-000075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214" name="Text Box 67">
          <a:extLst>
            <a:ext uri="{FF2B5EF4-FFF2-40B4-BE49-F238E27FC236}">
              <a16:creationId xmlns:a16="http://schemas.microsoft.com/office/drawing/2014/main" xmlns="" id="{00000000-0008-0000-0000-000076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215" name="Text Box 68">
          <a:extLst>
            <a:ext uri="{FF2B5EF4-FFF2-40B4-BE49-F238E27FC236}">
              <a16:creationId xmlns:a16="http://schemas.microsoft.com/office/drawing/2014/main" xmlns="" id="{00000000-0008-0000-0000-000077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216" name="Text Box 69">
          <a:extLst>
            <a:ext uri="{FF2B5EF4-FFF2-40B4-BE49-F238E27FC236}">
              <a16:creationId xmlns:a16="http://schemas.microsoft.com/office/drawing/2014/main" xmlns="" id="{00000000-0008-0000-0000-000078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217" name="Text Box 70">
          <a:extLst>
            <a:ext uri="{FF2B5EF4-FFF2-40B4-BE49-F238E27FC236}">
              <a16:creationId xmlns:a16="http://schemas.microsoft.com/office/drawing/2014/main" xmlns="" id="{00000000-0008-0000-0000-000079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218" name="Text Box 71">
          <a:extLst>
            <a:ext uri="{FF2B5EF4-FFF2-40B4-BE49-F238E27FC236}">
              <a16:creationId xmlns:a16="http://schemas.microsoft.com/office/drawing/2014/main" xmlns="" id="{00000000-0008-0000-0000-00007A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219" name="Text Box 72">
          <a:extLst>
            <a:ext uri="{FF2B5EF4-FFF2-40B4-BE49-F238E27FC236}">
              <a16:creationId xmlns:a16="http://schemas.microsoft.com/office/drawing/2014/main" xmlns="" id="{00000000-0008-0000-0000-00007B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220" name="Text Box 73">
          <a:extLst>
            <a:ext uri="{FF2B5EF4-FFF2-40B4-BE49-F238E27FC236}">
              <a16:creationId xmlns:a16="http://schemas.microsoft.com/office/drawing/2014/main" xmlns="" id="{00000000-0008-0000-0000-00007C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221" name="Text Box 74">
          <a:extLst>
            <a:ext uri="{FF2B5EF4-FFF2-40B4-BE49-F238E27FC236}">
              <a16:creationId xmlns:a16="http://schemas.microsoft.com/office/drawing/2014/main" xmlns="" id="{00000000-0008-0000-0000-00007D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222" name="Text Box 75">
          <a:extLst>
            <a:ext uri="{FF2B5EF4-FFF2-40B4-BE49-F238E27FC236}">
              <a16:creationId xmlns:a16="http://schemas.microsoft.com/office/drawing/2014/main" xmlns="" id="{00000000-0008-0000-0000-00007E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223" name="Text Box 76">
          <a:extLst>
            <a:ext uri="{FF2B5EF4-FFF2-40B4-BE49-F238E27FC236}">
              <a16:creationId xmlns:a16="http://schemas.microsoft.com/office/drawing/2014/main" xmlns="" id="{00000000-0008-0000-0000-00007F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224" name="Text Box 77">
          <a:extLst>
            <a:ext uri="{FF2B5EF4-FFF2-40B4-BE49-F238E27FC236}">
              <a16:creationId xmlns:a16="http://schemas.microsoft.com/office/drawing/2014/main" xmlns="" id="{00000000-0008-0000-0000-000080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225" name="Text Box 78">
          <a:extLst>
            <a:ext uri="{FF2B5EF4-FFF2-40B4-BE49-F238E27FC236}">
              <a16:creationId xmlns:a16="http://schemas.microsoft.com/office/drawing/2014/main" xmlns="" id="{00000000-0008-0000-0000-000081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226" name="Text Box 79">
          <a:extLst>
            <a:ext uri="{FF2B5EF4-FFF2-40B4-BE49-F238E27FC236}">
              <a16:creationId xmlns:a16="http://schemas.microsoft.com/office/drawing/2014/main" xmlns="" id="{00000000-0008-0000-0000-000082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227" name="Text Box 80">
          <a:extLst>
            <a:ext uri="{FF2B5EF4-FFF2-40B4-BE49-F238E27FC236}">
              <a16:creationId xmlns:a16="http://schemas.microsoft.com/office/drawing/2014/main" xmlns="" id="{00000000-0008-0000-0000-000083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228" name="Text Box 81">
          <a:extLst>
            <a:ext uri="{FF2B5EF4-FFF2-40B4-BE49-F238E27FC236}">
              <a16:creationId xmlns:a16="http://schemas.microsoft.com/office/drawing/2014/main" xmlns="" id="{00000000-0008-0000-0000-000084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47625"/>
    <xdr:sp macro="" textlink="">
      <xdr:nvSpPr>
        <xdr:cNvPr id="4229" name="Text Box 82">
          <a:extLst>
            <a:ext uri="{FF2B5EF4-FFF2-40B4-BE49-F238E27FC236}">
              <a16:creationId xmlns:a16="http://schemas.microsoft.com/office/drawing/2014/main" xmlns="" id="{00000000-0008-0000-0000-000085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230" name="Text Box 3079">
          <a:extLst>
            <a:ext uri="{FF2B5EF4-FFF2-40B4-BE49-F238E27FC236}">
              <a16:creationId xmlns:a16="http://schemas.microsoft.com/office/drawing/2014/main" xmlns="" id="{00000000-0008-0000-0000-000086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231" name="Text Box 3080">
          <a:extLst>
            <a:ext uri="{FF2B5EF4-FFF2-40B4-BE49-F238E27FC236}">
              <a16:creationId xmlns:a16="http://schemas.microsoft.com/office/drawing/2014/main" xmlns="" id="{00000000-0008-0000-0000-000087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232" name="Text Box 3081">
          <a:extLst>
            <a:ext uri="{FF2B5EF4-FFF2-40B4-BE49-F238E27FC236}">
              <a16:creationId xmlns:a16="http://schemas.microsoft.com/office/drawing/2014/main" xmlns="" id="{00000000-0008-0000-0000-000088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233" name="Text Box 3082">
          <a:extLst>
            <a:ext uri="{FF2B5EF4-FFF2-40B4-BE49-F238E27FC236}">
              <a16:creationId xmlns:a16="http://schemas.microsoft.com/office/drawing/2014/main" xmlns="" id="{00000000-0008-0000-0000-000089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234" name="Text Box 3083">
          <a:extLst>
            <a:ext uri="{FF2B5EF4-FFF2-40B4-BE49-F238E27FC236}">
              <a16:creationId xmlns:a16="http://schemas.microsoft.com/office/drawing/2014/main" xmlns="" id="{00000000-0008-0000-0000-00008A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235" name="Text Box 3084">
          <a:extLst>
            <a:ext uri="{FF2B5EF4-FFF2-40B4-BE49-F238E27FC236}">
              <a16:creationId xmlns:a16="http://schemas.microsoft.com/office/drawing/2014/main" xmlns="" id="{00000000-0008-0000-0000-00008B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236" name="Text Box 3085">
          <a:extLst>
            <a:ext uri="{FF2B5EF4-FFF2-40B4-BE49-F238E27FC236}">
              <a16:creationId xmlns:a16="http://schemas.microsoft.com/office/drawing/2014/main" xmlns="" id="{00000000-0008-0000-0000-00008C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237" name="Text Box 3086">
          <a:extLst>
            <a:ext uri="{FF2B5EF4-FFF2-40B4-BE49-F238E27FC236}">
              <a16:creationId xmlns:a16="http://schemas.microsoft.com/office/drawing/2014/main" xmlns="" id="{00000000-0008-0000-0000-00008D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238" name="Text Box 3087">
          <a:extLst>
            <a:ext uri="{FF2B5EF4-FFF2-40B4-BE49-F238E27FC236}">
              <a16:creationId xmlns:a16="http://schemas.microsoft.com/office/drawing/2014/main" xmlns="" id="{00000000-0008-0000-0000-00008E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239" name="Text Box 3088">
          <a:extLst>
            <a:ext uri="{FF2B5EF4-FFF2-40B4-BE49-F238E27FC236}">
              <a16:creationId xmlns:a16="http://schemas.microsoft.com/office/drawing/2014/main" xmlns="" id="{00000000-0008-0000-0000-00008F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240" name="Text Box 3089">
          <a:extLst>
            <a:ext uri="{FF2B5EF4-FFF2-40B4-BE49-F238E27FC236}">
              <a16:creationId xmlns:a16="http://schemas.microsoft.com/office/drawing/2014/main" xmlns="" id="{00000000-0008-0000-0000-000090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241" name="Text Box 3090">
          <a:extLst>
            <a:ext uri="{FF2B5EF4-FFF2-40B4-BE49-F238E27FC236}">
              <a16:creationId xmlns:a16="http://schemas.microsoft.com/office/drawing/2014/main" xmlns="" id="{00000000-0008-0000-0000-000091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242" name="Text Box 3091">
          <a:extLst>
            <a:ext uri="{FF2B5EF4-FFF2-40B4-BE49-F238E27FC236}">
              <a16:creationId xmlns:a16="http://schemas.microsoft.com/office/drawing/2014/main" xmlns="" id="{00000000-0008-0000-0000-000092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243" name="Text Box 3092">
          <a:extLst>
            <a:ext uri="{FF2B5EF4-FFF2-40B4-BE49-F238E27FC236}">
              <a16:creationId xmlns:a16="http://schemas.microsoft.com/office/drawing/2014/main" xmlns="" id="{00000000-0008-0000-0000-000093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244" name="Text Box 3093">
          <a:extLst>
            <a:ext uri="{FF2B5EF4-FFF2-40B4-BE49-F238E27FC236}">
              <a16:creationId xmlns:a16="http://schemas.microsoft.com/office/drawing/2014/main" xmlns="" id="{00000000-0008-0000-0000-000094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245" name="Text Box 3094">
          <a:extLst>
            <a:ext uri="{FF2B5EF4-FFF2-40B4-BE49-F238E27FC236}">
              <a16:creationId xmlns:a16="http://schemas.microsoft.com/office/drawing/2014/main" xmlns="" id="{00000000-0008-0000-0000-000095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246" name="Text Box 3095">
          <a:extLst>
            <a:ext uri="{FF2B5EF4-FFF2-40B4-BE49-F238E27FC236}">
              <a16:creationId xmlns:a16="http://schemas.microsoft.com/office/drawing/2014/main" xmlns="" id="{00000000-0008-0000-0000-000096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247" name="Text Box 3096">
          <a:extLst>
            <a:ext uri="{FF2B5EF4-FFF2-40B4-BE49-F238E27FC236}">
              <a16:creationId xmlns:a16="http://schemas.microsoft.com/office/drawing/2014/main" xmlns="" id="{00000000-0008-0000-0000-000097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248" name="Text Box 3097">
          <a:extLst>
            <a:ext uri="{FF2B5EF4-FFF2-40B4-BE49-F238E27FC236}">
              <a16:creationId xmlns:a16="http://schemas.microsoft.com/office/drawing/2014/main" xmlns="" id="{00000000-0008-0000-0000-000098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249" name="Text Box 3098">
          <a:extLst>
            <a:ext uri="{FF2B5EF4-FFF2-40B4-BE49-F238E27FC236}">
              <a16:creationId xmlns:a16="http://schemas.microsoft.com/office/drawing/2014/main" xmlns="" id="{00000000-0008-0000-0000-000099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250" name="Text Box 3099">
          <a:extLst>
            <a:ext uri="{FF2B5EF4-FFF2-40B4-BE49-F238E27FC236}">
              <a16:creationId xmlns:a16="http://schemas.microsoft.com/office/drawing/2014/main" xmlns="" id="{00000000-0008-0000-0000-00009A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251" name="Text Box 3100">
          <a:extLst>
            <a:ext uri="{FF2B5EF4-FFF2-40B4-BE49-F238E27FC236}">
              <a16:creationId xmlns:a16="http://schemas.microsoft.com/office/drawing/2014/main" xmlns="" id="{00000000-0008-0000-0000-00009B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252" name="Text Box 3101">
          <a:extLst>
            <a:ext uri="{FF2B5EF4-FFF2-40B4-BE49-F238E27FC236}">
              <a16:creationId xmlns:a16="http://schemas.microsoft.com/office/drawing/2014/main" xmlns="" id="{00000000-0008-0000-0000-00009C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4253" name="Text Box 3102">
          <a:extLst>
            <a:ext uri="{FF2B5EF4-FFF2-40B4-BE49-F238E27FC236}">
              <a16:creationId xmlns:a16="http://schemas.microsoft.com/office/drawing/2014/main" xmlns="" id="{00000000-0008-0000-0000-00009D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254" name="Text Box 59">
          <a:extLst>
            <a:ext uri="{FF2B5EF4-FFF2-40B4-BE49-F238E27FC236}">
              <a16:creationId xmlns:a16="http://schemas.microsoft.com/office/drawing/2014/main" xmlns="" id="{00000000-0008-0000-0000-00009E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255" name="Text Box 60">
          <a:extLst>
            <a:ext uri="{FF2B5EF4-FFF2-40B4-BE49-F238E27FC236}">
              <a16:creationId xmlns:a16="http://schemas.microsoft.com/office/drawing/2014/main" xmlns="" id="{00000000-0008-0000-0000-00009F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256" name="Text Box 61">
          <a:extLst>
            <a:ext uri="{FF2B5EF4-FFF2-40B4-BE49-F238E27FC236}">
              <a16:creationId xmlns:a16="http://schemas.microsoft.com/office/drawing/2014/main" xmlns="" id="{00000000-0008-0000-0000-0000A0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257" name="Text Box 62">
          <a:extLst>
            <a:ext uri="{FF2B5EF4-FFF2-40B4-BE49-F238E27FC236}">
              <a16:creationId xmlns:a16="http://schemas.microsoft.com/office/drawing/2014/main" xmlns="" id="{00000000-0008-0000-0000-0000A1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258" name="Text Box 63">
          <a:extLst>
            <a:ext uri="{FF2B5EF4-FFF2-40B4-BE49-F238E27FC236}">
              <a16:creationId xmlns:a16="http://schemas.microsoft.com/office/drawing/2014/main" xmlns="" id="{00000000-0008-0000-0000-0000A2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259" name="Text Box 64">
          <a:extLst>
            <a:ext uri="{FF2B5EF4-FFF2-40B4-BE49-F238E27FC236}">
              <a16:creationId xmlns:a16="http://schemas.microsoft.com/office/drawing/2014/main" xmlns="" id="{00000000-0008-0000-0000-0000A3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260" name="Text Box 65">
          <a:extLst>
            <a:ext uri="{FF2B5EF4-FFF2-40B4-BE49-F238E27FC236}">
              <a16:creationId xmlns:a16="http://schemas.microsoft.com/office/drawing/2014/main" xmlns="" id="{00000000-0008-0000-0000-0000A4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261" name="Text Box 66">
          <a:extLst>
            <a:ext uri="{FF2B5EF4-FFF2-40B4-BE49-F238E27FC236}">
              <a16:creationId xmlns:a16="http://schemas.microsoft.com/office/drawing/2014/main" xmlns="" id="{00000000-0008-0000-0000-0000A5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262" name="Text Box 67">
          <a:extLst>
            <a:ext uri="{FF2B5EF4-FFF2-40B4-BE49-F238E27FC236}">
              <a16:creationId xmlns:a16="http://schemas.microsoft.com/office/drawing/2014/main" xmlns="" id="{00000000-0008-0000-0000-0000A6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263" name="Text Box 68">
          <a:extLst>
            <a:ext uri="{FF2B5EF4-FFF2-40B4-BE49-F238E27FC236}">
              <a16:creationId xmlns:a16="http://schemas.microsoft.com/office/drawing/2014/main" xmlns="" id="{00000000-0008-0000-0000-0000A7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264" name="Text Box 69">
          <a:extLst>
            <a:ext uri="{FF2B5EF4-FFF2-40B4-BE49-F238E27FC236}">
              <a16:creationId xmlns:a16="http://schemas.microsoft.com/office/drawing/2014/main" xmlns="" id="{00000000-0008-0000-0000-0000A8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265" name="Text Box 70">
          <a:extLst>
            <a:ext uri="{FF2B5EF4-FFF2-40B4-BE49-F238E27FC236}">
              <a16:creationId xmlns:a16="http://schemas.microsoft.com/office/drawing/2014/main" xmlns="" id="{00000000-0008-0000-0000-0000A9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266" name="Text Box 71">
          <a:extLst>
            <a:ext uri="{FF2B5EF4-FFF2-40B4-BE49-F238E27FC236}">
              <a16:creationId xmlns:a16="http://schemas.microsoft.com/office/drawing/2014/main" xmlns="" id="{00000000-0008-0000-0000-0000AA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267" name="Text Box 72">
          <a:extLst>
            <a:ext uri="{FF2B5EF4-FFF2-40B4-BE49-F238E27FC236}">
              <a16:creationId xmlns:a16="http://schemas.microsoft.com/office/drawing/2014/main" xmlns="" id="{00000000-0008-0000-0000-0000AB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268" name="Text Box 73">
          <a:extLst>
            <a:ext uri="{FF2B5EF4-FFF2-40B4-BE49-F238E27FC236}">
              <a16:creationId xmlns:a16="http://schemas.microsoft.com/office/drawing/2014/main" xmlns="" id="{00000000-0008-0000-0000-0000AC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269" name="Text Box 74">
          <a:extLst>
            <a:ext uri="{FF2B5EF4-FFF2-40B4-BE49-F238E27FC236}">
              <a16:creationId xmlns:a16="http://schemas.microsoft.com/office/drawing/2014/main" xmlns="" id="{00000000-0008-0000-0000-0000AD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270" name="Text Box 75">
          <a:extLst>
            <a:ext uri="{FF2B5EF4-FFF2-40B4-BE49-F238E27FC236}">
              <a16:creationId xmlns:a16="http://schemas.microsoft.com/office/drawing/2014/main" xmlns="" id="{00000000-0008-0000-0000-0000AE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271" name="Text Box 76">
          <a:extLst>
            <a:ext uri="{FF2B5EF4-FFF2-40B4-BE49-F238E27FC236}">
              <a16:creationId xmlns:a16="http://schemas.microsoft.com/office/drawing/2014/main" xmlns="" id="{00000000-0008-0000-0000-0000AF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272" name="Text Box 77">
          <a:extLst>
            <a:ext uri="{FF2B5EF4-FFF2-40B4-BE49-F238E27FC236}">
              <a16:creationId xmlns:a16="http://schemas.microsoft.com/office/drawing/2014/main" xmlns="" id="{00000000-0008-0000-0000-0000B0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273" name="Text Box 78">
          <a:extLst>
            <a:ext uri="{FF2B5EF4-FFF2-40B4-BE49-F238E27FC236}">
              <a16:creationId xmlns:a16="http://schemas.microsoft.com/office/drawing/2014/main" xmlns="" id="{00000000-0008-0000-0000-0000B1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274" name="Text Box 79">
          <a:extLst>
            <a:ext uri="{FF2B5EF4-FFF2-40B4-BE49-F238E27FC236}">
              <a16:creationId xmlns:a16="http://schemas.microsoft.com/office/drawing/2014/main" xmlns="" id="{00000000-0008-0000-0000-0000B2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275" name="Text Box 80">
          <a:extLst>
            <a:ext uri="{FF2B5EF4-FFF2-40B4-BE49-F238E27FC236}">
              <a16:creationId xmlns:a16="http://schemas.microsoft.com/office/drawing/2014/main" xmlns="" id="{00000000-0008-0000-0000-0000B3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276" name="Text Box 81">
          <a:extLst>
            <a:ext uri="{FF2B5EF4-FFF2-40B4-BE49-F238E27FC236}">
              <a16:creationId xmlns:a16="http://schemas.microsoft.com/office/drawing/2014/main" xmlns="" id="{00000000-0008-0000-0000-0000B4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277" name="Text Box 3079">
          <a:extLst>
            <a:ext uri="{FF2B5EF4-FFF2-40B4-BE49-F238E27FC236}">
              <a16:creationId xmlns:a16="http://schemas.microsoft.com/office/drawing/2014/main" xmlns="" id="{00000000-0008-0000-0000-0000B5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278" name="Text Box 3080">
          <a:extLst>
            <a:ext uri="{FF2B5EF4-FFF2-40B4-BE49-F238E27FC236}">
              <a16:creationId xmlns:a16="http://schemas.microsoft.com/office/drawing/2014/main" xmlns="" id="{00000000-0008-0000-0000-0000B6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279" name="Text Box 3081">
          <a:extLst>
            <a:ext uri="{FF2B5EF4-FFF2-40B4-BE49-F238E27FC236}">
              <a16:creationId xmlns:a16="http://schemas.microsoft.com/office/drawing/2014/main" xmlns="" id="{00000000-0008-0000-0000-0000B7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280" name="Text Box 3082">
          <a:extLst>
            <a:ext uri="{FF2B5EF4-FFF2-40B4-BE49-F238E27FC236}">
              <a16:creationId xmlns:a16="http://schemas.microsoft.com/office/drawing/2014/main" xmlns="" id="{00000000-0008-0000-0000-0000B8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281" name="Text Box 3083">
          <a:extLst>
            <a:ext uri="{FF2B5EF4-FFF2-40B4-BE49-F238E27FC236}">
              <a16:creationId xmlns:a16="http://schemas.microsoft.com/office/drawing/2014/main" xmlns="" id="{00000000-0008-0000-0000-0000B9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282" name="Text Box 3084">
          <a:extLst>
            <a:ext uri="{FF2B5EF4-FFF2-40B4-BE49-F238E27FC236}">
              <a16:creationId xmlns:a16="http://schemas.microsoft.com/office/drawing/2014/main" xmlns="" id="{00000000-0008-0000-0000-0000BA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283" name="Text Box 3085">
          <a:extLst>
            <a:ext uri="{FF2B5EF4-FFF2-40B4-BE49-F238E27FC236}">
              <a16:creationId xmlns:a16="http://schemas.microsoft.com/office/drawing/2014/main" xmlns="" id="{00000000-0008-0000-0000-0000BB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284" name="Text Box 3086">
          <a:extLst>
            <a:ext uri="{FF2B5EF4-FFF2-40B4-BE49-F238E27FC236}">
              <a16:creationId xmlns:a16="http://schemas.microsoft.com/office/drawing/2014/main" xmlns="" id="{00000000-0008-0000-0000-0000BC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285" name="Text Box 3087">
          <a:extLst>
            <a:ext uri="{FF2B5EF4-FFF2-40B4-BE49-F238E27FC236}">
              <a16:creationId xmlns:a16="http://schemas.microsoft.com/office/drawing/2014/main" xmlns="" id="{00000000-0008-0000-0000-0000BD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286" name="Text Box 3088">
          <a:extLst>
            <a:ext uri="{FF2B5EF4-FFF2-40B4-BE49-F238E27FC236}">
              <a16:creationId xmlns:a16="http://schemas.microsoft.com/office/drawing/2014/main" xmlns="" id="{00000000-0008-0000-0000-0000BE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287" name="Text Box 3089">
          <a:extLst>
            <a:ext uri="{FF2B5EF4-FFF2-40B4-BE49-F238E27FC236}">
              <a16:creationId xmlns:a16="http://schemas.microsoft.com/office/drawing/2014/main" xmlns="" id="{00000000-0008-0000-0000-0000BF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288" name="Text Box 3090">
          <a:extLst>
            <a:ext uri="{FF2B5EF4-FFF2-40B4-BE49-F238E27FC236}">
              <a16:creationId xmlns:a16="http://schemas.microsoft.com/office/drawing/2014/main" xmlns="" id="{00000000-0008-0000-0000-0000C0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289" name="Text Box 3091">
          <a:extLst>
            <a:ext uri="{FF2B5EF4-FFF2-40B4-BE49-F238E27FC236}">
              <a16:creationId xmlns:a16="http://schemas.microsoft.com/office/drawing/2014/main" xmlns="" id="{00000000-0008-0000-0000-0000C1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290" name="Text Box 3092">
          <a:extLst>
            <a:ext uri="{FF2B5EF4-FFF2-40B4-BE49-F238E27FC236}">
              <a16:creationId xmlns:a16="http://schemas.microsoft.com/office/drawing/2014/main" xmlns="" id="{00000000-0008-0000-0000-0000C2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291" name="Text Box 3093">
          <a:extLst>
            <a:ext uri="{FF2B5EF4-FFF2-40B4-BE49-F238E27FC236}">
              <a16:creationId xmlns:a16="http://schemas.microsoft.com/office/drawing/2014/main" xmlns="" id="{00000000-0008-0000-0000-0000C3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292" name="Text Box 3094">
          <a:extLst>
            <a:ext uri="{FF2B5EF4-FFF2-40B4-BE49-F238E27FC236}">
              <a16:creationId xmlns:a16="http://schemas.microsoft.com/office/drawing/2014/main" xmlns="" id="{00000000-0008-0000-0000-0000C4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293" name="Text Box 3095">
          <a:extLst>
            <a:ext uri="{FF2B5EF4-FFF2-40B4-BE49-F238E27FC236}">
              <a16:creationId xmlns:a16="http://schemas.microsoft.com/office/drawing/2014/main" xmlns="" id="{00000000-0008-0000-0000-0000C5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294" name="Text Box 3096">
          <a:extLst>
            <a:ext uri="{FF2B5EF4-FFF2-40B4-BE49-F238E27FC236}">
              <a16:creationId xmlns:a16="http://schemas.microsoft.com/office/drawing/2014/main" xmlns="" id="{00000000-0008-0000-0000-0000C6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295" name="Text Box 3097">
          <a:extLst>
            <a:ext uri="{FF2B5EF4-FFF2-40B4-BE49-F238E27FC236}">
              <a16:creationId xmlns:a16="http://schemas.microsoft.com/office/drawing/2014/main" xmlns="" id="{00000000-0008-0000-0000-0000C7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296" name="Text Box 3098">
          <a:extLst>
            <a:ext uri="{FF2B5EF4-FFF2-40B4-BE49-F238E27FC236}">
              <a16:creationId xmlns:a16="http://schemas.microsoft.com/office/drawing/2014/main" xmlns="" id="{00000000-0008-0000-0000-0000C8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297" name="Text Box 3099">
          <a:extLst>
            <a:ext uri="{FF2B5EF4-FFF2-40B4-BE49-F238E27FC236}">
              <a16:creationId xmlns:a16="http://schemas.microsoft.com/office/drawing/2014/main" xmlns="" id="{00000000-0008-0000-0000-0000C9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298" name="Text Box 3100">
          <a:extLst>
            <a:ext uri="{FF2B5EF4-FFF2-40B4-BE49-F238E27FC236}">
              <a16:creationId xmlns:a16="http://schemas.microsoft.com/office/drawing/2014/main" xmlns="" id="{00000000-0008-0000-0000-0000CA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299" name="Text Box 3101">
          <a:extLst>
            <a:ext uri="{FF2B5EF4-FFF2-40B4-BE49-F238E27FC236}">
              <a16:creationId xmlns:a16="http://schemas.microsoft.com/office/drawing/2014/main" xmlns="" id="{00000000-0008-0000-0000-0000CB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4300" name="Text Box 3102">
          <a:extLst>
            <a:ext uri="{FF2B5EF4-FFF2-40B4-BE49-F238E27FC236}">
              <a16:creationId xmlns:a16="http://schemas.microsoft.com/office/drawing/2014/main" xmlns="" id="{00000000-0008-0000-0000-0000CC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301" name="Text Box 59">
          <a:extLst>
            <a:ext uri="{FF2B5EF4-FFF2-40B4-BE49-F238E27FC236}">
              <a16:creationId xmlns:a16="http://schemas.microsoft.com/office/drawing/2014/main" xmlns="" id="{00000000-0008-0000-0000-0000CD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302" name="Text Box 60">
          <a:extLst>
            <a:ext uri="{FF2B5EF4-FFF2-40B4-BE49-F238E27FC236}">
              <a16:creationId xmlns:a16="http://schemas.microsoft.com/office/drawing/2014/main" xmlns="" id="{00000000-0008-0000-0000-0000CE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303" name="Text Box 61">
          <a:extLst>
            <a:ext uri="{FF2B5EF4-FFF2-40B4-BE49-F238E27FC236}">
              <a16:creationId xmlns:a16="http://schemas.microsoft.com/office/drawing/2014/main" xmlns="" id="{00000000-0008-0000-0000-0000CF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304" name="Text Box 62">
          <a:extLst>
            <a:ext uri="{FF2B5EF4-FFF2-40B4-BE49-F238E27FC236}">
              <a16:creationId xmlns:a16="http://schemas.microsoft.com/office/drawing/2014/main" xmlns="" id="{00000000-0008-0000-0000-0000D0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305" name="Text Box 63">
          <a:extLst>
            <a:ext uri="{FF2B5EF4-FFF2-40B4-BE49-F238E27FC236}">
              <a16:creationId xmlns:a16="http://schemas.microsoft.com/office/drawing/2014/main" xmlns="" id="{00000000-0008-0000-0000-0000D1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306" name="Text Box 64">
          <a:extLst>
            <a:ext uri="{FF2B5EF4-FFF2-40B4-BE49-F238E27FC236}">
              <a16:creationId xmlns:a16="http://schemas.microsoft.com/office/drawing/2014/main" xmlns="" id="{00000000-0008-0000-0000-0000D2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307" name="Text Box 65">
          <a:extLst>
            <a:ext uri="{FF2B5EF4-FFF2-40B4-BE49-F238E27FC236}">
              <a16:creationId xmlns:a16="http://schemas.microsoft.com/office/drawing/2014/main" xmlns="" id="{00000000-0008-0000-0000-0000D3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308" name="Text Box 66">
          <a:extLst>
            <a:ext uri="{FF2B5EF4-FFF2-40B4-BE49-F238E27FC236}">
              <a16:creationId xmlns:a16="http://schemas.microsoft.com/office/drawing/2014/main" xmlns="" id="{00000000-0008-0000-0000-0000D4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309" name="Text Box 67">
          <a:extLst>
            <a:ext uri="{FF2B5EF4-FFF2-40B4-BE49-F238E27FC236}">
              <a16:creationId xmlns:a16="http://schemas.microsoft.com/office/drawing/2014/main" xmlns="" id="{00000000-0008-0000-0000-0000D5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310" name="Text Box 68">
          <a:extLst>
            <a:ext uri="{FF2B5EF4-FFF2-40B4-BE49-F238E27FC236}">
              <a16:creationId xmlns:a16="http://schemas.microsoft.com/office/drawing/2014/main" xmlns="" id="{00000000-0008-0000-0000-0000D6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311" name="Text Box 69">
          <a:extLst>
            <a:ext uri="{FF2B5EF4-FFF2-40B4-BE49-F238E27FC236}">
              <a16:creationId xmlns:a16="http://schemas.microsoft.com/office/drawing/2014/main" xmlns="" id="{00000000-0008-0000-0000-0000D7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312" name="Text Box 70">
          <a:extLst>
            <a:ext uri="{FF2B5EF4-FFF2-40B4-BE49-F238E27FC236}">
              <a16:creationId xmlns:a16="http://schemas.microsoft.com/office/drawing/2014/main" xmlns="" id="{00000000-0008-0000-0000-0000D8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313" name="Text Box 71">
          <a:extLst>
            <a:ext uri="{FF2B5EF4-FFF2-40B4-BE49-F238E27FC236}">
              <a16:creationId xmlns:a16="http://schemas.microsoft.com/office/drawing/2014/main" xmlns="" id="{00000000-0008-0000-0000-0000D9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314" name="Text Box 72">
          <a:extLst>
            <a:ext uri="{FF2B5EF4-FFF2-40B4-BE49-F238E27FC236}">
              <a16:creationId xmlns:a16="http://schemas.microsoft.com/office/drawing/2014/main" xmlns="" id="{00000000-0008-0000-0000-0000DA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315" name="Text Box 73">
          <a:extLst>
            <a:ext uri="{FF2B5EF4-FFF2-40B4-BE49-F238E27FC236}">
              <a16:creationId xmlns:a16="http://schemas.microsoft.com/office/drawing/2014/main" xmlns="" id="{00000000-0008-0000-0000-0000DB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316" name="Text Box 74">
          <a:extLst>
            <a:ext uri="{FF2B5EF4-FFF2-40B4-BE49-F238E27FC236}">
              <a16:creationId xmlns:a16="http://schemas.microsoft.com/office/drawing/2014/main" xmlns="" id="{00000000-0008-0000-0000-0000DC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317" name="Text Box 75">
          <a:extLst>
            <a:ext uri="{FF2B5EF4-FFF2-40B4-BE49-F238E27FC236}">
              <a16:creationId xmlns:a16="http://schemas.microsoft.com/office/drawing/2014/main" xmlns="" id="{00000000-0008-0000-0000-0000DD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318" name="Text Box 76">
          <a:extLst>
            <a:ext uri="{FF2B5EF4-FFF2-40B4-BE49-F238E27FC236}">
              <a16:creationId xmlns:a16="http://schemas.microsoft.com/office/drawing/2014/main" xmlns="" id="{00000000-0008-0000-0000-0000DE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319" name="Text Box 77">
          <a:extLst>
            <a:ext uri="{FF2B5EF4-FFF2-40B4-BE49-F238E27FC236}">
              <a16:creationId xmlns:a16="http://schemas.microsoft.com/office/drawing/2014/main" xmlns="" id="{00000000-0008-0000-0000-0000DF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320" name="Text Box 78">
          <a:extLst>
            <a:ext uri="{FF2B5EF4-FFF2-40B4-BE49-F238E27FC236}">
              <a16:creationId xmlns:a16="http://schemas.microsoft.com/office/drawing/2014/main" xmlns="" id="{00000000-0008-0000-0000-0000E0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321" name="Text Box 79">
          <a:extLst>
            <a:ext uri="{FF2B5EF4-FFF2-40B4-BE49-F238E27FC236}">
              <a16:creationId xmlns:a16="http://schemas.microsoft.com/office/drawing/2014/main" xmlns="" id="{00000000-0008-0000-0000-0000E1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322" name="Text Box 80">
          <a:extLst>
            <a:ext uri="{FF2B5EF4-FFF2-40B4-BE49-F238E27FC236}">
              <a16:creationId xmlns:a16="http://schemas.microsoft.com/office/drawing/2014/main" xmlns="" id="{00000000-0008-0000-0000-0000E2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323" name="Text Box 81">
          <a:extLst>
            <a:ext uri="{FF2B5EF4-FFF2-40B4-BE49-F238E27FC236}">
              <a16:creationId xmlns:a16="http://schemas.microsoft.com/office/drawing/2014/main" xmlns="" id="{00000000-0008-0000-0000-0000E3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47625"/>
    <xdr:sp macro="" textlink="">
      <xdr:nvSpPr>
        <xdr:cNvPr id="4324" name="Text Box 82">
          <a:extLst>
            <a:ext uri="{FF2B5EF4-FFF2-40B4-BE49-F238E27FC236}">
              <a16:creationId xmlns:a16="http://schemas.microsoft.com/office/drawing/2014/main" xmlns="" id="{00000000-0008-0000-0000-0000E4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325" name="Text Box 3079">
          <a:extLst>
            <a:ext uri="{FF2B5EF4-FFF2-40B4-BE49-F238E27FC236}">
              <a16:creationId xmlns:a16="http://schemas.microsoft.com/office/drawing/2014/main" xmlns="" id="{00000000-0008-0000-0000-0000E5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326" name="Text Box 3080">
          <a:extLst>
            <a:ext uri="{FF2B5EF4-FFF2-40B4-BE49-F238E27FC236}">
              <a16:creationId xmlns:a16="http://schemas.microsoft.com/office/drawing/2014/main" xmlns="" id="{00000000-0008-0000-0000-0000E6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327" name="Text Box 3081">
          <a:extLst>
            <a:ext uri="{FF2B5EF4-FFF2-40B4-BE49-F238E27FC236}">
              <a16:creationId xmlns:a16="http://schemas.microsoft.com/office/drawing/2014/main" xmlns="" id="{00000000-0008-0000-0000-0000E7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328" name="Text Box 3082">
          <a:extLst>
            <a:ext uri="{FF2B5EF4-FFF2-40B4-BE49-F238E27FC236}">
              <a16:creationId xmlns:a16="http://schemas.microsoft.com/office/drawing/2014/main" xmlns="" id="{00000000-0008-0000-0000-0000E8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329" name="Text Box 3083">
          <a:extLst>
            <a:ext uri="{FF2B5EF4-FFF2-40B4-BE49-F238E27FC236}">
              <a16:creationId xmlns:a16="http://schemas.microsoft.com/office/drawing/2014/main" xmlns="" id="{00000000-0008-0000-0000-0000E9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330" name="Text Box 3084">
          <a:extLst>
            <a:ext uri="{FF2B5EF4-FFF2-40B4-BE49-F238E27FC236}">
              <a16:creationId xmlns:a16="http://schemas.microsoft.com/office/drawing/2014/main" xmlns="" id="{00000000-0008-0000-0000-0000EA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331" name="Text Box 3085">
          <a:extLst>
            <a:ext uri="{FF2B5EF4-FFF2-40B4-BE49-F238E27FC236}">
              <a16:creationId xmlns:a16="http://schemas.microsoft.com/office/drawing/2014/main" xmlns="" id="{00000000-0008-0000-0000-0000EB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332" name="Text Box 3086">
          <a:extLst>
            <a:ext uri="{FF2B5EF4-FFF2-40B4-BE49-F238E27FC236}">
              <a16:creationId xmlns:a16="http://schemas.microsoft.com/office/drawing/2014/main" xmlns="" id="{00000000-0008-0000-0000-0000EC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333" name="Text Box 3087">
          <a:extLst>
            <a:ext uri="{FF2B5EF4-FFF2-40B4-BE49-F238E27FC236}">
              <a16:creationId xmlns:a16="http://schemas.microsoft.com/office/drawing/2014/main" xmlns="" id="{00000000-0008-0000-0000-0000ED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334" name="Text Box 3088">
          <a:extLst>
            <a:ext uri="{FF2B5EF4-FFF2-40B4-BE49-F238E27FC236}">
              <a16:creationId xmlns:a16="http://schemas.microsoft.com/office/drawing/2014/main" xmlns="" id="{00000000-0008-0000-0000-0000EE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335" name="Text Box 3089">
          <a:extLst>
            <a:ext uri="{FF2B5EF4-FFF2-40B4-BE49-F238E27FC236}">
              <a16:creationId xmlns:a16="http://schemas.microsoft.com/office/drawing/2014/main" xmlns="" id="{00000000-0008-0000-0000-0000EF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336" name="Text Box 3090">
          <a:extLst>
            <a:ext uri="{FF2B5EF4-FFF2-40B4-BE49-F238E27FC236}">
              <a16:creationId xmlns:a16="http://schemas.microsoft.com/office/drawing/2014/main" xmlns="" id="{00000000-0008-0000-0000-0000F0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337" name="Text Box 3091">
          <a:extLst>
            <a:ext uri="{FF2B5EF4-FFF2-40B4-BE49-F238E27FC236}">
              <a16:creationId xmlns:a16="http://schemas.microsoft.com/office/drawing/2014/main" xmlns="" id="{00000000-0008-0000-0000-0000F1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338" name="Text Box 3092">
          <a:extLst>
            <a:ext uri="{FF2B5EF4-FFF2-40B4-BE49-F238E27FC236}">
              <a16:creationId xmlns:a16="http://schemas.microsoft.com/office/drawing/2014/main" xmlns="" id="{00000000-0008-0000-0000-0000F2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339" name="Text Box 3093">
          <a:extLst>
            <a:ext uri="{FF2B5EF4-FFF2-40B4-BE49-F238E27FC236}">
              <a16:creationId xmlns:a16="http://schemas.microsoft.com/office/drawing/2014/main" xmlns="" id="{00000000-0008-0000-0000-0000F3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340" name="Text Box 3094">
          <a:extLst>
            <a:ext uri="{FF2B5EF4-FFF2-40B4-BE49-F238E27FC236}">
              <a16:creationId xmlns:a16="http://schemas.microsoft.com/office/drawing/2014/main" xmlns="" id="{00000000-0008-0000-0000-0000F4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341" name="Text Box 3095">
          <a:extLst>
            <a:ext uri="{FF2B5EF4-FFF2-40B4-BE49-F238E27FC236}">
              <a16:creationId xmlns:a16="http://schemas.microsoft.com/office/drawing/2014/main" xmlns="" id="{00000000-0008-0000-0000-0000F5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342" name="Text Box 3096">
          <a:extLst>
            <a:ext uri="{FF2B5EF4-FFF2-40B4-BE49-F238E27FC236}">
              <a16:creationId xmlns:a16="http://schemas.microsoft.com/office/drawing/2014/main" xmlns="" id="{00000000-0008-0000-0000-0000F6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343" name="Text Box 3097">
          <a:extLst>
            <a:ext uri="{FF2B5EF4-FFF2-40B4-BE49-F238E27FC236}">
              <a16:creationId xmlns:a16="http://schemas.microsoft.com/office/drawing/2014/main" xmlns="" id="{00000000-0008-0000-0000-0000F7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344" name="Text Box 3098">
          <a:extLst>
            <a:ext uri="{FF2B5EF4-FFF2-40B4-BE49-F238E27FC236}">
              <a16:creationId xmlns:a16="http://schemas.microsoft.com/office/drawing/2014/main" xmlns="" id="{00000000-0008-0000-0000-0000F8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345" name="Text Box 3099">
          <a:extLst>
            <a:ext uri="{FF2B5EF4-FFF2-40B4-BE49-F238E27FC236}">
              <a16:creationId xmlns:a16="http://schemas.microsoft.com/office/drawing/2014/main" xmlns="" id="{00000000-0008-0000-0000-0000F9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346" name="Text Box 3100">
          <a:extLst>
            <a:ext uri="{FF2B5EF4-FFF2-40B4-BE49-F238E27FC236}">
              <a16:creationId xmlns:a16="http://schemas.microsoft.com/office/drawing/2014/main" xmlns="" id="{00000000-0008-0000-0000-0000FA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347" name="Text Box 3101">
          <a:extLst>
            <a:ext uri="{FF2B5EF4-FFF2-40B4-BE49-F238E27FC236}">
              <a16:creationId xmlns:a16="http://schemas.microsoft.com/office/drawing/2014/main" xmlns="" id="{00000000-0008-0000-0000-0000FB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4348" name="Text Box 3102">
          <a:extLst>
            <a:ext uri="{FF2B5EF4-FFF2-40B4-BE49-F238E27FC236}">
              <a16:creationId xmlns:a16="http://schemas.microsoft.com/office/drawing/2014/main" xmlns="" id="{00000000-0008-0000-0000-0000FC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349" name="Text Box 59">
          <a:extLst>
            <a:ext uri="{FF2B5EF4-FFF2-40B4-BE49-F238E27FC236}">
              <a16:creationId xmlns:a16="http://schemas.microsoft.com/office/drawing/2014/main" xmlns="" id="{00000000-0008-0000-0000-0000FD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350" name="Text Box 60">
          <a:extLst>
            <a:ext uri="{FF2B5EF4-FFF2-40B4-BE49-F238E27FC236}">
              <a16:creationId xmlns:a16="http://schemas.microsoft.com/office/drawing/2014/main" xmlns="" id="{00000000-0008-0000-0000-0000FE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351" name="Text Box 61">
          <a:extLst>
            <a:ext uri="{FF2B5EF4-FFF2-40B4-BE49-F238E27FC236}">
              <a16:creationId xmlns:a16="http://schemas.microsoft.com/office/drawing/2014/main" xmlns="" id="{00000000-0008-0000-0000-0000FF10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352" name="Text Box 62">
          <a:extLst>
            <a:ext uri="{FF2B5EF4-FFF2-40B4-BE49-F238E27FC236}">
              <a16:creationId xmlns:a16="http://schemas.microsoft.com/office/drawing/2014/main" xmlns="" id="{00000000-0008-0000-0000-000000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353" name="Text Box 63">
          <a:extLst>
            <a:ext uri="{FF2B5EF4-FFF2-40B4-BE49-F238E27FC236}">
              <a16:creationId xmlns:a16="http://schemas.microsoft.com/office/drawing/2014/main" xmlns="" id="{00000000-0008-0000-0000-000001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354" name="Text Box 64">
          <a:extLst>
            <a:ext uri="{FF2B5EF4-FFF2-40B4-BE49-F238E27FC236}">
              <a16:creationId xmlns:a16="http://schemas.microsoft.com/office/drawing/2014/main" xmlns="" id="{00000000-0008-0000-0000-000002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355" name="Text Box 65">
          <a:extLst>
            <a:ext uri="{FF2B5EF4-FFF2-40B4-BE49-F238E27FC236}">
              <a16:creationId xmlns:a16="http://schemas.microsoft.com/office/drawing/2014/main" xmlns="" id="{00000000-0008-0000-0000-000003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356" name="Text Box 66">
          <a:extLst>
            <a:ext uri="{FF2B5EF4-FFF2-40B4-BE49-F238E27FC236}">
              <a16:creationId xmlns:a16="http://schemas.microsoft.com/office/drawing/2014/main" xmlns="" id="{00000000-0008-0000-0000-000004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357" name="Text Box 67">
          <a:extLst>
            <a:ext uri="{FF2B5EF4-FFF2-40B4-BE49-F238E27FC236}">
              <a16:creationId xmlns:a16="http://schemas.microsoft.com/office/drawing/2014/main" xmlns="" id="{00000000-0008-0000-0000-000005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358" name="Text Box 68">
          <a:extLst>
            <a:ext uri="{FF2B5EF4-FFF2-40B4-BE49-F238E27FC236}">
              <a16:creationId xmlns:a16="http://schemas.microsoft.com/office/drawing/2014/main" xmlns="" id="{00000000-0008-0000-0000-000006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359" name="Text Box 69">
          <a:extLst>
            <a:ext uri="{FF2B5EF4-FFF2-40B4-BE49-F238E27FC236}">
              <a16:creationId xmlns:a16="http://schemas.microsoft.com/office/drawing/2014/main" xmlns="" id="{00000000-0008-0000-0000-000007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360" name="Text Box 70">
          <a:extLst>
            <a:ext uri="{FF2B5EF4-FFF2-40B4-BE49-F238E27FC236}">
              <a16:creationId xmlns:a16="http://schemas.microsoft.com/office/drawing/2014/main" xmlns="" id="{00000000-0008-0000-0000-000008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361" name="Text Box 71">
          <a:extLst>
            <a:ext uri="{FF2B5EF4-FFF2-40B4-BE49-F238E27FC236}">
              <a16:creationId xmlns:a16="http://schemas.microsoft.com/office/drawing/2014/main" xmlns="" id="{00000000-0008-0000-0000-000009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362" name="Text Box 72">
          <a:extLst>
            <a:ext uri="{FF2B5EF4-FFF2-40B4-BE49-F238E27FC236}">
              <a16:creationId xmlns:a16="http://schemas.microsoft.com/office/drawing/2014/main" xmlns="" id="{00000000-0008-0000-0000-00000A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363" name="Text Box 73">
          <a:extLst>
            <a:ext uri="{FF2B5EF4-FFF2-40B4-BE49-F238E27FC236}">
              <a16:creationId xmlns:a16="http://schemas.microsoft.com/office/drawing/2014/main" xmlns="" id="{00000000-0008-0000-0000-00000B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364" name="Text Box 74">
          <a:extLst>
            <a:ext uri="{FF2B5EF4-FFF2-40B4-BE49-F238E27FC236}">
              <a16:creationId xmlns:a16="http://schemas.microsoft.com/office/drawing/2014/main" xmlns="" id="{00000000-0008-0000-0000-00000C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365" name="Text Box 75">
          <a:extLst>
            <a:ext uri="{FF2B5EF4-FFF2-40B4-BE49-F238E27FC236}">
              <a16:creationId xmlns:a16="http://schemas.microsoft.com/office/drawing/2014/main" xmlns="" id="{00000000-0008-0000-0000-00000D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366" name="Text Box 76">
          <a:extLst>
            <a:ext uri="{FF2B5EF4-FFF2-40B4-BE49-F238E27FC236}">
              <a16:creationId xmlns:a16="http://schemas.microsoft.com/office/drawing/2014/main" xmlns="" id="{00000000-0008-0000-0000-00000E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367" name="Text Box 77">
          <a:extLst>
            <a:ext uri="{FF2B5EF4-FFF2-40B4-BE49-F238E27FC236}">
              <a16:creationId xmlns:a16="http://schemas.microsoft.com/office/drawing/2014/main" xmlns="" id="{00000000-0008-0000-0000-00000F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368" name="Text Box 78">
          <a:extLst>
            <a:ext uri="{FF2B5EF4-FFF2-40B4-BE49-F238E27FC236}">
              <a16:creationId xmlns:a16="http://schemas.microsoft.com/office/drawing/2014/main" xmlns="" id="{00000000-0008-0000-0000-000010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369" name="Text Box 79">
          <a:extLst>
            <a:ext uri="{FF2B5EF4-FFF2-40B4-BE49-F238E27FC236}">
              <a16:creationId xmlns:a16="http://schemas.microsoft.com/office/drawing/2014/main" xmlns="" id="{00000000-0008-0000-0000-000011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370" name="Text Box 80">
          <a:extLst>
            <a:ext uri="{FF2B5EF4-FFF2-40B4-BE49-F238E27FC236}">
              <a16:creationId xmlns:a16="http://schemas.microsoft.com/office/drawing/2014/main" xmlns="" id="{00000000-0008-0000-0000-000012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371" name="Text Box 81">
          <a:extLst>
            <a:ext uri="{FF2B5EF4-FFF2-40B4-BE49-F238E27FC236}">
              <a16:creationId xmlns:a16="http://schemas.microsoft.com/office/drawing/2014/main" xmlns="" id="{00000000-0008-0000-0000-000013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372" name="Text Box 3079">
          <a:extLst>
            <a:ext uri="{FF2B5EF4-FFF2-40B4-BE49-F238E27FC236}">
              <a16:creationId xmlns:a16="http://schemas.microsoft.com/office/drawing/2014/main" xmlns="" id="{00000000-0008-0000-0000-000014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373" name="Text Box 3080">
          <a:extLst>
            <a:ext uri="{FF2B5EF4-FFF2-40B4-BE49-F238E27FC236}">
              <a16:creationId xmlns:a16="http://schemas.microsoft.com/office/drawing/2014/main" xmlns="" id="{00000000-0008-0000-0000-000015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374" name="Text Box 3081">
          <a:extLst>
            <a:ext uri="{FF2B5EF4-FFF2-40B4-BE49-F238E27FC236}">
              <a16:creationId xmlns:a16="http://schemas.microsoft.com/office/drawing/2014/main" xmlns="" id="{00000000-0008-0000-0000-000016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375" name="Text Box 3082">
          <a:extLst>
            <a:ext uri="{FF2B5EF4-FFF2-40B4-BE49-F238E27FC236}">
              <a16:creationId xmlns:a16="http://schemas.microsoft.com/office/drawing/2014/main" xmlns="" id="{00000000-0008-0000-0000-000017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376" name="Text Box 3083">
          <a:extLst>
            <a:ext uri="{FF2B5EF4-FFF2-40B4-BE49-F238E27FC236}">
              <a16:creationId xmlns:a16="http://schemas.microsoft.com/office/drawing/2014/main" xmlns="" id="{00000000-0008-0000-0000-000018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377" name="Text Box 3084">
          <a:extLst>
            <a:ext uri="{FF2B5EF4-FFF2-40B4-BE49-F238E27FC236}">
              <a16:creationId xmlns:a16="http://schemas.microsoft.com/office/drawing/2014/main" xmlns="" id="{00000000-0008-0000-0000-000019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378" name="Text Box 3085">
          <a:extLst>
            <a:ext uri="{FF2B5EF4-FFF2-40B4-BE49-F238E27FC236}">
              <a16:creationId xmlns:a16="http://schemas.microsoft.com/office/drawing/2014/main" xmlns="" id="{00000000-0008-0000-0000-00001A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379" name="Text Box 3086">
          <a:extLst>
            <a:ext uri="{FF2B5EF4-FFF2-40B4-BE49-F238E27FC236}">
              <a16:creationId xmlns:a16="http://schemas.microsoft.com/office/drawing/2014/main" xmlns="" id="{00000000-0008-0000-0000-00001B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380" name="Text Box 3087">
          <a:extLst>
            <a:ext uri="{FF2B5EF4-FFF2-40B4-BE49-F238E27FC236}">
              <a16:creationId xmlns:a16="http://schemas.microsoft.com/office/drawing/2014/main" xmlns="" id="{00000000-0008-0000-0000-00001C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381" name="Text Box 3088">
          <a:extLst>
            <a:ext uri="{FF2B5EF4-FFF2-40B4-BE49-F238E27FC236}">
              <a16:creationId xmlns:a16="http://schemas.microsoft.com/office/drawing/2014/main" xmlns="" id="{00000000-0008-0000-0000-00001D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382" name="Text Box 3089">
          <a:extLst>
            <a:ext uri="{FF2B5EF4-FFF2-40B4-BE49-F238E27FC236}">
              <a16:creationId xmlns:a16="http://schemas.microsoft.com/office/drawing/2014/main" xmlns="" id="{00000000-0008-0000-0000-00001E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383" name="Text Box 3090">
          <a:extLst>
            <a:ext uri="{FF2B5EF4-FFF2-40B4-BE49-F238E27FC236}">
              <a16:creationId xmlns:a16="http://schemas.microsoft.com/office/drawing/2014/main" xmlns="" id="{00000000-0008-0000-0000-00001F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384" name="Text Box 3091">
          <a:extLst>
            <a:ext uri="{FF2B5EF4-FFF2-40B4-BE49-F238E27FC236}">
              <a16:creationId xmlns:a16="http://schemas.microsoft.com/office/drawing/2014/main" xmlns="" id="{00000000-0008-0000-0000-000020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385" name="Text Box 3092">
          <a:extLst>
            <a:ext uri="{FF2B5EF4-FFF2-40B4-BE49-F238E27FC236}">
              <a16:creationId xmlns:a16="http://schemas.microsoft.com/office/drawing/2014/main" xmlns="" id="{00000000-0008-0000-0000-000021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386" name="Text Box 3093">
          <a:extLst>
            <a:ext uri="{FF2B5EF4-FFF2-40B4-BE49-F238E27FC236}">
              <a16:creationId xmlns:a16="http://schemas.microsoft.com/office/drawing/2014/main" xmlns="" id="{00000000-0008-0000-0000-000022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387" name="Text Box 3094">
          <a:extLst>
            <a:ext uri="{FF2B5EF4-FFF2-40B4-BE49-F238E27FC236}">
              <a16:creationId xmlns:a16="http://schemas.microsoft.com/office/drawing/2014/main" xmlns="" id="{00000000-0008-0000-0000-000023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388" name="Text Box 3095">
          <a:extLst>
            <a:ext uri="{FF2B5EF4-FFF2-40B4-BE49-F238E27FC236}">
              <a16:creationId xmlns:a16="http://schemas.microsoft.com/office/drawing/2014/main" xmlns="" id="{00000000-0008-0000-0000-000024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389" name="Text Box 3096">
          <a:extLst>
            <a:ext uri="{FF2B5EF4-FFF2-40B4-BE49-F238E27FC236}">
              <a16:creationId xmlns:a16="http://schemas.microsoft.com/office/drawing/2014/main" xmlns="" id="{00000000-0008-0000-0000-000025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390" name="Text Box 3097">
          <a:extLst>
            <a:ext uri="{FF2B5EF4-FFF2-40B4-BE49-F238E27FC236}">
              <a16:creationId xmlns:a16="http://schemas.microsoft.com/office/drawing/2014/main" xmlns="" id="{00000000-0008-0000-0000-000026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391" name="Text Box 3098">
          <a:extLst>
            <a:ext uri="{FF2B5EF4-FFF2-40B4-BE49-F238E27FC236}">
              <a16:creationId xmlns:a16="http://schemas.microsoft.com/office/drawing/2014/main" xmlns="" id="{00000000-0008-0000-0000-000027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392" name="Text Box 3099">
          <a:extLst>
            <a:ext uri="{FF2B5EF4-FFF2-40B4-BE49-F238E27FC236}">
              <a16:creationId xmlns:a16="http://schemas.microsoft.com/office/drawing/2014/main" xmlns="" id="{00000000-0008-0000-0000-000028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393" name="Text Box 3100">
          <a:extLst>
            <a:ext uri="{FF2B5EF4-FFF2-40B4-BE49-F238E27FC236}">
              <a16:creationId xmlns:a16="http://schemas.microsoft.com/office/drawing/2014/main" xmlns="" id="{00000000-0008-0000-0000-000029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394" name="Text Box 3101">
          <a:extLst>
            <a:ext uri="{FF2B5EF4-FFF2-40B4-BE49-F238E27FC236}">
              <a16:creationId xmlns:a16="http://schemas.microsoft.com/office/drawing/2014/main" xmlns="" id="{00000000-0008-0000-0000-00002A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4395" name="Text Box 3102">
          <a:extLst>
            <a:ext uri="{FF2B5EF4-FFF2-40B4-BE49-F238E27FC236}">
              <a16:creationId xmlns:a16="http://schemas.microsoft.com/office/drawing/2014/main" xmlns="" id="{00000000-0008-0000-0000-00002B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396" name="Text Box 59">
          <a:extLst>
            <a:ext uri="{FF2B5EF4-FFF2-40B4-BE49-F238E27FC236}">
              <a16:creationId xmlns:a16="http://schemas.microsoft.com/office/drawing/2014/main" xmlns="" id="{00000000-0008-0000-0000-00002C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397" name="Text Box 60">
          <a:extLst>
            <a:ext uri="{FF2B5EF4-FFF2-40B4-BE49-F238E27FC236}">
              <a16:creationId xmlns:a16="http://schemas.microsoft.com/office/drawing/2014/main" xmlns="" id="{00000000-0008-0000-0000-00002D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398" name="Text Box 61">
          <a:extLst>
            <a:ext uri="{FF2B5EF4-FFF2-40B4-BE49-F238E27FC236}">
              <a16:creationId xmlns:a16="http://schemas.microsoft.com/office/drawing/2014/main" xmlns="" id="{00000000-0008-0000-0000-00002E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399" name="Text Box 62">
          <a:extLst>
            <a:ext uri="{FF2B5EF4-FFF2-40B4-BE49-F238E27FC236}">
              <a16:creationId xmlns:a16="http://schemas.microsoft.com/office/drawing/2014/main" xmlns="" id="{00000000-0008-0000-0000-00002F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400" name="Text Box 63">
          <a:extLst>
            <a:ext uri="{FF2B5EF4-FFF2-40B4-BE49-F238E27FC236}">
              <a16:creationId xmlns:a16="http://schemas.microsoft.com/office/drawing/2014/main" xmlns="" id="{00000000-0008-0000-0000-000030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401" name="Text Box 64">
          <a:extLst>
            <a:ext uri="{FF2B5EF4-FFF2-40B4-BE49-F238E27FC236}">
              <a16:creationId xmlns:a16="http://schemas.microsoft.com/office/drawing/2014/main" xmlns="" id="{00000000-0008-0000-0000-000031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402" name="Text Box 65">
          <a:extLst>
            <a:ext uri="{FF2B5EF4-FFF2-40B4-BE49-F238E27FC236}">
              <a16:creationId xmlns:a16="http://schemas.microsoft.com/office/drawing/2014/main" xmlns="" id="{00000000-0008-0000-0000-000032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403" name="Text Box 66">
          <a:extLst>
            <a:ext uri="{FF2B5EF4-FFF2-40B4-BE49-F238E27FC236}">
              <a16:creationId xmlns:a16="http://schemas.microsoft.com/office/drawing/2014/main" xmlns="" id="{00000000-0008-0000-0000-000033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404" name="Text Box 67">
          <a:extLst>
            <a:ext uri="{FF2B5EF4-FFF2-40B4-BE49-F238E27FC236}">
              <a16:creationId xmlns:a16="http://schemas.microsoft.com/office/drawing/2014/main" xmlns="" id="{00000000-0008-0000-0000-000034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405" name="Text Box 68">
          <a:extLst>
            <a:ext uri="{FF2B5EF4-FFF2-40B4-BE49-F238E27FC236}">
              <a16:creationId xmlns:a16="http://schemas.microsoft.com/office/drawing/2014/main" xmlns="" id="{00000000-0008-0000-0000-000035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406" name="Text Box 69">
          <a:extLst>
            <a:ext uri="{FF2B5EF4-FFF2-40B4-BE49-F238E27FC236}">
              <a16:creationId xmlns:a16="http://schemas.microsoft.com/office/drawing/2014/main" xmlns="" id="{00000000-0008-0000-0000-000036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407" name="Text Box 70">
          <a:extLst>
            <a:ext uri="{FF2B5EF4-FFF2-40B4-BE49-F238E27FC236}">
              <a16:creationId xmlns:a16="http://schemas.microsoft.com/office/drawing/2014/main" xmlns="" id="{00000000-0008-0000-0000-000037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408" name="Text Box 71">
          <a:extLst>
            <a:ext uri="{FF2B5EF4-FFF2-40B4-BE49-F238E27FC236}">
              <a16:creationId xmlns:a16="http://schemas.microsoft.com/office/drawing/2014/main" xmlns="" id="{00000000-0008-0000-0000-000038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409" name="Text Box 72">
          <a:extLst>
            <a:ext uri="{FF2B5EF4-FFF2-40B4-BE49-F238E27FC236}">
              <a16:creationId xmlns:a16="http://schemas.microsoft.com/office/drawing/2014/main" xmlns="" id="{00000000-0008-0000-0000-000039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410" name="Text Box 73">
          <a:extLst>
            <a:ext uri="{FF2B5EF4-FFF2-40B4-BE49-F238E27FC236}">
              <a16:creationId xmlns:a16="http://schemas.microsoft.com/office/drawing/2014/main" xmlns="" id="{00000000-0008-0000-0000-00003A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411" name="Text Box 74">
          <a:extLst>
            <a:ext uri="{FF2B5EF4-FFF2-40B4-BE49-F238E27FC236}">
              <a16:creationId xmlns:a16="http://schemas.microsoft.com/office/drawing/2014/main" xmlns="" id="{00000000-0008-0000-0000-00003B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412" name="Text Box 75">
          <a:extLst>
            <a:ext uri="{FF2B5EF4-FFF2-40B4-BE49-F238E27FC236}">
              <a16:creationId xmlns:a16="http://schemas.microsoft.com/office/drawing/2014/main" xmlns="" id="{00000000-0008-0000-0000-00003C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413" name="Text Box 76">
          <a:extLst>
            <a:ext uri="{FF2B5EF4-FFF2-40B4-BE49-F238E27FC236}">
              <a16:creationId xmlns:a16="http://schemas.microsoft.com/office/drawing/2014/main" xmlns="" id="{00000000-0008-0000-0000-00003D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414" name="Text Box 77">
          <a:extLst>
            <a:ext uri="{FF2B5EF4-FFF2-40B4-BE49-F238E27FC236}">
              <a16:creationId xmlns:a16="http://schemas.microsoft.com/office/drawing/2014/main" xmlns="" id="{00000000-0008-0000-0000-00003E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415" name="Text Box 78">
          <a:extLst>
            <a:ext uri="{FF2B5EF4-FFF2-40B4-BE49-F238E27FC236}">
              <a16:creationId xmlns:a16="http://schemas.microsoft.com/office/drawing/2014/main" xmlns="" id="{00000000-0008-0000-0000-00003F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416" name="Text Box 79">
          <a:extLst>
            <a:ext uri="{FF2B5EF4-FFF2-40B4-BE49-F238E27FC236}">
              <a16:creationId xmlns:a16="http://schemas.microsoft.com/office/drawing/2014/main" xmlns="" id="{00000000-0008-0000-0000-000040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417" name="Text Box 80">
          <a:extLst>
            <a:ext uri="{FF2B5EF4-FFF2-40B4-BE49-F238E27FC236}">
              <a16:creationId xmlns:a16="http://schemas.microsoft.com/office/drawing/2014/main" xmlns="" id="{00000000-0008-0000-0000-000041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418" name="Text Box 81">
          <a:extLst>
            <a:ext uri="{FF2B5EF4-FFF2-40B4-BE49-F238E27FC236}">
              <a16:creationId xmlns:a16="http://schemas.microsoft.com/office/drawing/2014/main" xmlns="" id="{00000000-0008-0000-0000-000042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47625"/>
    <xdr:sp macro="" textlink="">
      <xdr:nvSpPr>
        <xdr:cNvPr id="4419" name="Text Box 82">
          <a:extLst>
            <a:ext uri="{FF2B5EF4-FFF2-40B4-BE49-F238E27FC236}">
              <a16:creationId xmlns:a16="http://schemas.microsoft.com/office/drawing/2014/main" xmlns="" id="{00000000-0008-0000-0000-000043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420" name="Text Box 3079">
          <a:extLst>
            <a:ext uri="{FF2B5EF4-FFF2-40B4-BE49-F238E27FC236}">
              <a16:creationId xmlns:a16="http://schemas.microsoft.com/office/drawing/2014/main" xmlns="" id="{00000000-0008-0000-0000-000044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421" name="Text Box 3080">
          <a:extLst>
            <a:ext uri="{FF2B5EF4-FFF2-40B4-BE49-F238E27FC236}">
              <a16:creationId xmlns:a16="http://schemas.microsoft.com/office/drawing/2014/main" xmlns="" id="{00000000-0008-0000-0000-000045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422" name="Text Box 3081">
          <a:extLst>
            <a:ext uri="{FF2B5EF4-FFF2-40B4-BE49-F238E27FC236}">
              <a16:creationId xmlns:a16="http://schemas.microsoft.com/office/drawing/2014/main" xmlns="" id="{00000000-0008-0000-0000-000046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423" name="Text Box 3082">
          <a:extLst>
            <a:ext uri="{FF2B5EF4-FFF2-40B4-BE49-F238E27FC236}">
              <a16:creationId xmlns:a16="http://schemas.microsoft.com/office/drawing/2014/main" xmlns="" id="{00000000-0008-0000-0000-000047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424" name="Text Box 3083">
          <a:extLst>
            <a:ext uri="{FF2B5EF4-FFF2-40B4-BE49-F238E27FC236}">
              <a16:creationId xmlns:a16="http://schemas.microsoft.com/office/drawing/2014/main" xmlns="" id="{00000000-0008-0000-0000-000048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425" name="Text Box 3084">
          <a:extLst>
            <a:ext uri="{FF2B5EF4-FFF2-40B4-BE49-F238E27FC236}">
              <a16:creationId xmlns:a16="http://schemas.microsoft.com/office/drawing/2014/main" xmlns="" id="{00000000-0008-0000-0000-000049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426" name="Text Box 3085">
          <a:extLst>
            <a:ext uri="{FF2B5EF4-FFF2-40B4-BE49-F238E27FC236}">
              <a16:creationId xmlns:a16="http://schemas.microsoft.com/office/drawing/2014/main" xmlns="" id="{00000000-0008-0000-0000-00004A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427" name="Text Box 3086">
          <a:extLst>
            <a:ext uri="{FF2B5EF4-FFF2-40B4-BE49-F238E27FC236}">
              <a16:creationId xmlns:a16="http://schemas.microsoft.com/office/drawing/2014/main" xmlns="" id="{00000000-0008-0000-0000-00004B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428" name="Text Box 3087">
          <a:extLst>
            <a:ext uri="{FF2B5EF4-FFF2-40B4-BE49-F238E27FC236}">
              <a16:creationId xmlns:a16="http://schemas.microsoft.com/office/drawing/2014/main" xmlns="" id="{00000000-0008-0000-0000-00004C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429" name="Text Box 3088">
          <a:extLst>
            <a:ext uri="{FF2B5EF4-FFF2-40B4-BE49-F238E27FC236}">
              <a16:creationId xmlns:a16="http://schemas.microsoft.com/office/drawing/2014/main" xmlns="" id="{00000000-0008-0000-0000-00004D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430" name="Text Box 3089">
          <a:extLst>
            <a:ext uri="{FF2B5EF4-FFF2-40B4-BE49-F238E27FC236}">
              <a16:creationId xmlns:a16="http://schemas.microsoft.com/office/drawing/2014/main" xmlns="" id="{00000000-0008-0000-0000-00004E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431" name="Text Box 3090">
          <a:extLst>
            <a:ext uri="{FF2B5EF4-FFF2-40B4-BE49-F238E27FC236}">
              <a16:creationId xmlns:a16="http://schemas.microsoft.com/office/drawing/2014/main" xmlns="" id="{00000000-0008-0000-0000-00004F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432" name="Text Box 3091">
          <a:extLst>
            <a:ext uri="{FF2B5EF4-FFF2-40B4-BE49-F238E27FC236}">
              <a16:creationId xmlns:a16="http://schemas.microsoft.com/office/drawing/2014/main" xmlns="" id="{00000000-0008-0000-0000-000050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433" name="Text Box 3092">
          <a:extLst>
            <a:ext uri="{FF2B5EF4-FFF2-40B4-BE49-F238E27FC236}">
              <a16:creationId xmlns:a16="http://schemas.microsoft.com/office/drawing/2014/main" xmlns="" id="{00000000-0008-0000-0000-000051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434" name="Text Box 3093">
          <a:extLst>
            <a:ext uri="{FF2B5EF4-FFF2-40B4-BE49-F238E27FC236}">
              <a16:creationId xmlns:a16="http://schemas.microsoft.com/office/drawing/2014/main" xmlns="" id="{00000000-0008-0000-0000-000052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435" name="Text Box 3094">
          <a:extLst>
            <a:ext uri="{FF2B5EF4-FFF2-40B4-BE49-F238E27FC236}">
              <a16:creationId xmlns:a16="http://schemas.microsoft.com/office/drawing/2014/main" xmlns="" id="{00000000-0008-0000-0000-000053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436" name="Text Box 3095">
          <a:extLst>
            <a:ext uri="{FF2B5EF4-FFF2-40B4-BE49-F238E27FC236}">
              <a16:creationId xmlns:a16="http://schemas.microsoft.com/office/drawing/2014/main" xmlns="" id="{00000000-0008-0000-0000-000054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437" name="Text Box 3096">
          <a:extLst>
            <a:ext uri="{FF2B5EF4-FFF2-40B4-BE49-F238E27FC236}">
              <a16:creationId xmlns:a16="http://schemas.microsoft.com/office/drawing/2014/main" xmlns="" id="{00000000-0008-0000-0000-000055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438" name="Text Box 3097">
          <a:extLst>
            <a:ext uri="{FF2B5EF4-FFF2-40B4-BE49-F238E27FC236}">
              <a16:creationId xmlns:a16="http://schemas.microsoft.com/office/drawing/2014/main" xmlns="" id="{00000000-0008-0000-0000-000056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439" name="Text Box 3098">
          <a:extLst>
            <a:ext uri="{FF2B5EF4-FFF2-40B4-BE49-F238E27FC236}">
              <a16:creationId xmlns:a16="http://schemas.microsoft.com/office/drawing/2014/main" xmlns="" id="{00000000-0008-0000-0000-000057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440" name="Text Box 3099">
          <a:extLst>
            <a:ext uri="{FF2B5EF4-FFF2-40B4-BE49-F238E27FC236}">
              <a16:creationId xmlns:a16="http://schemas.microsoft.com/office/drawing/2014/main" xmlns="" id="{00000000-0008-0000-0000-000058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441" name="Text Box 3100">
          <a:extLst>
            <a:ext uri="{FF2B5EF4-FFF2-40B4-BE49-F238E27FC236}">
              <a16:creationId xmlns:a16="http://schemas.microsoft.com/office/drawing/2014/main" xmlns="" id="{00000000-0008-0000-0000-000059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442" name="Text Box 3101">
          <a:extLst>
            <a:ext uri="{FF2B5EF4-FFF2-40B4-BE49-F238E27FC236}">
              <a16:creationId xmlns:a16="http://schemas.microsoft.com/office/drawing/2014/main" xmlns="" id="{00000000-0008-0000-0000-00005A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4443" name="Text Box 3102">
          <a:extLst>
            <a:ext uri="{FF2B5EF4-FFF2-40B4-BE49-F238E27FC236}">
              <a16:creationId xmlns:a16="http://schemas.microsoft.com/office/drawing/2014/main" xmlns="" id="{00000000-0008-0000-0000-00005B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444" name="Text Box 59">
          <a:extLst>
            <a:ext uri="{FF2B5EF4-FFF2-40B4-BE49-F238E27FC236}">
              <a16:creationId xmlns:a16="http://schemas.microsoft.com/office/drawing/2014/main" xmlns="" id="{00000000-0008-0000-0000-00005C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445" name="Text Box 60">
          <a:extLst>
            <a:ext uri="{FF2B5EF4-FFF2-40B4-BE49-F238E27FC236}">
              <a16:creationId xmlns:a16="http://schemas.microsoft.com/office/drawing/2014/main" xmlns="" id="{00000000-0008-0000-0000-00005D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446" name="Text Box 61">
          <a:extLst>
            <a:ext uri="{FF2B5EF4-FFF2-40B4-BE49-F238E27FC236}">
              <a16:creationId xmlns:a16="http://schemas.microsoft.com/office/drawing/2014/main" xmlns="" id="{00000000-0008-0000-0000-00005E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447" name="Text Box 62">
          <a:extLst>
            <a:ext uri="{FF2B5EF4-FFF2-40B4-BE49-F238E27FC236}">
              <a16:creationId xmlns:a16="http://schemas.microsoft.com/office/drawing/2014/main" xmlns="" id="{00000000-0008-0000-0000-00005F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448" name="Text Box 63">
          <a:extLst>
            <a:ext uri="{FF2B5EF4-FFF2-40B4-BE49-F238E27FC236}">
              <a16:creationId xmlns:a16="http://schemas.microsoft.com/office/drawing/2014/main" xmlns="" id="{00000000-0008-0000-0000-000060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449" name="Text Box 64">
          <a:extLst>
            <a:ext uri="{FF2B5EF4-FFF2-40B4-BE49-F238E27FC236}">
              <a16:creationId xmlns:a16="http://schemas.microsoft.com/office/drawing/2014/main" xmlns="" id="{00000000-0008-0000-0000-000061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450" name="Text Box 65">
          <a:extLst>
            <a:ext uri="{FF2B5EF4-FFF2-40B4-BE49-F238E27FC236}">
              <a16:creationId xmlns:a16="http://schemas.microsoft.com/office/drawing/2014/main" xmlns="" id="{00000000-0008-0000-0000-000062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451" name="Text Box 66">
          <a:extLst>
            <a:ext uri="{FF2B5EF4-FFF2-40B4-BE49-F238E27FC236}">
              <a16:creationId xmlns:a16="http://schemas.microsoft.com/office/drawing/2014/main" xmlns="" id="{00000000-0008-0000-0000-000063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452" name="Text Box 67">
          <a:extLst>
            <a:ext uri="{FF2B5EF4-FFF2-40B4-BE49-F238E27FC236}">
              <a16:creationId xmlns:a16="http://schemas.microsoft.com/office/drawing/2014/main" xmlns="" id="{00000000-0008-0000-0000-000064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453" name="Text Box 68">
          <a:extLst>
            <a:ext uri="{FF2B5EF4-FFF2-40B4-BE49-F238E27FC236}">
              <a16:creationId xmlns:a16="http://schemas.microsoft.com/office/drawing/2014/main" xmlns="" id="{00000000-0008-0000-0000-000065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454" name="Text Box 69">
          <a:extLst>
            <a:ext uri="{FF2B5EF4-FFF2-40B4-BE49-F238E27FC236}">
              <a16:creationId xmlns:a16="http://schemas.microsoft.com/office/drawing/2014/main" xmlns="" id="{00000000-0008-0000-0000-000066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455" name="Text Box 70">
          <a:extLst>
            <a:ext uri="{FF2B5EF4-FFF2-40B4-BE49-F238E27FC236}">
              <a16:creationId xmlns:a16="http://schemas.microsoft.com/office/drawing/2014/main" xmlns="" id="{00000000-0008-0000-0000-000067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456" name="Text Box 71">
          <a:extLst>
            <a:ext uri="{FF2B5EF4-FFF2-40B4-BE49-F238E27FC236}">
              <a16:creationId xmlns:a16="http://schemas.microsoft.com/office/drawing/2014/main" xmlns="" id="{00000000-0008-0000-0000-000068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457" name="Text Box 72">
          <a:extLst>
            <a:ext uri="{FF2B5EF4-FFF2-40B4-BE49-F238E27FC236}">
              <a16:creationId xmlns:a16="http://schemas.microsoft.com/office/drawing/2014/main" xmlns="" id="{00000000-0008-0000-0000-000069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458" name="Text Box 73">
          <a:extLst>
            <a:ext uri="{FF2B5EF4-FFF2-40B4-BE49-F238E27FC236}">
              <a16:creationId xmlns:a16="http://schemas.microsoft.com/office/drawing/2014/main" xmlns="" id="{00000000-0008-0000-0000-00006A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459" name="Text Box 74">
          <a:extLst>
            <a:ext uri="{FF2B5EF4-FFF2-40B4-BE49-F238E27FC236}">
              <a16:creationId xmlns:a16="http://schemas.microsoft.com/office/drawing/2014/main" xmlns="" id="{00000000-0008-0000-0000-00006B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460" name="Text Box 75">
          <a:extLst>
            <a:ext uri="{FF2B5EF4-FFF2-40B4-BE49-F238E27FC236}">
              <a16:creationId xmlns:a16="http://schemas.microsoft.com/office/drawing/2014/main" xmlns="" id="{00000000-0008-0000-0000-00006C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461" name="Text Box 76">
          <a:extLst>
            <a:ext uri="{FF2B5EF4-FFF2-40B4-BE49-F238E27FC236}">
              <a16:creationId xmlns:a16="http://schemas.microsoft.com/office/drawing/2014/main" xmlns="" id="{00000000-0008-0000-0000-00006D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462" name="Text Box 77">
          <a:extLst>
            <a:ext uri="{FF2B5EF4-FFF2-40B4-BE49-F238E27FC236}">
              <a16:creationId xmlns:a16="http://schemas.microsoft.com/office/drawing/2014/main" xmlns="" id="{00000000-0008-0000-0000-00006E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463" name="Text Box 78">
          <a:extLst>
            <a:ext uri="{FF2B5EF4-FFF2-40B4-BE49-F238E27FC236}">
              <a16:creationId xmlns:a16="http://schemas.microsoft.com/office/drawing/2014/main" xmlns="" id="{00000000-0008-0000-0000-00006F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464" name="Text Box 79">
          <a:extLst>
            <a:ext uri="{FF2B5EF4-FFF2-40B4-BE49-F238E27FC236}">
              <a16:creationId xmlns:a16="http://schemas.microsoft.com/office/drawing/2014/main" xmlns="" id="{00000000-0008-0000-0000-000070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465" name="Text Box 80">
          <a:extLst>
            <a:ext uri="{FF2B5EF4-FFF2-40B4-BE49-F238E27FC236}">
              <a16:creationId xmlns:a16="http://schemas.microsoft.com/office/drawing/2014/main" xmlns="" id="{00000000-0008-0000-0000-000071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466" name="Text Box 81">
          <a:extLst>
            <a:ext uri="{FF2B5EF4-FFF2-40B4-BE49-F238E27FC236}">
              <a16:creationId xmlns:a16="http://schemas.microsoft.com/office/drawing/2014/main" xmlns="" id="{00000000-0008-0000-0000-000072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467" name="Text Box 3079">
          <a:extLst>
            <a:ext uri="{FF2B5EF4-FFF2-40B4-BE49-F238E27FC236}">
              <a16:creationId xmlns:a16="http://schemas.microsoft.com/office/drawing/2014/main" xmlns="" id="{00000000-0008-0000-0000-000073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468" name="Text Box 3080">
          <a:extLst>
            <a:ext uri="{FF2B5EF4-FFF2-40B4-BE49-F238E27FC236}">
              <a16:creationId xmlns:a16="http://schemas.microsoft.com/office/drawing/2014/main" xmlns="" id="{00000000-0008-0000-0000-000074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469" name="Text Box 3081">
          <a:extLst>
            <a:ext uri="{FF2B5EF4-FFF2-40B4-BE49-F238E27FC236}">
              <a16:creationId xmlns:a16="http://schemas.microsoft.com/office/drawing/2014/main" xmlns="" id="{00000000-0008-0000-0000-000075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470" name="Text Box 3082">
          <a:extLst>
            <a:ext uri="{FF2B5EF4-FFF2-40B4-BE49-F238E27FC236}">
              <a16:creationId xmlns:a16="http://schemas.microsoft.com/office/drawing/2014/main" xmlns="" id="{00000000-0008-0000-0000-000076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471" name="Text Box 3083">
          <a:extLst>
            <a:ext uri="{FF2B5EF4-FFF2-40B4-BE49-F238E27FC236}">
              <a16:creationId xmlns:a16="http://schemas.microsoft.com/office/drawing/2014/main" xmlns="" id="{00000000-0008-0000-0000-000077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472" name="Text Box 3084">
          <a:extLst>
            <a:ext uri="{FF2B5EF4-FFF2-40B4-BE49-F238E27FC236}">
              <a16:creationId xmlns:a16="http://schemas.microsoft.com/office/drawing/2014/main" xmlns="" id="{00000000-0008-0000-0000-000078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473" name="Text Box 3085">
          <a:extLst>
            <a:ext uri="{FF2B5EF4-FFF2-40B4-BE49-F238E27FC236}">
              <a16:creationId xmlns:a16="http://schemas.microsoft.com/office/drawing/2014/main" xmlns="" id="{00000000-0008-0000-0000-000079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474" name="Text Box 3086">
          <a:extLst>
            <a:ext uri="{FF2B5EF4-FFF2-40B4-BE49-F238E27FC236}">
              <a16:creationId xmlns:a16="http://schemas.microsoft.com/office/drawing/2014/main" xmlns="" id="{00000000-0008-0000-0000-00007A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475" name="Text Box 3087">
          <a:extLst>
            <a:ext uri="{FF2B5EF4-FFF2-40B4-BE49-F238E27FC236}">
              <a16:creationId xmlns:a16="http://schemas.microsoft.com/office/drawing/2014/main" xmlns="" id="{00000000-0008-0000-0000-00007B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476" name="Text Box 3088">
          <a:extLst>
            <a:ext uri="{FF2B5EF4-FFF2-40B4-BE49-F238E27FC236}">
              <a16:creationId xmlns:a16="http://schemas.microsoft.com/office/drawing/2014/main" xmlns="" id="{00000000-0008-0000-0000-00007C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477" name="Text Box 3089">
          <a:extLst>
            <a:ext uri="{FF2B5EF4-FFF2-40B4-BE49-F238E27FC236}">
              <a16:creationId xmlns:a16="http://schemas.microsoft.com/office/drawing/2014/main" xmlns="" id="{00000000-0008-0000-0000-00007D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478" name="Text Box 3090">
          <a:extLst>
            <a:ext uri="{FF2B5EF4-FFF2-40B4-BE49-F238E27FC236}">
              <a16:creationId xmlns:a16="http://schemas.microsoft.com/office/drawing/2014/main" xmlns="" id="{00000000-0008-0000-0000-00007E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479" name="Text Box 3091">
          <a:extLst>
            <a:ext uri="{FF2B5EF4-FFF2-40B4-BE49-F238E27FC236}">
              <a16:creationId xmlns:a16="http://schemas.microsoft.com/office/drawing/2014/main" xmlns="" id="{00000000-0008-0000-0000-00007F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480" name="Text Box 3092">
          <a:extLst>
            <a:ext uri="{FF2B5EF4-FFF2-40B4-BE49-F238E27FC236}">
              <a16:creationId xmlns:a16="http://schemas.microsoft.com/office/drawing/2014/main" xmlns="" id="{00000000-0008-0000-0000-000080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481" name="Text Box 3093">
          <a:extLst>
            <a:ext uri="{FF2B5EF4-FFF2-40B4-BE49-F238E27FC236}">
              <a16:creationId xmlns:a16="http://schemas.microsoft.com/office/drawing/2014/main" xmlns="" id="{00000000-0008-0000-0000-000081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482" name="Text Box 3094">
          <a:extLst>
            <a:ext uri="{FF2B5EF4-FFF2-40B4-BE49-F238E27FC236}">
              <a16:creationId xmlns:a16="http://schemas.microsoft.com/office/drawing/2014/main" xmlns="" id="{00000000-0008-0000-0000-000082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483" name="Text Box 3095">
          <a:extLst>
            <a:ext uri="{FF2B5EF4-FFF2-40B4-BE49-F238E27FC236}">
              <a16:creationId xmlns:a16="http://schemas.microsoft.com/office/drawing/2014/main" xmlns="" id="{00000000-0008-0000-0000-000083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484" name="Text Box 3096">
          <a:extLst>
            <a:ext uri="{FF2B5EF4-FFF2-40B4-BE49-F238E27FC236}">
              <a16:creationId xmlns:a16="http://schemas.microsoft.com/office/drawing/2014/main" xmlns="" id="{00000000-0008-0000-0000-000084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485" name="Text Box 3097">
          <a:extLst>
            <a:ext uri="{FF2B5EF4-FFF2-40B4-BE49-F238E27FC236}">
              <a16:creationId xmlns:a16="http://schemas.microsoft.com/office/drawing/2014/main" xmlns="" id="{00000000-0008-0000-0000-000085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486" name="Text Box 3098">
          <a:extLst>
            <a:ext uri="{FF2B5EF4-FFF2-40B4-BE49-F238E27FC236}">
              <a16:creationId xmlns:a16="http://schemas.microsoft.com/office/drawing/2014/main" xmlns="" id="{00000000-0008-0000-0000-000086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487" name="Text Box 3099">
          <a:extLst>
            <a:ext uri="{FF2B5EF4-FFF2-40B4-BE49-F238E27FC236}">
              <a16:creationId xmlns:a16="http://schemas.microsoft.com/office/drawing/2014/main" xmlns="" id="{00000000-0008-0000-0000-000087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488" name="Text Box 3100">
          <a:extLst>
            <a:ext uri="{FF2B5EF4-FFF2-40B4-BE49-F238E27FC236}">
              <a16:creationId xmlns:a16="http://schemas.microsoft.com/office/drawing/2014/main" xmlns="" id="{00000000-0008-0000-0000-000088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489" name="Text Box 3101">
          <a:extLst>
            <a:ext uri="{FF2B5EF4-FFF2-40B4-BE49-F238E27FC236}">
              <a16:creationId xmlns:a16="http://schemas.microsoft.com/office/drawing/2014/main" xmlns="" id="{00000000-0008-0000-0000-000089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4490" name="Text Box 3102">
          <a:extLst>
            <a:ext uri="{FF2B5EF4-FFF2-40B4-BE49-F238E27FC236}">
              <a16:creationId xmlns:a16="http://schemas.microsoft.com/office/drawing/2014/main" xmlns="" id="{00000000-0008-0000-0000-00008A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491" name="Text Box 59">
          <a:extLst>
            <a:ext uri="{FF2B5EF4-FFF2-40B4-BE49-F238E27FC236}">
              <a16:creationId xmlns:a16="http://schemas.microsoft.com/office/drawing/2014/main" xmlns="" id="{00000000-0008-0000-0000-00008B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492" name="Text Box 60">
          <a:extLst>
            <a:ext uri="{FF2B5EF4-FFF2-40B4-BE49-F238E27FC236}">
              <a16:creationId xmlns:a16="http://schemas.microsoft.com/office/drawing/2014/main" xmlns="" id="{00000000-0008-0000-0000-00008C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493" name="Text Box 61">
          <a:extLst>
            <a:ext uri="{FF2B5EF4-FFF2-40B4-BE49-F238E27FC236}">
              <a16:creationId xmlns:a16="http://schemas.microsoft.com/office/drawing/2014/main" xmlns="" id="{00000000-0008-0000-0000-00008D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494" name="Text Box 62">
          <a:extLst>
            <a:ext uri="{FF2B5EF4-FFF2-40B4-BE49-F238E27FC236}">
              <a16:creationId xmlns:a16="http://schemas.microsoft.com/office/drawing/2014/main" xmlns="" id="{00000000-0008-0000-0000-00008E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495" name="Text Box 63">
          <a:extLst>
            <a:ext uri="{FF2B5EF4-FFF2-40B4-BE49-F238E27FC236}">
              <a16:creationId xmlns:a16="http://schemas.microsoft.com/office/drawing/2014/main" xmlns="" id="{00000000-0008-0000-0000-00008F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496" name="Text Box 64">
          <a:extLst>
            <a:ext uri="{FF2B5EF4-FFF2-40B4-BE49-F238E27FC236}">
              <a16:creationId xmlns:a16="http://schemas.microsoft.com/office/drawing/2014/main" xmlns="" id="{00000000-0008-0000-0000-000090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497" name="Text Box 65">
          <a:extLst>
            <a:ext uri="{FF2B5EF4-FFF2-40B4-BE49-F238E27FC236}">
              <a16:creationId xmlns:a16="http://schemas.microsoft.com/office/drawing/2014/main" xmlns="" id="{00000000-0008-0000-0000-000091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498" name="Text Box 66">
          <a:extLst>
            <a:ext uri="{FF2B5EF4-FFF2-40B4-BE49-F238E27FC236}">
              <a16:creationId xmlns:a16="http://schemas.microsoft.com/office/drawing/2014/main" xmlns="" id="{00000000-0008-0000-0000-000092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499" name="Text Box 67">
          <a:extLst>
            <a:ext uri="{FF2B5EF4-FFF2-40B4-BE49-F238E27FC236}">
              <a16:creationId xmlns:a16="http://schemas.microsoft.com/office/drawing/2014/main" xmlns="" id="{00000000-0008-0000-0000-000093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500" name="Text Box 68">
          <a:extLst>
            <a:ext uri="{FF2B5EF4-FFF2-40B4-BE49-F238E27FC236}">
              <a16:creationId xmlns:a16="http://schemas.microsoft.com/office/drawing/2014/main" xmlns="" id="{00000000-0008-0000-0000-000094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501" name="Text Box 69">
          <a:extLst>
            <a:ext uri="{FF2B5EF4-FFF2-40B4-BE49-F238E27FC236}">
              <a16:creationId xmlns:a16="http://schemas.microsoft.com/office/drawing/2014/main" xmlns="" id="{00000000-0008-0000-0000-000095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502" name="Text Box 70">
          <a:extLst>
            <a:ext uri="{FF2B5EF4-FFF2-40B4-BE49-F238E27FC236}">
              <a16:creationId xmlns:a16="http://schemas.microsoft.com/office/drawing/2014/main" xmlns="" id="{00000000-0008-0000-0000-000096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503" name="Text Box 71">
          <a:extLst>
            <a:ext uri="{FF2B5EF4-FFF2-40B4-BE49-F238E27FC236}">
              <a16:creationId xmlns:a16="http://schemas.microsoft.com/office/drawing/2014/main" xmlns="" id="{00000000-0008-0000-0000-000097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504" name="Text Box 72">
          <a:extLst>
            <a:ext uri="{FF2B5EF4-FFF2-40B4-BE49-F238E27FC236}">
              <a16:creationId xmlns:a16="http://schemas.microsoft.com/office/drawing/2014/main" xmlns="" id="{00000000-0008-0000-0000-000098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505" name="Text Box 73">
          <a:extLst>
            <a:ext uri="{FF2B5EF4-FFF2-40B4-BE49-F238E27FC236}">
              <a16:creationId xmlns:a16="http://schemas.microsoft.com/office/drawing/2014/main" xmlns="" id="{00000000-0008-0000-0000-000099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506" name="Text Box 74">
          <a:extLst>
            <a:ext uri="{FF2B5EF4-FFF2-40B4-BE49-F238E27FC236}">
              <a16:creationId xmlns:a16="http://schemas.microsoft.com/office/drawing/2014/main" xmlns="" id="{00000000-0008-0000-0000-00009A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507" name="Text Box 75">
          <a:extLst>
            <a:ext uri="{FF2B5EF4-FFF2-40B4-BE49-F238E27FC236}">
              <a16:creationId xmlns:a16="http://schemas.microsoft.com/office/drawing/2014/main" xmlns="" id="{00000000-0008-0000-0000-00009B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508" name="Text Box 76">
          <a:extLst>
            <a:ext uri="{FF2B5EF4-FFF2-40B4-BE49-F238E27FC236}">
              <a16:creationId xmlns:a16="http://schemas.microsoft.com/office/drawing/2014/main" xmlns="" id="{00000000-0008-0000-0000-00009C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509" name="Text Box 77">
          <a:extLst>
            <a:ext uri="{FF2B5EF4-FFF2-40B4-BE49-F238E27FC236}">
              <a16:creationId xmlns:a16="http://schemas.microsoft.com/office/drawing/2014/main" xmlns="" id="{00000000-0008-0000-0000-00009D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510" name="Text Box 78">
          <a:extLst>
            <a:ext uri="{FF2B5EF4-FFF2-40B4-BE49-F238E27FC236}">
              <a16:creationId xmlns:a16="http://schemas.microsoft.com/office/drawing/2014/main" xmlns="" id="{00000000-0008-0000-0000-00009E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511" name="Text Box 79">
          <a:extLst>
            <a:ext uri="{FF2B5EF4-FFF2-40B4-BE49-F238E27FC236}">
              <a16:creationId xmlns:a16="http://schemas.microsoft.com/office/drawing/2014/main" xmlns="" id="{00000000-0008-0000-0000-00009F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512" name="Text Box 80">
          <a:extLst>
            <a:ext uri="{FF2B5EF4-FFF2-40B4-BE49-F238E27FC236}">
              <a16:creationId xmlns:a16="http://schemas.microsoft.com/office/drawing/2014/main" xmlns="" id="{00000000-0008-0000-0000-0000A0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513" name="Text Box 81">
          <a:extLst>
            <a:ext uri="{FF2B5EF4-FFF2-40B4-BE49-F238E27FC236}">
              <a16:creationId xmlns:a16="http://schemas.microsoft.com/office/drawing/2014/main" xmlns="" id="{00000000-0008-0000-0000-0000A1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47625"/>
    <xdr:sp macro="" textlink="">
      <xdr:nvSpPr>
        <xdr:cNvPr id="4514" name="Text Box 82">
          <a:extLst>
            <a:ext uri="{FF2B5EF4-FFF2-40B4-BE49-F238E27FC236}">
              <a16:creationId xmlns:a16="http://schemas.microsoft.com/office/drawing/2014/main" xmlns="" id="{00000000-0008-0000-0000-0000A2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515" name="Text Box 3079">
          <a:extLst>
            <a:ext uri="{FF2B5EF4-FFF2-40B4-BE49-F238E27FC236}">
              <a16:creationId xmlns:a16="http://schemas.microsoft.com/office/drawing/2014/main" xmlns="" id="{00000000-0008-0000-0000-0000A3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516" name="Text Box 3080">
          <a:extLst>
            <a:ext uri="{FF2B5EF4-FFF2-40B4-BE49-F238E27FC236}">
              <a16:creationId xmlns:a16="http://schemas.microsoft.com/office/drawing/2014/main" xmlns="" id="{00000000-0008-0000-0000-0000A4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517" name="Text Box 3081">
          <a:extLst>
            <a:ext uri="{FF2B5EF4-FFF2-40B4-BE49-F238E27FC236}">
              <a16:creationId xmlns:a16="http://schemas.microsoft.com/office/drawing/2014/main" xmlns="" id="{00000000-0008-0000-0000-0000A5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518" name="Text Box 3082">
          <a:extLst>
            <a:ext uri="{FF2B5EF4-FFF2-40B4-BE49-F238E27FC236}">
              <a16:creationId xmlns:a16="http://schemas.microsoft.com/office/drawing/2014/main" xmlns="" id="{00000000-0008-0000-0000-0000A6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519" name="Text Box 3083">
          <a:extLst>
            <a:ext uri="{FF2B5EF4-FFF2-40B4-BE49-F238E27FC236}">
              <a16:creationId xmlns:a16="http://schemas.microsoft.com/office/drawing/2014/main" xmlns="" id="{00000000-0008-0000-0000-0000A7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520" name="Text Box 3084">
          <a:extLst>
            <a:ext uri="{FF2B5EF4-FFF2-40B4-BE49-F238E27FC236}">
              <a16:creationId xmlns:a16="http://schemas.microsoft.com/office/drawing/2014/main" xmlns="" id="{00000000-0008-0000-0000-0000A8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521" name="Text Box 3085">
          <a:extLst>
            <a:ext uri="{FF2B5EF4-FFF2-40B4-BE49-F238E27FC236}">
              <a16:creationId xmlns:a16="http://schemas.microsoft.com/office/drawing/2014/main" xmlns="" id="{00000000-0008-0000-0000-0000A9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522" name="Text Box 3086">
          <a:extLst>
            <a:ext uri="{FF2B5EF4-FFF2-40B4-BE49-F238E27FC236}">
              <a16:creationId xmlns:a16="http://schemas.microsoft.com/office/drawing/2014/main" xmlns="" id="{00000000-0008-0000-0000-0000AA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523" name="Text Box 3087">
          <a:extLst>
            <a:ext uri="{FF2B5EF4-FFF2-40B4-BE49-F238E27FC236}">
              <a16:creationId xmlns:a16="http://schemas.microsoft.com/office/drawing/2014/main" xmlns="" id="{00000000-0008-0000-0000-0000AB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524" name="Text Box 3088">
          <a:extLst>
            <a:ext uri="{FF2B5EF4-FFF2-40B4-BE49-F238E27FC236}">
              <a16:creationId xmlns:a16="http://schemas.microsoft.com/office/drawing/2014/main" xmlns="" id="{00000000-0008-0000-0000-0000AC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525" name="Text Box 3089">
          <a:extLst>
            <a:ext uri="{FF2B5EF4-FFF2-40B4-BE49-F238E27FC236}">
              <a16:creationId xmlns:a16="http://schemas.microsoft.com/office/drawing/2014/main" xmlns="" id="{00000000-0008-0000-0000-0000AD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526" name="Text Box 3090">
          <a:extLst>
            <a:ext uri="{FF2B5EF4-FFF2-40B4-BE49-F238E27FC236}">
              <a16:creationId xmlns:a16="http://schemas.microsoft.com/office/drawing/2014/main" xmlns="" id="{00000000-0008-0000-0000-0000AE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527" name="Text Box 3091">
          <a:extLst>
            <a:ext uri="{FF2B5EF4-FFF2-40B4-BE49-F238E27FC236}">
              <a16:creationId xmlns:a16="http://schemas.microsoft.com/office/drawing/2014/main" xmlns="" id="{00000000-0008-0000-0000-0000AF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528" name="Text Box 3092">
          <a:extLst>
            <a:ext uri="{FF2B5EF4-FFF2-40B4-BE49-F238E27FC236}">
              <a16:creationId xmlns:a16="http://schemas.microsoft.com/office/drawing/2014/main" xmlns="" id="{00000000-0008-0000-0000-0000B0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529" name="Text Box 3093">
          <a:extLst>
            <a:ext uri="{FF2B5EF4-FFF2-40B4-BE49-F238E27FC236}">
              <a16:creationId xmlns:a16="http://schemas.microsoft.com/office/drawing/2014/main" xmlns="" id="{00000000-0008-0000-0000-0000B1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530" name="Text Box 3094">
          <a:extLst>
            <a:ext uri="{FF2B5EF4-FFF2-40B4-BE49-F238E27FC236}">
              <a16:creationId xmlns:a16="http://schemas.microsoft.com/office/drawing/2014/main" xmlns="" id="{00000000-0008-0000-0000-0000B2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531" name="Text Box 3095">
          <a:extLst>
            <a:ext uri="{FF2B5EF4-FFF2-40B4-BE49-F238E27FC236}">
              <a16:creationId xmlns:a16="http://schemas.microsoft.com/office/drawing/2014/main" xmlns="" id="{00000000-0008-0000-0000-0000B3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532" name="Text Box 3096">
          <a:extLst>
            <a:ext uri="{FF2B5EF4-FFF2-40B4-BE49-F238E27FC236}">
              <a16:creationId xmlns:a16="http://schemas.microsoft.com/office/drawing/2014/main" xmlns="" id="{00000000-0008-0000-0000-0000B4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533" name="Text Box 3097">
          <a:extLst>
            <a:ext uri="{FF2B5EF4-FFF2-40B4-BE49-F238E27FC236}">
              <a16:creationId xmlns:a16="http://schemas.microsoft.com/office/drawing/2014/main" xmlns="" id="{00000000-0008-0000-0000-0000B5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534" name="Text Box 3098">
          <a:extLst>
            <a:ext uri="{FF2B5EF4-FFF2-40B4-BE49-F238E27FC236}">
              <a16:creationId xmlns:a16="http://schemas.microsoft.com/office/drawing/2014/main" xmlns="" id="{00000000-0008-0000-0000-0000B6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535" name="Text Box 3099">
          <a:extLst>
            <a:ext uri="{FF2B5EF4-FFF2-40B4-BE49-F238E27FC236}">
              <a16:creationId xmlns:a16="http://schemas.microsoft.com/office/drawing/2014/main" xmlns="" id="{00000000-0008-0000-0000-0000B7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536" name="Text Box 3100">
          <a:extLst>
            <a:ext uri="{FF2B5EF4-FFF2-40B4-BE49-F238E27FC236}">
              <a16:creationId xmlns:a16="http://schemas.microsoft.com/office/drawing/2014/main" xmlns="" id="{00000000-0008-0000-0000-0000B8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537" name="Text Box 3101">
          <a:extLst>
            <a:ext uri="{FF2B5EF4-FFF2-40B4-BE49-F238E27FC236}">
              <a16:creationId xmlns:a16="http://schemas.microsoft.com/office/drawing/2014/main" xmlns="" id="{00000000-0008-0000-0000-0000B9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4538" name="Text Box 3102">
          <a:extLst>
            <a:ext uri="{FF2B5EF4-FFF2-40B4-BE49-F238E27FC236}">
              <a16:creationId xmlns:a16="http://schemas.microsoft.com/office/drawing/2014/main" xmlns="" id="{00000000-0008-0000-0000-0000BA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539" name="Text Box 59">
          <a:extLst>
            <a:ext uri="{FF2B5EF4-FFF2-40B4-BE49-F238E27FC236}">
              <a16:creationId xmlns:a16="http://schemas.microsoft.com/office/drawing/2014/main" xmlns="" id="{00000000-0008-0000-0000-0000BB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540" name="Text Box 60">
          <a:extLst>
            <a:ext uri="{FF2B5EF4-FFF2-40B4-BE49-F238E27FC236}">
              <a16:creationId xmlns:a16="http://schemas.microsoft.com/office/drawing/2014/main" xmlns="" id="{00000000-0008-0000-0000-0000BC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541" name="Text Box 61">
          <a:extLst>
            <a:ext uri="{FF2B5EF4-FFF2-40B4-BE49-F238E27FC236}">
              <a16:creationId xmlns:a16="http://schemas.microsoft.com/office/drawing/2014/main" xmlns="" id="{00000000-0008-0000-0000-0000BD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542" name="Text Box 62">
          <a:extLst>
            <a:ext uri="{FF2B5EF4-FFF2-40B4-BE49-F238E27FC236}">
              <a16:creationId xmlns:a16="http://schemas.microsoft.com/office/drawing/2014/main" xmlns="" id="{00000000-0008-0000-0000-0000BE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543" name="Text Box 63">
          <a:extLst>
            <a:ext uri="{FF2B5EF4-FFF2-40B4-BE49-F238E27FC236}">
              <a16:creationId xmlns:a16="http://schemas.microsoft.com/office/drawing/2014/main" xmlns="" id="{00000000-0008-0000-0000-0000BF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544" name="Text Box 64">
          <a:extLst>
            <a:ext uri="{FF2B5EF4-FFF2-40B4-BE49-F238E27FC236}">
              <a16:creationId xmlns:a16="http://schemas.microsoft.com/office/drawing/2014/main" xmlns="" id="{00000000-0008-0000-0000-0000C0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545" name="Text Box 65">
          <a:extLst>
            <a:ext uri="{FF2B5EF4-FFF2-40B4-BE49-F238E27FC236}">
              <a16:creationId xmlns:a16="http://schemas.microsoft.com/office/drawing/2014/main" xmlns="" id="{00000000-0008-0000-0000-0000C1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546" name="Text Box 66">
          <a:extLst>
            <a:ext uri="{FF2B5EF4-FFF2-40B4-BE49-F238E27FC236}">
              <a16:creationId xmlns:a16="http://schemas.microsoft.com/office/drawing/2014/main" xmlns="" id="{00000000-0008-0000-0000-0000C2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547" name="Text Box 67">
          <a:extLst>
            <a:ext uri="{FF2B5EF4-FFF2-40B4-BE49-F238E27FC236}">
              <a16:creationId xmlns:a16="http://schemas.microsoft.com/office/drawing/2014/main" xmlns="" id="{00000000-0008-0000-0000-0000C3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548" name="Text Box 68">
          <a:extLst>
            <a:ext uri="{FF2B5EF4-FFF2-40B4-BE49-F238E27FC236}">
              <a16:creationId xmlns:a16="http://schemas.microsoft.com/office/drawing/2014/main" xmlns="" id="{00000000-0008-0000-0000-0000C4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549" name="Text Box 69">
          <a:extLst>
            <a:ext uri="{FF2B5EF4-FFF2-40B4-BE49-F238E27FC236}">
              <a16:creationId xmlns:a16="http://schemas.microsoft.com/office/drawing/2014/main" xmlns="" id="{00000000-0008-0000-0000-0000C5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550" name="Text Box 70">
          <a:extLst>
            <a:ext uri="{FF2B5EF4-FFF2-40B4-BE49-F238E27FC236}">
              <a16:creationId xmlns:a16="http://schemas.microsoft.com/office/drawing/2014/main" xmlns="" id="{00000000-0008-0000-0000-0000C6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551" name="Text Box 71">
          <a:extLst>
            <a:ext uri="{FF2B5EF4-FFF2-40B4-BE49-F238E27FC236}">
              <a16:creationId xmlns:a16="http://schemas.microsoft.com/office/drawing/2014/main" xmlns="" id="{00000000-0008-0000-0000-0000C7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552" name="Text Box 72">
          <a:extLst>
            <a:ext uri="{FF2B5EF4-FFF2-40B4-BE49-F238E27FC236}">
              <a16:creationId xmlns:a16="http://schemas.microsoft.com/office/drawing/2014/main" xmlns="" id="{00000000-0008-0000-0000-0000C8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553" name="Text Box 73">
          <a:extLst>
            <a:ext uri="{FF2B5EF4-FFF2-40B4-BE49-F238E27FC236}">
              <a16:creationId xmlns:a16="http://schemas.microsoft.com/office/drawing/2014/main" xmlns="" id="{00000000-0008-0000-0000-0000C9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554" name="Text Box 74">
          <a:extLst>
            <a:ext uri="{FF2B5EF4-FFF2-40B4-BE49-F238E27FC236}">
              <a16:creationId xmlns:a16="http://schemas.microsoft.com/office/drawing/2014/main" xmlns="" id="{00000000-0008-0000-0000-0000CA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555" name="Text Box 75">
          <a:extLst>
            <a:ext uri="{FF2B5EF4-FFF2-40B4-BE49-F238E27FC236}">
              <a16:creationId xmlns:a16="http://schemas.microsoft.com/office/drawing/2014/main" xmlns="" id="{00000000-0008-0000-0000-0000CB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556" name="Text Box 76">
          <a:extLst>
            <a:ext uri="{FF2B5EF4-FFF2-40B4-BE49-F238E27FC236}">
              <a16:creationId xmlns:a16="http://schemas.microsoft.com/office/drawing/2014/main" xmlns="" id="{00000000-0008-0000-0000-0000CC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557" name="Text Box 77">
          <a:extLst>
            <a:ext uri="{FF2B5EF4-FFF2-40B4-BE49-F238E27FC236}">
              <a16:creationId xmlns:a16="http://schemas.microsoft.com/office/drawing/2014/main" xmlns="" id="{00000000-0008-0000-0000-0000CD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558" name="Text Box 78">
          <a:extLst>
            <a:ext uri="{FF2B5EF4-FFF2-40B4-BE49-F238E27FC236}">
              <a16:creationId xmlns:a16="http://schemas.microsoft.com/office/drawing/2014/main" xmlns="" id="{00000000-0008-0000-0000-0000CE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559" name="Text Box 79">
          <a:extLst>
            <a:ext uri="{FF2B5EF4-FFF2-40B4-BE49-F238E27FC236}">
              <a16:creationId xmlns:a16="http://schemas.microsoft.com/office/drawing/2014/main" xmlns="" id="{00000000-0008-0000-0000-0000CF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560" name="Text Box 80">
          <a:extLst>
            <a:ext uri="{FF2B5EF4-FFF2-40B4-BE49-F238E27FC236}">
              <a16:creationId xmlns:a16="http://schemas.microsoft.com/office/drawing/2014/main" xmlns="" id="{00000000-0008-0000-0000-0000D0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561" name="Text Box 81">
          <a:extLst>
            <a:ext uri="{FF2B5EF4-FFF2-40B4-BE49-F238E27FC236}">
              <a16:creationId xmlns:a16="http://schemas.microsoft.com/office/drawing/2014/main" xmlns="" id="{00000000-0008-0000-0000-0000D1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562" name="Text Box 3079">
          <a:extLst>
            <a:ext uri="{FF2B5EF4-FFF2-40B4-BE49-F238E27FC236}">
              <a16:creationId xmlns:a16="http://schemas.microsoft.com/office/drawing/2014/main" xmlns="" id="{00000000-0008-0000-0000-0000D2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563" name="Text Box 3080">
          <a:extLst>
            <a:ext uri="{FF2B5EF4-FFF2-40B4-BE49-F238E27FC236}">
              <a16:creationId xmlns:a16="http://schemas.microsoft.com/office/drawing/2014/main" xmlns="" id="{00000000-0008-0000-0000-0000D3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564" name="Text Box 3081">
          <a:extLst>
            <a:ext uri="{FF2B5EF4-FFF2-40B4-BE49-F238E27FC236}">
              <a16:creationId xmlns:a16="http://schemas.microsoft.com/office/drawing/2014/main" xmlns="" id="{00000000-0008-0000-0000-0000D4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565" name="Text Box 3082">
          <a:extLst>
            <a:ext uri="{FF2B5EF4-FFF2-40B4-BE49-F238E27FC236}">
              <a16:creationId xmlns:a16="http://schemas.microsoft.com/office/drawing/2014/main" xmlns="" id="{00000000-0008-0000-0000-0000D5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566" name="Text Box 3083">
          <a:extLst>
            <a:ext uri="{FF2B5EF4-FFF2-40B4-BE49-F238E27FC236}">
              <a16:creationId xmlns:a16="http://schemas.microsoft.com/office/drawing/2014/main" xmlns="" id="{00000000-0008-0000-0000-0000D6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567" name="Text Box 3084">
          <a:extLst>
            <a:ext uri="{FF2B5EF4-FFF2-40B4-BE49-F238E27FC236}">
              <a16:creationId xmlns:a16="http://schemas.microsoft.com/office/drawing/2014/main" xmlns="" id="{00000000-0008-0000-0000-0000D7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568" name="Text Box 3085">
          <a:extLst>
            <a:ext uri="{FF2B5EF4-FFF2-40B4-BE49-F238E27FC236}">
              <a16:creationId xmlns:a16="http://schemas.microsoft.com/office/drawing/2014/main" xmlns="" id="{00000000-0008-0000-0000-0000D8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569" name="Text Box 3086">
          <a:extLst>
            <a:ext uri="{FF2B5EF4-FFF2-40B4-BE49-F238E27FC236}">
              <a16:creationId xmlns:a16="http://schemas.microsoft.com/office/drawing/2014/main" xmlns="" id="{00000000-0008-0000-0000-0000D9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570" name="Text Box 3087">
          <a:extLst>
            <a:ext uri="{FF2B5EF4-FFF2-40B4-BE49-F238E27FC236}">
              <a16:creationId xmlns:a16="http://schemas.microsoft.com/office/drawing/2014/main" xmlns="" id="{00000000-0008-0000-0000-0000DA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571" name="Text Box 3088">
          <a:extLst>
            <a:ext uri="{FF2B5EF4-FFF2-40B4-BE49-F238E27FC236}">
              <a16:creationId xmlns:a16="http://schemas.microsoft.com/office/drawing/2014/main" xmlns="" id="{00000000-0008-0000-0000-0000DB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572" name="Text Box 3089">
          <a:extLst>
            <a:ext uri="{FF2B5EF4-FFF2-40B4-BE49-F238E27FC236}">
              <a16:creationId xmlns:a16="http://schemas.microsoft.com/office/drawing/2014/main" xmlns="" id="{00000000-0008-0000-0000-0000DC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573" name="Text Box 3090">
          <a:extLst>
            <a:ext uri="{FF2B5EF4-FFF2-40B4-BE49-F238E27FC236}">
              <a16:creationId xmlns:a16="http://schemas.microsoft.com/office/drawing/2014/main" xmlns="" id="{00000000-0008-0000-0000-0000DD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574" name="Text Box 3091">
          <a:extLst>
            <a:ext uri="{FF2B5EF4-FFF2-40B4-BE49-F238E27FC236}">
              <a16:creationId xmlns:a16="http://schemas.microsoft.com/office/drawing/2014/main" xmlns="" id="{00000000-0008-0000-0000-0000DE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575" name="Text Box 3092">
          <a:extLst>
            <a:ext uri="{FF2B5EF4-FFF2-40B4-BE49-F238E27FC236}">
              <a16:creationId xmlns:a16="http://schemas.microsoft.com/office/drawing/2014/main" xmlns="" id="{00000000-0008-0000-0000-0000DF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576" name="Text Box 3093">
          <a:extLst>
            <a:ext uri="{FF2B5EF4-FFF2-40B4-BE49-F238E27FC236}">
              <a16:creationId xmlns:a16="http://schemas.microsoft.com/office/drawing/2014/main" xmlns="" id="{00000000-0008-0000-0000-0000E0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577" name="Text Box 3094">
          <a:extLst>
            <a:ext uri="{FF2B5EF4-FFF2-40B4-BE49-F238E27FC236}">
              <a16:creationId xmlns:a16="http://schemas.microsoft.com/office/drawing/2014/main" xmlns="" id="{00000000-0008-0000-0000-0000E1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578" name="Text Box 3095">
          <a:extLst>
            <a:ext uri="{FF2B5EF4-FFF2-40B4-BE49-F238E27FC236}">
              <a16:creationId xmlns:a16="http://schemas.microsoft.com/office/drawing/2014/main" xmlns="" id="{00000000-0008-0000-0000-0000E2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579" name="Text Box 3096">
          <a:extLst>
            <a:ext uri="{FF2B5EF4-FFF2-40B4-BE49-F238E27FC236}">
              <a16:creationId xmlns:a16="http://schemas.microsoft.com/office/drawing/2014/main" xmlns="" id="{00000000-0008-0000-0000-0000E3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580" name="Text Box 3097">
          <a:extLst>
            <a:ext uri="{FF2B5EF4-FFF2-40B4-BE49-F238E27FC236}">
              <a16:creationId xmlns:a16="http://schemas.microsoft.com/office/drawing/2014/main" xmlns="" id="{00000000-0008-0000-0000-0000E4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581" name="Text Box 3098">
          <a:extLst>
            <a:ext uri="{FF2B5EF4-FFF2-40B4-BE49-F238E27FC236}">
              <a16:creationId xmlns:a16="http://schemas.microsoft.com/office/drawing/2014/main" xmlns="" id="{00000000-0008-0000-0000-0000E5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582" name="Text Box 3099">
          <a:extLst>
            <a:ext uri="{FF2B5EF4-FFF2-40B4-BE49-F238E27FC236}">
              <a16:creationId xmlns:a16="http://schemas.microsoft.com/office/drawing/2014/main" xmlns="" id="{00000000-0008-0000-0000-0000E6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583" name="Text Box 3100">
          <a:extLst>
            <a:ext uri="{FF2B5EF4-FFF2-40B4-BE49-F238E27FC236}">
              <a16:creationId xmlns:a16="http://schemas.microsoft.com/office/drawing/2014/main" xmlns="" id="{00000000-0008-0000-0000-0000E7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584" name="Text Box 3101">
          <a:extLst>
            <a:ext uri="{FF2B5EF4-FFF2-40B4-BE49-F238E27FC236}">
              <a16:creationId xmlns:a16="http://schemas.microsoft.com/office/drawing/2014/main" xmlns="" id="{00000000-0008-0000-0000-0000E8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4585" name="Text Box 3102">
          <a:extLst>
            <a:ext uri="{FF2B5EF4-FFF2-40B4-BE49-F238E27FC236}">
              <a16:creationId xmlns:a16="http://schemas.microsoft.com/office/drawing/2014/main" xmlns="" id="{00000000-0008-0000-0000-0000E9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586" name="Text Box 59">
          <a:extLst>
            <a:ext uri="{FF2B5EF4-FFF2-40B4-BE49-F238E27FC236}">
              <a16:creationId xmlns:a16="http://schemas.microsoft.com/office/drawing/2014/main" xmlns="" id="{00000000-0008-0000-0000-0000EA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587" name="Text Box 60">
          <a:extLst>
            <a:ext uri="{FF2B5EF4-FFF2-40B4-BE49-F238E27FC236}">
              <a16:creationId xmlns:a16="http://schemas.microsoft.com/office/drawing/2014/main" xmlns="" id="{00000000-0008-0000-0000-0000EB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588" name="Text Box 61">
          <a:extLst>
            <a:ext uri="{FF2B5EF4-FFF2-40B4-BE49-F238E27FC236}">
              <a16:creationId xmlns:a16="http://schemas.microsoft.com/office/drawing/2014/main" xmlns="" id="{00000000-0008-0000-0000-0000EC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589" name="Text Box 62">
          <a:extLst>
            <a:ext uri="{FF2B5EF4-FFF2-40B4-BE49-F238E27FC236}">
              <a16:creationId xmlns:a16="http://schemas.microsoft.com/office/drawing/2014/main" xmlns="" id="{00000000-0008-0000-0000-0000ED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590" name="Text Box 63">
          <a:extLst>
            <a:ext uri="{FF2B5EF4-FFF2-40B4-BE49-F238E27FC236}">
              <a16:creationId xmlns:a16="http://schemas.microsoft.com/office/drawing/2014/main" xmlns="" id="{00000000-0008-0000-0000-0000EE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591" name="Text Box 64">
          <a:extLst>
            <a:ext uri="{FF2B5EF4-FFF2-40B4-BE49-F238E27FC236}">
              <a16:creationId xmlns:a16="http://schemas.microsoft.com/office/drawing/2014/main" xmlns="" id="{00000000-0008-0000-0000-0000EF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592" name="Text Box 65">
          <a:extLst>
            <a:ext uri="{FF2B5EF4-FFF2-40B4-BE49-F238E27FC236}">
              <a16:creationId xmlns:a16="http://schemas.microsoft.com/office/drawing/2014/main" xmlns="" id="{00000000-0008-0000-0000-0000F0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593" name="Text Box 66">
          <a:extLst>
            <a:ext uri="{FF2B5EF4-FFF2-40B4-BE49-F238E27FC236}">
              <a16:creationId xmlns:a16="http://schemas.microsoft.com/office/drawing/2014/main" xmlns="" id="{00000000-0008-0000-0000-0000F1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594" name="Text Box 67">
          <a:extLst>
            <a:ext uri="{FF2B5EF4-FFF2-40B4-BE49-F238E27FC236}">
              <a16:creationId xmlns:a16="http://schemas.microsoft.com/office/drawing/2014/main" xmlns="" id="{00000000-0008-0000-0000-0000F2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595" name="Text Box 68">
          <a:extLst>
            <a:ext uri="{FF2B5EF4-FFF2-40B4-BE49-F238E27FC236}">
              <a16:creationId xmlns:a16="http://schemas.microsoft.com/office/drawing/2014/main" xmlns="" id="{00000000-0008-0000-0000-0000F3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596" name="Text Box 69">
          <a:extLst>
            <a:ext uri="{FF2B5EF4-FFF2-40B4-BE49-F238E27FC236}">
              <a16:creationId xmlns:a16="http://schemas.microsoft.com/office/drawing/2014/main" xmlns="" id="{00000000-0008-0000-0000-0000F4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597" name="Text Box 70">
          <a:extLst>
            <a:ext uri="{FF2B5EF4-FFF2-40B4-BE49-F238E27FC236}">
              <a16:creationId xmlns:a16="http://schemas.microsoft.com/office/drawing/2014/main" xmlns="" id="{00000000-0008-0000-0000-0000F5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598" name="Text Box 71">
          <a:extLst>
            <a:ext uri="{FF2B5EF4-FFF2-40B4-BE49-F238E27FC236}">
              <a16:creationId xmlns:a16="http://schemas.microsoft.com/office/drawing/2014/main" xmlns="" id="{00000000-0008-0000-0000-0000F6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599" name="Text Box 72">
          <a:extLst>
            <a:ext uri="{FF2B5EF4-FFF2-40B4-BE49-F238E27FC236}">
              <a16:creationId xmlns:a16="http://schemas.microsoft.com/office/drawing/2014/main" xmlns="" id="{00000000-0008-0000-0000-0000F7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600" name="Text Box 73">
          <a:extLst>
            <a:ext uri="{FF2B5EF4-FFF2-40B4-BE49-F238E27FC236}">
              <a16:creationId xmlns:a16="http://schemas.microsoft.com/office/drawing/2014/main" xmlns="" id="{00000000-0008-0000-0000-0000F8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601" name="Text Box 74">
          <a:extLst>
            <a:ext uri="{FF2B5EF4-FFF2-40B4-BE49-F238E27FC236}">
              <a16:creationId xmlns:a16="http://schemas.microsoft.com/office/drawing/2014/main" xmlns="" id="{00000000-0008-0000-0000-0000F9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602" name="Text Box 75">
          <a:extLst>
            <a:ext uri="{FF2B5EF4-FFF2-40B4-BE49-F238E27FC236}">
              <a16:creationId xmlns:a16="http://schemas.microsoft.com/office/drawing/2014/main" xmlns="" id="{00000000-0008-0000-0000-0000FA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603" name="Text Box 76">
          <a:extLst>
            <a:ext uri="{FF2B5EF4-FFF2-40B4-BE49-F238E27FC236}">
              <a16:creationId xmlns:a16="http://schemas.microsoft.com/office/drawing/2014/main" xmlns="" id="{00000000-0008-0000-0000-0000FB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604" name="Text Box 77">
          <a:extLst>
            <a:ext uri="{FF2B5EF4-FFF2-40B4-BE49-F238E27FC236}">
              <a16:creationId xmlns:a16="http://schemas.microsoft.com/office/drawing/2014/main" xmlns="" id="{00000000-0008-0000-0000-0000FC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605" name="Text Box 78">
          <a:extLst>
            <a:ext uri="{FF2B5EF4-FFF2-40B4-BE49-F238E27FC236}">
              <a16:creationId xmlns:a16="http://schemas.microsoft.com/office/drawing/2014/main" xmlns="" id="{00000000-0008-0000-0000-0000FD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606" name="Text Box 79">
          <a:extLst>
            <a:ext uri="{FF2B5EF4-FFF2-40B4-BE49-F238E27FC236}">
              <a16:creationId xmlns:a16="http://schemas.microsoft.com/office/drawing/2014/main" xmlns="" id="{00000000-0008-0000-0000-0000FE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607" name="Text Box 80">
          <a:extLst>
            <a:ext uri="{FF2B5EF4-FFF2-40B4-BE49-F238E27FC236}">
              <a16:creationId xmlns:a16="http://schemas.microsoft.com/office/drawing/2014/main" xmlns="" id="{00000000-0008-0000-0000-0000FF11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608" name="Text Box 81">
          <a:extLst>
            <a:ext uri="{FF2B5EF4-FFF2-40B4-BE49-F238E27FC236}">
              <a16:creationId xmlns:a16="http://schemas.microsoft.com/office/drawing/2014/main" xmlns="" id="{00000000-0008-0000-0000-000000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47625"/>
    <xdr:sp macro="" textlink="">
      <xdr:nvSpPr>
        <xdr:cNvPr id="4609" name="Text Box 82">
          <a:extLst>
            <a:ext uri="{FF2B5EF4-FFF2-40B4-BE49-F238E27FC236}">
              <a16:creationId xmlns:a16="http://schemas.microsoft.com/office/drawing/2014/main" xmlns="" id="{00000000-0008-0000-0000-000001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610" name="Text Box 3079">
          <a:extLst>
            <a:ext uri="{FF2B5EF4-FFF2-40B4-BE49-F238E27FC236}">
              <a16:creationId xmlns:a16="http://schemas.microsoft.com/office/drawing/2014/main" xmlns="" id="{00000000-0008-0000-0000-000002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611" name="Text Box 3080">
          <a:extLst>
            <a:ext uri="{FF2B5EF4-FFF2-40B4-BE49-F238E27FC236}">
              <a16:creationId xmlns:a16="http://schemas.microsoft.com/office/drawing/2014/main" xmlns="" id="{00000000-0008-0000-0000-000003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612" name="Text Box 3081">
          <a:extLst>
            <a:ext uri="{FF2B5EF4-FFF2-40B4-BE49-F238E27FC236}">
              <a16:creationId xmlns:a16="http://schemas.microsoft.com/office/drawing/2014/main" xmlns="" id="{00000000-0008-0000-0000-000004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613" name="Text Box 3082">
          <a:extLst>
            <a:ext uri="{FF2B5EF4-FFF2-40B4-BE49-F238E27FC236}">
              <a16:creationId xmlns:a16="http://schemas.microsoft.com/office/drawing/2014/main" xmlns="" id="{00000000-0008-0000-0000-000005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614" name="Text Box 3083">
          <a:extLst>
            <a:ext uri="{FF2B5EF4-FFF2-40B4-BE49-F238E27FC236}">
              <a16:creationId xmlns:a16="http://schemas.microsoft.com/office/drawing/2014/main" xmlns="" id="{00000000-0008-0000-0000-000006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615" name="Text Box 3084">
          <a:extLst>
            <a:ext uri="{FF2B5EF4-FFF2-40B4-BE49-F238E27FC236}">
              <a16:creationId xmlns:a16="http://schemas.microsoft.com/office/drawing/2014/main" xmlns="" id="{00000000-0008-0000-0000-000007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616" name="Text Box 3085">
          <a:extLst>
            <a:ext uri="{FF2B5EF4-FFF2-40B4-BE49-F238E27FC236}">
              <a16:creationId xmlns:a16="http://schemas.microsoft.com/office/drawing/2014/main" xmlns="" id="{00000000-0008-0000-0000-000008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617" name="Text Box 3086">
          <a:extLst>
            <a:ext uri="{FF2B5EF4-FFF2-40B4-BE49-F238E27FC236}">
              <a16:creationId xmlns:a16="http://schemas.microsoft.com/office/drawing/2014/main" xmlns="" id="{00000000-0008-0000-0000-000009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618" name="Text Box 3087">
          <a:extLst>
            <a:ext uri="{FF2B5EF4-FFF2-40B4-BE49-F238E27FC236}">
              <a16:creationId xmlns:a16="http://schemas.microsoft.com/office/drawing/2014/main" xmlns="" id="{00000000-0008-0000-0000-00000A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619" name="Text Box 3088">
          <a:extLst>
            <a:ext uri="{FF2B5EF4-FFF2-40B4-BE49-F238E27FC236}">
              <a16:creationId xmlns:a16="http://schemas.microsoft.com/office/drawing/2014/main" xmlns="" id="{00000000-0008-0000-0000-00000B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620" name="Text Box 3089">
          <a:extLst>
            <a:ext uri="{FF2B5EF4-FFF2-40B4-BE49-F238E27FC236}">
              <a16:creationId xmlns:a16="http://schemas.microsoft.com/office/drawing/2014/main" xmlns="" id="{00000000-0008-0000-0000-00000C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621" name="Text Box 3090">
          <a:extLst>
            <a:ext uri="{FF2B5EF4-FFF2-40B4-BE49-F238E27FC236}">
              <a16:creationId xmlns:a16="http://schemas.microsoft.com/office/drawing/2014/main" xmlns="" id="{00000000-0008-0000-0000-00000D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622" name="Text Box 3091">
          <a:extLst>
            <a:ext uri="{FF2B5EF4-FFF2-40B4-BE49-F238E27FC236}">
              <a16:creationId xmlns:a16="http://schemas.microsoft.com/office/drawing/2014/main" xmlns="" id="{00000000-0008-0000-0000-00000E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623" name="Text Box 3092">
          <a:extLst>
            <a:ext uri="{FF2B5EF4-FFF2-40B4-BE49-F238E27FC236}">
              <a16:creationId xmlns:a16="http://schemas.microsoft.com/office/drawing/2014/main" xmlns="" id="{00000000-0008-0000-0000-00000F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624" name="Text Box 3093">
          <a:extLst>
            <a:ext uri="{FF2B5EF4-FFF2-40B4-BE49-F238E27FC236}">
              <a16:creationId xmlns:a16="http://schemas.microsoft.com/office/drawing/2014/main" xmlns="" id="{00000000-0008-0000-0000-000010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625" name="Text Box 3094">
          <a:extLst>
            <a:ext uri="{FF2B5EF4-FFF2-40B4-BE49-F238E27FC236}">
              <a16:creationId xmlns:a16="http://schemas.microsoft.com/office/drawing/2014/main" xmlns="" id="{00000000-0008-0000-0000-000011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626" name="Text Box 3095">
          <a:extLst>
            <a:ext uri="{FF2B5EF4-FFF2-40B4-BE49-F238E27FC236}">
              <a16:creationId xmlns:a16="http://schemas.microsoft.com/office/drawing/2014/main" xmlns="" id="{00000000-0008-0000-0000-000012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627" name="Text Box 3096">
          <a:extLst>
            <a:ext uri="{FF2B5EF4-FFF2-40B4-BE49-F238E27FC236}">
              <a16:creationId xmlns:a16="http://schemas.microsoft.com/office/drawing/2014/main" xmlns="" id="{00000000-0008-0000-0000-000013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628" name="Text Box 3097">
          <a:extLst>
            <a:ext uri="{FF2B5EF4-FFF2-40B4-BE49-F238E27FC236}">
              <a16:creationId xmlns:a16="http://schemas.microsoft.com/office/drawing/2014/main" xmlns="" id="{00000000-0008-0000-0000-000014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629" name="Text Box 3098">
          <a:extLst>
            <a:ext uri="{FF2B5EF4-FFF2-40B4-BE49-F238E27FC236}">
              <a16:creationId xmlns:a16="http://schemas.microsoft.com/office/drawing/2014/main" xmlns="" id="{00000000-0008-0000-0000-000015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630" name="Text Box 3099">
          <a:extLst>
            <a:ext uri="{FF2B5EF4-FFF2-40B4-BE49-F238E27FC236}">
              <a16:creationId xmlns:a16="http://schemas.microsoft.com/office/drawing/2014/main" xmlns="" id="{00000000-0008-0000-0000-000016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631" name="Text Box 3100">
          <a:extLst>
            <a:ext uri="{FF2B5EF4-FFF2-40B4-BE49-F238E27FC236}">
              <a16:creationId xmlns:a16="http://schemas.microsoft.com/office/drawing/2014/main" xmlns="" id="{00000000-0008-0000-0000-000017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632" name="Text Box 3101">
          <a:extLst>
            <a:ext uri="{FF2B5EF4-FFF2-40B4-BE49-F238E27FC236}">
              <a16:creationId xmlns:a16="http://schemas.microsoft.com/office/drawing/2014/main" xmlns="" id="{00000000-0008-0000-0000-000018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4633" name="Text Box 3102">
          <a:extLst>
            <a:ext uri="{FF2B5EF4-FFF2-40B4-BE49-F238E27FC236}">
              <a16:creationId xmlns:a16="http://schemas.microsoft.com/office/drawing/2014/main" xmlns="" id="{00000000-0008-0000-0000-000019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634" name="Text Box 59">
          <a:extLst>
            <a:ext uri="{FF2B5EF4-FFF2-40B4-BE49-F238E27FC236}">
              <a16:creationId xmlns:a16="http://schemas.microsoft.com/office/drawing/2014/main" xmlns="" id="{00000000-0008-0000-0000-00001A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635" name="Text Box 60">
          <a:extLst>
            <a:ext uri="{FF2B5EF4-FFF2-40B4-BE49-F238E27FC236}">
              <a16:creationId xmlns:a16="http://schemas.microsoft.com/office/drawing/2014/main" xmlns="" id="{00000000-0008-0000-0000-00001B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636" name="Text Box 61">
          <a:extLst>
            <a:ext uri="{FF2B5EF4-FFF2-40B4-BE49-F238E27FC236}">
              <a16:creationId xmlns:a16="http://schemas.microsoft.com/office/drawing/2014/main" xmlns="" id="{00000000-0008-0000-0000-00001C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637" name="Text Box 62">
          <a:extLst>
            <a:ext uri="{FF2B5EF4-FFF2-40B4-BE49-F238E27FC236}">
              <a16:creationId xmlns:a16="http://schemas.microsoft.com/office/drawing/2014/main" xmlns="" id="{00000000-0008-0000-0000-00001D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638" name="Text Box 63">
          <a:extLst>
            <a:ext uri="{FF2B5EF4-FFF2-40B4-BE49-F238E27FC236}">
              <a16:creationId xmlns:a16="http://schemas.microsoft.com/office/drawing/2014/main" xmlns="" id="{00000000-0008-0000-0000-00001E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639" name="Text Box 64">
          <a:extLst>
            <a:ext uri="{FF2B5EF4-FFF2-40B4-BE49-F238E27FC236}">
              <a16:creationId xmlns:a16="http://schemas.microsoft.com/office/drawing/2014/main" xmlns="" id="{00000000-0008-0000-0000-00001F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640" name="Text Box 65">
          <a:extLst>
            <a:ext uri="{FF2B5EF4-FFF2-40B4-BE49-F238E27FC236}">
              <a16:creationId xmlns:a16="http://schemas.microsoft.com/office/drawing/2014/main" xmlns="" id="{00000000-0008-0000-0000-000020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641" name="Text Box 66">
          <a:extLst>
            <a:ext uri="{FF2B5EF4-FFF2-40B4-BE49-F238E27FC236}">
              <a16:creationId xmlns:a16="http://schemas.microsoft.com/office/drawing/2014/main" xmlns="" id="{00000000-0008-0000-0000-000021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642" name="Text Box 67">
          <a:extLst>
            <a:ext uri="{FF2B5EF4-FFF2-40B4-BE49-F238E27FC236}">
              <a16:creationId xmlns:a16="http://schemas.microsoft.com/office/drawing/2014/main" xmlns="" id="{00000000-0008-0000-0000-000022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643" name="Text Box 68">
          <a:extLst>
            <a:ext uri="{FF2B5EF4-FFF2-40B4-BE49-F238E27FC236}">
              <a16:creationId xmlns:a16="http://schemas.microsoft.com/office/drawing/2014/main" xmlns="" id="{00000000-0008-0000-0000-000023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644" name="Text Box 69">
          <a:extLst>
            <a:ext uri="{FF2B5EF4-FFF2-40B4-BE49-F238E27FC236}">
              <a16:creationId xmlns:a16="http://schemas.microsoft.com/office/drawing/2014/main" xmlns="" id="{00000000-0008-0000-0000-000024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645" name="Text Box 70">
          <a:extLst>
            <a:ext uri="{FF2B5EF4-FFF2-40B4-BE49-F238E27FC236}">
              <a16:creationId xmlns:a16="http://schemas.microsoft.com/office/drawing/2014/main" xmlns="" id="{00000000-0008-0000-0000-000025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646" name="Text Box 71">
          <a:extLst>
            <a:ext uri="{FF2B5EF4-FFF2-40B4-BE49-F238E27FC236}">
              <a16:creationId xmlns:a16="http://schemas.microsoft.com/office/drawing/2014/main" xmlns="" id="{00000000-0008-0000-0000-000026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647" name="Text Box 72">
          <a:extLst>
            <a:ext uri="{FF2B5EF4-FFF2-40B4-BE49-F238E27FC236}">
              <a16:creationId xmlns:a16="http://schemas.microsoft.com/office/drawing/2014/main" xmlns="" id="{00000000-0008-0000-0000-000027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648" name="Text Box 73">
          <a:extLst>
            <a:ext uri="{FF2B5EF4-FFF2-40B4-BE49-F238E27FC236}">
              <a16:creationId xmlns:a16="http://schemas.microsoft.com/office/drawing/2014/main" xmlns="" id="{00000000-0008-0000-0000-000028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649" name="Text Box 74">
          <a:extLst>
            <a:ext uri="{FF2B5EF4-FFF2-40B4-BE49-F238E27FC236}">
              <a16:creationId xmlns:a16="http://schemas.microsoft.com/office/drawing/2014/main" xmlns="" id="{00000000-0008-0000-0000-000029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650" name="Text Box 75">
          <a:extLst>
            <a:ext uri="{FF2B5EF4-FFF2-40B4-BE49-F238E27FC236}">
              <a16:creationId xmlns:a16="http://schemas.microsoft.com/office/drawing/2014/main" xmlns="" id="{00000000-0008-0000-0000-00002A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651" name="Text Box 76">
          <a:extLst>
            <a:ext uri="{FF2B5EF4-FFF2-40B4-BE49-F238E27FC236}">
              <a16:creationId xmlns:a16="http://schemas.microsoft.com/office/drawing/2014/main" xmlns="" id="{00000000-0008-0000-0000-00002B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652" name="Text Box 77">
          <a:extLst>
            <a:ext uri="{FF2B5EF4-FFF2-40B4-BE49-F238E27FC236}">
              <a16:creationId xmlns:a16="http://schemas.microsoft.com/office/drawing/2014/main" xmlns="" id="{00000000-0008-0000-0000-00002C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653" name="Text Box 78">
          <a:extLst>
            <a:ext uri="{FF2B5EF4-FFF2-40B4-BE49-F238E27FC236}">
              <a16:creationId xmlns:a16="http://schemas.microsoft.com/office/drawing/2014/main" xmlns="" id="{00000000-0008-0000-0000-00002D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654" name="Text Box 79">
          <a:extLst>
            <a:ext uri="{FF2B5EF4-FFF2-40B4-BE49-F238E27FC236}">
              <a16:creationId xmlns:a16="http://schemas.microsoft.com/office/drawing/2014/main" xmlns="" id="{00000000-0008-0000-0000-00002E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655" name="Text Box 80">
          <a:extLst>
            <a:ext uri="{FF2B5EF4-FFF2-40B4-BE49-F238E27FC236}">
              <a16:creationId xmlns:a16="http://schemas.microsoft.com/office/drawing/2014/main" xmlns="" id="{00000000-0008-0000-0000-00002F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656" name="Text Box 81">
          <a:extLst>
            <a:ext uri="{FF2B5EF4-FFF2-40B4-BE49-F238E27FC236}">
              <a16:creationId xmlns:a16="http://schemas.microsoft.com/office/drawing/2014/main" xmlns="" id="{00000000-0008-0000-0000-000030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657" name="Text Box 3079">
          <a:extLst>
            <a:ext uri="{FF2B5EF4-FFF2-40B4-BE49-F238E27FC236}">
              <a16:creationId xmlns:a16="http://schemas.microsoft.com/office/drawing/2014/main" xmlns="" id="{00000000-0008-0000-0000-000031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658" name="Text Box 3080">
          <a:extLst>
            <a:ext uri="{FF2B5EF4-FFF2-40B4-BE49-F238E27FC236}">
              <a16:creationId xmlns:a16="http://schemas.microsoft.com/office/drawing/2014/main" xmlns="" id="{00000000-0008-0000-0000-000032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659" name="Text Box 3081">
          <a:extLst>
            <a:ext uri="{FF2B5EF4-FFF2-40B4-BE49-F238E27FC236}">
              <a16:creationId xmlns:a16="http://schemas.microsoft.com/office/drawing/2014/main" xmlns="" id="{00000000-0008-0000-0000-000033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660" name="Text Box 3082">
          <a:extLst>
            <a:ext uri="{FF2B5EF4-FFF2-40B4-BE49-F238E27FC236}">
              <a16:creationId xmlns:a16="http://schemas.microsoft.com/office/drawing/2014/main" xmlns="" id="{00000000-0008-0000-0000-000034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661" name="Text Box 3083">
          <a:extLst>
            <a:ext uri="{FF2B5EF4-FFF2-40B4-BE49-F238E27FC236}">
              <a16:creationId xmlns:a16="http://schemas.microsoft.com/office/drawing/2014/main" xmlns="" id="{00000000-0008-0000-0000-000035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662" name="Text Box 3084">
          <a:extLst>
            <a:ext uri="{FF2B5EF4-FFF2-40B4-BE49-F238E27FC236}">
              <a16:creationId xmlns:a16="http://schemas.microsoft.com/office/drawing/2014/main" xmlns="" id="{00000000-0008-0000-0000-000036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663" name="Text Box 3085">
          <a:extLst>
            <a:ext uri="{FF2B5EF4-FFF2-40B4-BE49-F238E27FC236}">
              <a16:creationId xmlns:a16="http://schemas.microsoft.com/office/drawing/2014/main" xmlns="" id="{00000000-0008-0000-0000-000037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664" name="Text Box 3086">
          <a:extLst>
            <a:ext uri="{FF2B5EF4-FFF2-40B4-BE49-F238E27FC236}">
              <a16:creationId xmlns:a16="http://schemas.microsoft.com/office/drawing/2014/main" xmlns="" id="{00000000-0008-0000-0000-000038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665" name="Text Box 3087">
          <a:extLst>
            <a:ext uri="{FF2B5EF4-FFF2-40B4-BE49-F238E27FC236}">
              <a16:creationId xmlns:a16="http://schemas.microsoft.com/office/drawing/2014/main" xmlns="" id="{00000000-0008-0000-0000-000039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666" name="Text Box 3088">
          <a:extLst>
            <a:ext uri="{FF2B5EF4-FFF2-40B4-BE49-F238E27FC236}">
              <a16:creationId xmlns:a16="http://schemas.microsoft.com/office/drawing/2014/main" xmlns="" id="{00000000-0008-0000-0000-00003A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667" name="Text Box 3089">
          <a:extLst>
            <a:ext uri="{FF2B5EF4-FFF2-40B4-BE49-F238E27FC236}">
              <a16:creationId xmlns:a16="http://schemas.microsoft.com/office/drawing/2014/main" xmlns="" id="{00000000-0008-0000-0000-00003B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668" name="Text Box 3090">
          <a:extLst>
            <a:ext uri="{FF2B5EF4-FFF2-40B4-BE49-F238E27FC236}">
              <a16:creationId xmlns:a16="http://schemas.microsoft.com/office/drawing/2014/main" xmlns="" id="{00000000-0008-0000-0000-00003C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669" name="Text Box 3091">
          <a:extLst>
            <a:ext uri="{FF2B5EF4-FFF2-40B4-BE49-F238E27FC236}">
              <a16:creationId xmlns:a16="http://schemas.microsoft.com/office/drawing/2014/main" xmlns="" id="{00000000-0008-0000-0000-00003D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670" name="Text Box 3092">
          <a:extLst>
            <a:ext uri="{FF2B5EF4-FFF2-40B4-BE49-F238E27FC236}">
              <a16:creationId xmlns:a16="http://schemas.microsoft.com/office/drawing/2014/main" xmlns="" id="{00000000-0008-0000-0000-00003E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671" name="Text Box 3093">
          <a:extLst>
            <a:ext uri="{FF2B5EF4-FFF2-40B4-BE49-F238E27FC236}">
              <a16:creationId xmlns:a16="http://schemas.microsoft.com/office/drawing/2014/main" xmlns="" id="{00000000-0008-0000-0000-00003F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672" name="Text Box 3094">
          <a:extLst>
            <a:ext uri="{FF2B5EF4-FFF2-40B4-BE49-F238E27FC236}">
              <a16:creationId xmlns:a16="http://schemas.microsoft.com/office/drawing/2014/main" xmlns="" id="{00000000-0008-0000-0000-000040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673" name="Text Box 3095">
          <a:extLst>
            <a:ext uri="{FF2B5EF4-FFF2-40B4-BE49-F238E27FC236}">
              <a16:creationId xmlns:a16="http://schemas.microsoft.com/office/drawing/2014/main" xmlns="" id="{00000000-0008-0000-0000-000041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674" name="Text Box 3096">
          <a:extLst>
            <a:ext uri="{FF2B5EF4-FFF2-40B4-BE49-F238E27FC236}">
              <a16:creationId xmlns:a16="http://schemas.microsoft.com/office/drawing/2014/main" xmlns="" id="{00000000-0008-0000-0000-000042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675" name="Text Box 3097">
          <a:extLst>
            <a:ext uri="{FF2B5EF4-FFF2-40B4-BE49-F238E27FC236}">
              <a16:creationId xmlns:a16="http://schemas.microsoft.com/office/drawing/2014/main" xmlns="" id="{00000000-0008-0000-0000-000043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676" name="Text Box 3098">
          <a:extLst>
            <a:ext uri="{FF2B5EF4-FFF2-40B4-BE49-F238E27FC236}">
              <a16:creationId xmlns:a16="http://schemas.microsoft.com/office/drawing/2014/main" xmlns="" id="{00000000-0008-0000-0000-000044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677" name="Text Box 3099">
          <a:extLst>
            <a:ext uri="{FF2B5EF4-FFF2-40B4-BE49-F238E27FC236}">
              <a16:creationId xmlns:a16="http://schemas.microsoft.com/office/drawing/2014/main" xmlns="" id="{00000000-0008-0000-0000-000045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678" name="Text Box 3100">
          <a:extLst>
            <a:ext uri="{FF2B5EF4-FFF2-40B4-BE49-F238E27FC236}">
              <a16:creationId xmlns:a16="http://schemas.microsoft.com/office/drawing/2014/main" xmlns="" id="{00000000-0008-0000-0000-000046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679" name="Text Box 3101">
          <a:extLst>
            <a:ext uri="{FF2B5EF4-FFF2-40B4-BE49-F238E27FC236}">
              <a16:creationId xmlns:a16="http://schemas.microsoft.com/office/drawing/2014/main" xmlns="" id="{00000000-0008-0000-0000-000047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4680" name="Text Box 3102">
          <a:extLst>
            <a:ext uri="{FF2B5EF4-FFF2-40B4-BE49-F238E27FC236}">
              <a16:creationId xmlns:a16="http://schemas.microsoft.com/office/drawing/2014/main" xmlns="" id="{00000000-0008-0000-0000-000048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681" name="Text Box 59">
          <a:extLst>
            <a:ext uri="{FF2B5EF4-FFF2-40B4-BE49-F238E27FC236}">
              <a16:creationId xmlns:a16="http://schemas.microsoft.com/office/drawing/2014/main" xmlns="" id="{00000000-0008-0000-0000-000049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682" name="Text Box 60">
          <a:extLst>
            <a:ext uri="{FF2B5EF4-FFF2-40B4-BE49-F238E27FC236}">
              <a16:creationId xmlns:a16="http://schemas.microsoft.com/office/drawing/2014/main" xmlns="" id="{00000000-0008-0000-0000-00004A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683" name="Text Box 61">
          <a:extLst>
            <a:ext uri="{FF2B5EF4-FFF2-40B4-BE49-F238E27FC236}">
              <a16:creationId xmlns:a16="http://schemas.microsoft.com/office/drawing/2014/main" xmlns="" id="{00000000-0008-0000-0000-00004B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684" name="Text Box 62">
          <a:extLst>
            <a:ext uri="{FF2B5EF4-FFF2-40B4-BE49-F238E27FC236}">
              <a16:creationId xmlns:a16="http://schemas.microsoft.com/office/drawing/2014/main" xmlns="" id="{00000000-0008-0000-0000-00004C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685" name="Text Box 63">
          <a:extLst>
            <a:ext uri="{FF2B5EF4-FFF2-40B4-BE49-F238E27FC236}">
              <a16:creationId xmlns:a16="http://schemas.microsoft.com/office/drawing/2014/main" xmlns="" id="{00000000-0008-0000-0000-00004D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686" name="Text Box 64">
          <a:extLst>
            <a:ext uri="{FF2B5EF4-FFF2-40B4-BE49-F238E27FC236}">
              <a16:creationId xmlns:a16="http://schemas.microsoft.com/office/drawing/2014/main" xmlns="" id="{00000000-0008-0000-0000-00004E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687" name="Text Box 65">
          <a:extLst>
            <a:ext uri="{FF2B5EF4-FFF2-40B4-BE49-F238E27FC236}">
              <a16:creationId xmlns:a16="http://schemas.microsoft.com/office/drawing/2014/main" xmlns="" id="{00000000-0008-0000-0000-00004F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688" name="Text Box 66">
          <a:extLst>
            <a:ext uri="{FF2B5EF4-FFF2-40B4-BE49-F238E27FC236}">
              <a16:creationId xmlns:a16="http://schemas.microsoft.com/office/drawing/2014/main" xmlns="" id="{00000000-0008-0000-0000-000050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689" name="Text Box 67">
          <a:extLst>
            <a:ext uri="{FF2B5EF4-FFF2-40B4-BE49-F238E27FC236}">
              <a16:creationId xmlns:a16="http://schemas.microsoft.com/office/drawing/2014/main" xmlns="" id="{00000000-0008-0000-0000-000051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690" name="Text Box 68">
          <a:extLst>
            <a:ext uri="{FF2B5EF4-FFF2-40B4-BE49-F238E27FC236}">
              <a16:creationId xmlns:a16="http://schemas.microsoft.com/office/drawing/2014/main" xmlns="" id="{00000000-0008-0000-0000-000052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691" name="Text Box 69">
          <a:extLst>
            <a:ext uri="{FF2B5EF4-FFF2-40B4-BE49-F238E27FC236}">
              <a16:creationId xmlns:a16="http://schemas.microsoft.com/office/drawing/2014/main" xmlns="" id="{00000000-0008-0000-0000-000053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692" name="Text Box 70">
          <a:extLst>
            <a:ext uri="{FF2B5EF4-FFF2-40B4-BE49-F238E27FC236}">
              <a16:creationId xmlns:a16="http://schemas.microsoft.com/office/drawing/2014/main" xmlns="" id="{00000000-0008-0000-0000-000054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693" name="Text Box 71">
          <a:extLst>
            <a:ext uri="{FF2B5EF4-FFF2-40B4-BE49-F238E27FC236}">
              <a16:creationId xmlns:a16="http://schemas.microsoft.com/office/drawing/2014/main" xmlns="" id="{00000000-0008-0000-0000-000055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694" name="Text Box 72">
          <a:extLst>
            <a:ext uri="{FF2B5EF4-FFF2-40B4-BE49-F238E27FC236}">
              <a16:creationId xmlns:a16="http://schemas.microsoft.com/office/drawing/2014/main" xmlns="" id="{00000000-0008-0000-0000-000056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695" name="Text Box 73">
          <a:extLst>
            <a:ext uri="{FF2B5EF4-FFF2-40B4-BE49-F238E27FC236}">
              <a16:creationId xmlns:a16="http://schemas.microsoft.com/office/drawing/2014/main" xmlns="" id="{00000000-0008-0000-0000-000057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696" name="Text Box 74">
          <a:extLst>
            <a:ext uri="{FF2B5EF4-FFF2-40B4-BE49-F238E27FC236}">
              <a16:creationId xmlns:a16="http://schemas.microsoft.com/office/drawing/2014/main" xmlns="" id="{00000000-0008-0000-0000-000058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697" name="Text Box 75">
          <a:extLst>
            <a:ext uri="{FF2B5EF4-FFF2-40B4-BE49-F238E27FC236}">
              <a16:creationId xmlns:a16="http://schemas.microsoft.com/office/drawing/2014/main" xmlns="" id="{00000000-0008-0000-0000-000059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698" name="Text Box 76">
          <a:extLst>
            <a:ext uri="{FF2B5EF4-FFF2-40B4-BE49-F238E27FC236}">
              <a16:creationId xmlns:a16="http://schemas.microsoft.com/office/drawing/2014/main" xmlns="" id="{00000000-0008-0000-0000-00005A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699" name="Text Box 77">
          <a:extLst>
            <a:ext uri="{FF2B5EF4-FFF2-40B4-BE49-F238E27FC236}">
              <a16:creationId xmlns:a16="http://schemas.microsoft.com/office/drawing/2014/main" xmlns="" id="{00000000-0008-0000-0000-00005B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700" name="Text Box 78">
          <a:extLst>
            <a:ext uri="{FF2B5EF4-FFF2-40B4-BE49-F238E27FC236}">
              <a16:creationId xmlns:a16="http://schemas.microsoft.com/office/drawing/2014/main" xmlns="" id="{00000000-0008-0000-0000-00005C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701" name="Text Box 79">
          <a:extLst>
            <a:ext uri="{FF2B5EF4-FFF2-40B4-BE49-F238E27FC236}">
              <a16:creationId xmlns:a16="http://schemas.microsoft.com/office/drawing/2014/main" xmlns="" id="{00000000-0008-0000-0000-00005D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702" name="Text Box 80">
          <a:extLst>
            <a:ext uri="{FF2B5EF4-FFF2-40B4-BE49-F238E27FC236}">
              <a16:creationId xmlns:a16="http://schemas.microsoft.com/office/drawing/2014/main" xmlns="" id="{00000000-0008-0000-0000-00005E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703" name="Text Box 81">
          <a:extLst>
            <a:ext uri="{FF2B5EF4-FFF2-40B4-BE49-F238E27FC236}">
              <a16:creationId xmlns:a16="http://schemas.microsoft.com/office/drawing/2014/main" xmlns="" id="{00000000-0008-0000-0000-00005F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47625"/>
    <xdr:sp macro="" textlink="">
      <xdr:nvSpPr>
        <xdr:cNvPr id="4704" name="Text Box 82">
          <a:extLst>
            <a:ext uri="{FF2B5EF4-FFF2-40B4-BE49-F238E27FC236}">
              <a16:creationId xmlns:a16="http://schemas.microsoft.com/office/drawing/2014/main" xmlns="" id="{00000000-0008-0000-0000-000060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705" name="Text Box 3079">
          <a:extLst>
            <a:ext uri="{FF2B5EF4-FFF2-40B4-BE49-F238E27FC236}">
              <a16:creationId xmlns:a16="http://schemas.microsoft.com/office/drawing/2014/main" xmlns="" id="{00000000-0008-0000-0000-000061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706" name="Text Box 3080">
          <a:extLst>
            <a:ext uri="{FF2B5EF4-FFF2-40B4-BE49-F238E27FC236}">
              <a16:creationId xmlns:a16="http://schemas.microsoft.com/office/drawing/2014/main" xmlns="" id="{00000000-0008-0000-0000-000062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707" name="Text Box 3081">
          <a:extLst>
            <a:ext uri="{FF2B5EF4-FFF2-40B4-BE49-F238E27FC236}">
              <a16:creationId xmlns:a16="http://schemas.microsoft.com/office/drawing/2014/main" xmlns="" id="{00000000-0008-0000-0000-000063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708" name="Text Box 3082">
          <a:extLst>
            <a:ext uri="{FF2B5EF4-FFF2-40B4-BE49-F238E27FC236}">
              <a16:creationId xmlns:a16="http://schemas.microsoft.com/office/drawing/2014/main" xmlns="" id="{00000000-0008-0000-0000-000064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709" name="Text Box 3083">
          <a:extLst>
            <a:ext uri="{FF2B5EF4-FFF2-40B4-BE49-F238E27FC236}">
              <a16:creationId xmlns:a16="http://schemas.microsoft.com/office/drawing/2014/main" xmlns="" id="{00000000-0008-0000-0000-000065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710" name="Text Box 3084">
          <a:extLst>
            <a:ext uri="{FF2B5EF4-FFF2-40B4-BE49-F238E27FC236}">
              <a16:creationId xmlns:a16="http://schemas.microsoft.com/office/drawing/2014/main" xmlns="" id="{00000000-0008-0000-0000-000066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711" name="Text Box 3085">
          <a:extLst>
            <a:ext uri="{FF2B5EF4-FFF2-40B4-BE49-F238E27FC236}">
              <a16:creationId xmlns:a16="http://schemas.microsoft.com/office/drawing/2014/main" xmlns="" id="{00000000-0008-0000-0000-000067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712" name="Text Box 3086">
          <a:extLst>
            <a:ext uri="{FF2B5EF4-FFF2-40B4-BE49-F238E27FC236}">
              <a16:creationId xmlns:a16="http://schemas.microsoft.com/office/drawing/2014/main" xmlns="" id="{00000000-0008-0000-0000-000068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713" name="Text Box 3087">
          <a:extLst>
            <a:ext uri="{FF2B5EF4-FFF2-40B4-BE49-F238E27FC236}">
              <a16:creationId xmlns:a16="http://schemas.microsoft.com/office/drawing/2014/main" xmlns="" id="{00000000-0008-0000-0000-000069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714" name="Text Box 3088">
          <a:extLst>
            <a:ext uri="{FF2B5EF4-FFF2-40B4-BE49-F238E27FC236}">
              <a16:creationId xmlns:a16="http://schemas.microsoft.com/office/drawing/2014/main" xmlns="" id="{00000000-0008-0000-0000-00006A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715" name="Text Box 3089">
          <a:extLst>
            <a:ext uri="{FF2B5EF4-FFF2-40B4-BE49-F238E27FC236}">
              <a16:creationId xmlns:a16="http://schemas.microsoft.com/office/drawing/2014/main" xmlns="" id="{00000000-0008-0000-0000-00006B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716" name="Text Box 3090">
          <a:extLst>
            <a:ext uri="{FF2B5EF4-FFF2-40B4-BE49-F238E27FC236}">
              <a16:creationId xmlns:a16="http://schemas.microsoft.com/office/drawing/2014/main" xmlns="" id="{00000000-0008-0000-0000-00006C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717" name="Text Box 3091">
          <a:extLst>
            <a:ext uri="{FF2B5EF4-FFF2-40B4-BE49-F238E27FC236}">
              <a16:creationId xmlns:a16="http://schemas.microsoft.com/office/drawing/2014/main" xmlns="" id="{00000000-0008-0000-0000-00006D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718" name="Text Box 3092">
          <a:extLst>
            <a:ext uri="{FF2B5EF4-FFF2-40B4-BE49-F238E27FC236}">
              <a16:creationId xmlns:a16="http://schemas.microsoft.com/office/drawing/2014/main" xmlns="" id="{00000000-0008-0000-0000-00006E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719" name="Text Box 3093">
          <a:extLst>
            <a:ext uri="{FF2B5EF4-FFF2-40B4-BE49-F238E27FC236}">
              <a16:creationId xmlns:a16="http://schemas.microsoft.com/office/drawing/2014/main" xmlns="" id="{00000000-0008-0000-0000-00006F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720" name="Text Box 3094">
          <a:extLst>
            <a:ext uri="{FF2B5EF4-FFF2-40B4-BE49-F238E27FC236}">
              <a16:creationId xmlns:a16="http://schemas.microsoft.com/office/drawing/2014/main" xmlns="" id="{00000000-0008-0000-0000-000070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721" name="Text Box 3095">
          <a:extLst>
            <a:ext uri="{FF2B5EF4-FFF2-40B4-BE49-F238E27FC236}">
              <a16:creationId xmlns:a16="http://schemas.microsoft.com/office/drawing/2014/main" xmlns="" id="{00000000-0008-0000-0000-000071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722" name="Text Box 3096">
          <a:extLst>
            <a:ext uri="{FF2B5EF4-FFF2-40B4-BE49-F238E27FC236}">
              <a16:creationId xmlns:a16="http://schemas.microsoft.com/office/drawing/2014/main" xmlns="" id="{00000000-0008-0000-0000-000072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723" name="Text Box 3097">
          <a:extLst>
            <a:ext uri="{FF2B5EF4-FFF2-40B4-BE49-F238E27FC236}">
              <a16:creationId xmlns:a16="http://schemas.microsoft.com/office/drawing/2014/main" xmlns="" id="{00000000-0008-0000-0000-000073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724" name="Text Box 3098">
          <a:extLst>
            <a:ext uri="{FF2B5EF4-FFF2-40B4-BE49-F238E27FC236}">
              <a16:creationId xmlns:a16="http://schemas.microsoft.com/office/drawing/2014/main" xmlns="" id="{00000000-0008-0000-0000-000074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725" name="Text Box 3099">
          <a:extLst>
            <a:ext uri="{FF2B5EF4-FFF2-40B4-BE49-F238E27FC236}">
              <a16:creationId xmlns:a16="http://schemas.microsoft.com/office/drawing/2014/main" xmlns="" id="{00000000-0008-0000-0000-000075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726" name="Text Box 3100">
          <a:extLst>
            <a:ext uri="{FF2B5EF4-FFF2-40B4-BE49-F238E27FC236}">
              <a16:creationId xmlns:a16="http://schemas.microsoft.com/office/drawing/2014/main" xmlns="" id="{00000000-0008-0000-0000-000076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727" name="Text Box 3101">
          <a:extLst>
            <a:ext uri="{FF2B5EF4-FFF2-40B4-BE49-F238E27FC236}">
              <a16:creationId xmlns:a16="http://schemas.microsoft.com/office/drawing/2014/main" xmlns="" id="{00000000-0008-0000-0000-000077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4728" name="Text Box 3102">
          <a:extLst>
            <a:ext uri="{FF2B5EF4-FFF2-40B4-BE49-F238E27FC236}">
              <a16:creationId xmlns:a16="http://schemas.microsoft.com/office/drawing/2014/main" xmlns="" id="{00000000-0008-0000-0000-000078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729" name="Text Box 59">
          <a:extLst>
            <a:ext uri="{FF2B5EF4-FFF2-40B4-BE49-F238E27FC236}">
              <a16:creationId xmlns:a16="http://schemas.microsoft.com/office/drawing/2014/main" xmlns="" id="{00000000-0008-0000-0000-000079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730" name="Text Box 60">
          <a:extLst>
            <a:ext uri="{FF2B5EF4-FFF2-40B4-BE49-F238E27FC236}">
              <a16:creationId xmlns:a16="http://schemas.microsoft.com/office/drawing/2014/main" xmlns="" id="{00000000-0008-0000-0000-00007A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731" name="Text Box 61">
          <a:extLst>
            <a:ext uri="{FF2B5EF4-FFF2-40B4-BE49-F238E27FC236}">
              <a16:creationId xmlns:a16="http://schemas.microsoft.com/office/drawing/2014/main" xmlns="" id="{00000000-0008-0000-0000-00007B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732" name="Text Box 62">
          <a:extLst>
            <a:ext uri="{FF2B5EF4-FFF2-40B4-BE49-F238E27FC236}">
              <a16:creationId xmlns:a16="http://schemas.microsoft.com/office/drawing/2014/main" xmlns="" id="{00000000-0008-0000-0000-00007C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733" name="Text Box 63">
          <a:extLst>
            <a:ext uri="{FF2B5EF4-FFF2-40B4-BE49-F238E27FC236}">
              <a16:creationId xmlns:a16="http://schemas.microsoft.com/office/drawing/2014/main" xmlns="" id="{00000000-0008-0000-0000-00007D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734" name="Text Box 64">
          <a:extLst>
            <a:ext uri="{FF2B5EF4-FFF2-40B4-BE49-F238E27FC236}">
              <a16:creationId xmlns:a16="http://schemas.microsoft.com/office/drawing/2014/main" xmlns="" id="{00000000-0008-0000-0000-00007E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735" name="Text Box 65">
          <a:extLst>
            <a:ext uri="{FF2B5EF4-FFF2-40B4-BE49-F238E27FC236}">
              <a16:creationId xmlns:a16="http://schemas.microsoft.com/office/drawing/2014/main" xmlns="" id="{00000000-0008-0000-0000-00007F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736" name="Text Box 66">
          <a:extLst>
            <a:ext uri="{FF2B5EF4-FFF2-40B4-BE49-F238E27FC236}">
              <a16:creationId xmlns:a16="http://schemas.microsoft.com/office/drawing/2014/main" xmlns="" id="{00000000-0008-0000-0000-000080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737" name="Text Box 67">
          <a:extLst>
            <a:ext uri="{FF2B5EF4-FFF2-40B4-BE49-F238E27FC236}">
              <a16:creationId xmlns:a16="http://schemas.microsoft.com/office/drawing/2014/main" xmlns="" id="{00000000-0008-0000-0000-000081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738" name="Text Box 68">
          <a:extLst>
            <a:ext uri="{FF2B5EF4-FFF2-40B4-BE49-F238E27FC236}">
              <a16:creationId xmlns:a16="http://schemas.microsoft.com/office/drawing/2014/main" xmlns="" id="{00000000-0008-0000-0000-000082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739" name="Text Box 69">
          <a:extLst>
            <a:ext uri="{FF2B5EF4-FFF2-40B4-BE49-F238E27FC236}">
              <a16:creationId xmlns:a16="http://schemas.microsoft.com/office/drawing/2014/main" xmlns="" id="{00000000-0008-0000-0000-000083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740" name="Text Box 70">
          <a:extLst>
            <a:ext uri="{FF2B5EF4-FFF2-40B4-BE49-F238E27FC236}">
              <a16:creationId xmlns:a16="http://schemas.microsoft.com/office/drawing/2014/main" xmlns="" id="{00000000-0008-0000-0000-000084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741" name="Text Box 71">
          <a:extLst>
            <a:ext uri="{FF2B5EF4-FFF2-40B4-BE49-F238E27FC236}">
              <a16:creationId xmlns:a16="http://schemas.microsoft.com/office/drawing/2014/main" xmlns="" id="{00000000-0008-0000-0000-000085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742" name="Text Box 72">
          <a:extLst>
            <a:ext uri="{FF2B5EF4-FFF2-40B4-BE49-F238E27FC236}">
              <a16:creationId xmlns:a16="http://schemas.microsoft.com/office/drawing/2014/main" xmlns="" id="{00000000-0008-0000-0000-000086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743" name="Text Box 73">
          <a:extLst>
            <a:ext uri="{FF2B5EF4-FFF2-40B4-BE49-F238E27FC236}">
              <a16:creationId xmlns:a16="http://schemas.microsoft.com/office/drawing/2014/main" xmlns="" id="{00000000-0008-0000-0000-000087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744" name="Text Box 74">
          <a:extLst>
            <a:ext uri="{FF2B5EF4-FFF2-40B4-BE49-F238E27FC236}">
              <a16:creationId xmlns:a16="http://schemas.microsoft.com/office/drawing/2014/main" xmlns="" id="{00000000-0008-0000-0000-000088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745" name="Text Box 75">
          <a:extLst>
            <a:ext uri="{FF2B5EF4-FFF2-40B4-BE49-F238E27FC236}">
              <a16:creationId xmlns:a16="http://schemas.microsoft.com/office/drawing/2014/main" xmlns="" id="{00000000-0008-0000-0000-000089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746" name="Text Box 76">
          <a:extLst>
            <a:ext uri="{FF2B5EF4-FFF2-40B4-BE49-F238E27FC236}">
              <a16:creationId xmlns:a16="http://schemas.microsoft.com/office/drawing/2014/main" xmlns="" id="{00000000-0008-0000-0000-00008A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747" name="Text Box 77">
          <a:extLst>
            <a:ext uri="{FF2B5EF4-FFF2-40B4-BE49-F238E27FC236}">
              <a16:creationId xmlns:a16="http://schemas.microsoft.com/office/drawing/2014/main" xmlns="" id="{00000000-0008-0000-0000-00008B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748" name="Text Box 78">
          <a:extLst>
            <a:ext uri="{FF2B5EF4-FFF2-40B4-BE49-F238E27FC236}">
              <a16:creationId xmlns:a16="http://schemas.microsoft.com/office/drawing/2014/main" xmlns="" id="{00000000-0008-0000-0000-00008C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749" name="Text Box 79">
          <a:extLst>
            <a:ext uri="{FF2B5EF4-FFF2-40B4-BE49-F238E27FC236}">
              <a16:creationId xmlns:a16="http://schemas.microsoft.com/office/drawing/2014/main" xmlns="" id="{00000000-0008-0000-0000-00008D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750" name="Text Box 80">
          <a:extLst>
            <a:ext uri="{FF2B5EF4-FFF2-40B4-BE49-F238E27FC236}">
              <a16:creationId xmlns:a16="http://schemas.microsoft.com/office/drawing/2014/main" xmlns="" id="{00000000-0008-0000-0000-00008E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751" name="Text Box 81">
          <a:extLst>
            <a:ext uri="{FF2B5EF4-FFF2-40B4-BE49-F238E27FC236}">
              <a16:creationId xmlns:a16="http://schemas.microsoft.com/office/drawing/2014/main" xmlns="" id="{00000000-0008-0000-0000-00008F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752" name="Text Box 3079">
          <a:extLst>
            <a:ext uri="{FF2B5EF4-FFF2-40B4-BE49-F238E27FC236}">
              <a16:creationId xmlns:a16="http://schemas.microsoft.com/office/drawing/2014/main" xmlns="" id="{00000000-0008-0000-0000-000090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753" name="Text Box 3080">
          <a:extLst>
            <a:ext uri="{FF2B5EF4-FFF2-40B4-BE49-F238E27FC236}">
              <a16:creationId xmlns:a16="http://schemas.microsoft.com/office/drawing/2014/main" xmlns="" id="{00000000-0008-0000-0000-000091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754" name="Text Box 3081">
          <a:extLst>
            <a:ext uri="{FF2B5EF4-FFF2-40B4-BE49-F238E27FC236}">
              <a16:creationId xmlns:a16="http://schemas.microsoft.com/office/drawing/2014/main" xmlns="" id="{00000000-0008-0000-0000-000092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755" name="Text Box 3082">
          <a:extLst>
            <a:ext uri="{FF2B5EF4-FFF2-40B4-BE49-F238E27FC236}">
              <a16:creationId xmlns:a16="http://schemas.microsoft.com/office/drawing/2014/main" xmlns="" id="{00000000-0008-0000-0000-000093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756" name="Text Box 3083">
          <a:extLst>
            <a:ext uri="{FF2B5EF4-FFF2-40B4-BE49-F238E27FC236}">
              <a16:creationId xmlns:a16="http://schemas.microsoft.com/office/drawing/2014/main" xmlns="" id="{00000000-0008-0000-0000-000094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757" name="Text Box 3084">
          <a:extLst>
            <a:ext uri="{FF2B5EF4-FFF2-40B4-BE49-F238E27FC236}">
              <a16:creationId xmlns:a16="http://schemas.microsoft.com/office/drawing/2014/main" xmlns="" id="{00000000-0008-0000-0000-000095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758" name="Text Box 3085">
          <a:extLst>
            <a:ext uri="{FF2B5EF4-FFF2-40B4-BE49-F238E27FC236}">
              <a16:creationId xmlns:a16="http://schemas.microsoft.com/office/drawing/2014/main" xmlns="" id="{00000000-0008-0000-0000-000096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759" name="Text Box 3086">
          <a:extLst>
            <a:ext uri="{FF2B5EF4-FFF2-40B4-BE49-F238E27FC236}">
              <a16:creationId xmlns:a16="http://schemas.microsoft.com/office/drawing/2014/main" xmlns="" id="{00000000-0008-0000-0000-000097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760" name="Text Box 3087">
          <a:extLst>
            <a:ext uri="{FF2B5EF4-FFF2-40B4-BE49-F238E27FC236}">
              <a16:creationId xmlns:a16="http://schemas.microsoft.com/office/drawing/2014/main" xmlns="" id="{00000000-0008-0000-0000-000098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761" name="Text Box 3088">
          <a:extLst>
            <a:ext uri="{FF2B5EF4-FFF2-40B4-BE49-F238E27FC236}">
              <a16:creationId xmlns:a16="http://schemas.microsoft.com/office/drawing/2014/main" xmlns="" id="{00000000-0008-0000-0000-000099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762" name="Text Box 3089">
          <a:extLst>
            <a:ext uri="{FF2B5EF4-FFF2-40B4-BE49-F238E27FC236}">
              <a16:creationId xmlns:a16="http://schemas.microsoft.com/office/drawing/2014/main" xmlns="" id="{00000000-0008-0000-0000-00009A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763" name="Text Box 3090">
          <a:extLst>
            <a:ext uri="{FF2B5EF4-FFF2-40B4-BE49-F238E27FC236}">
              <a16:creationId xmlns:a16="http://schemas.microsoft.com/office/drawing/2014/main" xmlns="" id="{00000000-0008-0000-0000-00009B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764" name="Text Box 3091">
          <a:extLst>
            <a:ext uri="{FF2B5EF4-FFF2-40B4-BE49-F238E27FC236}">
              <a16:creationId xmlns:a16="http://schemas.microsoft.com/office/drawing/2014/main" xmlns="" id="{00000000-0008-0000-0000-00009C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765" name="Text Box 3092">
          <a:extLst>
            <a:ext uri="{FF2B5EF4-FFF2-40B4-BE49-F238E27FC236}">
              <a16:creationId xmlns:a16="http://schemas.microsoft.com/office/drawing/2014/main" xmlns="" id="{00000000-0008-0000-0000-00009D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766" name="Text Box 3093">
          <a:extLst>
            <a:ext uri="{FF2B5EF4-FFF2-40B4-BE49-F238E27FC236}">
              <a16:creationId xmlns:a16="http://schemas.microsoft.com/office/drawing/2014/main" xmlns="" id="{00000000-0008-0000-0000-00009E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767" name="Text Box 3094">
          <a:extLst>
            <a:ext uri="{FF2B5EF4-FFF2-40B4-BE49-F238E27FC236}">
              <a16:creationId xmlns:a16="http://schemas.microsoft.com/office/drawing/2014/main" xmlns="" id="{00000000-0008-0000-0000-00009F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768" name="Text Box 3095">
          <a:extLst>
            <a:ext uri="{FF2B5EF4-FFF2-40B4-BE49-F238E27FC236}">
              <a16:creationId xmlns:a16="http://schemas.microsoft.com/office/drawing/2014/main" xmlns="" id="{00000000-0008-0000-0000-0000A0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769" name="Text Box 3096">
          <a:extLst>
            <a:ext uri="{FF2B5EF4-FFF2-40B4-BE49-F238E27FC236}">
              <a16:creationId xmlns:a16="http://schemas.microsoft.com/office/drawing/2014/main" xmlns="" id="{00000000-0008-0000-0000-0000A1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770" name="Text Box 3097">
          <a:extLst>
            <a:ext uri="{FF2B5EF4-FFF2-40B4-BE49-F238E27FC236}">
              <a16:creationId xmlns:a16="http://schemas.microsoft.com/office/drawing/2014/main" xmlns="" id="{00000000-0008-0000-0000-0000A2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771" name="Text Box 3098">
          <a:extLst>
            <a:ext uri="{FF2B5EF4-FFF2-40B4-BE49-F238E27FC236}">
              <a16:creationId xmlns:a16="http://schemas.microsoft.com/office/drawing/2014/main" xmlns="" id="{00000000-0008-0000-0000-0000A3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772" name="Text Box 3099">
          <a:extLst>
            <a:ext uri="{FF2B5EF4-FFF2-40B4-BE49-F238E27FC236}">
              <a16:creationId xmlns:a16="http://schemas.microsoft.com/office/drawing/2014/main" xmlns="" id="{00000000-0008-0000-0000-0000A4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773" name="Text Box 3100">
          <a:extLst>
            <a:ext uri="{FF2B5EF4-FFF2-40B4-BE49-F238E27FC236}">
              <a16:creationId xmlns:a16="http://schemas.microsoft.com/office/drawing/2014/main" xmlns="" id="{00000000-0008-0000-0000-0000A5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774" name="Text Box 3101">
          <a:extLst>
            <a:ext uri="{FF2B5EF4-FFF2-40B4-BE49-F238E27FC236}">
              <a16:creationId xmlns:a16="http://schemas.microsoft.com/office/drawing/2014/main" xmlns="" id="{00000000-0008-0000-0000-0000A6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4775" name="Text Box 3102">
          <a:extLst>
            <a:ext uri="{FF2B5EF4-FFF2-40B4-BE49-F238E27FC236}">
              <a16:creationId xmlns:a16="http://schemas.microsoft.com/office/drawing/2014/main" xmlns="" id="{00000000-0008-0000-0000-0000A7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776" name="Text Box 59">
          <a:extLst>
            <a:ext uri="{FF2B5EF4-FFF2-40B4-BE49-F238E27FC236}">
              <a16:creationId xmlns:a16="http://schemas.microsoft.com/office/drawing/2014/main" xmlns="" id="{00000000-0008-0000-0000-0000A8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777" name="Text Box 60">
          <a:extLst>
            <a:ext uri="{FF2B5EF4-FFF2-40B4-BE49-F238E27FC236}">
              <a16:creationId xmlns:a16="http://schemas.microsoft.com/office/drawing/2014/main" xmlns="" id="{00000000-0008-0000-0000-0000A9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778" name="Text Box 61">
          <a:extLst>
            <a:ext uri="{FF2B5EF4-FFF2-40B4-BE49-F238E27FC236}">
              <a16:creationId xmlns:a16="http://schemas.microsoft.com/office/drawing/2014/main" xmlns="" id="{00000000-0008-0000-0000-0000AA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779" name="Text Box 62">
          <a:extLst>
            <a:ext uri="{FF2B5EF4-FFF2-40B4-BE49-F238E27FC236}">
              <a16:creationId xmlns:a16="http://schemas.microsoft.com/office/drawing/2014/main" xmlns="" id="{00000000-0008-0000-0000-0000AB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780" name="Text Box 63">
          <a:extLst>
            <a:ext uri="{FF2B5EF4-FFF2-40B4-BE49-F238E27FC236}">
              <a16:creationId xmlns:a16="http://schemas.microsoft.com/office/drawing/2014/main" xmlns="" id="{00000000-0008-0000-0000-0000AC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781" name="Text Box 64">
          <a:extLst>
            <a:ext uri="{FF2B5EF4-FFF2-40B4-BE49-F238E27FC236}">
              <a16:creationId xmlns:a16="http://schemas.microsoft.com/office/drawing/2014/main" xmlns="" id="{00000000-0008-0000-0000-0000AD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782" name="Text Box 65">
          <a:extLst>
            <a:ext uri="{FF2B5EF4-FFF2-40B4-BE49-F238E27FC236}">
              <a16:creationId xmlns:a16="http://schemas.microsoft.com/office/drawing/2014/main" xmlns="" id="{00000000-0008-0000-0000-0000AE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783" name="Text Box 66">
          <a:extLst>
            <a:ext uri="{FF2B5EF4-FFF2-40B4-BE49-F238E27FC236}">
              <a16:creationId xmlns:a16="http://schemas.microsoft.com/office/drawing/2014/main" xmlns="" id="{00000000-0008-0000-0000-0000AF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784" name="Text Box 67">
          <a:extLst>
            <a:ext uri="{FF2B5EF4-FFF2-40B4-BE49-F238E27FC236}">
              <a16:creationId xmlns:a16="http://schemas.microsoft.com/office/drawing/2014/main" xmlns="" id="{00000000-0008-0000-0000-0000B0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785" name="Text Box 68">
          <a:extLst>
            <a:ext uri="{FF2B5EF4-FFF2-40B4-BE49-F238E27FC236}">
              <a16:creationId xmlns:a16="http://schemas.microsoft.com/office/drawing/2014/main" xmlns="" id="{00000000-0008-0000-0000-0000B1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786" name="Text Box 69">
          <a:extLst>
            <a:ext uri="{FF2B5EF4-FFF2-40B4-BE49-F238E27FC236}">
              <a16:creationId xmlns:a16="http://schemas.microsoft.com/office/drawing/2014/main" xmlns="" id="{00000000-0008-0000-0000-0000B2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787" name="Text Box 70">
          <a:extLst>
            <a:ext uri="{FF2B5EF4-FFF2-40B4-BE49-F238E27FC236}">
              <a16:creationId xmlns:a16="http://schemas.microsoft.com/office/drawing/2014/main" xmlns="" id="{00000000-0008-0000-0000-0000B3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788" name="Text Box 71">
          <a:extLst>
            <a:ext uri="{FF2B5EF4-FFF2-40B4-BE49-F238E27FC236}">
              <a16:creationId xmlns:a16="http://schemas.microsoft.com/office/drawing/2014/main" xmlns="" id="{00000000-0008-0000-0000-0000B4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789" name="Text Box 72">
          <a:extLst>
            <a:ext uri="{FF2B5EF4-FFF2-40B4-BE49-F238E27FC236}">
              <a16:creationId xmlns:a16="http://schemas.microsoft.com/office/drawing/2014/main" xmlns="" id="{00000000-0008-0000-0000-0000B5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790" name="Text Box 73">
          <a:extLst>
            <a:ext uri="{FF2B5EF4-FFF2-40B4-BE49-F238E27FC236}">
              <a16:creationId xmlns:a16="http://schemas.microsoft.com/office/drawing/2014/main" xmlns="" id="{00000000-0008-0000-0000-0000B6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791" name="Text Box 74">
          <a:extLst>
            <a:ext uri="{FF2B5EF4-FFF2-40B4-BE49-F238E27FC236}">
              <a16:creationId xmlns:a16="http://schemas.microsoft.com/office/drawing/2014/main" xmlns="" id="{00000000-0008-0000-0000-0000B7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792" name="Text Box 75">
          <a:extLst>
            <a:ext uri="{FF2B5EF4-FFF2-40B4-BE49-F238E27FC236}">
              <a16:creationId xmlns:a16="http://schemas.microsoft.com/office/drawing/2014/main" xmlns="" id="{00000000-0008-0000-0000-0000B8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793" name="Text Box 76">
          <a:extLst>
            <a:ext uri="{FF2B5EF4-FFF2-40B4-BE49-F238E27FC236}">
              <a16:creationId xmlns:a16="http://schemas.microsoft.com/office/drawing/2014/main" xmlns="" id="{00000000-0008-0000-0000-0000B9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794" name="Text Box 77">
          <a:extLst>
            <a:ext uri="{FF2B5EF4-FFF2-40B4-BE49-F238E27FC236}">
              <a16:creationId xmlns:a16="http://schemas.microsoft.com/office/drawing/2014/main" xmlns="" id="{00000000-0008-0000-0000-0000BA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795" name="Text Box 78">
          <a:extLst>
            <a:ext uri="{FF2B5EF4-FFF2-40B4-BE49-F238E27FC236}">
              <a16:creationId xmlns:a16="http://schemas.microsoft.com/office/drawing/2014/main" xmlns="" id="{00000000-0008-0000-0000-0000BB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796" name="Text Box 79">
          <a:extLst>
            <a:ext uri="{FF2B5EF4-FFF2-40B4-BE49-F238E27FC236}">
              <a16:creationId xmlns:a16="http://schemas.microsoft.com/office/drawing/2014/main" xmlns="" id="{00000000-0008-0000-0000-0000BC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797" name="Text Box 80">
          <a:extLst>
            <a:ext uri="{FF2B5EF4-FFF2-40B4-BE49-F238E27FC236}">
              <a16:creationId xmlns:a16="http://schemas.microsoft.com/office/drawing/2014/main" xmlns="" id="{00000000-0008-0000-0000-0000BD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798" name="Text Box 81">
          <a:extLst>
            <a:ext uri="{FF2B5EF4-FFF2-40B4-BE49-F238E27FC236}">
              <a16:creationId xmlns:a16="http://schemas.microsoft.com/office/drawing/2014/main" xmlns="" id="{00000000-0008-0000-0000-0000BE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47625"/>
    <xdr:sp macro="" textlink="">
      <xdr:nvSpPr>
        <xdr:cNvPr id="4799" name="Text Box 82">
          <a:extLst>
            <a:ext uri="{FF2B5EF4-FFF2-40B4-BE49-F238E27FC236}">
              <a16:creationId xmlns:a16="http://schemas.microsoft.com/office/drawing/2014/main" xmlns="" id="{00000000-0008-0000-0000-0000BF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800" name="Text Box 3079">
          <a:extLst>
            <a:ext uri="{FF2B5EF4-FFF2-40B4-BE49-F238E27FC236}">
              <a16:creationId xmlns:a16="http://schemas.microsoft.com/office/drawing/2014/main" xmlns="" id="{00000000-0008-0000-0000-0000C0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801" name="Text Box 3080">
          <a:extLst>
            <a:ext uri="{FF2B5EF4-FFF2-40B4-BE49-F238E27FC236}">
              <a16:creationId xmlns:a16="http://schemas.microsoft.com/office/drawing/2014/main" xmlns="" id="{00000000-0008-0000-0000-0000C1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802" name="Text Box 3081">
          <a:extLst>
            <a:ext uri="{FF2B5EF4-FFF2-40B4-BE49-F238E27FC236}">
              <a16:creationId xmlns:a16="http://schemas.microsoft.com/office/drawing/2014/main" xmlns="" id="{00000000-0008-0000-0000-0000C2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803" name="Text Box 3082">
          <a:extLst>
            <a:ext uri="{FF2B5EF4-FFF2-40B4-BE49-F238E27FC236}">
              <a16:creationId xmlns:a16="http://schemas.microsoft.com/office/drawing/2014/main" xmlns="" id="{00000000-0008-0000-0000-0000C3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804" name="Text Box 3083">
          <a:extLst>
            <a:ext uri="{FF2B5EF4-FFF2-40B4-BE49-F238E27FC236}">
              <a16:creationId xmlns:a16="http://schemas.microsoft.com/office/drawing/2014/main" xmlns="" id="{00000000-0008-0000-0000-0000C4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805" name="Text Box 3084">
          <a:extLst>
            <a:ext uri="{FF2B5EF4-FFF2-40B4-BE49-F238E27FC236}">
              <a16:creationId xmlns:a16="http://schemas.microsoft.com/office/drawing/2014/main" xmlns="" id="{00000000-0008-0000-0000-0000C5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806" name="Text Box 3085">
          <a:extLst>
            <a:ext uri="{FF2B5EF4-FFF2-40B4-BE49-F238E27FC236}">
              <a16:creationId xmlns:a16="http://schemas.microsoft.com/office/drawing/2014/main" xmlns="" id="{00000000-0008-0000-0000-0000C6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807" name="Text Box 3086">
          <a:extLst>
            <a:ext uri="{FF2B5EF4-FFF2-40B4-BE49-F238E27FC236}">
              <a16:creationId xmlns:a16="http://schemas.microsoft.com/office/drawing/2014/main" xmlns="" id="{00000000-0008-0000-0000-0000C7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808" name="Text Box 3087">
          <a:extLst>
            <a:ext uri="{FF2B5EF4-FFF2-40B4-BE49-F238E27FC236}">
              <a16:creationId xmlns:a16="http://schemas.microsoft.com/office/drawing/2014/main" xmlns="" id="{00000000-0008-0000-0000-0000C8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809" name="Text Box 3088">
          <a:extLst>
            <a:ext uri="{FF2B5EF4-FFF2-40B4-BE49-F238E27FC236}">
              <a16:creationId xmlns:a16="http://schemas.microsoft.com/office/drawing/2014/main" xmlns="" id="{00000000-0008-0000-0000-0000C9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810" name="Text Box 3089">
          <a:extLst>
            <a:ext uri="{FF2B5EF4-FFF2-40B4-BE49-F238E27FC236}">
              <a16:creationId xmlns:a16="http://schemas.microsoft.com/office/drawing/2014/main" xmlns="" id="{00000000-0008-0000-0000-0000CA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811" name="Text Box 3090">
          <a:extLst>
            <a:ext uri="{FF2B5EF4-FFF2-40B4-BE49-F238E27FC236}">
              <a16:creationId xmlns:a16="http://schemas.microsoft.com/office/drawing/2014/main" xmlns="" id="{00000000-0008-0000-0000-0000CB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812" name="Text Box 3091">
          <a:extLst>
            <a:ext uri="{FF2B5EF4-FFF2-40B4-BE49-F238E27FC236}">
              <a16:creationId xmlns:a16="http://schemas.microsoft.com/office/drawing/2014/main" xmlns="" id="{00000000-0008-0000-0000-0000CC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813" name="Text Box 3092">
          <a:extLst>
            <a:ext uri="{FF2B5EF4-FFF2-40B4-BE49-F238E27FC236}">
              <a16:creationId xmlns:a16="http://schemas.microsoft.com/office/drawing/2014/main" xmlns="" id="{00000000-0008-0000-0000-0000CD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814" name="Text Box 3093">
          <a:extLst>
            <a:ext uri="{FF2B5EF4-FFF2-40B4-BE49-F238E27FC236}">
              <a16:creationId xmlns:a16="http://schemas.microsoft.com/office/drawing/2014/main" xmlns="" id="{00000000-0008-0000-0000-0000CE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815" name="Text Box 3094">
          <a:extLst>
            <a:ext uri="{FF2B5EF4-FFF2-40B4-BE49-F238E27FC236}">
              <a16:creationId xmlns:a16="http://schemas.microsoft.com/office/drawing/2014/main" xmlns="" id="{00000000-0008-0000-0000-0000CF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816" name="Text Box 3095">
          <a:extLst>
            <a:ext uri="{FF2B5EF4-FFF2-40B4-BE49-F238E27FC236}">
              <a16:creationId xmlns:a16="http://schemas.microsoft.com/office/drawing/2014/main" xmlns="" id="{00000000-0008-0000-0000-0000D0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817" name="Text Box 3096">
          <a:extLst>
            <a:ext uri="{FF2B5EF4-FFF2-40B4-BE49-F238E27FC236}">
              <a16:creationId xmlns:a16="http://schemas.microsoft.com/office/drawing/2014/main" xmlns="" id="{00000000-0008-0000-0000-0000D1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818" name="Text Box 3097">
          <a:extLst>
            <a:ext uri="{FF2B5EF4-FFF2-40B4-BE49-F238E27FC236}">
              <a16:creationId xmlns:a16="http://schemas.microsoft.com/office/drawing/2014/main" xmlns="" id="{00000000-0008-0000-0000-0000D2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819" name="Text Box 3098">
          <a:extLst>
            <a:ext uri="{FF2B5EF4-FFF2-40B4-BE49-F238E27FC236}">
              <a16:creationId xmlns:a16="http://schemas.microsoft.com/office/drawing/2014/main" xmlns="" id="{00000000-0008-0000-0000-0000D3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820" name="Text Box 3099">
          <a:extLst>
            <a:ext uri="{FF2B5EF4-FFF2-40B4-BE49-F238E27FC236}">
              <a16:creationId xmlns:a16="http://schemas.microsoft.com/office/drawing/2014/main" xmlns="" id="{00000000-0008-0000-0000-0000D4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821" name="Text Box 3100">
          <a:extLst>
            <a:ext uri="{FF2B5EF4-FFF2-40B4-BE49-F238E27FC236}">
              <a16:creationId xmlns:a16="http://schemas.microsoft.com/office/drawing/2014/main" xmlns="" id="{00000000-0008-0000-0000-0000D5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822" name="Text Box 3101">
          <a:extLst>
            <a:ext uri="{FF2B5EF4-FFF2-40B4-BE49-F238E27FC236}">
              <a16:creationId xmlns:a16="http://schemas.microsoft.com/office/drawing/2014/main" xmlns="" id="{00000000-0008-0000-0000-0000D6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4823" name="Text Box 3102">
          <a:extLst>
            <a:ext uri="{FF2B5EF4-FFF2-40B4-BE49-F238E27FC236}">
              <a16:creationId xmlns:a16="http://schemas.microsoft.com/office/drawing/2014/main" xmlns="" id="{00000000-0008-0000-0000-0000D7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824" name="Text Box 59">
          <a:extLst>
            <a:ext uri="{FF2B5EF4-FFF2-40B4-BE49-F238E27FC236}">
              <a16:creationId xmlns:a16="http://schemas.microsoft.com/office/drawing/2014/main" xmlns="" id="{00000000-0008-0000-0000-0000D8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825" name="Text Box 60">
          <a:extLst>
            <a:ext uri="{FF2B5EF4-FFF2-40B4-BE49-F238E27FC236}">
              <a16:creationId xmlns:a16="http://schemas.microsoft.com/office/drawing/2014/main" xmlns="" id="{00000000-0008-0000-0000-0000D9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826" name="Text Box 61">
          <a:extLst>
            <a:ext uri="{FF2B5EF4-FFF2-40B4-BE49-F238E27FC236}">
              <a16:creationId xmlns:a16="http://schemas.microsoft.com/office/drawing/2014/main" xmlns="" id="{00000000-0008-0000-0000-0000DA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827" name="Text Box 62">
          <a:extLst>
            <a:ext uri="{FF2B5EF4-FFF2-40B4-BE49-F238E27FC236}">
              <a16:creationId xmlns:a16="http://schemas.microsoft.com/office/drawing/2014/main" xmlns="" id="{00000000-0008-0000-0000-0000DB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828" name="Text Box 63">
          <a:extLst>
            <a:ext uri="{FF2B5EF4-FFF2-40B4-BE49-F238E27FC236}">
              <a16:creationId xmlns:a16="http://schemas.microsoft.com/office/drawing/2014/main" xmlns="" id="{00000000-0008-0000-0000-0000DC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829" name="Text Box 64">
          <a:extLst>
            <a:ext uri="{FF2B5EF4-FFF2-40B4-BE49-F238E27FC236}">
              <a16:creationId xmlns:a16="http://schemas.microsoft.com/office/drawing/2014/main" xmlns="" id="{00000000-0008-0000-0000-0000DD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830" name="Text Box 65">
          <a:extLst>
            <a:ext uri="{FF2B5EF4-FFF2-40B4-BE49-F238E27FC236}">
              <a16:creationId xmlns:a16="http://schemas.microsoft.com/office/drawing/2014/main" xmlns="" id="{00000000-0008-0000-0000-0000DE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831" name="Text Box 66">
          <a:extLst>
            <a:ext uri="{FF2B5EF4-FFF2-40B4-BE49-F238E27FC236}">
              <a16:creationId xmlns:a16="http://schemas.microsoft.com/office/drawing/2014/main" xmlns="" id="{00000000-0008-0000-0000-0000DF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832" name="Text Box 67">
          <a:extLst>
            <a:ext uri="{FF2B5EF4-FFF2-40B4-BE49-F238E27FC236}">
              <a16:creationId xmlns:a16="http://schemas.microsoft.com/office/drawing/2014/main" xmlns="" id="{00000000-0008-0000-0000-0000E0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833" name="Text Box 68">
          <a:extLst>
            <a:ext uri="{FF2B5EF4-FFF2-40B4-BE49-F238E27FC236}">
              <a16:creationId xmlns:a16="http://schemas.microsoft.com/office/drawing/2014/main" xmlns="" id="{00000000-0008-0000-0000-0000E1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834" name="Text Box 69">
          <a:extLst>
            <a:ext uri="{FF2B5EF4-FFF2-40B4-BE49-F238E27FC236}">
              <a16:creationId xmlns:a16="http://schemas.microsoft.com/office/drawing/2014/main" xmlns="" id="{00000000-0008-0000-0000-0000E2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835" name="Text Box 70">
          <a:extLst>
            <a:ext uri="{FF2B5EF4-FFF2-40B4-BE49-F238E27FC236}">
              <a16:creationId xmlns:a16="http://schemas.microsoft.com/office/drawing/2014/main" xmlns="" id="{00000000-0008-0000-0000-0000E3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836" name="Text Box 71">
          <a:extLst>
            <a:ext uri="{FF2B5EF4-FFF2-40B4-BE49-F238E27FC236}">
              <a16:creationId xmlns:a16="http://schemas.microsoft.com/office/drawing/2014/main" xmlns="" id="{00000000-0008-0000-0000-0000E4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837" name="Text Box 72">
          <a:extLst>
            <a:ext uri="{FF2B5EF4-FFF2-40B4-BE49-F238E27FC236}">
              <a16:creationId xmlns:a16="http://schemas.microsoft.com/office/drawing/2014/main" xmlns="" id="{00000000-0008-0000-0000-0000E5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838" name="Text Box 73">
          <a:extLst>
            <a:ext uri="{FF2B5EF4-FFF2-40B4-BE49-F238E27FC236}">
              <a16:creationId xmlns:a16="http://schemas.microsoft.com/office/drawing/2014/main" xmlns="" id="{00000000-0008-0000-0000-0000E6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839" name="Text Box 74">
          <a:extLst>
            <a:ext uri="{FF2B5EF4-FFF2-40B4-BE49-F238E27FC236}">
              <a16:creationId xmlns:a16="http://schemas.microsoft.com/office/drawing/2014/main" xmlns="" id="{00000000-0008-0000-0000-0000E7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840" name="Text Box 75">
          <a:extLst>
            <a:ext uri="{FF2B5EF4-FFF2-40B4-BE49-F238E27FC236}">
              <a16:creationId xmlns:a16="http://schemas.microsoft.com/office/drawing/2014/main" xmlns="" id="{00000000-0008-0000-0000-0000E8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841" name="Text Box 76">
          <a:extLst>
            <a:ext uri="{FF2B5EF4-FFF2-40B4-BE49-F238E27FC236}">
              <a16:creationId xmlns:a16="http://schemas.microsoft.com/office/drawing/2014/main" xmlns="" id="{00000000-0008-0000-0000-0000E9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842" name="Text Box 77">
          <a:extLst>
            <a:ext uri="{FF2B5EF4-FFF2-40B4-BE49-F238E27FC236}">
              <a16:creationId xmlns:a16="http://schemas.microsoft.com/office/drawing/2014/main" xmlns="" id="{00000000-0008-0000-0000-0000EA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843" name="Text Box 78">
          <a:extLst>
            <a:ext uri="{FF2B5EF4-FFF2-40B4-BE49-F238E27FC236}">
              <a16:creationId xmlns:a16="http://schemas.microsoft.com/office/drawing/2014/main" xmlns="" id="{00000000-0008-0000-0000-0000EB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844" name="Text Box 79">
          <a:extLst>
            <a:ext uri="{FF2B5EF4-FFF2-40B4-BE49-F238E27FC236}">
              <a16:creationId xmlns:a16="http://schemas.microsoft.com/office/drawing/2014/main" xmlns="" id="{00000000-0008-0000-0000-0000EC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845" name="Text Box 80">
          <a:extLst>
            <a:ext uri="{FF2B5EF4-FFF2-40B4-BE49-F238E27FC236}">
              <a16:creationId xmlns:a16="http://schemas.microsoft.com/office/drawing/2014/main" xmlns="" id="{00000000-0008-0000-0000-0000ED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846" name="Text Box 81">
          <a:extLst>
            <a:ext uri="{FF2B5EF4-FFF2-40B4-BE49-F238E27FC236}">
              <a16:creationId xmlns:a16="http://schemas.microsoft.com/office/drawing/2014/main" xmlns="" id="{00000000-0008-0000-0000-0000EE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847" name="Text Box 3079">
          <a:extLst>
            <a:ext uri="{FF2B5EF4-FFF2-40B4-BE49-F238E27FC236}">
              <a16:creationId xmlns:a16="http://schemas.microsoft.com/office/drawing/2014/main" xmlns="" id="{00000000-0008-0000-0000-0000EF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848" name="Text Box 3080">
          <a:extLst>
            <a:ext uri="{FF2B5EF4-FFF2-40B4-BE49-F238E27FC236}">
              <a16:creationId xmlns:a16="http://schemas.microsoft.com/office/drawing/2014/main" xmlns="" id="{00000000-0008-0000-0000-0000F0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849" name="Text Box 3081">
          <a:extLst>
            <a:ext uri="{FF2B5EF4-FFF2-40B4-BE49-F238E27FC236}">
              <a16:creationId xmlns:a16="http://schemas.microsoft.com/office/drawing/2014/main" xmlns="" id="{00000000-0008-0000-0000-0000F1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850" name="Text Box 3082">
          <a:extLst>
            <a:ext uri="{FF2B5EF4-FFF2-40B4-BE49-F238E27FC236}">
              <a16:creationId xmlns:a16="http://schemas.microsoft.com/office/drawing/2014/main" xmlns="" id="{00000000-0008-0000-0000-0000F2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851" name="Text Box 3083">
          <a:extLst>
            <a:ext uri="{FF2B5EF4-FFF2-40B4-BE49-F238E27FC236}">
              <a16:creationId xmlns:a16="http://schemas.microsoft.com/office/drawing/2014/main" xmlns="" id="{00000000-0008-0000-0000-0000F3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852" name="Text Box 3084">
          <a:extLst>
            <a:ext uri="{FF2B5EF4-FFF2-40B4-BE49-F238E27FC236}">
              <a16:creationId xmlns:a16="http://schemas.microsoft.com/office/drawing/2014/main" xmlns="" id="{00000000-0008-0000-0000-0000F4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853" name="Text Box 3085">
          <a:extLst>
            <a:ext uri="{FF2B5EF4-FFF2-40B4-BE49-F238E27FC236}">
              <a16:creationId xmlns:a16="http://schemas.microsoft.com/office/drawing/2014/main" xmlns="" id="{00000000-0008-0000-0000-0000F5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854" name="Text Box 3086">
          <a:extLst>
            <a:ext uri="{FF2B5EF4-FFF2-40B4-BE49-F238E27FC236}">
              <a16:creationId xmlns:a16="http://schemas.microsoft.com/office/drawing/2014/main" xmlns="" id="{00000000-0008-0000-0000-0000F6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855" name="Text Box 3087">
          <a:extLst>
            <a:ext uri="{FF2B5EF4-FFF2-40B4-BE49-F238E27FC236}">
              <a16:creationId xmlns:a16="http://schemas.microsoft.com/office/drawing/2014/main" xmlns="" id="{00000000-0008-0000-0000-0000F7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856" name="Text Box 3088">
          <a:extLst>
            <a:ext uri="{FF2B5EF4-FFF2-40B4-BE49-F238E27FC236}">
              <a16:creationId xmlns:a16="http://schemas.microsoft.com/office/drawing/2014/main" xmlns="" id="{00000000-0008-0000-0000-0000F8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857" name="Text Box 3089">
          <a:extLst>
            <a:ext uri="{FF2B5EF4-FFF2-40B4-BE49-F238E27FC236}">
              <a16:creationId xmlns:a16="http://schemas.microsoft.com/office/drawing/2014/main" xmlns="" id="{00000000-0008-0000-0000-0000F9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858" name="Text Box 3090">
          <a:extLst>
            <a:ext uri="{FF2B5EF4-FFF2-40B4-BE49-F238E27FC236}">
              <a16:creationId xmlns:a16="http://schemas.microsoft.com/office/drawing/2014/main" xmlns="" id="{00000000-0008-0000-0000-0000FA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859" name="Text Box 3091">
          <a:extLst>
            <a:ext uri="{FF2B5EF4-FFF2-40B4-BE49-F238E27FC236}">
              <a16:creationId xmlns:a16="http://schemas.microsoft.com/office/drawing/2014/main" xmlns="" id="{00000000-0008-0000-0000-0000FB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860" name="Text Box 3092">
          <a:extLst>
            <a:ext uri="{FF2B5EF4-FFF2-40B4-BE49-F238E27FC236}">
              <a16:creationId xmlns:a16="http://schemas.microsoft.com/office/drawing/2014/main" xmlns="" id="{00000000-0008-0000-0000-0000FC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861" name="Text Box 3093">
          <a:extLst>
            <a:ext uri="{FF2B5EF4-FFF2-40B4-BE49-F238E27FC236}">
              <a16:creationId xmlns:a16="http://schemas.microsoft.com/office/drawing/2014/main" xmlns="" id="{00000000-0008-0000-0000-0000FD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862" name="Text Box 3094">
          <a:extLst>
            <a:ext uri="{FF2B5EF4-FFF2-40B4-BE49-F238E27FC236}">
              <a16:creationId xmlns:a16="http://schemas.microsoft.com/office/drawing/2014/main" xmlns="" id="{00000000-0008-0000-0000-0000FE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863" name="Text Box 3095">
          <a:extLst>
            <a:ext uri="{FF2B5EF4-FFF2-40B4-BE49-F238E27FC236}">
              <a16:creationId xmlns:a16="http://schemas.microsoft.com/office/drawing/2014/main" xmlns="" id="{00000000-0008-0000-0000-0000FF12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864" name="Text Box 3096">
          <a:extLst>
            <a:ext uri="{FF2B5EF4-FFF2-40B4-BE49-F238E27FC236}">
              <a16:creationId xmlns:a16="http://schemas.microsoft.com/office/drawing/2014/main" xmlns="" id="{00000000-0008-0000-0000-000000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865" name="Text Box 3097">
          <a:extLst>
            <a:ext uri="{FF2B5EF4-FFF2-40B4-BE49-F238E27FC236}">
              <a16:creationId xmlns:a16="http://schemas.microsoft.com/office/drawing/2014/main" xmlns="" id="{00000000-0008-0000-0000-000001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866" name="Text Box 3098">
          <a:extLst>
            <a:ext uri="{FF2B5EF4-FFF2-40B4-BE49-F238E27FC236}">
              <a16:creationId xmlns:a16="http://schemas.microsoft.com/office/drawing/2014/main" xmlns="" id="{00000000-0008-0000-0000-000002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867" name="Text Box 3099">
          <a:extLst>
            <a:ext uri="{FF2B5EF4-FFF2-40B4-BE49-F238E27FC236}">
              <a16:creationId xmlns:a16="http://schemas.microsoft.com/office/drawing/2014/main" xmlns="" id="{00000000-0008-0000-0000-000003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868" name="Text Box 3100">
          <a:extLst>
            <a:ext uri="{FF2B5EF4-FFF2-40B4-BE49-F238E27FC236}">
              <a16:creationId xmlns:a16="http://schemas.microsoft.com/office/drawing/2014/main" xmlns="" id="{00000000-0008-0000-0000-000004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869" name="Text Box 3101">
          <a:extLst>
            <a:ext uri="{FF2B5EF4-FFF2-40B4-BE49-F238E27FC236}">
              <a16:creationId xmlns:a16="http://schemas.microsoft.com/office/drawing/2014/main" xmlns="" id="{00000000-0008-0000-0000-000005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4870" name="Text Box 3102">
          <a:extLst>
            <a:ext uri="{FF2B5EF4-FFF2-40B4-BE49-F238E27FC236}">
              <a16:creationId xmlns:a16="http://schemas.microsoft.com/office/drawing/2014/main" xmlns="" id="{00000000-0008-0000-0000-000006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871" name="Text Box 59">
          <a:extLst>
            <a:ext uri="{FF2B5EF4-FFF2-40B4-BE49-F238E27FC236}">
              <a16:creationId xmlns:a16="http://schemas.microsoft.com/office/drawing/2014/main" xmlns="" id="{00000000-0008-0000-0000-000007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872" name="Text Box 60">
          <a:extLst>
            <a:ext uri="{FF2B5EF4-FFF2-40B4-BE49-F238E27FC236}">
              <a16:creationId xmlns:a16="http://schemas.microsoft.com/office/drawing/2014/main" xmlns="" id="{00000000-0008-0000-0000-000008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873" name="Text Box 61">
          <a:extLst>
            <a:ext uri="{FF2B5EF4-FFF2-40B4-BE49-F238E27FC236}">
              <a16:creationId xmlns:a16="http://schemas.microsoft.com/office/drawing/2014/main" xmlns="" id="{00000000-0008-0000-0000-000009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874" name="Text Box 62">
          <a:extLst>
            <a:ext uri="{FF2B5EF4-FFF2-40B4-BE49-F238E27FC236}">
              <a16:creationId xmlns:a16="http://schemas.microsoft.com/office/drawing/2014/main" xmlns="" id="{00000000-0008-0000-0000-00000A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875" name="Text Box 63">
          <a:extLst>
            <a:ext uri="{FF2B5EF4-FFF2-40B4-BE49-F238E27FC236}">
              <a16:creationId xmlns:a16="http://schemas.microsoft.com/office/drawing/2014/main" xmlns="" id="{00000000-0008-0000-0000-00000B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876" name="Text Box 64">
          <a:extLst>
            <a:ext uri="{FF2B5EF4-FFF2-40B4-BE49-F238E27FC236}">
              <a16:creationId xmlns:a16="http://schemas.microsoft.com/office/drawing/2014/main" xmlns="" id="{00000000-0008-0000-0000-00000C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877" name="Text Box 65">
          <a:extLst>
            <a:ext uri="{FF2B5EF4-FFF2-40B4-BE49-F238E27FC236}">
              <a16:creationId xmlns:a16="http://schemas.microsoft.com/office/drawing/2014/main" xmlns="" id="{00000000-0008-0000-0000-00000D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878" name="Text Box 66">
          <a:extLst>
            <a:ext uri="{FF2B5EF4-FFF2-40B4-BE49-F238E27FC236}">
              <a16:creationId xmlns:a16="http://schemas.microsoft.com/office/drawing/2014/main" xmlns="" id="{00000000-0008-0000-0000-00000E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879" name="Text Box 67">
          <a:extLst>
            <a:ext uri="{FF2B5EF4-FFF2-40B4-BE49-F238E27FC236}">
              <a16:creationId xmlns:a16="http://schemas.microsoft.com/office/drawing/2014/main" xmlns="" id="{00000000-0008-0000-0000-00000F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880" name="Text Box 68">
          <a:extLst>
            <a:ext uri="{FF2B5EF4-FFF2-40B4-BE49-F238E27FC236}">
              <a16:creationId xmlns:a16="http://schemas.microsoft.com/office/drawing/2014/main" xmlns="" id="{00000000-0008-0000-0000-000010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881" name="Text Box 69">
          <a:extLst>
            <a:ext uri="{FF2B5EF4-FFF2-40B4-BE49-F238E27FC236}">
              <a16:creationId xmlns:a16="http://schemas.microsoft.com/office/drawing/2014/main" xmlns="" id="{00000000-0008-0000-0000-000011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882" name="Text Box 70">
          <a:extLst>
            <a:ext uri="{FF2B5EF4-FFF2-40B4-BE49-F238E27FC236}">
              <a16:creationId xmlns:a16="http://schemas.microsoft.com/office/drawing/2014/main" xmlns="" id="{00000000-0008-0000-0000-000012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883" name="Text Box 71">
          <a:extLst>
            <a:ext uri="{FF2B5EF4-FFF2-40B4-BE49-F238E27FC236}">
              <a16:creationId xmlns:a16="http://schemas.microsoft.com/office/drawing/2014/main" xmlns="" id="{00000000-0008-0000-0000-000013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884" name="Text Box 72">
          <a:extLst>
            <a:ext uri="{FF2B5EF4-FFF2-40B4-BE49-F238E27FC236}">
              <a16:creationId xmlns:a16="http://schemas.microsoft.com/office/drawing/2014/main" xmlns="" id="{00000000-0008-0000-0000-000014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885" name="Text Box 73">
          <a:extLst>
            <a:ext uri="{FF2B5EF4-FFF2-40B4-BE49-F238E27FC236}">
              <a16:creationId xmlns:a16="http://schemas.microsoft.com/office/drawing/2014/main" xmlns="" id="{00000000-0008-0000-0000-000015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886" name="Text Box 74">
          <a:extLst>
            <a:ext uri="{FF2B5EF4-FFF2-40B4-BE49-F238E27FC236}">
              <a16:creationId xmlns:a16="http://schemas.microsoft.com/office/drawing/2014/main" xmlns="" id="{00000000-0008-0000-0000-000016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887" name="Text Box 75">
          <a:extLst>
            <a:ext uri="{FF2B5EF4-FFF2-40B4-BE49-F238E27FC236}">
              <a16:creationId xmlns:a16="http://schemas.microsoft.com/office/drawing/2014/main" xmlns="" id="{00000000-0008-0000-0000-000017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888" name="Text Box 76">
          <a:extLst>
            <a:ext uri="{FF2B5EF4-FFF2-40B4-BE49-F238E27FC236}">
              <a16:creationId xmlns:a16="http://schemas.microsoft.com/office/drawing/2014/main" xmlns="" id="{00000000-0008-0000-0000-000018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889" name="Text Box 77">
          <a:extLst>
            <a:ext uri="{FF2B5EF4-FFF2-40B4-BE49-F238E27FC236}">
              <a16:creationId xmlns:a16="http://schemas.microsoft.com/office/drawing/2014/main" xmlns="" id="{00000000-0008-0000-0000-000019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890" name="Text Box 78">
          <a:extLst>
            <a:ext uri="{FF2B5EF4-FFF2-40B4-BE49-F238E27FC236}">
              <a16:creationId xmlns:a16="http://schemas.microsoft.com/office/drawing/2014/main" xmlns="" id="{00000000-0008-0000-0000-00001A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891" name="Text Box 79">
          <a:extLst>
            <a:ext uri="{FF2B5EF4-FFF2-40B4-BE49-F238E27FC236}">
              <a16:creationId xmlns:a16="http://schemas.microsoft.com/office/drawing/2014/main" xmlns="" id="{00000000-0008-0000-0000-00001B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892" name="Text Box 80">
          <a:extLst>
            <a:ext uri="{FF2B5EF4-FFF2-40B4-BE49-F238E27FC236}">
              <a16:creationId xmlns:a16="http://schemas.microsoft.com/office/drawing/2014/main" xmlns="" id="{00000000-0008-0000-0000-00001C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893" name="Text Box 81">
          <a:extLst>
            <a:ext uri="{FF2B5EF4-FFF2-40B4-BE49-F238E27FC236}">
              <a16:creationId xmlns:a16="http://schemas.microsoft.com/office/drawing/2014/main" xmlns="" id="{00000000-0008-0000-0000-00001D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47625"/>
    <xdr:sp macro="" textlink="">
      <xdr:nvSpPr>
        <xdr:cNvPr id="4894" name="Text Box 82">
          <a:extLst>
            <a:ext uri="{FF2B5EF4-FFF2-40B4-BE49-F238E27FC236}">
              <a16:creationId xmlns:a16="http://schemas.microsoft.com/office/drawing/2014/main" xmlns="" id="{00000000-0008-0000-0000-00001E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895" name="Text Box 3079">
          <a:extLst>
            <a:ext uri="{FF2B5EF4-FFF2-40B4-BE49-F238E27FC236}">
              <a16:creationId xmlns:a16="http://schemas.microsoft.com/office/drawing/2014/main" xmlns="" id="{00000000-0008-0000-0000-00001F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896" name="Text Box 3080">
          <a:extLst>
            <a:ext uri="{FF2B5EF4-FFF2-40B4-BE49-F238E27FC236}">
              <a16:creationId xmlns:a16="http://schemas.microsoft.com/office/drawing/2014/main" xmlns="" id="{00000000-0008-0000-0000-000020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897" name="Text Box 3081">
          <a:extLst>
            <a:ext uri="{FF2B5EF4-FFF2-40B4-BE49-F238E27FC236}">
              <a16:creationId xmlns:a16="http://schemas.microsoft.com/office/drawing/2014/main" xmlns="" id="{00000000-0008-0000-0000-000021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898" name="Text Box 3082">
          <a:extLst>
            <a:ext uri="{FF2B5EF4-FFF2-40B4-BE49-F238E27FC236}">
              <a16:creationId xmlns:a16="http://schemas.microsoft.com/office/drawing/2014/main" xmlns="" id="{00000000-0008-0000-0000-000022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899" name="Text Box 3083">
          <a:extLst>
            <a:ext uri="{FF2B5EF4-FFF2-40B4-BE49-F238E27FC236}">
              <a16:creationId xmlns:a16="http://schemas.microsoft.com/office/drawing/2014/main" xmlns="" id="{00000000-0008-0000-0000-000023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900" name="Text Box 3084">
          <a:extLst>
            <a:ext uri="{FF2B5EF4-FFF2-40B4-BE49-F238E27FC236}">
              <a16:creationId xmlns:a16="http://schemas.microsoft.com/office/drawing/2014/main" xmlns="" id="{00000000-0008-0000-0000-000024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901" name="Text Box 3085">
          <a:extLst>
            <a:ext uri="{FF2B5EF4-FFF2-40B4-BE49-F238E27FC236}">
              <a16:creationId xmlns:a16="http://schemas.microsoft.com/office/drawing/2014/main" xmlns="" id="{00000000-0008-0000-0000-000025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902" name="Text Box 3086">
          <a:extLst>
            <a:ext uri="{FF2B5EF4-FFF2-40B4-BE49-F238E27FC236}">
              <a16:creationId xmlns:a16="http://schemas.microsoft.com/office/drawing/2014/main" xmlns="" id="{00000000-0008-0000-0000-000026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903" name="Text Box 3087">
          <a:extLst>
            <a:ext uri="{FF2B5EF4-FFF2-40B4-BE49-F238E27FC236}">
              <a16:creationId xmlns:a16="http://schemas.microsoft.com/office/drawing/2014/main" xmlns="" id="{00000000-0008-0000-0000-000027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904" name="Text Box 3088">
          <a:extLst>
            <a:ext uri="{FF2B5EF4-FFF2-40B4-BE49-F238E27FC236}">
              <a16:creationId xmlns:a16="http://schemas.microsoft.com/office/drawing/2014/main" xmlns="" id="{00000000-0008-0000-0000-000028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905" name="Text Box 3089">
          <a:extLst>
            <a:ext uri="{FF2B5EF4-FFF2-40B4-BE49-F238E27FC236}">
              <a16:creationId xmlns:a16="http://schemas.microsoft.com/office/drawing/2014/main" xmlns="" id="{00000000-0008-0000-0000-000029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906" name="Text Box 3090">
          <a:extLst>
            <a:ext uri="{FF2B5EF4-FFF2-40B4-BE49-F238E27FC236}">
              <a16:creationId xmlns:a16="http://schemas.microsoft.com/office/drawing/2014/main" xmlns="" id="{00000000-0008-0000-0000-00002A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907" name="Text Box 3091">
          <a:extLst>
            <a:ext uri="{FF2B5EF4-FFF2-40B4-BE49-F238E27FC236}">
              <a16:creationId xmlns:a16="http://schemas.microsoft.com/office/drawing/2014/main" xmlns="" id="{00000000-0008-0000-0000-00002B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908" name="Text Box 3092">
          <a:extLst>
            <a:ext uri="{FF2B5EF4-FFF2-40B4-BE49-F238E27FC236}">
              <a16:creationId xmlns:a16="http://schemas.microsoft.com/office/drawing/2014/main" xmlns="" id="{00000000-0008-0000-0000-00002C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909" name="Text Box 3093">
          <a:extLst>
            <a:ext uri="{FF2B5EF4-FFF2-40B4-BE49-F238E27FC236}">
              <a16:creationId xmlns:a16="http://schemas.microsoft.com/office/drawing/2014/main" xmlns="" id="{00000000-0008-0000-0000-00002D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910" name="Text Box 3094">
          <a:extLst>
            <a:ext uri="{FF2B5EF4-FFF2-40B4-BE49-F238E27FC236}">
              <a16:creationId xmlns:a16="http://schemas.microsoft.com/office/drawing/2014/main" xmlns="" id="{00000000-0008-0000-0000-00002E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911" name="Text Box 3095">
          <a:extLst>
            <a:ext uri="{FF2B5EF4-FFF2-40B4-BE49-F238E27FC236}">
              <a16:creationId xmlns:a16="http://schemas.microsoft.com/office/drawing/2014/main" xmlns="" id="{00000000-0008-0000-0000-00002F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912" name="Text Box 3096">
          <a:extLst>
            <a:ext uri="{FF2B5EF4-FFF2-40B4-BE49-F238E27FC236}">
              <a16:creationId xmlns:a16="http://schemas.microsoft.com/office/drawing/2014/main" xmlns="" id="{00000000-0008-0000-0000-000030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913" name="Text Box 3097">
          <a:extLst>
            <a:ext uri="{FF2B5EF4-FFF2-40B4-BE49-F238E27FC236}">
              <a16:creationId xmlns:a16="http://schemas.microsoft.com/office/drawing/2014/main" xmlns="" id="{00000000-0008-0000-0000-000031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914" name="Text Box 3098">
          <a:extLst>
            <a:ext uri="{FF2B5EF4-FFF2-40B4-BE49-F238E27FC236}">
              <a16:creationId xmlns:a16="http://schemas.microsoft.com/office/drawing/2014/main" xmlns="" id="{00000000-0008-0000-0000-000032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915" name="Text Box 3099">
          <a:extLst>
            <a:ext uri="{FF2B5EF4-FFF2-40B4-BE49-F238E27FC236}">
              <a16:creationId xmlns:a16="http://schemas.microsoft.com/office/drawing/2014/main" xmlns="" id="{00000000-0008-0000-0000-000033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916" name="Text Box 3100">
          <a:extLst>
            <a:ext uri="{FF2B5EF4-FFF2-40B4-BE49-F238E27FC236}">
              <a16:creationId xmlns:a16="http://schemas.microsoft.com/office/drawing/2014/main" xmlns="" id="{00000000-0008-0000-0000-000034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917" name="Text Box 3101">
          <a:extLst>
            <a:ext uri="{FF2B5EF4-FFF2-40B4-BE49-F238E27FC236}">
              <a16:creationId xmlns:a16="http://schemas.microsoft.com/office/drawing/2014/main" xmlns="" id="{00000000-0008-0000-0000-000035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4918" name="Text Box 3102">
          <a:extLst>
            <a:ext uri="{FF2B5EF4-FFF2-40B4-BE49-F238E27FC236}">
              <a16:creationId xmlns:a16="http://schemas.microsoft.com/office/drawing/2014/main" xmlns="" id="{00000000-0008-0000-0000-000036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919" name="Text Box 59">
          <a:extLst>
            <a:ext uri="{FF2B5EF4-FFF2-40B4-BE49-F238E27FC236}">
              <a16:creationId xmlns:a16="http://schemas.microsoft.com/office/drawing/2014/main" xmlns="" id="{00000000-0008-0000-0000-000037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920" name="Text Box 60">
          <a:extLst>
            <a:ext uri="{FF2B5EF4-FFF2-40B4-BE49-F238E27FC236}">
              <a16:creationId xmlns:a16="http://schemas.microsoft.com/office/drawing/2014/main" xmlns="" id="{00000000-0008-0000-0000-000038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921" name="Text Box 61">
          <a:extLst>
            <a:ext uri="{FF2B5EF4-FFF2-40B4-BE49-F238E27FC236}">
              <a16:creationId xmlns:a16="http://schemas.microsoft.com/office/drawing/2014/main" xmlns="" id="{00000000-0008-0000-0000-000039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922" name="Text Box 62">
          <a:extLst>
            <a:ext uri="{FF2B5EF4-FFF2-40B4-BE49-F238E27FC236}">
              <a16:creationId xmlns:a16="http://schemas.microsoft.com/office/drawing/2014/main" xmlns="" id="{00000000-0008-0000-0000-00003A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923" name="Text Box 63">
          <a:extLst>
            <a:ext uri="{FF2B5EF4-FFF2-40B4-BE49-F238E27FC236}">
              <a16:creationId xmlns:a16="http://schemas.microsoft.com/office/drawing/2014/main" xmlns="" id="{00000000-0008-0000-0000-00003B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924" name="Text Box 64">
          <a:extLst>
            <a:ext uri="{FF2B5EF4-FFF2-40B4-BE49-F238E27FC236}">
              <a16:creationId xmlns:a16="http://schemas.microsoft.com/office/drawing/2014/main" xmlns="" id="{00000000-0008-0000-0000-00003C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925" name="Text Box 65">
          <a:extLst>
            <a:ext uri="{FF2B5EF4-FFF2-40B4-BE49-F238E27FC236}">
              <a16:creationId xmlns:a16="http://schemas.microsoft.com/office/drawing/2014/main" xmlns="" id="{00000000-0008-0000-0000-00003D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926" name="Text Box 66">
          <a:extLst>
            <a:ext uri="{FF2B5EF4-FFF2-40B4-BE49-F238E27FC236}">
              <a16:creationId xmlns:a16="http://schemas.microsoft.com/office/drawing/2014/main" xmlns="" id="{00000000-0008-0000-0000-00003E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927" name="Text Box 67">
          <a:extLst>
            <a:ext uri="{FF2B5EF4-FFF2-40B4-BE49-F238E27FC236}">
              <a16:creationId xmlns:a16="http://schemas.microsoft.com/office/drawing/2014/main" xmlns="" id="{00000000-0008-0000-0000-00003F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928" name="Text Box 68">
          <a:extLst>
            <a:ext uri="{FF2B5EF4-FFF2-40B4-BE49-F238E27FC236}">
              <a16:creationId xmlns:a16="http://schemas.microsoft.com/office/drawing/2014/main" xmlns="" id="{00000000-0008-0000-0000-000040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929" name="Text Box 69">
          <a:extLst>
            <a:ext uri="{FF2B5EF4-FFF2-40B4-BE49-F238E27FC236}">
              <a16:creationId xmlns:a16="http://schemas.microsoft.com/office/drawing/2014/main" xmlns="" id="{00000000-0008-0000-0000-000041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930" name="Text Box 70">
          <a:extLst>
            <a:ext uri="{FF2B5EF4-FFF2-40B4-BE49-F238E27FC236}">
              <a16:creationId xmlns:a16="http://schemas.microsoft.com/office/drawing/2014/main" xmlns="" id="{00000000-0008-0000-0000-000042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931" name="Text Box 71">
          <a:extLst>
            <a:ext uri="{FF2B5EF4-FFF2-40B4-BE49-F238E27FC236}">
              <a16:creationId xmlns:a16="http://schemas.microsoft.com/office/drawing/2014/main" xmlns="" id="{00000000-0008-0000-0000-000043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932" name="Text Box 72">
          <a:extLst>
            <a:ext uri="{FF2B5EF4-FFF2-40B4-BE49-F238E27FC236}">
              <a16:creationId xmlns:a16="http://schemas.microsoft.com/office/drawing/2014/main" xmlns="" id="{00000000-0008-0000-0000-000044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933" name="Text Box 73">
          <a:extLst>
            <a:ext uri="{FF2B5EF4-FFF2-40B4-BE49-F238E27FC236}">
              <a16:creationId xmlns:a16="http://schemas.microsoft.com/office/drawing/2014/main" xmlns="" id="{00000000-0008-0000-0000-000045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934" name="Text Box 74">
          <a:extLst>
            <a:ext uri="{FF2B5EF4-FFF2-40B4-BE49-F238E27FC236}">
              <a16:creationId xmlns:a16="http://schemas.microsoft.com/office/drawing/2014/main" xmlns="" id="{00000000-0008-0000-0000-000046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935" name="Text Box 75">
          <a:extLst>
            <a:ext uri="{FF2B5EF4-FFF2-40B4-BE49-F238E27FC236}">
              <a16:creationId xmlns:a16="http://schemas.microsoft.com/office/drawing/2014/main" xmlns="" id="{00000000-0008-0000-0000-000047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936" name="Text Box 76">
          <a:extLst>
            <a:ext uri="{FF2B5EF4-FFF2-40B4-BE49-F238E27FC236}">
              <a16:creationId xmlns:a16="http://schemas.microsoft.com/office/drawing/2014/main" xmlns="" id="{00000000-0008-0000-0000-000048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937" name="Text Box 77">
          <a:extLst>
            <a:ext uri="{FF2B5EF4-FFF2-40B4-BE49-F238E27FC236}">
              <a16:creationId xmlns:a16="http://schemas.microsoft.com/office/drawing/2014/main" xmlns="" id="{00000000-0008-0000-0000-000049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938" name="Text Box 78">
          <a:extLst>
            <a:ext uri="{FF2B5EF4-FFF2-40B4-BE49-F238E27FC236}">
              <a16:creationId xmlns:a16="http://schemas.microsoft.com/office/drawing/2014/main" xmlns="" id="{00000000-0008-0000-0000-00004A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939" name="Text Box 79">
          <a:extLst>
            <a:ext uri="{FF2B5EF4-FFF2-40B4-BE49-F238E27FC236}">
              <a16:creationId xmlns:a16="http://schemas.microsoft.com/office/drawing/2014/main" xmlns="" id="{00000000-0008-0000-0000-00004B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940" name="Text Box 80">
          <a:extLst>
            <a:ext uri="{FF2B5EF4-FFF2-40B4-BE49-F238E27FC236}">
              <a16:creationId xmlns:a16="http://schemas.microsoft.com/office/drawing/2014/main" xmlns="" id="{00000000-0008-0000-0000-00004C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941" name="Text Box 81">
          <a:extLst>
            <a:ext uri="{FF2B5EF4-FFF2-40B4-BE49-F238E27FC236}">
              <a16:creationId xmlns:a16="http://schemas.microsoft.com/office/drawing/2014/main" xmlns="" id="{00000000-0008-0000-0000-00004D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942" name="Text Box 3079">
          <a:extLst>
            <a:ext uri="{FF2B5EF4-FFF2-40B4-BE49-F238E27FC236}">
              <a16:creationId xmlns:a16="http://schemas.microsoft.com/office/drawing/2014/main" xmlns="" id="{00000000-0008-0000-0000-00004E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943" name="Text Box 3080">
          <a:extLst>
            <a:ext uri="{FF2B5EF4-FFF2-40B4-BE49-F238E27FC236}">
              <a16:creationId xmlns:a16="http://schemas.microsoft.com/office/drawing/2014/main" xmlns="" id="{00000000-0008-0000-0000-00004F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944" name="Text Box 3081">
          <a:extLst>
            <a:ext uri="{FF2B5EF4-FFF2-40B4-BE49-F238E27FC236}">
              <a16:creationId xmlns:a16="http://schemas.microsoft.com/office/drawing/2014/main" xmlns="" id="{00000000-0008-0000-0000-000050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945" name="Text Box 3082">
          <a:extLst>
            <a:ext uri="{FF2B5EF4-FFF2-40B4-BE49-F238E27FC236}">
              <a16:creationId xmlns:a16="http://schemas.microsoft.com/office/drawing/2014/main" xmlns="" id="{00000000-0008-0000-0000-000051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946" name="Text Box 3083">
          <a:extLst>
            <a:ext uri="{FF2B5EF4-FFF2-40B4-BE49-F238E27FC236}">
              <a16:creationId xmlns:a16="http://schemas.microsoft.com/office/drawing/2014/main" xmlns="" id="{00000000-0008-0000-0000-000052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947" name="Text Box 3084">
          <a:extLst>
            <a:ext uri="{FF2B5EF4-FFF2-40B4-BE49-F238E27FC236}">
              <a16:creationId xmlns:a16="http://schemas.microsoft.com/office/drawing/2014/main" xmlns="" id="{00000000-0008-0000-0000-000053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948" name="Text Box 3085">
          <a:extLst>
            <a:ext uri="{FF2B5EF4-FFF2-40B4-BE49-F238E27FC236}">
              <a16:creationId xmlns:a16="http://schemas.microsoft.com/office/drawing/2014/main" xmlns="" id="{00000000-0008-0000-0000-000054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949" name="Text Box 3086">
          <a:extLst>
            <a:ext uri="{FF2B5EF4-FFF2-40B4-BE49-F238E27FC236}">
              <a16:creationId xmlns:a16="http://schemas.microsoft.com/office/drawing/2014/main" xmlns="" id="{00000000-0008-0000-0000-000055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950" name="Text Box 3087">
          <a:extLst>
            <a:ext uri="{FF2B5EF4-FFF2-40B4-BE49-F238E27FC236}">
              <a16:creationId xmlns:a16="http://schemas.microsoft.com/office/drawing/2014/main" xmlns="" id="{00000000-0008-0000-0000-000056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951" name="Text Box 3088">
          <a:extLst>
            <a:ext uri="{FF2B5EF4-FFF2-40B4-BE49-F238E27FC236}">
              <a16:creationId xmlns:a16="http://schemas.microsoft.com/office/drawing/2014/main" xmlns="" id="{00000000-0008-0000-0000-000057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952" name="Text Box 3089">
          <a:extLst>
            <a:ext uri="{FF2B5EF4-FFF2-40B4-BE49-F238E27FC236}">
              <a16:creationId xmlns:a16="http://schemas.microsoft.com/office/drawing/2014/main" xmlns="" id="{00000000-0008-0000-0000-000058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953" name="Text Box 3090">
          <a:extLst>
            <a:ext uri="{FF2B5EF4-FFF2-40B4-BE49-F238E27FC236}">
              <a16:creationId xmlns:a16="http://schemas.microsoft.com/office/drawing/2014/main" xmlns="" id="{00000000-0008-0000-0000-000059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954" name="Text Box 3091">
          <a:extLst>
            <a:ext uri="{FF2B5EF4-FFF2-40B4-BE49-F238E27FC236}">
              <a16:creationId xmlns:a16="http://schemas.microsoft.com/office/drawing/2014/main" xmlns="" id="{00000000-0008-0000-0000-00005A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955" name="Text Box 3092">
          <a:extLst>
            <a:ext uri="{FF2B5EF4-FFF2-40B4-BE49-F238E27FC236}">
              <a16:creationId xmlns:a16="http://schemas.microsoft.com/office/drawing/2014/main" xmlns="" id="{00000000-0008-0000-0000-00005B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956" name="Text Box 3093">
          <a:extLst>
            <a:ext uri="{FF2B5EF4-FFF2-40B4-BE49-F238E27FC236}">
              <a16:creationId xmlns:a16="http://schemas.microsoft.com/office/drawing/2014/main" xmlns="" id="{00000000-0008-0000-0000-00005C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957" name="Text Box 3094">
          <a:extLst>
            <a:ext uri="{FF2B5EF4-FFF2-40B4-BE49-F238E27FC236}">
              <a16:creationId xmlns:a16="http://schemas.microsoft.com/office/drawing/2014/main" xmlns="" id="{00000000-0008-0000-0000-00005D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958" name="Text Box 3095">
          <a:extLst>
            <a:ext uri="{FF2B5EF4-FFF2-40B4-BE49-F238E27FC236}">
              <a16:creationId xmlns:a16="http://schemas.microsoft.com/office/drawing/2014/main" xmlns="" id="{00000000-0008-0000-0000-00005E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959" name="Text Box 3096">
          <a:extLst>
            <a:ext uri="{FF2B5EF4-FFF2-40B4-BE49-F238E27FC236}">
              <a16:creationId xmlns:a16="http://schemas.microsoft.com/office/drawing/2014/main" xmlns="" id="{00000000-0008-0000-0000-00005F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960" name="Text Box 3097">
          <a:extLst>
            <a:ext uri="{FF2B5EF4-FFF2-40B4-BE49-F238E27FC236}">
              <a16:creationId xmlns:a16="http://schemas.microsoft.com/office/drawing/2014/main" xmlns="" id="{00000000-0008-0000-0000-000060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961" name="Text Box 3098">
          <a:extLst>
            <a:ext uri="{FF2B5EF4-FFF2-40B4-BE49-F238E27FC236}">
              <a16:creationId xmlns:a16="http://schemas.microsoft.com/office/drawing/2014/main" xmlns="" id="{00000000-0008-0000-0000-000061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962" name="Text Box 3099">
          <a:extLst>
            <a:ext uri="{FF2B5EF4-FFF2-40B4-BE49-F238E27FC236}">
              <a16:creationId xmlns:a16="http://schemas.microsoft.com/office/drawing/2014/main" xmlns="" id="{00000000-0008-0000-0000-000062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963" name="Text Box 3100">
          <a:extLst>
            <a:ext uri="{FF2B5EF4-FFF2-40B4-BE49-F238E27FC236}">
              <a16:creationId xmlns:a16="http://schemas.microsoft.com/office/drawing/2014/main" xmlns="" id="{00000000-0008-0000-0000-000063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964" name="Text Box 3101">
          <a:extLst>
            <a:ext uri="{FF2B5EF4-FFF2-40B4-BE49-F238E27FC236}">
              <a16:creationId xmlns:a16="http://schemas.microsoft.com/office/drawing/2014/main" xmlns="" id="{00000000-0008-0000-0000-000064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4965" name="Text Box 3102">
          <a:extLst>
            <a:ext uri="{FF2B5EF4-FFF2-40B4-BE49-F238E27FC236}">
              <a16:creationId xmlns:a16="http://schemas.microsoft.com/office/drawing/2014/main" xmlns="" id="{00000000-0008-0000-0000-000065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966" name="Text Box 59">
          <a:extLst>
            <a:ext uri="{FF2B5EF4-FFF2-40B4-BE49-F238E27FC236}">
              <a16:creationId xmlns:a16="http://schemas.microsoft.com/office/drawing/2014/main" xmlns="" id="{00000000-0008-0000-0000-000066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967" name="Text Box 60">
          <a:extLst>
            <a:ext uri="{FF2B5EF4-FFF2-40B4-BE49-F238E27FC236}">
              <a16:creationId xmlns:a16="http://schemas.microsoft.com/office/drawing/2014/main" xmlns="" id="{00000000-0008-0000-0000-000067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968" name="Text Box 61">
          <a:extLst>
            <a:ext uri="{FF2B5EF4-FFF2-40B4-BE49-F238E27FC236}">
              <a16:creationId xmlns:a16="http://schemas.microsoft.com/office/drawing/2014/main" xmlns="" id="{00000000-0008-0000-0000-000068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969" name="Text Box 62">
          <a:extLst>
            <a:ext uri="{FF2B5EF4-FFF2-40B4-BE49-F238E27FC236}">
              <a16:creationId xmlns:a16="http://schemas.microsoft.com/office/drawing/2014/main" xmlns="" id="{00000000-0008-0000-0000-000069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970" name="Text Box 63">
          <a:extLst>
            <a:ext uri="{FF2B5EF4-FFF2-40B4-BE49-F238E27FC236}">
              <a16:creationId xmlns:a16="http://schemas.microsoft.com/office/drawing/2014/main" xmlns="" id="{00000000-0008-0000-0000-00006A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971" name="Text Box 64">
          <a:extLst>
            <a:ext uri="{FF2B5EF4-FFF2-40B4-BE49-F238E27FC236}">
              <a16:creationId xmlns:a16="http://schemas.microsoft.com/office/drawing/2014/main" xmlns="" id="{00000000-0008-0000-0000-00006B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972" name="Text Box 65">
          <a:extLst>
            <a:ext uri="{FF2B5EF4-FFF2-40B4-BE49-F238E27FC236}">
              <a16:creationId xmlns:a16="http://schemas.microsoft.com/office/drawing/2014/main" xmlns="" id="{00000000-0008-0000-0000-00006C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973" name="Text Box 66">
          <a:extLst>
            <a:ext uri="{FF2B5EF4-FFF2-40B4-BE49-F238E27FC236}">
              <a16:creationId xmlns:a16="http://schemas.microsoft.com/office/drawing/2014/main" xmlns="" id="{00000000-0008-0000-0000-00006D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974" name="Text Box 67">
          <a:extLst>
            <a:ext uri="{FF2B5EF4-FFF2-40B4-BE49-F238E27FC236}">
              <a16:creationId xmlns:a16="http://schemas.microsoft.com/office/drawing/2014/main" xmlns="" id="{00000000-0008-0000-0000-00006E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975" name="Text Box 68">
          <a:extLst>
            <a:ext uri="{FF2B5EF4-FFF2-40B4-BE49-F238E27FC236}">
              <a16:creationId xmlns:a16="http://schemas.microsoft.com/office/drawing/2014/main" xmlns="" id="{00000000-0008-0000-0000-00006F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976" name="Text Box 69">
          <a:extLst>
            <a:ext uri="{FF2B5EF4-FFF2-40B4-BE49-F238E27FC236}">
              <a16:creationId xmlns:a16="http://schemas.microsoft.com/office/drawing/2014/main" xmlns="" id="{00000000-0008-0000-0000-000070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977" name="Text Box 70">
          <a:extLst>
            <a:ext uri="{FF2B5EF4-FFF2-40B4-BE49-F238E27FC236}">
              <a16:creationId xmlns:a16="http://schemas.microsoft.com/office/drawing/2014/main" xmlns="" id="{00000000-0008-0000-0000-000071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978" name="Text Box 71">
          <a:extLst>
            <a:ext uri="{FF2B5EF4-FFF2-40B4-BE49-F238E27FC236}">
              <a16:creationId xmlns:a16="http://schemas.microsoft.com/office/drawing/2014/main" xmlns="" id="{00000000-0008-0000-0000-000072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979" name="Text Box 72">
          <a:extLst>
            <a:ext uri="{FF2B5EF4-FFF2-40B4-BE49-F238E27FC236}">
              <a16:creationId xmlns:a16="http://schemas.microsoft.com/office/drawing/2014/main" xmlns="" id="{00000000-0008-0000-0000-000073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980" name="Text Box 73">
          <a:extLst>
            <a:ext uri="{FF2B5EF4-FFF2-40B4-BE49-F238E27FC236}">
              <a16:creationId xmlns:a16="http://schemas.microsoft.com/office/drawing/2014/main" xmlns="" id="{00000000-0008-0000-0000-000074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981" name="Text Box 74">
          <a:extLst>
            <a:ext uri="{FF2B5EF4-FFF2-40B4-BE49-F238E27FC236}">
              <a16:creationId xmlns:a16="http://schemas.microsoft.com/office/drawing/2014/main" xmlns="" id="{00000000-0008-0000-0000-000075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982" name="Text Box 75">
          <a:extLst>
            <a:ext uri="{FF2B5EF4-FFF2-40B4-BE49-F238E27FC236}">
              <a16:creationId xmlns:a16="http://schemas.microsoft.com/office/drawing/2014/main" xmlns="" id="{00000000-0008-0000-0000-000076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983" name="Text Box 76">
          <a:extLst>
            <a:ext uri="{FF2B5EF4-FFF2-40B4-BE49-F238E27FC236}">
              <a16:creationId xmlns:a16="http://schemas.microsoft.com/office/drawing/2014/main" xmlns="" id="{00000000-0008-0000-0000-000077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984" name="Text Box 77">
          <a:extLst>
            <a:ext uri="{FF2B5EF4-FFF2-40B4-BE49-F238E27FC236}">
              <a16:creationId xmlns:a16="http://schemas.microsoft.com/office/drawing/2014/main" xmlns="" id="{00000000-0008-0000-0000-000078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985" name="Text Box 78">
          <a:extLst>
            <a:ext uri="{FF2B5EF4-FFF2-40B4-BE49-F238E27FC236}">
              <a16:creationId xmlns:a16="http://schemas.microsoft.com/office/drawing/2014/main" xmlns="" id="{00000000-0008-0000-0000-000079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986" name="Text Box 79">
          <a:extLst>
            <a:ext uri="{FF2B5EF4-FFF2-40B4-BE49-F238E27FC236}">
              <a16:creationId xmlns:a16="http://schemas.microsoft.com/office/drawing/2014/main" xmlns="" id="{00000000-0008-0000-0000-00007A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987" name="Text Box 80">
          <a:extLst>
            <a:ext uri="{FF2B5EF4-FFF2-40B4-BE49-F238E27FC236}">
              <a16:creationId xmlns:a16="http://schemas.microsoft.com/office/drawing/2014/main" xmlns="" id="{00000000-0008-0000-0000-00007B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4988" name="Text Box 81">
          <a:extLst>
            <a:ext uri="{FF2B5EF4-FFF2-40B4-BE49-F238E27FC236}">
              <a16:creationId xmlns:a16="http://schemas.microsoft.com/office/drawing/2014/main" xmlns="" id="{00000000-0008-0000-0000-00007C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47625"/>
    <xdr:sp macro="" textlink="">
      <xdr:nvSpPr>
        <xdr:cNvPr id="4989" name="Text Box 82">
          <a:extLst>
            <a:ext uri="{FF2B5EF4-FFF2-40B4-BE49-F238E27FC236}">
              <a16:creationId xmlns:a16="http://schemas.microsoft.com/office/drawing/2014/main" xmlns="" id="{00000000-0008-0000-0000-00007D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990" name="Text Box 3079">
          <a:extLst>
            <a:ext uri="{FF2B5EF4-FFF2-40B4-BE49-F238E27FC236}">
              <a16:creationId xmlns:a16="http://schemas.microsoft.com/office/drawing/2014/main" xmlns="" id="{00000000-0008-0000-0000-00007E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991" name="Text Box 3080">
          <a:extLst>
            <a:ext uri="{FF2B5EF4-FFF2-40B4-BE49-F238E27FC236}">
              <a16:creationId xmlns:a16="http://schemas.microsoft.com/office/drawing/2014/main" xmlns="" id="{00000000-0008-0000-0000-00007F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992" name="Text Box 3081">
          <a:extLst>
            <a:ext uri="{FF2B5EF4-FFF2-40B4-BE49-F238E27FC236}">
              <a16:creationId xmlns:a16="http://schemas.microsoft.com/office/drawing/2014/main" xmlns="" id="{00000000-0008-0000-0000-000080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993" name="Text Box 3082">
          <a:extLst>
            <a:ext uri="{FF2B5EF4-FFF2-40B4-BE49-F238E27FC236}">
              <a16:creationId xmlns:a16="http://schemas.microsoft.com/office/drawing/2014/main" xmlns="" id="{00000000-0008-0000-0000-000081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994" name="Text Box 3083">
          <a:extLst>
            <a:ext uri="{FF2B5EF4-FFF2-40B4-BE49-F238E27FC236}">
              <a16:creationId xmlns:a16="http://schemas.microsoft.com/office/drawing/2014/main" xmlns="" id="{00000000-0008-0000-0000-000082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995" name="Text Box 3084">
          <a:extLst>
            <a:ext uri="{FF2B5EF4-FFF2-40B4-BE49-F238E27FC236}">
              <a16:creationId xmlns:a16="http://schemas.microsoft.com/office/drawing/2014/main" xmlns="" id="{00000000-0008-0000-0000-000083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996" name="Text Box 3085">
          <a:extLst>
            <a:ext uri="{FF2B5EF4-FFF2-40B4-BE49-F238E27FC236}">
              <a16:creationId xmlns:a16="http://schemas.microsoft.com/office/drawing/2014/main" xmlns="" id="{00000000-0008-0000-0000-000084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997" name="Text Box 3086">
          <a:extLst>
            <a:ext uri="{FF2B5EF4-FFF2-40B4-BE49-F238E27FC236}">
              <a16:creationId xmlns:a16="http://schemas.microsoft.com/office/drawing/2014/main" xmlns="" id="{00000000-0008-0000-0000-000085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998" name="Text Box 3087">
          <a:extLst>
            <a:ext uri="{FF2B5EF4-FFF2-40B4-BE49-F238E27FC236}">
              <a16:creationId xmlns:a16="http://schemas.microsoft.com/office/drawing/2014/main" xmlns="" id="{00000000-0008-0000-0000-000086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4999" name="Text Box 3088">
          <a:extLst>
            <a:ext uri="{FF2B5EF4-FFF2-40B4-BE49-F238E27FC236}">
              <a16:creationId xmlns:a16="http://schemas.microsoft.com/office/drawing/2014/main" xmlns="" id="{00000000-0008-0000-0000-000087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000" name="Text Box 3089">
          <a:extLst>
            <a:ext uri="{FF2B5EF4-FFF2-40B4-BE49-F238E27FC236}">
              <a16:creationId xmlns:a16="http://schemas.microsoft.com/office/drawing/2014/main" xmlns="" id="{00000000-0008-0000-0000-000088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001" name="Text Box 3090">
          <a:extLst>
            <a:ext uri="{FF2B5EF4-FFF2-40B4-BE49-F238E27FC236}">
              <a16:creationId xmlns:a16="http://schemas.microsoft.com/office/drawing/2014/main" xmlns="" id="{00000000-0008-0000-0000-000089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002" name="Text Box 3091">
          <a:extLst>
            <a:ext uri="{FF2B5EF4-FFF2-40B4-BE49-F238E27FC236}">
              <a16:creationId xmlns:a16="http://schemas.microsoft.com/office/drawing/2014/main" xmlns="" id="{00000000-0008-0000-0000-00008A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003" name="Text Box 3092">
          <a:extLst>
            <a:ext uri="{FF2B5EF4-FFF2-40B4-BE49-F238E27FC236}">
              <a16:creationId xmlns:a16="http://schemas.microsoft.com/office/drawing/2014/main" xmlns="" id="{00000000-0008-0000-0000-00008B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004" name="Text Box 3093">
          <a:extLst>
            <a:ext uri="{FF2B5EF4-FFF2-40B4-BE49-F238E27FC236}">
              <a16:creationId xmlns:a16="http://schemas.microsoft.com/office/drawing/2014/main" xmlns="" id="{00000000-0008-0000-0000-00008C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005" name="Text Box 3094">
          <a:extLst>
            <a:ext uri="{FF2B5EF4-FFF2-40B4-BE49-F238E27FC236}">
              <a16:creationId xmlns:a16="http://schemas.microsoft.com/office/drawing/2014/main" xmlns="" id="{00000000-0008-0000-0000-00008D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006" name="Text Box 3095">
          <a:extLst>
            <a:ext uri="{FF2B5EF4-FFF2-40B4-BE49-F238E27FC236}">
              <a16:creationId xmlns:a16="http://schemas.microsoft.com/office/drawing/2014/main" xmlns="" id="{00000000-0008-0000-0000-00008E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007" name="Text Box 3096">
          <a:extLst>
            <a:ext uri="{FF2B5EF4-FFF2-40B4-BE49-F238E27FC236}">
              <a16:creationId xmlns:a16="http://schemas.microsoft.com/office/drawing/2014/main" xmlns="" id="{00000000-0008-0000-0000-00008F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008" name="Text Box 3097">
          <a:extLst>
            <a:ext uri="{FF2B5EF4-FFF2-40B4-BE49-F238E27FC236}">
              <a16:creationId xmlns:a16="http://schemas.microsoft.com/office/drawing/2014/main" xmlns="" id="{00000000-0008-0000-0000-000090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009" name="Text Box 3098">
          <a:extLst>
            <a:ext uri="{FF2B5EF4-FFF2-40B4-BE49-F238E27FC236}">
              <a16:creationId xmlns:a16="http://schemas.microsoft.com/office/drawing/2014/main" xmlns="" id="{00000000-0008-0000-0000-000091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010" name="Text Box 3099">
          <a:extLst>
            <a:ext uri="{FF2B5EF4-FFF2-40B4-BE49-F238E27FC236}">
              <a16:creationId xmlns:a16="http://schemas.microsoft.com/office/drawing/2014/main" xmlns="" id="{00000000-0008-0000-0000-000092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011" name="Text Box 3100">
          <a:extLst>
            <a:ext uri="{FF2B5EF4-FFF2-40B4-BE49-F238E27FC236}">
              <a16:creationId xmlns:a16="http://schemas.microsoft.com/office/drawing/2014/main" xmlns="" id="{00000000-0008-0000-0000-000093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012" name="Text Box 3101">
          <a:extLst>
            <a:ext uri="{FF2B5EF4-FFF2-40B4-BE49-F238E27FC236}">
              <a16:creationId xmlns:a16="http://schemas.microsoft.com/office/drawing/2014/main" xmlns="" id="{00000000-0008-0000-0000-000094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5013" name="Text Box 3102">
          <a:extLst>
            <a:ext uri="{FF2B5EF4-FFF2-40B4-BE49-F238E27FC236}">
              <a16:creationId xmlns:a16="http://schemas.microsoft.com/office/drawing/2014/main" xmlns="" id="{00000000-0008-0000-0000-000095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014" name="Text Box 59">
          <a:extLst>
            <a:ext uri="{FF2B5EF4-FFF2-40B4-BE49-F238E27FC236}">
              <a16:creationId xmlns:a16="http://schemas.microsoft.com/office/drawing/2014/main" xmlns="" id="{00000000-0008-0000-0000-000096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015" name="Text Box 60">
          <a:extLst>
            <a:ext uri="{FF2B5EF4-FFF2-40B4-BE49-F238E27FC236}">
              <a16:creationId xmlns:a16="http://schemas.microsoft.com/office/drawing/2014/main" xmlns="" id="{00000000-0008-0000-0000-000097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016" name="Text Box 61">
          <a:extLst>
            <a:ext uri="{FF2B5EF4-FFF2-40B4-BE49-F238E27FC236}">
              <a16:creationId xmlns:a16="http://schemas.microsoft.com/office/drawing/2014/main" xmlns="" id="{00000000-0008-0000-0000-000098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017" name="Text Box 62">
          <a:extLst>
            <a:ext uri="{FF2B5EF4-FFF2-40B4-BE49-F238E27FC236}">
              <a16:creationId xmlns:a16="http://schemas.microsoft.com/office/drawing/2014/main" xmlns="" id="{00000000-0008-0000-0000-000099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018" name="Text Box 63">
          <a:extLst>
            <a:ext uri="{FF2B5EF4-FFF2-40B4-BE49-F238E27FC236}">
              <a16:creationId xmlns:a16="http://schemas.microsoft.com/office/drawing/2014/main" xmlns="" id="{00000000-0008-0000-0000-00009A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019" name="Text Box 64">
          <a:extLst>
            <a:ext uri="{FF2B5EF4-FFF2-40B4-BE49-F238E27FC236}">
              <a16:creationId xmlns:a16="http://schemas.microsoft.com/office/drawing/2014/main" xmlns="" id="{00000000-0008-0000-0000-00009B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020" name="Text Box 65">
          <a:extLst>
            <a:ext uri="{FF2B5EF4-FFF2-40B4-BE49-F238E27FC236}">
              <a16:creationId xmlns:a16="http://schemas.microsoft.com/office/drawing/2014/main" xmlns="" id="{00000000-0008-0000-0000-00009C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021" name="Text Box 66">
          <a:extLst>
            <a:ext uri="{FF2B5EF4-FFF2-40B4-BE49-F238E27FC236}">
              <a16:creationId xmlns:a16="http://schemas.microsoft.com/office/drawing/2014/main" xmlns="" id="{00000000-0008-0000-0000-00009D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022" name="Text Box 67">
          <a:extLst>
            <a:ext uri="{FF2B5EF4-FFF2-40B4-BE49-F238E27FC236}">
              <a16:creationId xmlns:a16="http://schemas.microsoft.com/office/drawing/2014/main" xmlns="" id="{00000000-0008-0000-0000-00009E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023" name="Text Box 68">
          <a:extLst>
            <a:ext uri="{FF2B5EF4-FFF2-40B4-BE49-F238E27FC236}">
              <a16:creationId xmlns:a16="http://schemas.microsoft.com/office/drawing/2014/main" xmlns="" id="{00000000-0008-0000-0000-00009F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024" name="Text Box 69">
          <a:extLst>
            <a:ext uri="{FF2B5EF4-FFF2-40B4-BE49-F238E27FC236}">
              <a16:creationId xmlns:a16="http://schemas.microsoft.com/office/drawing/2014/main" xmlns="" id="{00000000-0008-0000-0000-0000A0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025" name="Text Box 70">
          <a:extLst>
            <a:ext uri="{FF2B5EF4-FFF2-40B4-BE49-F238E27FC236}">
              <a16:creationId xmlns:a16="http://schemas.microsoft.com/office/drawing/2014/main" xmlns="" id="{00000000-0008-0000-0000-0000A1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026" name="Text Box 71">
          <a:extLst>
            <a:ext uri="{FF2B5EF4-FFF2-40B4-BE49-F238E27FC236}">
              <a16:creationId xmlns:a16="http://schemas.microsoft.com/office/drawing/2014/main" xmlns="" id="{00000000-0008-0000-0000-0000A2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027" name="Text Box 72">
          <a:extLst>
            <a:ext uri="{FF2B5EF4-FFF2-40B4-BE49-F238E27FC236}">
              <a16:creationId xmlns:a16="http://schemas.microsoft.com/office/drawing/2014/main" xmlns="" id="{00000000-0008-0000-0000-0000A3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028" name="Text Box 73">
          <a:extLst>
            <a:ext uri="{FF2B5EF4-FFF2-40B4-BE49-F238E27FC236}">
              <a16:creationId xmlns:a16="http://schemas.microsoft.com/office/drawing/2014/main" xmlns="" id="{00000000-0008-0000-0000-0000A4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029" name="Text Box 74">
          <a:extLst>
            <a:ext uri="{FF2B5EF4-FFF2-40B4-BE49-F238E27FC236}">
              <a16:creationId xmlns:a16="http://schemas.microsoft.com/office/drawing/2014/main" xmlns="" id="{00000000-0008-0000-0000-0000A5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030" name="Text Box 75">
          <a:extLst>
            <a:ext uri="{FF2B5EF4-FFF2-40B4-BE49-F238E27FC236}">
              <a16:creationId xmlns:a16="http://schemas.microsoft.com/office/drawing/2014/main" xmlns="" id="{00000000-0008-0000-0000-0000A6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031" name="Text Box 76">
          <a:extLst>
            <a:ext uri="{FF2B5EF4-FFF2-40B4-BE49-F238E27FC236}">
              <a16:creationId xmlns:a16="http://schemas.microsoft.com/office/drawing/2014/main" xmlns="" id="{00000000-0008-0000-0000-0000A7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032" name="Text Box 77">
          <a:extLst>
            <a:ext uri="{FF2B5EF4-FFF2-40B4-BE49-F238E27FC236}">
              <a16:creationId xmlns:a16="http://schemas.microsoft.com/office/drawing/2014/main" xmlns="" id="{00000000-0008-0000-0000-0000A8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033" name="Text Box 78">
          <a:extLst>
            <a:ext uri="{FF2B5EF4-FFF2-40B4-BE49-F238E27FC236}">
              <a16:creationId xmlns:a16="http://schemas.microsoft.com/office/drawing/2014/main" xmlns="" id="{00000000-0008-0000-0000-0000A9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034" name="Text Box 79">
          <a:extLst>
            <a:ext uri="{FF2B5EF4-FFF2-40B4-BE49-F238E27FC236}">
              <a16:creationId xmlns:a16="http://schemas.microsoft.com/office/drawing/2014/main" xmlns="" id="{00000000-0008-0000-0000-0000AA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035" name="Text Box 80">
          <a:extLst>
            <a:ext uri="{FF2B5EF4-FFF2-40B4-BE49-F238E27FC236}">
              <a16:creationId xmlns:a16="http://schemas.microsoft.com/office/drawing/2014/main" xmlns="" id="{00000000-0008-0000-0000-0000AB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036" name="Text Box 81">
          <a:extLst>
            <a:ext uri="{FF2B5EF4-FFF2-40B4-BE49-F238E27FC236}">
              <a16:creationId xmlns:a16="http://schemas.microsoft.com/office/drawing/2014/main" xmlns="" id="{00000000-0008-0000-0000-0000AC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037" name="Text Box 3079">
          <a:extLst>
            <a:ext uri="{FF2B5EF4-FFF2-40B4-BE49-F238E27FC236}">
              <a16:creationId xmlns:a16="http://schemas.microsoft.com/office/drawing/2014/main" xmlns="" id="{00000000-0008-0000-0000-0000AD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038" name="Text Box 3080">
          <a:extLst>
            <a:ext uri="{FF2B5EF4-FFF2-40B4-BE49-F238E27FC236}">
              <a16:creationId xmlns:a16="http://schemas.microsoft.com/office/drawing/2014/main" xmlns="" id="{00000000-0008-0000-0000-0000AE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039" name="Text Box 3081">
          <a:extLst>
            <a:ext uri="{FF2B5EF4-FFF2-40B4-BE49-F238E27FC236}">
              <a16:creationId xmlns:a16="http://schemas.microsoft.com/office/drawing/2014/main" xmlns="" id="{00000000-0008-0000-0000-0000AF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040" name="Text Box 3082">
          <a:extLst>
            <a:ext uri="{FF2B5EF4-FFF2-40B4-BE49-F238E27FC236}">
              <a16:creationId xmlns:a16="http://schemas.microsoft.com/office/drawing/2014/main" xmlns="" id="{00000000-0008-0000-0000-0000B0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041" name="Text Box 3083">
          <a:extLst>
            <a:ext uri="{FF2B5EF4-FFF2-40B4-BE49-F238E27FC236}">
              <a16:creationId xmlns:a16="http://schemas.microsoft.com/office/drawing/2014/main" xmlns="" id="{00000000-0008-0000-0000-0000B1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042" name="Text Box 3084">
          <a:extLst>
            <a:ext uri="{FF2B5EF4-FFF2-40B4-BE49-F238E27FC236}">
              <a16:creationId xmlns:a16="http://schemas.microsoft.com/office/drawing/2014/main" xmlns="" id="{00000000-0008-0000-0000-0000B2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043" name="Text Box 3085">
          <a:extLst>
            <a:ext uri="{FF2B5EF4-FFF2-40B4-BE49-F238E27FC236}">
              <a16:creationId xmlns:a16="http://schemas.microsoft.com/office/drawing/2014/main" xmlns="" id="{00000000-0008-0000-0000-0000B3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044" name="Text Box 3086">
          <a:extLst>
            <a:ext uri="{FF2B5EF4-FFF2-40B4-BE49-F238E27FC236}">
              <a16:creationId xmlns:a16="http://schemas.microsoft.com/office/drawing/2014/main" xmlns="" id="{00000000-0008-0000-0000-0000B4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045" name="Text Box 3087">
          <a:extLst>
            <a:ext uri="{FF2B5EF4-FFF2-40B4-BE49-F238E27FC236}">
              <a16:creationId xmlns:a16="http://schemas.microsoft.com/office/drawing/2014/main" xmlns="" id="{00000000-0008-0000-0000-0000B5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046" name="Text Box 3088">
          <a:extLst>
            <a:ext uri="{FF2B5EF4-FFF2-40B4-BE49-F238E27FC236}">
              <a16:creationId xmlns:a16="http://schemas.microsoft.com/office/drawing/2014/main" xmlns="" id="{00000000-0008-0000-0000-0000B6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047" name="Text Box 3089">
          <a:extLst>
            <a:ext uri="{FF2B5EF4-FFF2-40B4-BE49-F238E27FC236}">
              <a16:creationId xmlns:a16="http://schemas.microsoft.com/office/drawing/2014/main" xmlns="" id="{00000000-0008-0000-0000-0000B7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048" name="Text Box 3090">
          <a:extLst>
            <a:ext uri="{FF2B5EF4-FFF2-40B4-BE49-F238E27FC236}">
              <a16:creationId xmlns:a16="http://schemas.microsoft.com/office/drawing/2014/main" xmlns="" id="{00000000-0008-0000-0000-0000B8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049" name="Text Box 3091">
          <a:extLst>
            <a:ext uri="{FF2B5EF4-FFF2-40B4-BE49-F238E27FC236}">
              <a16:creationId xmlns:a16="http://schemas.microsoft.com/office/drawing/2014/main" xmlns="" id="{00000000-0008-0000-0000-0000B9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050" name="Text Box 3092">
          <a:extLst>
            <a:ext uri="{FF2B5EF4-FFF2-40B4-BE49-F238E27FC236}">
              <a16:creationId xmlns:a16="http://schemas.microsoft.com/office/drawing/2014/main" xmlns="" id="{00000000-0008-0000-0000-0000BA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051" name="Text Box 3093">
          <a:extLst>
            <a:ext uri="{FF2B5EF4-FFF2-40B4-BE49-F238E27FC236}">
              <a16:creationId xmlns:a16="http://schemas.microsoft.com/office/drawing/2014/main" xmlns="" id="{00000000-0008-0000-0000-0000BB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052" name="Text Box 3094">
          <a:extLst>
            <a:ext uri="{FF2B5EF4-FFF2-40B4-BE49-F238E27FC236}">
              <a16:creationId xmlns:a16="http://schemas.microsoft.com/office/drawing/2014/main" xmlns="" id="{00000000-0008-0000-0000-0000BC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053" name="Text Box 3095">
          <a:extLst>
            <a:ext uri="{FF2B5EF4-FFF2-40B4-BE49-F238E27FC236}">
              <a16:creationId xmlns:a16="http://schemas.microsoft.com/office/drawing/2014/main" xmlns="" id="{00000000-0008-0000-0000-0000BD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054" name="Text Box 3096">
          <a:extLst>
            <a:ext uri="{FF2B5EF4-FFF2-40B4-BE49-F238E27FC236}">
              <a16:creationId xmlns:a16="http://schemas.microsoft.com/office/drawing/2014/main" xmlns="" id="{00000000-0008-0000-0000-0000BE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055" name="Text Box 3097">
          <a:extLst>
            <a:ext uri="{FF2B5EF4-FFF2-40B4-BE49-F238E27FC236}">
              <a16:creationId xmlns:a16="http://schemas.microsoft.com/office/drawing/2014/main" xmlns="" id="{00000000-0008-0000-0000-0000BF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056" name="Text Box 3098">
          <a:extLst>
            <a:ext uri="{FF2B5EF4-FFF2-40B4-BE49-F238E27FC236}">
              <a16:creationId xmlns:a16="http://schemas.microsoft.com/office/drawing/2014/main" xmlns="" id="{00000000-0008-0000-0000-0000C0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057" name="Text Box 3099">
          <a:extLst>
            <a:ext uri="{FF2B5EF4-FFF2-40B4-BE49-F238E27FC236}">
              <a16:creationId xmlns:a16="http://schemas.microsoft.com/office/drawing/2014/main" xmlns="" id="{00000000-0008-0000-0000-0000C1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058" name="Text Box 3100">
          <a:extLst>
            <a:ext uri="{FF2B5EF4-FFF2-40B4-BE49-F238E27FC236}">
              <a16:creationId xmlns:a16="http://schemas.microsoft.com/office/drawing/2014/main" xmlns="" id="{00000000-0008-0000-0000-0000C2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059" name="Text Box 3101">
          <a:extLst>
            <a:ext uri="{FF2B5EF4-FFF2-40B4-BE49-F238E27FC236}">
              <a16:creationId xmlns:a16="http://schemas.microsoft.com/office/drawing/2014/main" xmlns="" id="{00000000-0008-0000-0000-0000C3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5060" name="Text Box 3102">
          <a:extLst>
            <a:ext uri="{FF2B5EF4-FFF2-40B4-BE49-F238E27FC236}">
              <a16:creationId xmlns:a16="http://schemas.microsoft.com/office/drawing/2014/main" xmlns="" id="{00000000-0008-0000-0000-0000C4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061" name="Text Box 59">
          <a:extLst>
            <a:ext uri="{FF2B5EF4-FFF2-40B4-BE49-F238E27FC236}">
              <a16:creationId xmlns:a16="http://schemas.microsoft.com/office/drawing/2014/main" xmlns="" id="{00000000-0008-0000-0000-0000C5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062" name="Text Box 60">
          <a:extLst>
            <a:ext uri="{FF2B5EF4-FFF2-40B4-BE49-F238E27FC236}">
              <a16:creationId xmlns:a16="http://schemas.microsoft.com/office/drawing/2014/main" xmlns="" id="{00000000-0008-0000-0000-0000C6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063" name="Text Box 61">
          <a:extLst>
            <a:ext uri="{FF2B5EF4-FFF2-40B4-BE49-F238E27FC236}">
              <a16:creationId xmlns:a16="http://schemas.microsoft.com/office/drawing/2014/main" xmlns="" id="{00000000-0008-0000-0000-0000C7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064" name="Text Box 62">
          <a:extLst>
            <a:ext uri="{FF2B5EF4-FFF2-40B4-BE49-F238E27FC236}">
              <a16:creationId xmlns:a16="http://schemas.microsoft.com/office/drawing/2014/main" xmlns="" id="{00000000-0008-0000-0000-0000C8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065" name="Text Box 63">
          <a:extLst>
            <a:ext uri="{FF2B5EF4-FFF2-40B4-BE49-F238E27FC236}">
              <a16:creationId xmlns:a16="http://schemas.microsoft.com/office/drawing/2014/main" xmlns="" id="{00000000-0008-0000-0000-0000C9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066" name="Text Box 64">
          <a:extLst>
            <a:ext uri="{FF2B5EF4-FFF2-40B4-BE49-F238E27FC236}">
              <a16:creationId xmlns:a16="http://schemas.microsoft.com/office/drawing/2014/main" xmlns="" id="{00000000-0008-0000-0000-0000CA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067" name="Text Box 65">
          <a:extLst>
            <a:ext uri="{FF2B5EF4-FFF2-40B4-BE49-F238E27FC236}">
              <a16:creationId xmlns:a16="http://schemas.microsoft.com/office/drawing/2014/main" xmlns="" id="{00000000-0008-0000-0000-0000CB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068" name="Text Box 66">
          <a:extLst>
            <a:ext uri="{FF2B5EF4-FFF2-40B4-BE49-F238E27FC236}">
              <a16:creationId xmlns:a16="http://schemas.microsoft.com/office/drawing/2014/main" xmlns="" id="{00000000-0008-0000-0000-0000CC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069" name="Text Box 67">
          <a:extLst>
            <a:ext uri="{FF2B5EF4-FFF2-40B4-BE49-F238E27FC236}">
              <a16:creationId xmlns:a16="http://schemas.microsoft.com/office/drawing/2014/main" xmlns="" id="{00000000-0008-0000-0000-0000CD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070" name="Text Box 68">
          <a:extLst>
            <a:ext uri="{FF2B5EF4-FFF2-40B4-BE49-F238E27FC236}">
              <a16:creationId xmlns:a16="http://schemas.microsoft.com/office/drawing/2014/main" xmlns="" id="{00000000-0008-0000-0000-0000CE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071" name="Text Box 69">
          <a:extLst>
            <a:ext uri="{FF2B5EF4-FFF2-40B4-BE49-F238E27FC236}">
              <a16:creationId xmlns:a16="http://schemas.microsoft.com/office/drawing/2014/main" xmlns="" id="{00000000-0008-0000-0000-0000CF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072" name="Text Box 70">
          <a:extLst>
            <a:ext uri="{FF2B5EF4-FFF2-40B4-BE49-F238E27FC236}">
              <a16:creationId xmlns:a16="http://schemas.microsoft.com/office/drawing/2014/main" xmlns="" id="{00000000-0008-0000-0000-0000D0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073" name="Text Box 71">
          <a:extLst>
            <a:ext uri="{FF2B5EF4-FFF2-40B4-BE49-F238E27FC236}">
              <a16:creationId xmlns:a16="http://schemas.microsoft.com/office/drawing/2014/main" xmlns="" id="{00000000-0008-0000-0000-0000D1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074" name="Text Box 72">
          <a:extLst>
            <a:ext uri="{FF2B5EF4-FFF2-40B4-BE49-F238E27FC236}">
              <a16:creationId xmlns:a16="http://schemas.microsoft.com/office/drawing/2014/main" xmlns="" id="{00000000-0008-0000-0000-0000D2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075" name="Text Box 73">
          <a:extLst>
            <a:ext uri="{FF2B5EF4-FFF2-40B4-BE49-F238E27FC236}">
              <a16:creationId xmlns:a16="http://schemas.microsoft.com/office/drawing/2014/main" xmlns="" id="{00000000-0008-0000-0000-0000D3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076" name="Text Box 74">
          <a:extLst>
            <a:ext uri="{FF2B5EF4-FFF2-40B4-BE49-F238E27FC236}">
              <a16:creationId xmlns:a16="http://schemas.microsoft.com/office/drawing/2014/main" xmlns="" id="{00000000-0008-0000-0000-0000D4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077" name="Text Box 75">
          <a:extLst>
            <a:ext uri="{FF2B5EF4-FFF2-40B4-BE49-F238E27FC236}">
              <a16:creationId xmlns:a16="http://schemas.microsoft.com/office/drawing/2014/main" xmlns="" id="{00000000-0008-0000-0000-0000D5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078" name="Text Box 76">
          <a:extLst>
            <a:ext uri="{FF2B5EF4-FFF2-40B4-BE49-F238E27FC236}">
              <a16:creationId xmlns:a16="http://schemas.microsoft.com/office/drawing/2014/main" xmlns="" id="{00000000-0008-0000-0000-0000D6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079" name="Text Box 77">
          <a:extLst>
            <a:ext uri="{FF2B5EF4-FFF2-40B4-BE49-F238E27FC236}">
              <a16:creationId xmlns:a16="http://schemas.microsoft.com/office/drawing/2014/main" xmlns="" id="{00000000-0008-0000-0000-0000D7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080" name="Text Box 78">
          <a:extLst>
            <a:ext uri="{FF2B5EF4-FFF2-40B4-BE49-F238E27FC236}">
              <a16:creationId xmlns:a16="http://schemas.microsoft.com/office/drawing/2014/main" xmlns="" id="{00000000-0008-0000-0000-0000D8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081" name="Text Box 79">
          <a:extLst>
            <a:ext uri="{FF2B5EF4-FFF2-40B4-BE49-F238E27FC236}">
              <a16:creationId xmlns:a16="http://schemas.microsoft.com/office/drawing/2014/main" xmlns="" id="{00000000-0008-0000-0000-0000D9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082" name="Text Box 80">
          <a:extLst>
            <a:ext uri="{FF2B5EF4-FFF2-40B4-BE49-F238E27FC236}">
              <a16:creationId xmlns:a16="http://schemas.microsoft.com/office/drawing/2014/main" xmlns="" id="{00000000-0008-0000-0000-0000DA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083" name="Text Box 81">
          <a:extLst>
            <a:ext uri="{FF2B5EF4-FFF2-40B4-BE49-F238E27FC236}">
              <a16:creationId xmlns:a16="http://schemas.microsoft.com/office/drawing/2014/main" xmlns="" id="{00000000-0008-0000-0000-0000DB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47625"/>
    <xdr:sp macro="" textlink="">
      <xdr:nvSpPr>
        <xdr:cNvPr id="5084" name="Text Box 82">
          <a:extLst>
            <a:ext uri="{FF2B5EF4-FFF2-40B4-BE49-F238E27FC236}">
              <a16:creationId xmlns:a16="http://schemas.microsoft.com/office/drawing/2014/main" xmlns="" id="{00000000-0008-0000-0000-0000DC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085" name="Text Box 3079">
          <a:extLst>
            <a:ext uri="{FF2B5EF4-FFF2-40B4-BE49-F238E27FC236}">
              <a16:creationId xmlns:a16="http://schemas.microsoft.com/office/drawing/2014/main" xmlns="" id="{00000000-0008-0000-0000-0000DD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086" name="Text Box 3080">
          <a:extLst>
            <a:ext uri="{FF2B5EF4-FFF2-40B4-BE49-F238E27FC236}">
              <a16:creationId xmlns:a16="http://schemas.microsoft.com/office/drawing/2014/main" xmlns="" id="{00000000-0008-0000-0000-0000DE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087" name="Text Box 3081">
          <a:extLst>
            <a:ext uri="{FF2B5EF4-FFF2-40B4-BE49-F238E27FC236}">
              <a16:creationId xmlns:a16="http://schemas.microsoft.com/office/drawing/2014/main" xmlns="" id="{00000000-0008-0000-0000-0000DF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088" name="Text Box 3082">
          <a:extLst>
            <a:ext uri="{FF2B5EF4-FFF2-40B4-BE49-F238E27FC236}">
              <a16:creationId xmlns:a16="http://schemas.microsoft.com/office/drawing/2014/main" xmlns="" id="{00000000-0008-0000-0000-0000E0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089" name="Text Box 3083">
          <a:extLst>
            <a:ext uri="{FF2B5EF4-FFF2-40B4-BE49-F238E27FC236}">
              <a16:creationId xmlns:a16="http://schemas.microsoft.com/office/drawing/2014/main" xmlns="" id="{00000000-0008-0000-0000-0000E1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090" name="Text Box 3084">
          <a:extLst>
            <a:ext uri="{FF2B5EF4-FFF2-40B4-BE49-F238E27FC236}">
              <a16:creationId xmlns:a16="http://schemas.microsoft.com/office/drawing/2014/main" xmlns="" id="{00000000-0008-0000-0000-0000E2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091" name="Text Box 3085">
          <a:extLst>
            <a:ext uri="{FF2B5EF4-FFF2-40B4-BE49-F238E27FC236}">
              <a16:creationId xmlns:a16="http://schemas.microsoft.com/office/drawing/2014/main" xmlns="" id="{00000000-0008-0000-0000-0000E3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092" name="Text Box 3086">
          <a:extLst>
            <a:ext uri="{FF2B5EF4-FFF2-40B4-BE49-F238E27FC236}">
              <a16:creationId xmlns:a16="http://schemas.microsoft.com/office/drawing/2014/main" xmlns="" id="{00000000-0008-0000-0000-0000E4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093" name="Text Box 3087">
          <a:extLst>
            <a:ext uri="{FF2B5EF4-FFF2-40B4-BE49-F238E27FC236}">
              <a16:creationId xmlns:a16="http://schemas.microsoft.com/office/drawing/2014/main" xmlns="" id="{00000000-0008-0000-0000-0000E5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094" name="Text Box 3088">
          <a:extLst>
            <a:ext uri="{FF2B5EF4-FFF2-40B4-BE49-F238E27FC236}">
              <a16:creationId xmlns:a16="http://schemas.microsoft.com/office/drawing/2014/main" xmlns="" id="{00000000-0008-0000-0000-0000E6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095" name="Text Box 3089">
          <a:extLst>
            <a:ext uri="{FF2B5EF4-FFF2-40B4-BE49-F238E27FC236}">
              <a16:creationId xmlns:a16="http://schemas.microsoft.com/office/drawing/2014/main" xmlns="" id="{00000000-0008-0000-0000-0000E7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096" name="Text Box 3090">
          <a:extLst>
            <a:ext uri="{FF2B5EF4-FFF2-40B4-BE49-F238E27FC236}">
              <a16:creationId xmlns:a16="http://schemas.microsoft.com/office/drawing/2014/main" xmlns="" id="{00000000-0008-0000-0000-0000E8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097" name="Text Box 3091">
          <a:extLst>
            <a:ext uri="{FF2B5EF4-FFF2-40B4-BE49-F238E27FC236}">
              <a16:creationId xmlns:a16="http://schemas.microsoft.com/office/drawing/2014/main" xmlns="" id="{00000000-0008-0000-0000-0000E9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098" name="Text Box 3092">
          <a:extLst>
            <a:ext uri="{FF2B5EF4-FFF2-40B4-BE49-F238E27FC236}">
              <a16:creationId xmlns:a16="http://schemas.microsoft.com/office/drawing/2014/main" xmlns="" id="{00000000-0008-0000-0000-0000EA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099" name="Text Box 3093">
          <a:extLst>
            <a:ext uri="{FF2B5EF4-FFF2-40B4-BE49-F238E27FC236}">
              <a16:creationId xmlns:a16="http://schemas.microsoft.com/office/drawing/2014/main" xmlns="" id="{00000000-0008-0000-0000-0000EB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100" name="Text Box 3094">
          <a:extLst>
            <a:ext uri="{FF2B5EF4-FFF2-40B4-BE49-F238E27FC236}">
              <a16:creationId xmlns:a16="http://schemas.microsoft.com/office/drawing/2014/main" xmlns="" id="{00000000-0008-0000-0000-0000EC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101" name="Text Box 3095">
          <a:extLst>
            <a:ext uri="{FF2B5EF4-FFF2-40B4-BE49-F238E27FC236}">
              <a16:creationId xmlns:a16="http://schemas.microsoft.com/office/drawing/2014/main" xmlns="" id="{00000000-0008-0000-0000-0000ED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102" name="Text Box 3096">
          <a:extLst>
            <a:ext uri="{FF2B5EF4-FFF2-40B4-BE49-F238E27FC236}">
              <a16:creationId xmlns:a16="http://schemas.microsoft.com/office/drawing/2014/main" xmlns="" id="{00000000-0008-0000-0000-0000EE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103" name="Text Box 3097">
          <a:extLst>
            <a:ext uri="{FF2B5EF4-FFF2-40B4-BE49-F238E27FC236}">
              <a16:creationId xmlns:a16="http://schemas.microsoft.com/office/drawing/2014/main" xmlns="" id="{00000000-0008-0000-0000-0000EF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104" name="Text Box 3098">
          <a:extLst>
            <a:ext uri="{FF2B5EF4-FFF2-40B4-BE49-F238E27FC236}">
              <a16:creationId xmlns:a16="http://schemas.microsoft.com/office/drawing/2014/main" xmlns="" id="{00000000-0008-0000-0000-0000F0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105" name="Text Box 3099">
          <a:extLst>
            <a:ext uri="{FF2B5EF4-FFF2-40B4-BE49-F238E27FC236}">
              <a16:creationId xmlns:a16="http://schemas.microsoft.com/office/drawing/2014/main" xmlns="" id="{00000000-0008-0000-0000-0000F1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106" name="Text Box 3100">
          <a:extLst>
            <a:ext uri="{FF2B5EF4-FFF2-40B4-BE49-F238E27FC236}">
              <a16:creationId xmlns:a16="http://schemas.microsoft.com/office/drawing/2014/main" xmlns="" id="{00000000-0008-0000-0000-0000F2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107" name="Text Box 3101">
          <a:extLst>
            <a:ext uri="{FF2B5EF4-FFF2-40B4-BE49-F238E27FC236}">
              <a16:creationId xmlns:a16="http://schemas.microsoft.com/office/drawing/2014/main" xmlns="" id="{00000000-0008-0000-0000-0000F3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5108" name="Text Box 3102">
          <a:extLst>
            <a:ext uri="{FF2B5EF4-FFF2-40B4-BE49-F238E27FC236}">
              <a16:creationId xmlns:a16="http://schemas.microsoft.com/office/drawing/2014/main" xmlns="" id="{00000000-0008-0000-0000-0000F4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109" name="Text Box 59">
          <a:extLst>
            <a:ext uri="{FF2B5EF4-FFF2-40B4-BE49-F238E27FC236}">
              <a16:creationId xmlns:a16="http://schemas.microsoft.com/office/drawing/2014/main" xmlns="" id="{00000000-0008-0000-0000-0000F5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110" name="Text Box 60">
          <a:extLst>
            <a:ext uri="{FF2B5EF4-FFF2-40B4-BE49-F238E27FC236}">
              <a16:creationId xmlns:a16="http://schemas.microsoft.com/office/drawing/2014/main" xmlns="" id="{00000000-0008-0000-0000-0000F6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111" name="Text Box 61">
          <a:extLst>
            <a:ext uri="{FF2B5EF4-FFF2-40B4-BE49-F238E27FC236}">
              <a16:creationId xmlns:a16="http://schemas.microsoft.com/office/drawing/2014/main" xmlns="" id="{00000000-0008-0000-0000-0000F7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112" name="Text Box 62">
          <a:extLst>
            <a:ext uri="{FF2B5EF4-FFF2-40B4-BE49-F238E27FC236}">
              <a16:creationId xmlns:a16="http://schemas.microsoft.com/office/drawing/2014/main" xmlns="" id="{00000000-0008-0000-0000-0000F8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113" name="Text Box 63">
          <a:extLst>
            <a:ext uri="{FF2B5EF4-FFF2-40B4-BE49-F238E27FC236}">
              <a16:creationId xmlns:a16="http://schemas.microsoft.com/office/drawing/2014/main" xmlns="" id="{00000000-0008-0000-0000-0000F9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114" name="Text Box 64">
          <a:extLst>
            <a:ext uri="{FF2B5EF4-FFF2-40B4-BE49-F238E27FC236}">
              <a16:creationId xmlns:a16="http://schemas.microsoft.com/office/drawing/2014/main" xmlns="" id="{00000000-0008-0000-0000-0000FA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115" name="Text Box 65">
          <a:extLst>
            <a:ext uri="{FF2B5EF4-FFF2-40B4-BE49-F238E27FC236}">
              <a16:creationId xmlns:a16="http://schemas.microsoft.com/office/drawing/2014/main" xmlns="" id="{00000000-0008-0000-0000-0000FB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116" name="Text Box 66">
          <a:extLst>
            <a:ext uri="{FF2B5EF4-FFF2-40B4-BE49-F238E27FC236}">
              <a16:creationId xmlns:a16="http://schemas.microsoft.com/office/drawing/2014/main" xmlns="" id="{00000000-0008-0000-0000-0000FC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117" name="Text Box 67">
          <a:extLst>
            <a:ext uri="{FF2B5EF4-FFF2-40B4-BE49-F238E27FC236}">
              <a16:creationId xmlns:a16="http://schemas.microsoft.com/office/drawing/2014/main" xmlns="" id="{00000000-0008-0000-0000-0000FD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118" name="Text Box 68">
          <a:extLst>
            <a:ext uri="{FF2B5EF4-FFF2-40B4-BE49-F238E27FC236}">
              <a16:creationId xmlns:a16="http://schemas.microsoft.com/office/drawing/2014/main" xmlns="" id="{00000000-0008-0000-0000-0000FE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119" name="Text Box 69">
          <a:extLst>
            <a:ext uri="{FF2B5EF4-FFF2-40B4-BE49-F238E27FC236}">
              <a16:creationId xmlns:a16="http://schemas.microsoft.com/office/drawing/2014/main" xmlns="" id="{00000000-0008-0000-0000-0000FF13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120" name="Text Box 70">
          <a:extLst>
            <a:ext uri="{FF2B5EF4-FFF2-40B4-BE49-F238E27FC236}">
              <a16:creationId xmlns:a16="http://schemas.microsoft.com/office/drawing/2014/main" xmlns="" id="{00000000-0008-0000-0000-0000001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121" name="Text Box 71">
          <a:extLst>
            <a:ext uri="{FF2B5EF4-FFF2-40B4-BE49-F238E27FC236}">
              <a16:creationId xmlns:a16="http://schemas.microsoft.com/office/drawing/2014/main" xmlns="" id="{00000000-0008-0000-0000-0000011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122" name="Text Box 72">
          <a:extLst>
            <a:ext uri="{FF2B5EF4-FFF2-40B4-BE49-F238E27FC236}">
              <a16:creationId xmlns:a16="http://schemas.microsoft.com/office/drawing/2014/main" xmlns="" id="{00000000-0008-0000-0000-0000021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123" name="Text Box 73">
          <a:extLst>
            <a:ext uri="{FF2B5EF4-FFF2-40B4-BE49-F238E27FC236}">
              <a16:creationId xmlns:a16="http://schemas.microsoft.com/office/drawing/2014/main" xmlns="" id="{00000000-0008-0000-0000-0000031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124" name="Text Box 74">
          <a:extLst>
            <a:ext uri="{FF2B5EF4-FFF2-40B4-BE49-F238E27FC236}">
              <a16:creationId xmlns:a16="http://schemas.microsoft.com/office/drawing/2014/main" xmlns="" id="{00000000-0008-0000-0000-0000041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125" name="Text Box 75">
          <a:extLst>
            <a:ext uri="{FF2B5EF4-FFF2-40B4-BE49-F238E27FC236}">
              <a16:creationId xmlns:a16="http://schemas.microsoft.com/office/drawing/2014/main" xmlns="" id="{00000000-0008-0000-0000-0000051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126" name="Text Box 76">
          <a:extLst>
            <a:ext uri="{FF2B5EF4-FFF2-40B4-BE49-F238E27FC236}">
              <a16:creationId xmlns:a16="http://schemas.microsoft.com/office/drawing/2014/main" xmlns="" id="{00000000-0008-0000-0000-0000061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127" name="Text Box 77">
          <a:extLst>
            <a:ext uri="{FF2B5EF4-FFF2-40B4-BE49-F238E27FC236}">
              <a16:creationId xmlns:a16="http://schemas.microsoft.com/office/drawing/2014/main" xmlns="" id="{00000000-0008-0000-0000-0000071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128" name="Text Box 78">
          <a:extLst>
            <a:ext uri="{FF2B5EF4-FFF2-40B4-BE49-F238E27FC236}">
              <a16:creationId xmlns:a16="http://schemas.microsoft.com/office/drawing/2014/main" xmlns="" id="{00000000-0008-0000-0000-0000081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129" name="Text Box 79">
          <a:extLst>
            <a:ext uri="{FF2B5EF4-FFF2-40B4-BE49-F238E27FC236}">
              <a16:creationId xmlns:a16="http://schemas.microsoft.com/office/drawing/2014/main" xmlns="" id="{00000000-0008-0000-0000-0000091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130" name="Text Box 80">
          <a:extLst>
            <a:ext uri="{FF2B5EF4-FFF2-40B4-BE49-F238E27FC236}">
              <a16:creationId xmlns:a16="http://schemas.microsoft.com/office/drawing/2014/main" xmlns="" id="{00000000-0008-0000-0000-00000A1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131" name="Text Box 81">
          <a:extLst>
            <a:ext uri="{FF2B5EF4-FFF2-40B4-BE49-F238E27FC236}">
              <a16:creationId xmlns:a16="http://schemas.microsoft.com/office/drawing/2014/main" xmlns="" id="{00000000-0008-0000-0000-00000B1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132" name="Text Box 3079">
          <a:extLst>
            <a:ext uri="{FF2B5EF4-FFF2-40B4-BE49-F238E27FC236}">
              <a16:creationId xmlns:a16="http://schemas.microsoft.com/office/drawing/2014/main" xmlns="" id="{00000000-0008-0000-0000-00000C1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133" name="Text Box 3080">
          <a:extLst>
            <a:ext uri="{FF2B5EF4-FFF2-40B4-BE49-F238E27FC236}">
              <a16:creationId xmlns:a16="http://schemas.microsoft.com/office/drawing/2014/main" xmlns="" id="{00000000-0008-0000-0000-00000D1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134" name="Text Box 3081">
          <a:extLst>
            <a:ext uri="{FF2B5EF4-FFF2-40B4-BE49-F238E27FC236}">
              <a16:creationId xmlns:a16="http://schemas.microsoft.com/office/drawing/2014/main" xmlns="" id="{00000000-0008-0000-0000-00000E1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135" name="Text Box 3082">
          <a:extLst>
            <a:ext uri="{FF2B5EF4-FFF2-40B4-BE49-F238E27FC236}">
              <a16:creationId xmlns:a16="http://schemas.microsoft.com/office/drawing/2014/main" xmlns="" id="{00000000-0008-0000-0000-00000F1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136" name="Text Box 3083">
          <a:extLst>
            <a:ext uri="{FF2B5EF4-FFF2-40B4-BE49-F238E27FC236}">
              <a16:creationId xmlns:a16="http://schemas.microsoft.com/office/drawing/2014/main" xmlns="" id="{00000000-0008-0000-0000-0000101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137" name="Text Box 3084">
          <a:extLst>
            <a:ext uri="{FF2B5EF4-FFF2-40B4-BE49-F238E27FC236}">
              <a16:creationId xmlns:a16="http://schemas.microsoft.com/office/drawing/2014/main" xmlns="" id="{00000000-0008-0000-0000-0000111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138" name="Text Box 3085">
          <a:extLst>
            <a:ext uri="{FF2B5EF4-FFF2-40B4-BE49-F238E27FC236}">
              <a16:creationId xmlns:a16="http://schemas.microsoft.com/office/drawing/2014/main" xmlns="" id="{00000000-0008-0000-0000-0000121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139" name="Text Box 3086">
          <a:extLst>
            <a:ext uri="{FF2B5EF4-FFF2-40B4-BE49-F238E27FC236}">
              <a16:creationId xmlns:a16="http://schemas.microsoft.com/office/drawing/2014/main" xmlns="" id="{00000000-0008-0000-0000-0000131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140" name="Text Box 3087">
          <a:extLst>
            <a:ext uri="{FF2B5EF4-FFF2-40B4-BE49-F238E27FC236}">
              <a16:creationId xmlns:a16="http://schemas.microsoft.com/office/drawing/2014/main" xmlns="" id="{00000000-0008-0000-0000-0000141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141" name="Text Box 3088">
          <a:extLst>
            <a:ext uri="{FF2B5EF4-FFF2-40B4-BE49-F238E27FC236}">
              <a16:creationId xmlns:a16="http://schemas.microsoft.com/office/drawing/2014/main" xmlns="" id="{00000000-0008-0000-0000-0000151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142" name="Text Box 3089">
          <a:extLst>
            <a:ext uri="{FF2B5EF4-FFF2-40B4-BE49-F238E27FC236}">
              <a16:creationId xmlns:a16="http://schemas.microsoft.com/office/drawing/2014/main" xmlns="" id="{00000000-0008-0000-0000-0000161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143" name="Text Box 3090">
          <a:extLst>
            <a:ext uri="{FF2B5EF4-FFF2-40B4-BE49-F238E27FC236}">
              <a16:creationId xmlns:a16="http://schemas.microsoft.com/office/drawing/2014/main" xmlns="" id="{00000000-0008-0000-0000-0000171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144" name="Text Box 3091">
          <a:extLst>
            <a:ext uri="{FF2B5EF4-FFF2-40B4-BE49-F238E27FC236}">
              <a16:creationId xmlns:a16="http://schemas.microsoft.com/office/drawing/2014/main" xmlns="" id="{00000000-0008-0000-0000-0000181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145" name="Text Box 3092">
          <a:extLst>
            <a:ext uri="{FF2B5EF4-FFF2-40B4-BE49-F238E27FC236}">
              <a16:creationId xmlns:a16="http://schemas.microsoft.com/office/drawing/2014/main" xmlns="" id="{00000000-0008-0000-0000-0000191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146" name="Text Box 3093">
          <a:extLst>
            <a:ext uri="{FF2B5EF4-FFF2-40B4-BE49-F238E27FC236}">
              <a16:creationId xmlns:a16="http://schemas.microsoft.com/office/drawing/2014/main" xmlns="" id="{00000000-0008-0000-0000-00001A1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147" name="Text Box 3094">
          <a:extLst>
            <a:ext uri="{FF2B5EF4-FFF2-40B4-BE49-F238E27FC236}">
              <a16:creationId xmlns:a16="http://schemas.microsoft.com/office/drawing/2014/main" xmlns="" id="{00000000-0008-0000-0000-00001B1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148" name="Text Box 3095">
          <a:extLst>
            <a:ext uri="{FF2B5EF4-FFF2-40B4-BE49-F238E27FC236}">
              <a16:creationId xmlns:a16="http://schemas.microsoft.com/office/drawing/2014/main" xmlns="" id="{00000000-0008-0000-0000-00001C1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149" name="Text Box 3096">
          <a:extLst>
            <a:ext uri="{FF2B5EF4-FFF2-40B4-BE49-F238E27FC236}">
              <a16:creationId xmlns:a16="http://schemas.microsoft.com/office/drawing/2014/main" xmlns="" id="{00000000-0008-0000-0000-00001D1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150" name="Text Box 3097">
          <a:extLst>
            <a:ext uri="{FF2B5EF4-FFF2-40B4-BE49-F238E27FC236}">
              <a16:creationId xmlns:a16="http://schemas.microsoft.com/office/drawing/2014/main" xmlns="" id="{00000000-0008-0000-0000-00001E1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151" name="Text Box 3098">
          <a:extLst>
            <a:ext uri="{FF2B5EF4-FFF2-40B4-BE49-F238E27FC236}">
              <a16:creationId xmlns:a16="http://schemas.microsoft.com/office/drawing/2014/main" xmlns="" id="{00000000-0008-0000-0000-00001F1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152" name="Text Box 3099">
          <a:extLst>
            <a:ext uri="{FF2B5EF4-FFF2-40B4-BE49-F238E27FC236}">
              <a16:creationId xmlns:a16="http://schemas.microsoft.com/office/drawing/2014/main" xmlns="" id="{00000000-0008-0000-0000-0000201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153" name="Text Box 3100">
          <a:extLst>
            <a:ext uri="{FF2B5EF4-FFF2-40B4-BE49-F238E27FC236}">
              <a16:creationId xmlns:a16="http://schemas.microsoft.com/office/drawing/2014/main" xmlns="" id="{00000000-0008-0000-0000-0000211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154" name="Text Box 3101">
          <a:extLst>
            <a:ext uri="{FF2B5EF4-FFF2-40B4-BE49-F238E27FC236}">
              <a16:creationId xmlns:a16="http://schemas.microsoft.com/office/drawing/2014/main" xmlns="" id="{00000000-0008-0000-0000-0000221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28575"/>
    <xdr:sp macro="" textlink="">
      <xdr:nvSpPr>
        <xdr:cNvPr id="5155" name="Text Box 3102">
          <a:extLst>
            <a:ext uri="{FF2B5EF4-FFF2-40B4-BE49-F238E27FC236}">
              <a16:creationId xmlns:a16="http://schemas.microsoft.com/office/drawing/2014/main" xmlns="" id="{00000000-0008-0000-0000-0000231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156" name="Text Box 59">
          <a:extLst>
            <a:ext uri="{FF2B5EF4-FFF2-40B4-BE49-F238E27FC236}">
              <a16:creationId xmlns:a16="http://schemas.microsoft.com/office/drawing/2014/main" xmlns="" id="{00000000-0008-0000-0000-0000241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157" name="Text Box 60">
          <a:extLst>
            <a:ext uri="{FF2B5EF4-FFF2-40B4-BE49-F238E27FC236}">
              <a16:creationId xmlns:a16="http://schemas.microsoft.com/office/drawing/2014/main" xmlns="" id="{00000000-0008-0000-0000-0000251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158" name="Text Box 61">
          <a:extLst>
            <a:ext uri="{FF2B5EF4-FFF2-40B4-BE49-F238E27FC236}">
              <a16:creationId xmlns:a16="http://schemas.microsoft.com/office/drawing/2014/main" xmlns="" id="{00000000-0008-0000-0000-0000261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159" name="Text Box 62">
          <a:extLst>
            <a:ext uri="{FF2B5EF4-FFF2-40B4-BE49-F238E27FC236}">
              <a16:creationId xmlns:a16="http://schemas.microsoft.com/office/drawing/2014/main" xmlns="" id="{00000000-0008-0000-0000-0000271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160" name="Text Box 63">
          <a:extLst>
            <a:ext uri="{FF2B5EF4-FFF2-40B4-BE49-F238E27FC236}">
              <a16:creationId xmlns:a16="http://schemas.microsoft.com/office/drawing/2014/main" xmlns="" id="{00000000-0008-0000-0000-0000281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161" name="Text Box 64">
          <a:extLst>
            <a:ext uri="{FF2B5EF4-FFF2-40B4-BE49-F238E27FC236}">
              <a16:creationId xmlns:a16="http://schemas.microsoft.com/office/drawing/2014/main" xmlns="" id="{00000000-0008-0000-0000-0000291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162" name="Text Box 65">
          <a:extLst>
            <a:ext uri="{FF2B5EF4-FFF2-40B4-BE49-F238E27FC236}">
              <a16:creationId xmlns:a16="http://schemas.microsoft.com/office/drawing/2014/main" xmlns="" id="{00000000-0008-0000-0000-00002A1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163" name="Text Box 66">
          <a:extLst>
            <a:ext uri="{FF2B5EF4-FFF2-40B4-BE49-F238E27FC236}">
              <a16:creationId xmlns:a16="http://schemas.microsoft.com/office/drawing/2014/main" xmlns="" id="{00000000-0008-0000-0000-00002B1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164" name="Text Box 67">
          <a:extLst>
            <a:ext uri="{FF2B5EF4-FFF2-40B4-BE49-F238E27FC236}">
              <a16:creationId xmlns:a16="http://schemas.microsoft.com/office/drawing/2014/main" xmlns="" id="{00000000-0008-0000-0000-00002C1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165" name="Text Box 68">
          <a:extLst>
            <a:ext uri="{FF2B5EF4-FFF2-40B4-BE49-F238E27FC236}">
              <a16:creationId xmlns:a16="http://schemas.microsoft.com/office/drawing/2014/main" xmlns="" id="{00000000-0008-0000-0000-00002D1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166" name="Text Box 69">
          <a:extLst>
            <a:ext uri="{FF2B5EF4-FFF2-40B4-BE49-F238E27FC236}">
              <a16:creationId xmlns:a16="http://schemas.microsoft.com/office/drawing/2014/main" xmlns="" id="{00000000-0008-0000-0000-00002E1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167" name="Text Box 70">
          <a:extLst>
            <a:ext uri="{FF2B5EF4-FFF2-40B4-BE49-F238E27FC236}">
              <a16:creationId xmlns:a16="http://schemas.microsoft.com/office/drawing/2014/main" xmlns="" id="{00000000-0008-0000-0000-00002F1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168" name="Text Box 71">
          <a:extLst>
            <a:ext uri="{FF2B5EF4-FFF2-40B4-BE49-F238E27FC236}">
              <a16:creationId xmlns:a16="http://schemas.microsoft.com/office/drawing/2014/main" xmlns="" id="{00000000-0008-0000-0000-0000301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169" name="Text Box 72">
          <a:extLst>
            <a:ext uri="{FF2B5EF4-FFF2-40B4-BE49-F238E27FC236}">
              <a16:creationId xmlns:a16="http://schemas.microsoft.com/office/drawing/2014/main" xmlns="" id="{00000000-0008-0000-0000-0000311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170" name="Text Box 73">
          <a:extLst>
            <a:ext uri="{FF2B5EF4-FFF2-40B4-BE49-F238E27FC236}">
              <a16:creationId xmlns:a16="http://schemas.microsoft.com/office/drawing/2014/main" xmlns="" id="{00000000-0008-0000-0000-0000321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171" name="Text Box 74">
          <a:extLst>
            <a:ext uri="{FF2B5EF4-FFF2-40B4-BE49-F238E27FC236}">
              <a16:creationId xmlns:a16="http://schemas.microsoft.com/office/drawing/2014/main" xmlns="" id="{00000000-0008-0000-0000-0000331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172" name="Text Box 75">
          <a:extLst>
            <a:ext uri="{FF2B5EF4-FFF2-40B4-BE49-F238E27FC236}">
              <a16:creationId xmlns:a16="http://schemas.microsoft.com/office/drawing/2014/main" xmlns="" id="{00000000-0008-0000-0000-0000341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173" name="Text Box 76">
          <a:extLst>
            <a:ext uri="{FF2B5EF4-FFF2-40B4-BE49-F238E27FC236}">
              <a16:creationId xmlns:a16="http://schemas.microsoft.com/office/drawing/2014/main" xmlns="" id="{00000000-0008-0000-0000-0000351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174" name="Text Box 77">
          <a:extLst>
            <a:ext uri="{FF2B5EF4-FFF2-40B4-BE49-F238E27FC236}">
              <a16:creationId xmlns:a16="http://schemas.microsoft.com/office/drawing/2014/main" xmlns="" id="{00000000-0008-0000-0000-0000361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175" name="Text Box 78">
          <a:extLst>
            <a:ext uri="{FF2B5EF4-FFF2-40B4-BE49-F238E27FC236}">
              <a16:creationId xmlns:a16="http://schemas.microsoft.com/office/drawing/2014/main" xmlns="" id="{00000000-0008-0000-0000-0000371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176" name="Text Box 79">
          <a:extLst>
            <a:ext uri="{FF2B5EF4-FFF2-40B4-BE49-F238E27FC236}">
              <a16:creationId xmlns:a16="http://schemas.microsoft.com/office/drawing/2014/main" xmlns="" id="{00000000-0008-0000-0000-0000381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177" name="Text Box 80">
          <a:extLst>
            <a:ext uri="{FF2B5EF4-FFF2-40B4-BE49-F238E27FC236}">
              <a16:creationId xmlns:a16="http://schemas.microsoft.com/office/drawing/2014/main" xmlns="" id="{00000000-0008-0000-0000-0000391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47625"/>
    <xdr:sp macro="" textlink="">
      <xdr:nvSpPr>
        <xdr:cNvPr id="5178" name="Text Box 81">
          <a:extLst>
            <a:ext uri="{FF2B5EF4-FFF2-40B4-BE49-F238E27FC236}">
              <a16:creationId xmlns:a16="http://schemas.microsoft.com/office/drawing/2014/main" xmlns="" id="{00000000-0008-0000-0000-00003A1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104775" cy="47625"/>
    <xdr:sp macro="" textlink="">
      <xdr:nvSpPr>
        <xdr:cNvPr id="5179" name="Text Box 82">
          <a:extLst>
            <a:ext uri="{FF2B5EF4-FFF2-40B4-BE49-F238E27FC236}">
              <a16:creationId xmlns:a16="http://schemas.microsoft.com/office/drawing/2014/main" xmlns="" id="{00000000-0008-0000-0000-00003B1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180" name="Text Box 3079">
          <a:extLst>
            <a:ext uri="{FF2B5EF4-FFF2-40B4-BE49-F238E27FC236}">
              <a16:creationId xmlns:a16="http://schemas.microsoft.com/office/drawing/2014/main" xmlns="" id="{00000000-0008-0000-0000-00003C1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181" name="Text Box 3080">
          <a:extLst>
            <a:ext uri="{FF2B5EF4-FFF2-40B4-BE49-F238E27FC236}">
              <a16:creationId xmlns:a16="http://schemas.microsoft.com/office/drawing/2014/main" xmlns="" id="{00000000-0008-0000-0000-00003D1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182" name="Text Box 3081">
          <a:extLst>
            <a:ext uri="{FF2B5EF4-FFF2-40B4-BE49-F238E27FC236}">
              <a16:creationId xmlns:a16="http://schemas.microsoft.com/office/drawing/2014/main" xmlns="" id="{00000000-0008-0000-0000-00003E1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183" name="Text Box 3082">
          <a:extLst>
            <a:ext uri="{FF2B5EF4-FFF2-40B4-BE49-F238E27FC236}">
              <a16:creationId xmlns:a16="http://schemas.microsoft.com/office/drawing/2014/main" xmlns="" id="{00000000-0008-0000-0000-00003F1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184" name="Text Box 3083">
          <a:extLst>
            <a:ext uri="{FF2B5EF4-FFF2-40B4-BE49-F238E27FC236}">
              <a16:creationId xmlns:a16="http://schemas.microsoft.com/office/drawing/2014/main" xmlns="" id="{00000000-0008-0000-0000-0000401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2</xdr:row>
      <xdr:rowOff>0</xdr:rowOff>
    </xdr:from>
    <xdr:ext cx="57150" cy="28575"/>
    <xdr:sp macro="" textlink="">
      <xdr:nvSpPr>
        <xdr:cNvPr id="5185" name="Text Box 3084">
          <a:extLst>
            <a:ext uri="{FF2B5EF4-FFF2-40B4-BE49-F238E27FC236}">
              <a16:creationId xmlns:a16="http://schemas.microsoft.com/office/drawing/2014/main" xmlns="" id="{00000000-0008-0000-0000-000041140000}"/>
            </a:ext>
          </a:extLst>
        </xdr:cNvPr>
        <xdr:cNvSpPr txBox="1">
          <a:spLocks noChangeArrowheads="1"/>
        </xdr:cNvSpPr>
      </xdr:nvSpPr>
      <xdr:spPr bwMode="auto">
        <a:xfrm>
          <a:off x="609600" y="120015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186" name="Text Box 3079">
          <a:extLst>
            <a:ext uri="{FF2B5EF4-FFF2-40B4-BE49-F238E27FC236}">
              <a16:creationId xmlns:a16="http://schemas.microsoft.com/office/drawing/2014/main" xmlns="" id="{00000000-0008-0000-0000-000042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187" name="Text Box 3080">
          <a:extLst>
            <a:ext uri="{FF2B5EF4-FFF2-40B4-BE49-F238E27FC236}">
              <a16:creationId xmlns:a16="http://schemas.microsoft.com/office/drawing/2014/main" xmlns="" id="{00000000-0008-0000-0000-000043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188" name="Text Box 3081">
          <a:extLst>
            <a:ext uri="{FF2B5EF4-FFF2-40B4-BE49-F238E27FC236}">
              <a16:creationId xmlns:a16="http://schemas.microsoft.com/office/drawing/2014/main" xmlns="" id="{00000000-0008-0000-0000-000044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189" name="Text Box 3082">
          <a:extLst>
            <a:ext uri="{FF2B5EF4-FFF2-40B4-BE49-F238E27FC236}">
              <a16:creationId xmlns:a16="http://schemas.microsoft.com/office/drawing/2014/main" xmlns="" id="{00000000-0008-0000-0000-000045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190" name="Text Box 3083">
          <a:extLst>
            <a:ext uri="{FF2B5EF4-FFF2-40B4-BE49-F238E27FC236}">
              <a16:creationId xmlns:a16="http://schemas.microsoft.com/office/drawing/2014/main" xmlns="" id="{00000000-0008-0000-0000-000046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191" name="Text Box 3084">
          <a:extLst>
            <a:ext uri="{FF2B5EF4-FFF2-40B4-BE49-F238E27FC236}">
              <a16:creationId xmlns:a16="http://schemas.microsoft.com/office/drawing/2014/main" xmlns="" id="{00000000-0008-0000-0000-000047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192" name="Text Box 3085">
          <a:extLst>
            <a:ext uri="{FF2B5EF4-FFF2-40B4-BE49-F238E27FC236}">
              <a16:creationId xmlns:a16="http://schemas.microsoft.com/office/drawing/2014/main" xmlns="" id="{00000000-0008-0000-0000-000048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193" name="Text Box 3086">
          <a:extLst>
            <a:ext uri="{FF2B5EF4-FFF2-40B4-BE49-F238E27FC236}">
              <a16:creationId xmlns:a16="http://schemas.microsoft.com/office/drawing/2014/main" xmlns="" id="{00000000-0008-0000-0000-000049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194" name="Text Box 3087">
          <a:extLst>
            <a:ext uri="{FF2B5EF4-FFF2-40B4-BE49-F238E27FC236}">
              <a16:creationId xmlns:a16="http://schemas.microsoft.com/office/drawing/2014/main" xmlns="" id="{00000000-0008-0000-0000-00004A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195" name="Text Box 3088">
          <a:extLst>
            <a:ext uri="{FF2B5EF4-FFF2-40B4-BE49-F238E27FC236}">
              <a16:creationId xmlns:a16="http://schemas.microsoft.com/office/drawing/2014/main" xmlns="" id="{00000000-0008-0000-0000-00004B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196" name="Text Box 3089">
          <a:extLst>
            <a:ext uri="{FF2B5EF4-FFF2-40B4-BE49-F238E27FC236}">
              <a16:creationId xmlns:a16="http://schemas.microsoft.com/office/drawing/2014/main" xmlns="" id="{00000000-0008-0000-0000-00004C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197" name="Text Box 3090">
          <a:extLst>
            <a:ext uri="{FF2B5EF4-FFF2-40B4-BE49-F238E27FC236}">
              <a16:creationId xmlns:a16="http://schemas.microsoft.com/office/drawing/2014/main" xmlns="" id="{00000000-0008-0000-0000-00004D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198" name="Text Box 3091">
          <a:extLst>
            <a:ext uri="{FF2B5EF4-FFF2-40B4-BE49-F238E27FC236}">
              <a16:creationId xmlns:a16="http://schemas.microsoft.com/office/drawing/2014/main" xmlns="" id="{00000000-0008-0000-0000-00004E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199" name="Text Box 3092">
          <a:extLst>
            <a:ext uri="{FF2B5EF4-FFF2-40B4-BE49-F238E27FC236}">
              <a16:creationId xmlns:a16="http://schemas.microsoft.com/office/drawing/2014/main" xmlns="" id="{00000000-0008-0000-0000-00004F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200" name="Text Box 3093">
          <a:extLst>
            <a:ext uri="{FF2B5EF4-FFF2-40B4-BE49-F238E27FC236}">
              <a16:creationId xmlns:a16="http://schemas.microsoft.com/office/drawing/2014/main" xmlns="" id="{00000000-0008-0000-0000-000050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201" name="Text Box 3094">
          <a:extLst>
            <a:ext uri="{FF2B5EF4-FFF2-40B4-BE49-F238E27FC236}">
              <a16:creationId xmlns:a16="http://schemas.microsoft.com/office/drawing/2014/main" xmlns="" id="{00000000-0008-0000-0000-000051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202" name="Text Box 3095">
          <a:extLst>
            <a:ext uri="{FF2B5EF4-FFF2-40B4-BE49-F238E27FC236}">
              <a16:creationId xmlns:a16="http://schemas.microsoft.com/office/drawing/2014/main" xmlns="" id="{00000000-0008-0000-0000-000052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203" name="Text Box 3096">
          <a:extLst>
            <a:ext uri="{FF2B5EF4-FFF2-40B4-BE49-F238E27FC236}">
              <a16:creationId xmlns:a16="http://schemas.microsoft.com/office/drawing/2014/main" xmlns="" id="{00000000-0008-0000-0000-000053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204" name="Text Box 3097">
          <a:extLst>
            <a:ext uri="{FF2B5EF4-FFF2-40B4-BE49-F238E27FC236}">
              <a16:creationId xmlns:a16="http://schemas.microsoft.com/office/drawing/2014/main" xmlns="" id="{00000000-0008-0000-0000-000054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205" name="Text Box 3098">
          <a:extLst>
            <a:ext uri="{FF2B5EF4-FFF2-40B4-BE49-F238E27FC236}">
              <a16:creationId xmlns:a16="http://schemas.microsoft.com/office/drawing/2014/main" xmlns="" id="{00000000-0008-0000-0000-000055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206" name="Text Box 3099">
          <a:extLst>
            <a:ext uri="{FF2B5EF4-FFF2-40B4-BE49-F238E27FC236}">
              <a16:creationId xmlns:a16="http://schemas.microsoft.com/office/drawing/2014/main" xmlns="" id="{00000000-0008-0000-0000-000056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207" name="Text Box 3100">
          <a:extLst>
            <a:ext uri="{FF2B5EF4-FFF2-40B4-BE49-F238E27FC236}">
              <a16:creationId xmlns:a16="http://schemas.microsoft.com/office/drawing/2014/main" xmlns="" id="{00000000-0008-0000-0000-000057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208" name="Text Box 3101">
          <a:extLst>
            <a:ext uri="{FF2B5EF4-FFF2-40B4-BE49-F238E27FC236}">
              <a16:creationId xmlns:a16="http://schemas.microsoft.com/office/drawing/2014/main" xmlns="" id="{00000000-0008-0000-0000-000058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5209" name="Text Box 3102">
          <a:extLst>
            <a:ext uri="{FF2B5EF4-FFF2-40B4-BE49-F238E27FC236}">
              <a16:creationId xmlns:a16="http://schemas.microsoft.com/office/drawing/2014/main" xmlns="" id="{00000000-0008-0000-0000-000059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210" name="Text Box 59">
          <a:extLst>
            <a:ext uri="{FF2B5EF4-FFF2-40B4-BE49-F238E27FC236}">
              <a16:creationId xmlns:a16="http://schemas.microsoft.com/office/drawing/2014/main" xmlns="" id="{00000000-0008-0000-0000-00005A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211" name="Text Box 60">
          <a:extLst>
            <a:ext uri="{FF2B5EF4-FFF2-40B4-BE49-F238E27FC236}">
              <a16:creationId xmlns:a16="http://schemas.microsoft.com/office/drawing/2014/main" xmlns="" id="{00000000-0008-0000-0000-00005B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212" name="Text Box 61">
          <a:extLst>
            <a:ext uri="{FF2B5EF4-FFF2-40B4-BE49-F238E27FC236}">
              <a16:creationId xmlns:a16="http://schemas.microsoft.com/office/drawing/2014/main" xmlns="" id="{00000000-0008-0000-0000-00005C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213" name="Text Box 62">
          <a:extLst>
            <a:ext uri="{FF2B5EF4-FFF2-40B4-BE49-F238E27FC236}">
              <a16:creationId xmlns:a16="http://schemas.microsoft.com/office/drawing/2014/main" xmlns="" id="{00000000-0008-0000-0000-00005D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214" name="Text Box 63">
          <a:extLst>
            <a:ext uri="{FF2B5EF4-FFF2-40B4-BE49-F238E27FC236}">
              <a16:creationId xmlns:a16="http://schemas.microsoft.com/office/drawing/2014/main" xmlns="" id="{00000000-0008-0000-0000-00005E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215" name="Text Box 64">
          <a:extLst>
            <a:ext uri="{FF2B5EF4-FFF2-40B4-BE49-F238E27FC236}">
              <a16:creationId xmlns:a16="http://schemas.microsoft.com/office/drawing/2014/main" xmlns="" id="{00000000-0008-0000-0000-00005F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216" name="Text Box 65">
          <a:extLst>
            <a:ext uri="{FF2B5EF4-FFF2-40B4-BE49-F238E27FC236}">
              <a16:creationId xmlns:a16="http://schemas.microsoft.com/office/drawing/2014/main" xmlns="" id="{00000000-0008-0000-0000-000060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217" name="Text Box 66">
          <a:extLst>
            <a:ext uri="{FF2B5EF4-FFF2-40B4-BE49-F238E27FC236}">
              <a16:creationId xmlns:a16="http://schemas.microsoft.com/office/drawing/2014/main" xmlns="" id="{00000000-0008-0000-0000-000061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218" name="Text Box 67">
          <a:extLst>
            <a:ext uri="{FF2B5EF4-FFF2-40B4-BE49-F238E27FC236}">
              <a16:creationId xmlns:a16="http://schemas.microsoft.com/office/drawing/2014/main" xmlns="" id="{00000000-0008-0000-0000-000062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219" name="Text Box 68">
          <a:extLst>
            <a:ext uri="{FF2B5EF4-FFF2-40B4-BE49-F238E27FC236}">
              <a16:creationId xmlns:a16="http://schemas.microsoft.com/office/drawing/2014/main" xmlns="" id="{00000000-0008-0000-0000-000063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220" name="Text Box 69">
          <a:extLst>
            <a:ext uri="{FF2B5EF4-FFF2-40B4-BE49-F238E27FC236}">
              <a16:creationId xmlns:a16="http://schemas.microsoft.com/office/drawing/2014/main" xmlns="" id="{00000000-0008-0000-0000-000064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221" name="Text Box 70">
          <a:extLst>
            <a:ext uri="{FF2B5EF4-FFF2-40B4-BE49-F238E27FC236}">
              <a16:creationId xmlns:a16="http://schemas.microsoft.com/office/drawing/2014/main" xmlns="" id="{00000000-0008-0000-0000-000065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222" name="Text Box 71">
          <a:extLst>
            <a:ext uri="{FF2B5EF4-FFF2-40B4-BE49-F238E27FC236}">
              <a16:creationId xmlns:a16="http://schemas.microsoft.com/office/drawing/2014/main" xmlns="" id="{00000000-0008-0000-0000-000066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223" name="Text Box 72">
          <a:extLst>
            <a:ext uri="{FF2B5EF4-FFF2-40B4-BE49-F238E27FC236}">
              <a16:creationId xmlns:a16="http://schemas.microsoft.com/office/drawing/2014/main" xmlns="" id="{00000000-0008-0000-0000-000067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224" name="Text Box 73">
          <a:extLst>
            <a:ext uri="{FF2B5EF4-FFF2-40B4-BE49-F238E27FC236}">
              <a16:creationId xmlns:a16="http://schemas.microsoft.com/office/drawing/2014/main" xmlns="" id="{00000000-0008-0000-0000-000068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225" name="Text Box 74">
          <a:extLst>
            <a:ext uri="{FF2B5EF4-FFF2-40B4-BE49-F238E27FC236}">
              <a16:creationId xmlns:a16="http://schemas.microsoft.com/office/drawing/2014/main" xmlns="" id="{00000000-0008-0000-0000-000069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226" name="Text Box 75">
          <a:extLst>
            <a:ext uri="{FF2B5EF4-FFF2-40B4-BE49-F238E27FC236}">
              <a16:creationId xmlns:a16="http://schemas.microsoft.com/office/drawing/2014/main" xmlns="" id="{00000000-0008-0000-0000-00006A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227" name="Text Box 76">
          <a:extLst>
            <a:ext uri="{FF2B5EF4-FFF2-40B4-BE49-F238E27FC236}">
              <a16:creationId xmlns:a16="http://schemas.microsoft.com/office/drawing/2014/main" xmlns="" id="{00000000-0008-0000-0000-00006B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228" name="Text Box 77">
          <a:extLst>
            <a:ext uri="{FF2B5EF4-FFF2-40B4-BE49-F238E27FC236}">
              <a16:creationId xmlns:a16="http://schemas.microsoft.com/office/drawing/2014/main" xmlns="" id="{00000000-0008-0000-0000-00006C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229" name="Text Box 78">
          <a:extLst>
            <a:ext uri="{FF2B5EF4-FFF2-40B4-BE49-F238E27FC236}">
              <a16:creationId xmlns:a16="http://schemas.microsoft.com/office/drawing/2014/main" xmlns="" id="{00000000-0008-0000-0000-00006D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230" name="Text Box 79">
          <a:extLst>
            <a:ext uri="{FF2B5EF4-FFF2-40B4-BE49-F238E27FC236}">
              <a16:creationId xmlns:a16="http://schemas.microsoft.com/office/drawing/2014/main" xmlns="" id="{00000000-0008-0000-0000-00006E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231" name="Text Box 80">
          <a:extLst>
            <a:ext uri="{FF2B5EF4-FFF2-40B4-BE49-F238E27FC236}">
              <a16:creationId xmlns:a16="http://schemas.microsoft.com/office/drawing/2014/main" xmlns="" id="{00000000-0008-0000-0000-00006F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232" name="Text Box 81">
          <a:extLst>
            <a:ext uri="{FF2B5EF4-FFF2-40B4-BE49-F238E27FC236}">
              <a16:creationId xmlns:a16="http://schemas.microsoft.com/office/drawing/2014/main" xmlns="" id="{00000000-0008-0000-0000-000070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47625"/>
    <xdr:sp macro="" textlink="">
      <xdr:nvSpPr>
        <xdr:cNvPr id="5233" name="Text Box 82">
          <a:extLst>
            <a:ext uri="{FF2B5EF4-FFF2-40B4-BE49-F238E27FC236}">
              <a16:creationId xmlns:a16="http://schemas.microsoft.com/office/drawing/2014/main" xmlns="" id="{00000000-0008-0000-0000-000071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234" name="Text Box 3079">
          <a:extLst>
            <a:ext uri="{FF2B5EF4-FFF2-40B4-BE49-F238E27FC236}">
              <a16:creationId xmlns:a16="http://schemas.microsoft.com/office/drawing/2014/main" xmlns="" id="{00000000-0008-0000-0000-000072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235" name="Text Box 3080">
          <a:extLst>
            <a:ext uri="{FF2B5EF4-FFF2-40B4-BE49-F238E27FC236}">
              <a16:creationId xmlns:a16="http://schemas.microsoft.com/office/drawing/2014/main" xmlns="" id="{00000000-0008-0000-0000-000073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236" name="Text Box 3081">
          <a:extLst>
            <a:ext uri="{FF2B5EF4-FFF2-40B4-BE49-F238E27FC236}">
              <a16:creationId xmlns:a16="http://schemas.microsoft.com/office/drawing/2014/main" xmlns="" id="{00000000-0008-0000-0000-000074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237" name="Text Box 3082">
          <a:extLst>
            <a:ext uri="{FF2B5EF4-FFF2-40B4-BE49-F238E27FC236}">
              <a16:creationId xmlns:a16="http://schemas.microsoft.com/office/drawing/2014/main" xmlns="" id="{00000000-0008-0000-0000-000075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238" name="Text Box 3083">
          <a:extLst>
            <a:ext uri="{FF2B5EF4-FFF2-40B4-BE49-F238E27FC236}">
              <a16:creationId xmlns:a16="http://schemas.microsoft.com/office/drawing/2014/main" xmlns="" id="{00000000-0008-0000-0000-000076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239" name="Text Box 3084">
          <a:extLst>
            <a:ext uri="{FF2B5EF4-FFF2-40B4-BE49-F238E27FC236}">
              <a16:creationId xmlns:a16="http://schemas.microsoft.com/office/drawing/2014/main" xmlns="" id="{00000000-0008-0000-0000-000077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240" name="Text Box 3085">
          <a:extLst>
            <a:ext uri="{FF2B5EF4-FFF2-40B4-BE49-F238E27FC236}">
              <a16:creationId xmlns:a16="http://schemas.microsoft.com/office/drawing/2014/main" xmlns="" id="{00000000-0008-0000-0000-000078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241" name="Text Box 3086">
          <a:extLst>
            <a:ext uri="{FF2B5EF4-FFF2-40B4-BE49-F238E27FC236}">
              <a16:creationId xmlns:a16="http://schemas.microsoft.com/office/drawing/2014/main" xmlns="" id="{00000000-0008-0000-0000-000079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242" name="Text Box 3087">
          <a:extLst>
            <a:ext uri="{FF2B5EF4-FFF2-40B4-BE49-F238E27FC236}">
              <a16:creationId xmlns:a16="http://schemas.microsoft.com/office/drawing/2014/main" xmlns="" id="{00000000-0008-0000-0000-00007A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243" name="Text Box 3088">
          <a:extLst>
            <a:ext uri="{FF2B5EF4-FFF2-40B4-BE49-F238E27FC236}">
              <a16:creationId xmlns:a16="http://schemas.microsoft.com/office/drawing/2014/main" xmlns="" id="{00000000-0008-0000-0000-00007B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244" name="Text Box 3089">
          <a:extLst>
            <a:ext uri="{FF2B5EF4-FFF2-40B4-BE49-F238E27FC236}">
              <a16:creationId xmlns:a16="http://schemas.microsoft.com/office/drawing/2014/main" xmlns="" id="{00000000-0008-0000-0000-00007C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245" name="Text Box 3090">
          <a:extLst>
            <a:ext uri="{FF2B5EF4-FFF2-40B4-BE49-F238E27FC236}">
              <a16:creationId xmlns:a16="http://schemas.microsoft.com/office/drawing/2014/main" xmlns="" id="{00000000-0008-0000-0000-00007D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246" name="Text Box 3091">
          <a:extLst>
            <a:ext uri="{FF2B5EF4-FFF2-40B4-BE49-F238E27FC236}">
              <a16:creationId xmlns:a16="http://schemas.microsoft.com/office/drawing/2014/main" xmlns="" id="{00000000-0008-0000-0000-00007E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247" name="Text Box 3092">
          <a:extLst>
            <a:ext uri="{FF2B5EF4-FFF2-40B4-BE49-F238E27FC236}">
              <a16:creationId xmlns:a16="http://schemas.microsoft.com/office/drawing/2014/main" xmlns="" id="{00000000-0008-0000-0000-00007F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248" name="Text Box 3093">
          <a:extLst>
            <a:ext uri="{FF2B5EF4-FFF2-40B4-BE49-F238E27FC236}">
              <a16:creationId xmlns:a16="http://schemas.microsoft.com/office/drawing/2014/main" xmlns="" id="{00000000-0008-0000-0000-000080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249" name="Text Box 3094">
          <a:extLst>
            <a:ext uri="{FF2B5EF4-FFF2-40B4-BE49-F238E27FC236}">
              <a16:creationId xmlns:a16="http://schemas.microsoft.com/office/drawing/2014/main" xmlns="" id="{00000000-0008-0000-0000-000081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250" name="Text Box 3095">
          <a:extLst>
            <a:ext uri="{FF2B5EF4-FFF2-40B4-BE49-F238E27FC236}">
              <a16:creationId xmlns:a16="http://schemas.microsoft.com/office/drawing/2014/main" xmlns="" id="{00000000-0008-0000-0000-000082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251" name="Text Box 3096">
          <a:extLst>
            <a:ext uri="{FF2B5EF4-FFF2-40B4-BE49-F238E27FC236}">
              <a16:creationId xmlns:a16="http://schemas.microsoft.com/office/drawing/2014/main" xmlns="" id="{00000000-0008-0000-0000-000083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252" name="Text Box 3097">
          <a:extLst>
            <a:ext uri="{FF2B5EF4-FFF2-40B4-BE49-F238E27FC236}">
              <a16:creationId xmlns:a16="http://schemas.microsoft.com/office/drawing/2014/main" xmlns="" id="{00000000-0008-0000-0000-000084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253" name="Text Box 3098">
          <a:extLst>
            <a:ext uri="{FF2B5EF4-FFF2-40B4-BE49-F238E27FC236}">
              <a16:creationId xmlns:a16="http://schemas.microsoft.com/office/drawing/2014/main" xmlns="" id="{00000000-0008-0000-0000-000085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254" name="Text Box 3099">
          <a:extLst>
            <a:ext uri="{FF2B5EF4-FFF2-40B4-BE49-F238E27FC236}">
              <a16:creationId xmlns:a16="http://schemas.microsoft.com/office/drawing/2014/main" xmlns="" id="{00000000-0008-0000-0000-000086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255" name="Text Box 3100">
          <a:extLst>
            <a:ext uri="{FF2B5EF4-FFF2-40B4-BE49-F238E27FC236}">
              <a16:creationId xmlns:a16="http://schemas.microsoft.com/office/drawing/2014/main" xmlns="" id="{00000000-0008-0000-0000-000087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256" name="Text Box 3101">
          <a:extLst>
            <a:ext uri="{FF2B5EF4-FFF2-40B4-BE49-F238E27FC236}">
              <a16:creationId xmlns:a16="http://schemas.microsoft.com/office/drawing/2014/main" xmlns="" id="{00000000-0008-0000-0000-000088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5257" name="Text Box 3102">
          <a:extLst>
            <a:ext uri="{FF2B5EF4-FFF2-40B4-BE49-F238E27FC236}">
              <a16:creationId xmlns:a16="http://schemas.microsoft.com/office/drawing/2014/main" xmlns="" id="{00000000-0008-0000-0000-000089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258" name="Text Box 59">
          <a:extLst>
            <a:ext uri="{FF2B5EF4-FFF2-40B4-BE49-F238E27FC236}">
              <a16:creationId xmlns:a16="http://schemas.microsoft.com/office/drawing/2014/main" xmlns="" id="{00000000-0008-0000-0000-00008A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259" name="Text Box 60">
          <a:extLst>
            <a:ext uri="{FF2B5EF4-FFF2-40B4-BE49-F238E27FC236}">
              <a16:creationId xmlns:a16="http://schemas.microsoft.com/office/drawing/2014/main" xmlns="" id="{00000000-0008-0000-0000-00008B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260" name="Text Box 61">
          <a:extLst>
            <a:ext uri="{FF2B5EF4-FFF2-40B4-BE49-F238E27FC236}">
              <a16:creationId xmlns:a16="http://schemas.microsoft.com/office/drawing/2014/main" xmlns="" id="{00000000-0008-0000-0000-00008C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261" name="Text Box 62">
          <a:extLst>
            <a:ext uri="{FF2B5EF4-FFF2-40B4-BE49-F238E27FC236}">
              <a16:creationId xmlns:a16="http://schemas.microsoft.com/office/drawing/2014/main" xmlns="" id="{00000000-0008-0000-0000-00008D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262" name="Text Box 63">
          <a:extLst>
            <a:ext uri="{FF2B5EF4-FFF2-40B4-BE49-F238E27FC236}">
              <a16:creationId xmlns:a16="http://schemas.microsoft.com/office/drawing/2014/main" xmlns="" id="{00000000-0008-0000-0000-00008E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263" name="Text Box 64">
          <a:extLst>
            <a:ext uri="{FF2B5EF4-FFF2-40B4-BE49-F238E27FC236}">
              <a16:creationId xmlns:a16="http://schemas.microsoft.com/office/drawing/2014/main" xmlns="" id="{00000000-0008-0000-0000-00008F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264" name="Text Box 65">
          <a:extLst>
            <a:ext uri="{FF2B5EF4-FFF2-40B4-BE49-F238E27FC236}">
              <a16:creationId xmlns:a16="http://schemas.microsoft.com/office/drawing/2014/main" xmlns="" id="{00000000-0008-0000-0000-000090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265" name="Text Box 66">
          <a:extLst>
            <a:ext uri="{FF2B5EF4-FFF2-40B4-BE49-F238E27FC236}">
              <a16:creationId xmlns:a16="http://schemas.microsoft.com/office/drawing/2014/main" xmlns="" id="{00000000-0008-0000-0000-000091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266" name="Text Box 67">
          <a:extLst>
            <a:ext uri="{FF2B5EF4-FFF2-40B4-BE49-F238E27FC236}">
              <a16:creationId xmlns:a16="http://schemas.microsoft.com/office/drawing/2014/main" xmlns="" id="{00000000-0008-0000-0000-000092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267" name="Text Box 68">
          <a:extLst>
            <a:ext uri="{FF2B5EF4-FFF2-40B4-BE49-F238E27FC236}">
              <a16:creationId xmlns:a16="http://schemas.microsoft.com/office/drawing/2014/main" xmlns="" id="{00000000-0008-0000-0000-000093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268" name="Text Box 69">
          <a:extLst>
            <a:ext uri="{FF2B5EF4-FFF2-40B4-BE49-F238E27FC236}">
              <a16:creationId xmlns:a16="http://schemas.microsoft.com/office/drawing/2014/main" xmlns="" id="{00000000-0008-0000-0000-000094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269" name="Text Box 70">
          <a:extLst>
            <a:ext uri="{FF2B5EF4-FFF2-40B4-BE49-F238E27FC236}">
              <a16:creationId xmlns:a16="http://schemas.microsoft.com/office/drawing/2014/main" xmlns="" id="{00000000-0008-0000-0000-000095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270" name="Text Box 71">
          <a:extLst>
            <a:ext uri="{FF2B5EF4-FFF2-40B4-BE49-F238E27FC236}">
              <a16:creationId xmlns:a16="http://schemas.microsoft.com/office/drawing/2014/main" xmlns="" id="{00000000-0008-0000-0000-000096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271" name="Text Box 72">
          <a:extLst>
            <a:ext uri="{FF2B5EF4-FFF2-40B4-BE49-F238E27FC236}">
              <a16:creationId xmlns:a16="http://schemas.microsoft.com/office/drawing/2014/main" xmlns="" id="{00000000-0008-0000-0000-000097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272" name="Text Box 73">
          <a:extLst>
            <a:ext uri="{FF2B5EF4-FFF2-40B4-BE49-F238E27FC236}">
              <a16:creationId xmlns:a16="http://schemas.microsoft.com/office/drawing/2014/main" xmlns="" id="{00000000-0008-0000-0000-000098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273" name="Text Box 74">
          <a:extLst>
            <a:ext uri="{FF2B5EF4-FFF2-40B4-BE49-F238E27FC236}">
              <a16:creationId xmlns:a16="http://schemas.microsoft.com/office/drawing/2014/main" xmlns="" id="{00000000-0008-0000-0000-000099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274" name="Text Box 75">
          <a:extLst>
            <a:ext uri="{FF2B5EF4-FFF2-40B4-BE49-F238E27FC236}">
              <a16:creationId xmlns:a16="http://schemas.microsoft.com/office/drawing/2014/main" xmlns="" id="{00000000-0008-0000-0000-00009A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275" name="Text Box 76">
          <a:extLst>
            <a:ext uri="{FF2B5EF4-FFF2-40B4-BE49-F238E27FC236}">
              <a16:creationId xmlns:a16="http://schemas.microsoft.com/office/drawing/2014/main" xmlns="" id="{00000000-0008-0000-0000-00009B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276" name="Text Box 77">
          <a:extLst>
            <a:ext uri="{FF2B5EF4-FFF2-40B4-BE49-F238E27FC236}">
              <a16:creationId xmlns:a16="http://schemas.microsoft.com/office/drawing/2014/main" xmlns="" id="{00000000-0008-0000-0000-00009C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277" name="Text Box 78">
          <a:extLst>
            <a:ext uri="{FF2B5EF4-FFF2-40B4-BE49-F238E27FC236}">
              <a16:creationId xmlns:a16="http://schemas.microsoft.com/office/drawing/2014/main" xmlns="" id="{00000000-0008-0000-0000-00009D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278" name="Text Box 79">
          <a:extLst>
            <a:ext uri="{FF2B5EF4-FFF2-40B4-BE49-F238E27FC236}">
              <a16:creationId xmlns:a16="http://schemas.microsoft.com/office/drawing/2014/main" xmlns="" id="{00000000-0008-0000-0000-00009E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279" name="Text Box 80">
          <a:extLst>
            <a:ext uri="{FF2B5EF4-FFF2-40B4-BE49-F238E27FC236}">
              <a16:creationId xmlns:a16="http://schemas.microsoft.com/office/drawing/2014/main" xmlns="" id="{00000000-0008-0000-0000-00009F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280" name="Text Box 81">
          <a:extLst>
            <a:ext uri="{FF2B5EF4-FFF2-40B4-BE49-F238E27FC236}">
              <a16:creationId xmlns:a16="http://schemas.microsoft.com/office/drawing/2014/main" xmlns="" id="{00000000-0008-0000-0000-0000A0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281" name="Text Box 3079">
          <a:extLst>
            <a:ext uri="{FF2B5EF4-FFF2-40B4-BE49-F238E27FC236}">
              <a16:creationId xmlns:a16="http://schemas.microsoft.com/office/drawing/2014/main" xmlns="" id="{00000000-0008-0000-0000-0000A1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282" name="Text Box 3080">
          <a:extLst>
            <a:ext uri="{FF2B5EF4-FFF2-40B4-BE49-F238E27FC236}">
              <a16:creationId xmlns:a16="http://schemas.microsoft.com/office/drawing/2014/main" xmlns="" id="{00000000-0008-0000-0000-0000A2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283" name="Text Box 3081">
          <a:extLst>
            <a:ext uri="{FF2B5EF4-FFF2-40B4-BE49-F238E27FC236}">
              <a16:creationId xmlns:a16="http://schemas.microsoft.com/office/drawing/2014/main" xmlns="" id="{00000000-0008-0000-0000-0000A3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284" name="Text Box 3082">
          <a:extLst>
            <a:ext uri="{FF2B5EF4-FFF2-40B4-BE49-F238E27FC236}">
              <a16:creationId xmlns:a16="http://schemas.microsoft.com/office/drawing/2014/main" xmlns="" id="{00000000-0008-0000-0000-0000A4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285" name="Text Box 3083">
          <a:extLst>
            <a:ext uri="{FF2B5EF4-FFF2-40B4-BE49-F238E27FC236}">
              <a16:creationId xmlns:a16="http://schemas.microsoft.com/office/drawing/2014/main" xmlns="" id="{00000000-0008-0000-0000-0000A5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286" name="Text Box 3084">
          <a:extLst>
            <a:ext uri="{FF2B5EF4-FFF2-40B4-BE49-F238E27FC236}">
              <a16:creationId xmlns:a16="http://schemas.microsoft.com/office/drawing/2014/main" xmlns="" id="{00000000-0008-0000-0000-0000A6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287" name="Text Box 3085">
          <a:extLst>
            <a:ext uri="{FF2B5EF4-FFF2-40B4-BE49-F238E27FC236}">
              <a16:creationId xmlns:a16="http://schemas.microsoft.com/office/drawing/2014/main" xmlns="" id="{00000000-0008-0000-0000-0000A7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288" name="Text Box 3086">
          <a:extLst>
            <a:ext uri="{FF2B5EF4-FFF2-40B4-BE49-F238E27FC236}">
              <a16:creationId xmlns:a16="http://schemas.microsoft.com/office/drawing/2014/main" xmlns="" id="{00000000-0008-0000-0000-0000A8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289" name="Text Box 3087">
          <a:extLst>
            <a:ext uri="{FF2B5EF4-FFF2-40B4-BE49-F238E27FC236}">
              <a16:creationId xmlns:a16="http://schemas.microsoft.com/office/drawing/2014/main" xmlns="" id="{00000000-0008-0000-0000-0000A9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290" name="Text Box 3088">
          <a:extLst>
            <a:ext uri="{FF2B5EF4-FFF2-40B4-BE49-F238E27FC236}">
              <a16:creationId xmlns:a16="http://schemas.microsoft.com/office/drawing/2014/main" xmlns="" id="{00000000-0008-0000-0000-0000AA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291" name="Text Box 3089">
          <a:extLst>
            <a:ext uri="{FF2B5EF4-FFF2-40B4-BE49-F238E27FC236}">
              <a16:creationId xmlns:a16="http://schemas.microsoft.com/office/drawing/2014/main" xmlns="" id="{00000000-0008-0000-0000-0000AB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292" name="Text Box 3090">
          <a:extLst>
            <a:ext uri="{FF2B5EF4-FFF2-40B4-BE49-F238E27FC236}">
              <a16:creationId xmlns:a16="http://schemas.microsoft.com/office/drawing/2014/main" xmlns="" id="{00000000-0008-0000-0000-0000AC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293" name="Text Box 3091">
          <a:extLst>
            <a:ext uri="{FF2B5EF4-FFF2-40B4-BE49-F238E27FC236}">
              <a16:creationId xmlns:a16="http://schemas.microsoft.com/office/drawing/2014/main" xmlns="" id="{00000000-0008-0000-0000-0000AD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294" name="Text Box 3092">
          <a:extLst>
            <a:ext uri="{FF2B5EF4-FFF2-40B4-BE49-F238E27FC236}">
              <a16:creationId xmlns:a16="http://schemas.microsoft.com/office/drawing/2014/main" xmlns="" id="{00000000-0008-0000-0000-0000AE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295" name="Text Box 3093">
          <a:extLst>
            <a:ext uri="{FF2B5EF4-FFF2-40B4-BE49-F238E27FC236}">
              <a16:creationId xmlns:a16="http://schemas.microsoft.com/office/drawing/2014/main" xmlns="" id="{00000000-0008-0000-0000-0000AF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296" name="Text Box 3094">
          <a:extLst>
            <a:ext uri="{FF2B5EF4-FFF2-40B4-BE49-F238E27FC236}">
              <a16:creationId xmlns:a16="http://schemas.microsoft.com/office/drawing/2014/main" xmlns="" id="{00000000-0008-0000-0000-0000B0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297" name="Text Box 3095">
          <a:extLst>
            <a:ext uri="{FF2B5EF4-FFF2-40B4-BE49-F238E27FC236}">
              <a16:creationId xmlns:a16="http://schemas.microsoft.com/office/drawing/2014/main" xmlns="" id="{00000000-0008-0000-0000-0000B1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298" name="Text Box 3096">
          <a:extLst>
            <a:ext uri="{FF2B5EF4-FFF2-40B4-BE49-F238E27FC236}">
              <a16:creationId xmlns:a16="http://schemas.microsoft.com/office/drawing/2014/main" xmlns="" id="{00000000-0008-0000-0000-0000B2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299" name="Text Box 3097">
          <a:extLst>
            <a:ext uri="{FF2B5EF4-FFF2-40B4-BE49-F238E27FC236}">
              <a16:creationId xmlns:a16="http://schemas.microsoft.com/office/drawing/2014/main" xmlns="" id="{00000000-0008-0000-0000-0000B3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300" name="Text Box 3098">
          <a:extLst>
            <a:ext uri="{FF2B5EF4-FFF2-40B4-BE49-F238E27FC236}">
              <a16:creationId xmlns:a16="http://schemas.microsoft.com/office/drawing/2014/main" xmlns="" id="{00000000-0008-0000-0000-0000B4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301" name="Text Box 3099">
          <a:extLst>
            <a:ext uri="{FF2B5EF4-FFF2-40B4-BE49-F238E27FC236}">
              <a16:creationId xmlns:a16="http://schemas.microsoft.com/office/drawing/2014/main" xmlns="" id="{00000000-0008-0000-0000-0000B5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302" name="Text Box 3100">
          <a:extLst>
            <a:ext uri="{FF2B5EF4-FFF2-40B4-BE49-F238E27FC236}">
              <a16:creationId xmlns:a16="http://schemas.microsoft.com/office/drawing/2014/main" xmlns="" id="{00000000-0008-0000-0000-0000B6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303" name="Text Box 3101">
          <a:extLst>
            <a:ext uri="{FF2B5EF4-FFF2-40B4-BE49-F238E27FC236}">
              <a16:creationId xmlns:a16="http://schemas.microsoft.com/office/drawing/2014/main" xmlns="" id="{00000000-0008-0000-0000-0000B7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5304" name="Text Box 3102">
          <a:extLst>
            <a:ext uri="{FF2B5EF4-FFF2-40B4-BE49-F238E27FC236}">
              <a16:creationId xmlns:a16="http://schemas.microsoft.com/office/drawing/2014/main" xmlns="" id="{00000000-0008-0000-0000-0000B8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305" name="Text Box 59">
          <a:extLst>
            <a:ext uri="{FF2B5EF4-FFF2-40B4-BE49-F238E27FC236}">
              <a16:creationId xmlns:a16="http://schemas.microsoft.com/office/drawing/2014/main" xmlns="" id="{00000000-0008-0000-0000-0000B9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306" name="Text Box 60">
          <a:extLst>
            <a:ext uri="{FF2B5EF4-FFF2-40B4-BE49-F238E27FC236}">
              <a16:creationId xmlns:a16="http://schemas.microsoft.com/office/drawing/2014/main" xmlns="" id="{00000000-0008-0000-0000-0000BA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307" name="Text Box 61">
          <a:extLst>
            <a:ext uri="{FF2B5EF4-FFF2-40B4-BE49-F238E27FC236}">
              <a16:creationId xmlns:a16="http://schemas.microsoft.com/office/drawing/2014/main" xmlns="" id="{00000000-0008-0000-0000-0000BB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308" name="Text Box 62">
          <a:extLst>
            <a:ext uri="{FF2B5EF4-FFF2-40B4-BE49-F238E27FC236}">
              <a16:creationId xmlns:a16="http://schemas.microsoft.com/office/drawing/2014/main" xmlns="" id="{00000000-0008-0000-0000-0000BC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309" name="Text Box 63">
          <a:extLst>
            <a:ext uri="{FF2B5EF4-FFF2-40B4-BE49-F238E27FC236}">
              <a16:creationId xmlns:a16="http://schemas.microsoft.com/office/drawing/2014/main" xmlns="" id="{00000000-0008-0000-0000-0000BD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310" name="Text Box 64">
          <a:extLst>
            <a:ext uri="{FF2B5EF4-FFF2-40B4-BE49-F238E27FC236}">
              <a16:creationId xmlns:a16="http://schemas.microsoft.com/office/drawing/2014/main" xmlns="" id="{00000000-0008-0000-0000-0000BE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311" name="Text Box 65">
          <a:extLst>
            <a:ext uri="{FF2B5EF4-FFF2-40B4-BE49-F238E27FC236}">
              <a16:creationId xmlns:a16="http://schemas.microsoft.com/office/drawing/2014/main" xmlns="" id="{00000000-0008-0000-0000-0000BF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312" name="Text Box 66">
          <a:extLst>
            <a:ext uri="{FF2B5EF4-FFF2-40B4-BE49-F238E27FC236}">
              <a16:creationId xmlns:a16="http://schemas.microsoft.com/office/drawing/2014/main" xmlns="" id="{00000000-0008-0000-0000-0000C0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313" name="Text Box 67">
          <a:extLst>
            <a:ext uri="{FF2B5EF4-FFF2-40B4-BE49-F238E27FC236}">
              <a16:creationId xmlns:a16="http://schemas.microsoft.com/office/drawing/2014/main" xmlns="" id="{00000000-0008-0000-0000-0000C1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314" name="Text Box 68">
          <a:extLst>
            <a:ext uri="{FF2B5EF4-FFF2-40B4-BE49-F238E27FC236}">
              <a16:creationId xmlns:a16="http://schemas.microsoft.com/office/drawing/2014/main" xmlns="" id="{00000000-0008-0000-0000-0000C2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315" name="Text Box 69">
          <a:extLst>
            <a:ext uri="{FF2B5EF4-FFF2-40B4-BE49-F238E27FC236}">
              <a16:creationId xmlns:a16="http://schemas.microsoft.com/office/drawing/2014/main" xmlns="" id="{00000000-0008-0000-0000-0000C3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316" name="Text Box 70">
          <a:extLst>
            <a:ext uri="{FF2B5EF4-FFF2-40B4-BE49-F238E27FC236}">
              <a16:creationId xmlns:a16="http://schemas.microsoft.com/office/drawing/2014/main" xmlns="" id="{00000000-0008-0000-0000-0000C4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317" name="Text Box 71">
          <a:extLst>
            <a:ext uri="{FF2B5EF4-FFF2-40B4-BE49-F238E27FC236}">
              <a16:creationId xmlns:a16="http://schemas.microsoft.com/office/drawing/2014/main" xmlns="" id="{00000000-0008-0000-0000-0000C5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318" name="Text Box 72">
          <a:extLst>
            <a:ext uri="{FF2B5EF4-FFF2-40B4-BE49-F238E27FC236}">
              <a16:creationId xmlns:a16="http://schemas.microsoft.com/office/drawing/2014/main" xmlns="" id="{00000000-0008-0000-0000-0000C6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319" name="Text Box 73">
          <a:extLst>
            <a:ext uri="{FF2B5EF4-FFF2-40B4-BE49-F238E27FC236}">
              <a16:creationId xmlns:a16="http://schemas.microsoft.com/office/drawing/2014/main" xmlns="" id="{00000000-0008-0000-0000-0000C7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320" name="Text Box 74">
          <a:extLst>
            <a:ext uri="{FF2B5EF4-FFF2-40B4-BE49-F238E27FC236}">
              <a16:creationId xmlns:a16="http://schemas.microsoft.com/office/drawing/2014/main" xmlns="" id="{00000000-0008-0000-0000-0000C8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321" name="Text Box 75">
          <a:extLst>
            <a:ext uri="{FF2B5EF4-FFF2-40B4-BE49-F238E27FC236}">
              <a16:creationId xmlns:a16="http://schemas.microsoft.com/office/drawing/2014/main" xmlns="" id="{00000000-0008-0000-0000-0000C9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322" name="Text Box 76">
          <a:extLst>
            <a:ext uri="{FF2B5EF4-FFF2-40B4-BE49-F238E27FC236}">
              <a16:creationId xmlns:a16="http://schemas.microsoft.com/office/drawing/2014/main" xmlns="" id="{00000000-0008-0000-0000-0000CA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323" name="Text Box 77">
          <a:extLst>
            <a:ext uri="{FF2B5EF4-FFF2-40B4-BE49-F238E27FC236}">
              <a16:creationId xmlns:a16="http://schemas.microsoft.com/office/drawing/2014/main" xmlns="" id="{00000000-0008-0000-0000-0000CB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324" name="Text Box 78">
          <a:extLst>
            <a:ext uri="{FF2B5EF4-FFF2-40B4-BE49-F238E27FC236}">
              <a16:creationId xmlns:a16="http://schemas.microsoft.com/office/drawing/2014/main" xmlns="" id="{00000000-0008-0000-0000-0000CC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325" name="Text Box 79">
          <a:extLst>
            <a:ext uri="{FF2B5EF4-FFF2-40B4-BE49-F238E27FC236}">
              <a16:creationId xmlns:a16="http://schemas.microsoft.com/office/drawing/2014/main" xmlns="" id="{00000000-0008-0000-0000-0000CD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326" name="Text Box 80">
          <a:extLst>
            <a:ext uri="{FF2B5EF4-FFF2-40B4-BE49-F238E27FC236}">
              <a16:creationId xmlns:a16="http://schemas.microsoft.com/office/drawing/2014/main" xmlns="" id="{00000000-0008-0000-0000-0000CE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327" name="Text Box 81">
          <a:extLst>
            <a:ext uri="{FF2B5EF4-FFF2-40B4-BE49-F238E27FC236}">
              <a16:creationId xmlns:a16="http://schemas.microsoft.com/office/drawing/2014/main" xmlns="" id="{00000000-0008-0000-0000-0000CF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47625"/>
    <xdr:sp macro="" textlink="">
      <xdr:nvSpPr>
        <xdr:cNvPr id="5328" name="Text Box 82">
          <a:extLst>
            <a:ext uri="{FF2B5EF4-FFF2-40B4-BE49-F238E27FC236}">
              <a16:creationId xmlns:a16="http://schemas.microsoft.com/office/drawing/2014/main" xmlns="" id="{00000000-0008-0000-0000-0000D0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329" name="Text Box 3079">
          <a:extLst>
            <a:ext uri="{FF2B5EF4-FFF2-40B4-BE49-F238E27FC236}">
              <a16:creationId xmlns:a16="http://schemas.microsoft.com/office/drawing/2014/main" xmlns="" id="{00000000-0008-0000-0000-0000D1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330" name="Text Box 3080">
          <a:extLst>
            <a:ext uri="{FF2B5EF4-FFF2-40B4-BE49-F238E27FC236}">
              <a16:creationId xmlns:a16="http://schemas.microsoft.com/office/drawing/2014/main" xmlns="" id="{00000000-0008-0000-0000-0000D2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331" name="Text Box 3081">
          <a:extLst>
            <a:ext uri="{FF2B5EF4-FFF2-40B4-BE49-F238E27FC236}">
              <a16:creationId xmlns:a16="http://schemas.microsoft.com/office/drawing/2014/main" xmlns="" id="{00000000-0008-0000-0000-0000D3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332" name="Text Box 3082">
          <a:extLst>
            <a:ext uri="{FF2B5EF4-FFF2-40B4-BE49-F238E27FC236}">
              <a16:creationId xmlns:a16="http://schemas.microsoft.com/office/drawing/2014/main" xmlns="" id="{00000000-0008-0000-0000-0000D4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333" name="Text Box 3083">
          <a:extLst>
            <a:ext uri="{FF2B5EF4-FFF2-40B4-BE49-F238E27FC236}">
              <a16:creationId xmlns:a16="http://schemas.microsoft.com/office/drawing/2014/main" xmlns="" id="{00000000-0008-0000-0000-0000D5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334" name="Text Box 3084">
          <a:extLst>
            <a:ext uri="{FF2B5EF4-FFF2-40B4-BE49-F238E27FC236}">
              <a16:creationId xmlns:a16="http://schemas.microsoft.com/office/drawing/2014/main" xmlns="" id="{00000000-0008-0000-0000-0000D6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335" name="Text Box 3085">
          <a:extLst>
            <a:ext uri="{FF2B5EF4-FFF2-40B4-BE49-F238E27FC236}">
              <a16:creationId xmlns:a16="http://schemas.microsoft.com/office/drawing/2014/main" xmlns="" id="{00000000-0008-0000-0000-0000D7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336" name="Text Box 3086">
          <a:extLst>
            <a:ext uri="{FF2B5EF4-FFF2-40B4-BE49-F238E27FC236}">
              <a16:creationId xmlns:a16="http://schemas.microsoft.com/office/drawing/2014/main" xmlns="" id="{00000000-0008-0000-0000-0000D8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337" name="Text Box 3087">
          <a:extLst>
            <a:ext uri="{FF2B5EF4-FFF2-40B4-BE49-F238E27FC236}">
              <a16:creationId xmlns:a16="http://schemas.microsoft.com/office/drawing/2014/main" xmlns="" id="{00000000-0008-0000-0000-0000D9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338" name="Text Box 3088">
          <a:extLst>
            <a:ext uri="{FF2B5EF4-FFF2-40B4-BE49-F238E27FC236}">
              <a16:creationId xmlns:a16="http://schemas.microsoft.com/office/drawing/2014/main" xmlns="" id="{00000000-0008-0000-0000-0000DA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339" name="Text Box 3089">
          <a:extLst>
            <a:ext uri="{FF2B5EF4-FFF2-40B4-BE49-F238E27FC236}">
              <a16:creationId xmlns:a16="http://schemas.microsoft.com/office/drawing/2014/main" xmlns="" id="{00000000-0008-0000-0000-0000DB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340" name="Text Box 3090">
          <a:extLst>
            <a:ext uri="{FF2B5EF4-FFF2-40B4-BE49-F238E27FC236}">
              <a16:creationId xmlns:a16="http://schemas.microsoft.com/office/drawing/2014/main" xmlns="" id="{00000000-0008-0000-0000-0000DC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341" name="Text Box 3091">
          <a:extLst>
            <a:ext uri="{FF2B5EF4-FFF2-40B4-BE49-F238E27FC236}">
              <a16:creationId xmlns:a16="http://schemas.microsoft.com/office/drawing/2014/main" xmlns="" id="{00000000-0008-0000-0000-0000DD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342" name="Text Box 3092">
          <a:extLst>
            <a:ext uri="{FF2B5EF4-FFF2-40B4-BE49-F238E27FC236}">
              <a16:creationId xmlns:a16="http://schemas.microsoft.com/office/drawing/2014/main" xmlns="" id="{00000000-0008-0000-0000-0000DE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343" name="Text Box 3093">
          <a:extLst>
            <a:ext uri="{FF2B5EF4-FFF2-40B4-BE49-F238E27FC236}">
              <a16:creationId xmlns:a16="http://schemas.microsoft.com/office/drawing/2014/main" xmlns="" id="{00000000-0008-0000-0000-0000DF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344" name="Text Box 3094">
          <a:extLst>
            <a:ext uri="{FF2B5EF4-FFF2-40B4-BE49-F238E27FC236}">
              <a16:creationId xmlns:a16="http://schemas.microsoft.com/office/drawing/2014/main" xmlns="" id="{00000000-0008-0000-0000-0000E0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345" name="Text Box 3095">
          <a:extLst>
            <a:ext uri="{FF2B5EF4-FFF2-40B4-BE49-F238E27FC236}">
              <a16:creationId xmlns:a16="http://schemas.microsoft.com/office/drawing/2014/main" xmlns="" id="{00000000-0008-0000-0000-0000E1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346" name="Text Box 3096">
          <a:extLst>
            <a:ext uri="{FF2B5EF4-FFF2-40B4-BE49-F238E27FC236}">
              <a16:creationId xmlns:a16="http://schemas.microsoft.com/office/drawing/2014/main" xmlns="" id="{00000000-0008-0000-0000-0000E2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347" name="Text Box 3097">
          <a:extLst>
            <a:ext uri="{FF2B5EF4-FFF2-40B4-BE49-F238E27FC236}">
              <a16:creationId xmlns:a16="http://schemas.microsoft.com/office/drawing/2014/main" xmlns="" id="{00000000-0008-0000-0000-0000E3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348" name="Text Box 3098">
          <a:extLst>
            <a:ext uri="{FF2B5EF4-FFF2-40B4-BE49-F238E27FC236}">
              <a16:creationId xmlns:a16="http://schemas.microsoft.com/office/drawing/2014/main" xmlns="" id="{00000000-0008-0000-0000-0000E4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349" name="Text Box 3099">
          <a:extLst>
            <a:ext uri="{FF2B5EF4-FFF2-40B4-BE49-F238E27FC236}">
              <a16:creationId xmlns:a16="http://schemas.microsoft.com/office/drawing/2014/main" xmlns="" id="{00000000-0008-0000-0000-0000E5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350" name="Text Box 3100">
          <a:extLst>
            <a:ext uri="{FF2B5EF4-FFF2-40B4-BE49-F238E27FC236}">
              <a16:creationId xmlns:a16="http://schemas.microsoft.com/office/drawing/2014/main" xmlns="" id="{00000000-0008-0000-0000-0000E6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351" name="Text Box 3101">
          <a:extLst>
            <a:ext uri="{FF2B5EF4-FFF2-40B4-BE49-F238E27FC236}">
              <a16:creationId xmlns:a16="http://schemas.microsoft.com/office/drawing/2014/main" xmlns="" id="{00000000-0008-0000-0000-0000E7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5352" name="Text Box 3102">
          <a:extLst>
            <a:ext uri="{FF2B5EF4-FFF2-40B4-BE49-F238E27FC236}">
              <a16:creationId xmlns:a16="http://schemas.microsoft.com/office/drawing/2014/main" xmlns="" id="{00000000-0008-0000-0000-0000E8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353" name="Text Box 59">
          <a:extLst>
            <a:ext uri="{FF2B5EF4-FFF2-40B4-BE49-F238E27FC236}">
              <a16:creationId xmlns:a16="http://schemas.microsoft.com/office/drawing/2014/main" xmlns="" id="{00000000-0008-0000-0000-0000E9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354" name="Text Box 60">
          <a:extLst>
            <a:ext uri="{FF2B5EF4-FFF2-40B4-BE49-F238E27FC236}">
              <a16:creationId xmlns:a16="http://schemas.microsoft.com/office/drawing/2014/main" xmlns="" id="{00000000-0008-0000-0000-0000EA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355" name="Text Box 61">
          <a:extLst>
            <a:ext uri="{FF2B5EF4-FFF2-40B4-BE49-F238E27FC236}">
              <a16:creationId xmlns:a16="http://schemas.microsoft.com/office/drawing/2014/main" xmlns="" id="{00000000-0008-0000-0000-0000EB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356" name="Text Box 62">
          <a:extLst>
            <a:ext uri="{FF2B5EF4-FFF2-40B4-BE49-F238E27FC236}">
              <a16:creationId xmlns:a16="http://schemas.microsoft.com/office/drawing/2014/main" xmlns="" id="{00000000-0008-0000-0000-0000EC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357" name="Text Box 63">
          <a:extLst>
            <a:ext uri="{FF2B5EF4-FFF2-40B4-BE49-F238E27FC236}">
              <a16:creationId xmlns:a16="http://schemas.microsoft.com/office/drawing/2014/main" xmlns="" id="{00000000-0008-0000-0000-0000ED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358" name="Text Box 64">
          <a:extLst>
            <a:ext uri="{FF2B5EF4-FFF2-40B4-BE49-F238E27FC236}">
              <a16:creationId xmlns:a16="http://schemas.microsoft.com/office/drawing/2014/main" xmlns="" id="{00000000-0008-0000-0000-0000EE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359" name="Text Box 65">
          <a:extLst>
            <a:ext uri="{FF2B5EF4-FFF2-40B4-BE49-F238E27FC236}">
              <a16:creationId xmlns:a16="http://schemas.microsoft.com/office/drawing/2014/main" xmlns="" id="{00000000-0008-0000-0000-0000EF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360" name="Text Box 66">
          <a:extLst>
            <a:ext uri="{FF2B5EF4-FFF2-40B4-BE49-F238E27FC236}">
              <a16:creationId xmlns:a16="http://schemas.microsoft.com/office/drawing/2014/main" xmlns="" id="{00000000-0008-0000-0000-0000F0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361" name="Text Box 67">
          <a:extLst>
            <a:ext uri="{FF2B5EF4-FFF2-40B4-BE49-F238E27FC236}">
              <a16:creationId xmlns:a16="http://schemas.microsoft.com/office/drawing/2014/main" xmlns="" id="{00000000-0008-0000-0000-0000F1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362" name="Text Box 68">
          <a:extLst>
            <a:ext uri="{FF2B5EF4-FFF2-40B4-BE49-F238E27FC236}">
              <a16:creationId xmlns:a16="http://schemas.microsoft.com/office/drawing/2014/main" xmlns="" id="{00000000-0008-0000-0000-0000F2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363" name="Text Box 69">
          <a:extLst>
            <a:ext uri="{FF2B5EF4-FFF2-40B4-BE49-F238E27FC236}">
              <a16:creationId xmlns:a16="http://schemas.microsoft.com/office/drawing/2014/main" xmlns="" id="{00000000-0008-0000-0000-0000F3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364" name="Text Box 70">
          <a:extLst>
            <a:ext uri="{FF2B5EF4-FFF2-40B4-BE49-F238E27FC236}">
              <a16:creationId xmlns:a16="http://schemas.microsoft.com/office/drawing/2014/main" xmlns="" id="{00000000-0008-0000-0000-0000F4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365" name="Text Box 71">
          <a:extLst>
            <a:ext uri="{FF2B5EF4-FFF2-40B4-BE49-F238E27FC236}">
              <a16:creationId xmlns:a16="http://schemas.microsoft.com/office/drawing/2014/main" xmlns="" id="{00000000-0008-0000-0000-0000F5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366" name="Text Box 72">
          <a:extLst>
            <a:ext uri="{FF2B5EF4-FFF2-40B4-BE49-F238E27FC236}">
              <a16:creationId xmlns:a16="http://schemas.microsoft.com/office/drawing/2014/main" xmlns="" id="{00000000-0008-0000-0000-0000F6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367" name="Text Box 73">
          <a:extLst>
            <a:ext uri="{FF2B5EF4-FFF2-40B4-BE49-F238E27FC236}">
              <a16:creationId xmlns:a16="http://schemas.microsoft.com/office/drawing/2014/main" xmlns="" id="{00000000-0008-0000-0000-0000F7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368" name="Text Box 74">
          <a:extLst>
            <a:ext uri="{FF2B5EF4-FFF2-40B4-BE49-F238E27FC236}">
              <a16:creationId xmlns:a16="http://schemas.microsoft.com/office/drawing/2014/main" xmlns="" id="{00000000-0008-0000-0000-0000F8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369" name="Text Box 75">
          <a:extLst>
            <a:ext uri="{FF2B5EF4-FFF2-40B4-BE49-F238E27FC236}">
              <a16:creationId xmlns:a16="http://schemas.microsoft.com/office/drawing/2014/main" xmlns="" id="{00000000-0008-0000-0000-0000F9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370" name="Text Box 76">
          <a:extLst>
            <a:ext uri="{FF2B5EF4-FFF2-40B4-BE49-F238E27FC236}">
              <a16:creationId xmlns:a16="http://schemas.microsoft.com/office/drawing/2014/main" xmlns="" id="{00000000-0008-0000-0000-0000FA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371" name="Text Box 77">
          <a:extLst>
            <a:ext uri="{FF2B5EF4-FFF2-40B4-BE49-F238E27FC236}">
              <a16:creationId xmlns:a16="http://schemas.microsoft.com/office/drawing/2014/main" xmlns="" id="{00000000-0008-0000-0000-0000FB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372" name="Text Box 78">
          <a:extLst>
            <a:ext uri="{FF2B5EF4-FFF2-40B4-BE49-F238E27FC236}">
              <a16:creationId xmlns:a16="http://schemas.microsoft.com/office/drawing/2014/main" xmlns="" id="{00000000-0008-0000-0000-0000FC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373" name="Text Box 79">
          <a:extLst>
            <a:ext uri="{FF2B5EF4-FFF2-40B4-BE49-F238E27FC236}">
              <a16:creationId xmlns:a16="http://schemas.microsoft.com/office/drawing/2014/main" xmlns="" id="{00000000-0008-0000-0000-0000FD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374" name="Text Box 80">
          <a:extLst>
            <a:ext uri="{FF2B5EF4-FFF2-40B4-BE49-F238E27FC236}">
              <a16:creationId xmlns:a16="http://schemas.microsoft.com/office/drawing/2014/main" xmlns="" id="{00000000-0008-0000-0000-0000FE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375" name="Text Box 81">
          <a:extLst>
            <a:ext uri="{FF2B5EF4-FFF2-40B4-BE49-F238E27FC236}">
              <a16:creationId xmlns:a16="http://schemas.microsoft.com/office/drawing/2014/main" xmlns="" id="{00000000-0008-0000-0000-0000FF1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376" name="Text Box 3079">
          <a:extLst>
            <a:ext uri="{FF2B5EF4-FFF2-40B4-BE49-F238E27FC236}">
              <a16:creationId xmlns:a16="http://schemas.microsoft.com/office/drawing/2014/main" xmlns="" id="{00000000-0008-0000-0000-000000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377" name="Text Box 3080">
          <a:extLst>
            <a:ext uri="{FF2B5EF4-FFF2-40B4-BE49-F238E27FC236}">
              <a16:creationId xmlns:a16="http://schemas.microsoft.com/office/drawing/2014/main" xmlns="" id="{00000000-0008-0000-0000-000001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378" name="Text Box 3081">
          <a:extLst>
            <a:ext uri="{FF2B5EF4-FFF2-40B4-BE49-F238E27FC236}">
              <a16:creationId xmlns:a16="http://schemas.microsoft.com/office/drawing/2014/main" xmlns="" id="{00000000-0008-0000-0000-000002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379" name="Text Box 3082">
          <a:extLst>
            <a:ext uri="{FF2B5EF4-FFF2-40B4-BE49-F238E27FC236}">
              <a16:creationId xmlns:a16="http://schemas.microsoft.com/office/drawing/2014/main" xmlns="" id="{00000000-0008-0000-0000-000003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380" name="Text Box 3083">
          <a:extLst>
            <a:ext uri="{FF2B5EF4-FFF2-40B4-BE49-F238E27FC236}">
              <a16:creationId xmlns:a16="http://schemas.microsoft.com/office/drawing/2014/main" xmlns="" id="{00000000-0008-0000-0000-000004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381" name="Text Box 3084">
          <a:extLst>
            <a:ext uri="{FF2B5EF4-FFF2-40B4-BE49-F238E27FC236}">
              <a16:creationId xmlns:a16="http://schemas.microsoft.com/office/drawing/2014/main" xmlns="" id="{00000000-0008-0000-0000-000005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382" name="Text Box 3085">
          <a:extLst>
            <a:ext uri="{FF2B5EF4-FFF2-40B4-BE49-F238E27FC236}">
              <a16:creationId xmlns:a16="http://schemas.microsoft.com/office/drawing/2014/main" xmlns="" id="{00000000-0008-0000-0000-000006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383" name="Text Box 3086">
          <a:extLst>
            <a:ext uri="{FF2B5EF4-FFF2-40B4-BE49-F238E27FC236}">
              <a16:creationId xmlns:a16="http://schemas.microsoft.com/office/drawing/2014/main" xmlns="" id="{00000000-0008-0000-0000-000007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384" name="Text Box 3087">
          <a:extLst>
            <a:ext uri="{FF2B5EF4-FFF2-40B4-BE49-F238E27FC236}">
              <a16:creationId xmlns:a16="http://schemas.microsoft.com/office/drawing/2014/main" xmlns="" id="{00000000-0008-0000-0000-000008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385" name="Text Box 3088">
          <a:extLst>
            <a:ext uri="{FF2B5EF4-FFF2-40B4-BE49-F238E27FC236}">
              <a16:creationId xmlns:a16="http://schemas.microsoft.com/office/drawing/2014/main" xmlns="" id="{00000000-0008-0000-0000-000009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386" name="Text Box 3089">
          <a:extLst>
            <a:ext uri="{FF2B5EF4-FFF2-40B4-BE49-F238E27FC236}">
              <a16:creationId xmlns:a16="http://schemas.microsoft.com/office/drawing/2014/main" xmlns="" id="{00000000-0008-0000-0000-00000A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387" name="Text Box 3090">
          <a:extLst>
            <a:ext uri="{FF2B5EF4-FFF2-40B4-BE49-F238E27FC236}">
              <a16:creationId xmlns:a16="http://schemas.microsoft.com/office/drawing/2014/main" xmlns="" id="{00000000-0008-0000-0000-00000B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388" name="Text Box 3091">
          <a:extLst>
            <a:ext uri="{FF2B5EF4-FFF2-40B4-BE49-F238E27FC236}">
              <a16:creationId xmlns:a16="http://schemas.microsoft.com/office/drawing/2014/main" xmlns="" id="{00000000-0008-0000-0000-00000C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389" name="Text Box 3092">
          <a:extLst>
            <a:ext uri="{FF2B5EF4-FFF2-40B4-BE49-F238E27FC236}">
              <a16:creationId xmlns:a16="http://schemas.microsoft.com/office/drawing/2014/main" xmlns="" id="{00000000-0008-0000-0000-00000D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390" name="Text Box 3093">
          <a:extLst>
            <a:ext uri="{FF2B5EF4-FFF2-40B4-BE49-F238E27FC236}">
              <a16:creationId xmlns:a16="http://schemas.microsoft.com/office/drawing/2014/main" xmlns="" id="{00000000-0008-0000-0000-00000E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391" name="Text Box 3094">
          <a:extLst>
            <a:ext uri="{FF2B5EF4-FFF2-40B4-BE49-F238E27FC236}">
              <a16:creationId xmlns:a16="http://schemas.microsoft.com/office/drawing/2014/main" xmlns="" id="{00000000-0008-0000-0000-00000F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392" name="Text Box 3095">
          <a:extLst>
            <a:ext uri="{FF2B5EF4-FFF2-40B4-BE49-F238E27FC236}">
              <a16:creationId xmlns:a16="http://schemas.microsoft.com/office/drawing/2014/main" xmlns="" id="{00000000-0008-0000-0000-000010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393" name="Text Box 3096">
          <a:extLst>
            <a:ext uri="{FF2B5EF4-FFF2-40B4-BE49-F238E27FC236}">
              <a16:creationId xmlns:a16="http://schemas.microsoft.com/office/drawing/2014/main" xmlns="" id="{00000000-0008-0000-0000-000011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394" name="Text Box 3097">
          <a:extLst>
            <a:ext uri="{FF2B5EF4-FFF2-40B4-BE49-F238E27FC236}">
              <a16:creationId xmlns:a16="http://schemas.microsoft.com/office/drawing/2014/main" xmlns="" id="{00000000-0008-0000-0000-000012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395" name="Text Box 3098">
          <a:extLst>
            <a:ext uri="{FF2B5EF4-FFF2-40B4-BE49-F238E27FC236}">
              <a16:creationId xmlns:a16="http://schemas.microsoft.com/office/drawing/2014/main" xmlns="" id="{00000000-0008-0000-0000-000013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396" name="Text Box 3099">
          <a:extLst>
            <a:ext uri="{FF2B5EF4-FFF2-40B4-BE49-F238E27FC236}">
              <a16:creationId xmlns:a16="http://schemas.microsoft.com/office/drawing/2014/main" xmlns="" id="{00000000-0008-0000-0000-000014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397" name="Text Box 3100">
          <a:extLst>
            <a:ext uri="{FF2B5EF4-FFF2-40B4-BE49-F238E27FC236}">
              <a16:creationId xmlns:a16="http://schemas.microsoft.com/office/drawing/2014/main" xmlns="" id="{00000000-0008-0000-0000-000015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398" name="Text Box 3101">
          <a:extLst>
            <a:ext uri="{FF2B5EF4-FFF2-40B4-BE49-F238E27FC236}">
              <a16:creationId xmlns:a16="http://schemas.microsoft.com/office/drawing/2014/main" xmlns="" id="{00000000-0008-0000-0000-000016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5399" name="Text Box 3102">
          <a:extLst>
            <a:ext uri="{FF2B5EF4-FFF2-40B4-BE49-F238E27FC236}">
              <a16:creationId xmlns:a16="http://schemas.microsoft.com/office/drawing/2014/main" xmlns="" id="{00000000-0008-0000-0000-000017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400" name="Text Box 59">
          <a:extLst>
            <a:ext uri="{FF2B5EF4-FFF2-40B4-BE49-F238E27FC236}">
              <a16:creationId xmlns:a16="http://schemas.microsoft.com/office/drawing/2014/main" xmlns="" id="{00000000-0008-0000-0000-000018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401" name="Text Box 60">
          <a:extLst>
            <a:ext uri="{FF2B5EF4-FFF2-40B4-BE49-F238E27FC236}">
              <a16:creationId xmlns:a16="http://schemas.microsoft.com/office/drawing/2014/main" xmlns="" id="{00000000-0008-0000-0000-000019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402" name="Text Box 61">
          <a:extLst>
            <a:ext uri="{FF2B5EF4-FFF2-40B4-BE49-F238E27FC236}">
              <a16:creationId xmlns:a16="http://schemas.microsoft.com/office/drawing/2014/main" xmlns="" id="{00000000-0008-0000-0000-00001A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403" name="Text Box 62">
          <a:extLst>
            <a:ext uri="{FF2B5EF4-FFF2-40B4-BE49-F238E27FC236}">
              <a16:creationId xmlns:a16="http://schemas.microsoft.com/office/drawing/2014/main" xmlns="" id="{00000000-0008-0000-0000-00001B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404" name="Text Box 63">
          <a:extLst>
            <a:ext uri="{FF2B5EF4-FFF2-40B4-BE49-F238E27FC236}">
              <a16:creationId xmlns:a16="http://schemas.microsoft.com/office/drawing/2014/main" xmlns="" id="{00000000-0008-0000-0000-00001C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405" name="Text Box 64">
          <a:extLst>
            <a:ext uri="{FF2B5EF4-FFF2-40B4-BE49-F238E27FC236}">
              <a16:creationId xmlns:a16="http://schemas.microsoft.com/office/drawing/2014/main" xmlns="" id="{00000000-0008-0000-0000-00001D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406" name="Text Box 65">
          <a:extLst>
            <a:ext uri="{FF2B5EF4-FFF2-40B4-BE49-F238E27FC236}">
              <a16:creationId xmlns:a16="http://schemas.microsoft.com/office/drawing/2014/main" xmlns="" id="{00000000-0008-0000-0000-00001E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407" name="Text Box 66">
          <a:extLst>
            <a:ext uri="{FF2B5EF4-FFF2-40B4-BE49-F238E27FC236}">
              <a16:creationId xmlns:a16="http://schemas.microsoft.com/office/drawing/2014/main" xmlns="" id="{00000000-0008-0000-0000-00001F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408" name="Text Box 67">
          <a:extLst>
            <a:ext uri="{FF2B5EF4-FFF2-40B4-BE49-F238E27FC236}">
              <a16:creationId xmlns:a16="http://schemas.microsoft.com/office/drawing/2014/main" xmlns="" id="{00000000-0008-0000-0000-000020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409" name="Text Box 68">
          <a:extLst>
            <a:ext uri="{FF2B5EF4-FFF2-40B4-BE49-F238E27FC236}">
              <a16:creationId xmlns:a16="http://schemas.microsoft.com/office/drawing/2014/main" xmlns="" id="{00000000-0008-0000-0000-000021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410" name="Text Box 69">
          <a:extLst>
            <a:ext uri="{FF2B5EF4-FFF2-40B4-BE49-F238E27FC236}">
              <a16:creationId xmlns:a16="http://schemas.microsoft.com/office/drawing/2014/main" xmlns="" id="{00000000-0008-0000-0000-000022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411" name="Text Box 70">
          <a:extLst>
            <a:ext uri="{FF2B5EF4-FFF2-40B4-BE49-F238E27FC236}">
              <a16:creationId xmlns:a16="http://schemas.microsoft.com/office/drawing/2014/main" xmlns="" id="{00000000-0008-0000-0000-000023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412" name="Text Box 71">
          <a:extLst>
            <a:ext uri="{FF2B5EF4-FFF2-40B4-BE49-F238E27FC236}">
              <a16:creationId xmlns:a16="http://schemas.microsoft.com/office/drawing/2014/main" xmlns="" id="{00000000-0008-0000-0000-000024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413" name="Text Box 72">
          <a:extLst>
            <a:ext uri="{FF2B5EF4-FFF2-40B4-BE49-F238E27FC236}">
              <a16:creationId xmlns:a16="http://schemas.microsoft.com/office/drawing/2014/main" xmlns="" id="{00000000-0008-0000-0000-000025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414" name="Text Box 73">
          <a:extLst>
            <a:ext uri="{FF2B5EF4-FFF2-40B4-BE49-F238E27FC236}">
              <a16:creationId xmlns:a16="http://schemas.microsoft.com/office/drawing/2014/main" xmlns="" id="{00000000-0008-0000-0000-000026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415" name="Text Box 74">
          <a:extLst>
            <a:ext uri="{FF2B5EF4-FFF2-40B4-BE49-F238E27FC236}">
              <a16:creationId xmlns:a16="http://schemas.microsoft.com/office/drawing/2014/main" xmlns="" id="{00000000-0008-0000-0000-000027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416" name="Text Box 75">
          <a:extLst>
            <a:ext uri="{FF2B5EF4-FFF2-40B4-BE49-F238E27FC236}">
              <a16:creationId xmlns:a16="http://schemas.microsoft.com/office/drawing/2014/main" xmlns="" id="{00000000-0008-0000-0000-000028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417" name="Text Box 76">
          <a:extLst>
            <a:ext uri="{FF2B5EF4-FFF2-40B4-BE49-F238E27FC236}">
              <a16:creationId xmlns:a16="http://schemas.microsoft.com/office/drawing/2014/main" xmlns="" id="{00000000-0008-0000-0000-000029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418" name="Text Box 77">
          <a:extLst>
            <a:ext uri="{FF2B5EF4-FFF2-40B4-BE49-F238E27FC236}">
              <a16:creationId xmlns:a16="http://schemas.microsoft.com/office/drawing/2014/main" xmlns="" id="{00000000-0008-0000-0000-00002A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419" name="Text Box 78">
          <a:extLst>
            <a:ext uri="{FF2B5EF4-FFF2-40B4-BE49-F238E27FC236}">
              <a16:creationId xmlns:a16="http://schemas.microsoft.com/office/drawing/2014/main" xmlns="" id="{00000000-0008-0000-0000-00002B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420" name="Text Box 79">
          <a:extLst>
            <a:ext uri="{FF2B5EF4-FFF2-40B4-BE49-F238E27FC236}">
              <a16:creationId xmlns:a16="http://schemas.microsoft.com/office/drawing/2014/main" xmlns="" id="{00000000-0008-0000-0000-00002C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421" name="Text Box 80">
          <a:extLst>
            <a:ext uri="{FF2B5EF4-FFF2-40B4-BE49-F238E27FC236}">
              <a16:creationId xmlns:a16="http://schemas.microsoft.com/office/drawing/2014/main" xmlns="" id="{00000000-0008-0000-0000-00002D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422" name="Text Box 81">
          <a:extLst>
            <a:ext uri="{FF2B5EF4-FFF2-40B4-BE49-F238E27FC236}">
              <a16:creationId xmlns:a16="http://schemas.microsoft.com/office/drawing/2014/main" xmlns="" id="{00000000-0008-0000-0000-00002E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47625"/>
    <xdr:sp macro="" textlink="">
      <xdr:nvSpPr>
        <xdr:cNvPr id="5423" name="Text Box 82">
          <a:extLst>
            <a:ext uri="{FF2B5EF4-FFF2-40B4-BE49-F238E27FC236}">
              <a16:creationId xmlns:a16="http://schemas.microsoft.com/office/drawing/2014/main" xmlns="" id="{00000000-0008-0000-0000-00002F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424" name="Text Box 3079">
          <a:extLst>
            <a:ext uri="{FF2B5EF4-FFF2-40B4-BE49-F238E27FC236}">
              <a16:creationId xmlns:a16="http://schemas.microsoft.com/office/drawing/2014/main" xmlns="" id="{00000000-0008-0000-0000-000030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425" name="Text Box 3080">
          <a:extLst>
            <a:ext uri="{FF2B5EF4-FFF2-40B4-BE49-F238E27FC236}">
              <a16:creationId xmlns:a16="http://schemas.microsoft.com/office/drawing/2014/main" xmlns="" id="{00000000-0008-0000-0000-000031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426" name="Text Box 3081">
          <a:extLst>
            <a:ext uri="{FF2B5EF4-FFF2-40B4-BE49-F238E27FC236}">
              <a16:creationId xmlns:a16="http://schemas.microsoft.com/office/drawing/2014/main" xmlns="" id="{00000000-0008-0000-0000-000032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427" name="Text Box 3082">
          <a:extLst>
            <a:ext uri="{FF2B5EF4-FFF2-40B4-BE49-F238E27FC236}">
              <a16:creationId xmlns:a16="http://schemas.microsoft.com/office/drawing/2014/main" xmlns="" id="{00000000-0008-0000-0000-000033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428" name="Text Box 3083">
          <a:extLst>
            <a:ext uri="{FF2B5EF4-FFF2-40B4-BE49-F238E27FC236}">
              <a16:creationId xmlns:a16="http://schemas.microsoft.com/office/drawing/2014/main" xmlns="" id="{00000000-0008-0000-0000-000034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429" name="Text Box 3084">
          <a:extLst>
            <a:ext uri="{FF2B5EF4-FFF2-40B4-BE49-F238E27FC236}">
              <a16:creationId xmlns:a16="http://schemas.microsoft.com/office/drawing/2014/main" xmlns="" id="{00000000-0008-0000-0000-000035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430" name="Text Box 3085">
          <a:extLst>
            <a:ext uri="{FF2B5EF4-FFF2-40B4-BE49-F238E27FC236}">
              <a16:creationId xmlns:a16="http://schemas.microsoft.com/office/drawing/2014/main" xmlns="" id="{00000000-0008-0000-0000-000036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431" name="Text Box 3086">
          <a:extLst>
            <a:ext uri="{FF2B5EF4-FFF2-40B4-BE49-F238E27FC236}">
              <a16:creationId xmlns:a16="http://schemas.microsoft.com/office/drawing/2014/main" xmlns="" id="{00000000-0008-0000-0000-000037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432" name="Text Box 3087">
          <a:extLst>
            <a:ext uri="{FF2B5EF4-FFF2-40B4-BE49-F238E27FC236}">
              <a16:creationId xmlns:a16="http://schemas.microsoft.com/office/drawing/2014/main" xmlns="" id="{00000000-0008-0000-0000-000038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433" name="Text Box 3088">
          <a:extLst>
            <a:ext uri="{FF2B5EF4-FFF2-40B4-BE49-F238E27FC236}">
              <a16:creationId xmlns:a16="http://schemas.microsoft.com/office/drawing/2014/main" xmlns="" id="{00000000-0008-0000-0000-000039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434" name="Text Box 3089">
          <a:extLst>
            <a:ext uri="{FF2B5EF4-FFF2-40B4-BE49-F238E27FC236}">
              <a16:creationId xmlns:a16="http://schemas.microsoft.com/office/drawing/2014/main" xmlns="" id="{00000000-0008-0000-0000-00003A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435" name="Text Box 3090">
          <a:extLst>
            <a:ext uri="{FF2B5EF4-FFF2-40B4-BE49-F238E27FC236}">
              <a16:creationId xmlns:a16="http://schemas.microsoft.com/office/drawing/2014/main" xmlns="" id="{00000000-0008-0000-0000-00003B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436" name="Text Box 3091">
          <a:extLst>
            <a:ext uri="{FF2B5EF4-FFF2-40B4-BE49-F238E27FC236}">
              <a16:creationId xmlns:a16="http://schemas.microsoft.com/office/drawing/2014/main" xmlns="" id="{00000000-0008-0000-0000-00003C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437" name="Text Box 3092">
          <a:extLst>
            <a:ext uri="{FF2B5EF4-FFF2-40B4-BE49-F238E27FC236}">
              <a16:creationId xmlns:a16="http://schemas.microsoft.com/office/drawing/2014/main" xmlns="" id="{00000000-0008-0000-0000-00003D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438" name="Text Box 3093">
          <a:extLst>
            <a:ext uri="{FF2B5EF4-FFF2-40B4-BE49-F238E27FC236}">
              <a16:creationId xmlns:a16="http://schemas.microsoft.com/office/drawing/2014/main" xmlns="" id="{00000000-0008-0000-0000-00003E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439" name="Text Box 3094">
          <a:extLst>
            <a:ext uri="{FF2B5EF4-FFF2-40B4-BE49-F238E27FC236}">
              <a16:creationId xmlns:a16="http://schemas.microsoft.com/office/drawing/2014/main" xmlns="" id="{00000000-0008-0000-0000-00003F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440" name="Text Box 3095">
          <a:extLst>
            <a:ext uri="{FF2B5EF4-FFF2-40B4-BE49-F238E27FC236}">
              <a16:creationId xmlns:a16="http://schemas.microsoft.com/office/drawing/2014/main" xmlns="" id="{00000000-0008-0000-0000-000040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441" name="Text Box 3096">
          <a:extLst>
            <a:ext uri="{FF2B5EF4-FFF2-40B4-BE49-F238E27FC236}">
              <a16:creationId xmlns:a16="http://schemas.microsoft.com/office/drawing/2014/main" xmlns="" id="{00000000-0008-0000-0000-000041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442" name="Text Box 3097">
          <a:extLst>
            <a:ext uri="{FF2B5EF4-FFF2-40B4-BE49-F238E27FC236}">
              <a16:creationId xmlns:a16="http://schemas.microsoft.com/office/drawing/2014/main" xmlns="" id="{00000000-0008-0000-0000-000042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443" name="Text Box 3098">
          <a:extLst>
            <a:ext uri="{FF2B5EF4-FFF2-40B4-BE49-F238E27FC236}">
              <a16:creationId xmlns:a16="http://schemas.microsoft.com/office/drawing/2014/main" xmlns="" id="{00000000-0008-0000-0000-000043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444" name="Text Box 3099">
          <a:extLst>
            <a:ext uri="{FF2B5EF4-FFF2-40B4-BE49-F238E27FC236}">
              <a16:creationId xmlns:a16="http://schemas.microsoft.com/office/drawing/2014/main" xmlns="" id="{00000000-0008-0000-0000-000044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445" name="Text Box 3100">
          <a:extLst>
            <a:ext uri="{FF2B5EF4-FFF2-40B4-BE49-F238E27FC236}">
              <a16:creationId xmlns:a16="http://schemas.microsoft.com/office/drawing/2014/main" xmlns="" id="{00000000-0008-0000-0000-000045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446" name="Text Box 3101">
          <a:extLst>
            <a:ext uri="{FF2B5EF4-FFF2-40B4-BE49-F238E27FC236}">
              <a16:creationId xmlns:a16="http://schemas.microsoft.com/office/drawing/2014/main" xmlns="" id="{00000000-0008-0000-0000-000046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5447" name="Text Box 3102">
          <a:extLst>
            <a:ext uri="{FF2B5EF4-FFF2-40B4-BE49-F238E27FC236}">
              <a16:creationId xmlns:a16="http://schemas.microsoft.com/office/drawing/2014/main" xmlns="" id="{00000000-0008-0000-0000-000047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448" name="Text Box 59">
          <a:extLst>
            <a:ext uri="{FF2B5EF4-FFF2-40B4-BE49-F238E27FC236}">
              <a16:creationId xmlns:a16="http://schemas.microsoft.com/office/drawing/2014/main" xmlns="" id="{00000000-0008-0000-0000-000048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449" name="Text Box 60">
          <a:extLst>
            <a:ext uri="{FF2B5EF4-FFF2-40B4-BE49-F238E27FC236}">
              <a16:creationId xmlns:a16="http://schemas.microsoft.com/office/drawing/2014/main" xmlns="" id="{00000000-0008-0000-0000-000049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450" name="Text Box 61">
          <a:extLst>
            <a:ext uri="{FF2B5EF4-FFF2-40B4-BE49-F238E27FC236}">
              <a16:creationId xmlns:a16="http://schemas.microsoft.com/office/drawing/2014/main" xmlns="" id="{00000000-0008-0000-0000-00004A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451" name="Text Box 62">
          <a:extLst>
            <a:ext uri="{FF2B5EF4-FFF2-40B4-BE49-F238E27FC236}">
              <a16:creationId xmlns:a16="http://schemas.microsoft.com/office/drawing/2014/main" xmlns="" id="{00000000-0008-0000-0000-00004B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452" name="Text Box 63">
          <a:extLst>
            <a:ext uri="{FF2B5EF4-FFF2-40B4-BE49-F238E27FC236}">
              <a16:creationId xmlns:a16="http://schemas.microsoft.com/office/drawing/2014/main" xmlns="" id="{00000000-0008-0000-0000-00004C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453" name="Text Box 64">
          <a:extLst>
            <a:ext uri="{FF2B5EF4-FFF2-40B4-BE49-F238E27FC236}">
              <a16:creationId xmlns:a16="http://schemas.microsoft.com/office/drawing/2014/main" xmlns="" id="{00000000-0008-0000-0000-00004D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454" name="Text Box 65">
          <a:extLst>
            <a:ext uri="{FF2B5EF4-FFF2-40B4-BE49-F238E27FC236}">
              <a16:creationId xmlns:a16="http://schemas.microsoft.com/office/drawing/2014/main" xmlns="" id="{00000000-0008-0000-0000-00004E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455" name="Text Box 66">
          <a:extLst>
            <a:ext uri="{FF2B5EF4-FFF2-40B4-BE49-F238E27FC236}">
              <a16:creationId xmlns:a16="http://schemas.microsoft.com/office/drawing/2014/main" xmlns="" id="{00000000-0008-0000-0000-00004F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456" name="Text Box 67">
          <a:extLst>
            <a:ext uri="{FF2B5EF4-FFF2-40B4-BE49-F238E27FC236}">
              <a16:creationId xmlns:a16="http://schemas.microsoft.com/office/drawing/2014/main" xmlns="" id="{00000000-0008-0000-0000-000050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457" name="Text Box 68">
          <a:extLst>
            <a:ext uri="{FF2B5EF4-FFF2-40B4-BE49-F238E27FC236}">
              <a16:creationId xmlns:a16="http://schemas.microsoft.com/office/drawing/2014/main" xmlns="" id="{00000000-0008-0000-0000-000051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458" name="Text Box 69">
          <a:extLst>
            <a:ext uri="{FF2B5EF4-FFF2-40B4-BE49-F238E27FC236}">
              <a16:creationId xmlns:a16="http://schemas.microsoft.com/office/drawing/2014/main" xmlns="" id="{00000000-0008-0000-0000-000052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459" name="Text Box 70">
          <a:extLst>
            <a:ext uri="{FF2B5EF4-FFF2-40B4-BE49-F238E27FC236}">
              <a16:creationId xmlns:a16="http://schemas.microsoft.com/office/drawing/2014/main" xmlns="" id="{00000000-0008-0000-0000-000053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460" name="Text Box 71">
          <a:extLst>
            <a:ext uri="{FF2B5EF4-FFF2-40B4-BE49-F238E27FC236}">
              <a16:creationId xmlns:a16="http://schemas.microsoft.com/office/drawing/2014/main" xmlns="" id="{00000000-0008-0000-0000-000054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461" name="Text Box 72">
          <a:extLst>
            <a:ext uri="{FF2B5EF4-FFF2-40B4-BE49-F238E27FC236}">
              <a16:creationId xmlns:a16="http://schemas.microsoft.com/office/drawing/2014/main" xmlns="" id="{00000000-0008-0000-0000-000055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462" name="Text Box 73">
          <a:extLst>
            <a:ext uri="{FF2B5EF4-FFF2-40B4-BE49-F238E27FC236}">
              <a16:creationId xmlns:a16="http://schemas.microsoft.com/office/drawing/2014/main" xmlns="" id="{00000000-0008-0000-0000-000056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463" name="Text Box 74">
          <a:extLst>
            <a:ext uri="{FF2B5EF4-FFF2-40B4-BE49-F238E27FC236}">
              <a16:creationId xmlns:a16="http://schemas.microsoft.com/office/drawing/2014/main" xmlns="" id="{00000000-0008-0000-0000-000057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464" name="Text Box 75">
          <a:extLst>
            <a:ext uri="{FF2B5EF4-FFF2-40B4-BE49-F238E27FC236}">
              <a16:creationId xmlns:a16="http://schemas.microsoft.com/office/drawing/2014/main" xmlns="" id="{00000000-0008-0000-0000-000058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465" name="Text Box 76">
          <a:extLst>
            <a:ext uri="{FF2B5EF4-FFF2-40B4-BE49-F238E27FC236}">
              <a16:creationId xmlns:a16="http://schemas.microsoft.com/office/drawing/2014/main" xmlns="" id="{00000000-0008-0000-0000-000059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466" name="Text Box 77">
          <a:extLst>
            <a:ext uri="{FF2B5EF4-FFF2-40B4-BE49-F238E27FC236}">
              <a16:creationId xmlns:a16="http://schemas.microsoft.com/office/drawing/2014/main" xmlns="" id="{00000000-0008-0000-0000-00005A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467" name="Text Box 78">
          <a:extLst>
            <a:ext uri="{FF2B5EF4-FFF2-40B4-BE49-F238E27FC236}">
              <a16:creationId xmlns:a16="http://schemas.microsoft.com/office/drawing/2014/main" xmlns="" id="{00000000-0008-0000-0000-00005B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468" name="Text Box 79">
          <a:extLst>
            <a:ext uri="{FF2B5EF4-FFF2-40B4-BE49-F238E27FC236}">
              <a16:creationId xmlns:a16="http://schemas.microsoft.com/office/drawing/2014/main" xmlns="" id="{00000000-0008-0000-0000-00005C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469" name="Text Box 80">
          <a:extLst>
            <a:ext uri="{FF2B5EF4-FFF2-40B4-BE49-F238E27FC236}">
              <a16:creationId xmlns:a16="http://schemas.microsoft.com/office/drawing/2014/main" xmlns="" id="{00000000-0008-0000-0000-00005D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470" name="Text Box 81">
          <a:extLst>
            <a:ext uri="{FF2B5EF4-FFF2-40B4-BE49-F238E27FC236}">
              <a16:creationId xmlns:a16="http://schemas.microsoft.com/office/drawing/2014/main" xmlns="" id="{00000000-0008-0000-0000-00005E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471" name="Text Box 3079">
          <a:extLst>
            <a:ext uri="{FF2B5EF4-FFF2-40B4-BE49-F238E27FC236}">
              <a16:creationId xmlns:a16="http://schemas.microsoft.com/office/drawing/2014/main" xmlns="" id="{00000000-0008-0000-0000-00005F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472" name="Text Box 3080">
          <a:extLst>
            <a:ext uri="{FF2B5EF4-FFF2-40B4-BE49-F238E27FC236}">
              <a16:creationId xmlns:a16="http://schemas.microsoft.com/office/drawing/2014/main" xmlns="" id="{00000000-0008-0000-0000-000060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473" name="Text Box 3081">
          <a:extLst>
            <a:ext uri="{FF2B5EF4-FFF2-40B4-BE49-F238E27FC236}">
              <a16:creationId xmlns:a16="http://schemas.microsoft.com/office/drawing/2014/main" xmlns="" id="{00000000-0008-0000-0000-000061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474" name="Text Box 3082">
          <a:extLst>
            <a:ext uri="{FF2B5EF4-FFF2-40B4-BE49-F238E27FC236}">
              <a16:creationId xmlns:a16="http://schemas.microsoft.com/office/drawing/2014/main" xmlns="" id="{00000000-0008-0000-0000-000062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475" name="Text Box 3083">
          <a:extLst>
            <a:ext uri="{FF2B5EF4-FFF2-40B4-BE49-F238E27FC236}">
              <a16:creationId xmlns:a16="http://schemas.microsoft.com/office/drawing/2014/main" xmlns="" id="{00000000-0008-0000-0000-000063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476" name="Text Box 3084">
          <a:extLst>
            <a:ext uri="{FF2B5EF4-FFF2-40B4-BE49-F238E27FC236}">
              <a16:creationId xmlns:a16="http://schemas.microsoft.com/office/drawing/2014/main" xmlns="" id="{00000000-0008-0000-0000-000064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477" name="Text Box 3085">
          <a:extLst>
            <a:ext uri="{FF2B5EF4-FFF2-40B4-BE49-F238E27FC236}">
              <a16:creationId xmlns:a16="http://schemas.microsoft.com/office/drawing/2014/main" xmlns="" id="{00000000-0008-0000-0000-000065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478" name="Text Box 3086">
          <a:extLst>
            <a:ext uri="{FF2B5EF4-FFF2-40B4-BE49-F238E27FC236}">
              <a16:creationId xmlns:a16="http://schemas.microsoft.com/office/drawing/2014/main" xmlns="" id="{00000000-0008-0000-0000-000066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479" name="Text Box 3087">
          <a:extLst>
            <a:ext uri="{FF2B5EF4-FFF2-40B4-BE49-F238E27FC236}">
              <a16:creationId xmlns:a16="http://schemas.microsoft.com/office/drawing/2014/main" xmlns="" id="{00000000-0008-0000-0000-000067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480" name="Text Box 3088">
          <a:extLst>
            <a:ext uri="{FF2B5EF4-FFF2-40B4-BE49-F238E27FC236}">
              <a16:creationId xmlns:a16="http://schemas.microsoft.com/office/drawing/2014/main" xmlns="" id="{00000000-0008-0000-0000-000068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481" name="Text Box 3089">
          <a:extLst>
            <a:ext uri="{FF2B5EF4-FFF2-40B4-BE49-F238E27FC236}">
              <a16:creationId xmlns:a16="http://schemas.microsoft.com/office/drawing/2014/main" xmlns="" id="{00000000-0008-0000-0000-000069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482" name="Text Box 3090">
          <a:extLst>
            <a:ext uri="{FF2B5EF4-FFF2-40B4-BE49-F238E27FC236}">
              <a16:creationId xmlns:a16="http://schemas.microsoft.com/office/drawing/2014/main" xmlns="" id="{00000000-0008-0000-0000-00006A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483" name="Text Box 3091">
          <a:extLst>
            <a:ext uri="{FF2B5EF4-FFF2-40B4-BE49-F238E27FC236}">
              <a16:creationId xmlns:a16="http://schemas.microsoft.com/office/drawing/2014/main" xmlns="" id="{00000000-0008-0000-0000-00006B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484" name="Text Box 3092">
          <a:extLst>
            <a:ext uri="{FF2B5EF4-FFF2-40B4-BE49-F238E27FC236}">
              <a16:creationId xmlns:a16="http://schemas.microsoft.com/office/drawing/2014/main" xmlns="" id="{00000000-0008-0000-0000-00006C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485" name="Text Box 3093">
          <a:extLst>
            <a:ext uri="{FF2B5EF4-FFF2-40B4-BE49-F238E27FC236}">
              <a16:creationId xmlns:a16="http://schemas.microsoft.com/office/drawing/2014/main" xmlns="" id="{00000000-0008-0000-0000-00006D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486" name="Text Box 3094">
          <a:extLst>
            <a:ext uri="{FF2B5EF4-FFF2-40B4-BE49-F238E27FC236}">
              <a16:creationId xmlns:a16="http://schemas.microsoft.com/office/drawing/2014/main" xmlns="" id="{00000000-0008-0000-0000-00006E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487" name="Text Box 3095">
          <a:extLst>
            <a:ext uri="{FF2B5EF4-FFF2-40B4-BE49-F238E27FC236}">
              <a16:creationId xmlns:a16="http://schemas.microsoft.com/office/drawing/2014/main" xmlns="" id="{00000000-0008-0000-0000-00006F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488" name="Text Box 3096">
          <a:extLst>
            <a:ext uri="{FF2B5EF4-FFF2-40B4-BE49-F238E27FC236}">
              <a16:creationId xmlns:a16="http://schemas.microsoft.com/office/drawing/2014/main" xmlns="" id="{00000000-0008-0000-0000-000070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489" name="Text Box 3097">
          <a:extLst>
            <a:ext uri="{FF2B5EF4-FFF2-40B4-BE49-F238E27FC236}">
              <a16:creationId xmlns:a16="http://schemas.microsoft.com/office/drawing/2014/main" xmlns="" id="{00000000-0008-0000-0000-000071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490" name="Text Box 3098">
          <a:extLst>
            <a:ext uri="{FF2B5EF4-FFF2-40B4-BE49-F238E27FC236}">
              <a16:creationId xmlns:a16="http://schemas.microsoft.com/office/drawing/2014/main" xmlns="" id="{00000000-0008-0000-0000-000072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491" name="Text Box 3099">
          <a:extLst>
            <a:ext uri="{FF2B5EF4-FFF2-40B4-BE49-F238E27FC236}">
              <a16:creationId xmlns:a16="http://schemas.microsoft.com/office/drawing/2014/main" xmlns="" id="{00000000-0008-0000-0000-000073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492" name="Text Box 3100">
          <a:extLst>
            <a:ext uri="{FF2B5EF4-FFF2-40B4-BE49-F238E27FC236}">
              <a16:creationId xmlns:a16="http://schemas.microsoft.com/office/drawing/2014/main" xmlns="" id="{00000000-0008-0000-0000-000074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493" name="Text Box 3101">
          <a:extLst>
            <a:ext uri="{FF2B5EF4-FFF2-40B4-BE49-F238E27FC236}">
              <a16:creationId xmlns:a16="http://schemas.microsoft.com/office/drawing/2014/main" xmlns="" id="{00000000-0008-0000-0000-000075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5494" name="Text Box 3102">
          <a:extLst>
            <a:ext uri="{FF2B5EF4-FFF2-40B4-BE49-F238E27FC236}">
              <a16:creationId xmlns:a16="http://schemas.microsoft.com/office/drawing/2014/main" xmlns="" id="{00000000-0008-0000-0000-000076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495" name="Text Box 59">
          <a:extLst>
            <a:ext uri="{FF2B5EF4-FFF2-40B4-BE49-F238E27FC236}">
              <a16:creationId xmlns:a16="http://schemas.microsoft.com/office/drawing/2014/main" xmlns="" id="{00000000-0008-0000-0000-000077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496" name="Text Box 60">
          <a:extLst>
            <a:ext uri="{FF2B5EF4-FFF2-40B4-BE49-F238E27FC236}">
              <a16:creationId xmlns:a16="http://schemas.microsoft.com/office/drawing/2014/main" xmlns="" id="{00000000-0008-0000-0000-000078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497" name="Text Box 61">
          <a:extLst>
            <a:ext uri="{FF2B5EF4-FFF2-40B4-BE49-F238E27FC236}">
              <a16:creationId xmlns:a16="http://schemas.microsoft.com/office/drawing/2014/main" xmlns="" id="{00000000-0008-0000-0000-000079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498" name="Text Box 62">
          <a:extLst>
            <a:ext uri="{FF2B5EF4-FFF2-40B4-BE49-F238E27FC236}">
              <a16:creationId xmlns:a16="http://schemas.microsoft.com/office/drawing/2014/main" xmlns="" id="{00000000-0008-0000-0000-00007A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499" name="Text Box 63">
          <a:extLst>
            <a:ext uri="{FF2B5EF4-FFF2-40B4-BE49-F238E27FC236}">
              <a16:creationId xmlns:a16="http://schemas.microsoft.com/office/drawing/2014/main" xmlns="" id="{00000000-0008-0000-0000-00007B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500" name="Text Box 64">
          <a:extLst>
            <a:ext uri="{FF2B5EF4-FFF2-40B4-BE49-F238E27FC236}">
              <a16:creationId xmlns:a16="http://schemas.microsoft.com/office/drawing/2014/main" xmlns="" id="{00000000-0008-0000-0000-00007C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501" name="Text Box 65">
          <a:extLst>
            <a:ext uri="{FF2B5EF4-FFF2-40B4-BE49-F238E27FC236}">
              <a16:creationId xmlns:a16="http://schemas.microsoft.com/office/drawing/2014/main" xmlns="" id="{00000000-0008-0000-0000-00007D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502" name="Text Box 66">
          <a:extLst>
            <a:ext uri="{FF2B5EF4-FFF2-40B4-BE49-F238E27FC236}">
              <a16:creationId xmlns:a16="http://schemas.microsoft.com/office/drawing/2014/main" xmlns="" id="{00000000-0008-0000-0000-00007E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503" name="Text Box 67">
          <a:extLst>
            <a:ext uri="{FF2B5EF4-FFF2-40B4-BE49-F238E27FC236}">
              <a16:creationId xmlns:a16="http://schemas.microsoft.com/office/drawing/2014/main" xmlns="" id="{00000000-0008-0000-0000-00007F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504" name="Text Box 68">
          <a:extLst>
            <a:ext uri="{FF2B5EF4-FFF2-40B4-BE49-F238E27FC236}">
              <a16:creationId xmlns:a16="http://schemas.microsoft.com/office/drawing/2014/main" xmlns="" id="{00000000-0008-0000-0000-000080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505" name="Text Box 69">
          <a:extLst>
            <a:ext uri="{FF2B5EF4-FFF2-40B4-BE49-F238E27FC236}">
              <a16:creationId xmlns:a16="http://schemas.microsoft.com/office/drawing/2014/main" xmlns="" id="{00000000-0008-0000-0000-000081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506" name="Text Box 70">
          <a:extLst>
            <a:ext uri="{FF2B5EF4-FFF2-40B4-BE49-F238E27FC236}">
              <a16:creationId xmlns:a16="http://schemas.microsoft.com/office/drawing/2014/main" xmlns="" id="{00000000-0008-0000-0000-000082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507" name="Text Box 71">
          <a:extLst>
            <a:ext uri="{FF2B5EF4-FFF2-40B4-BE49-F238E27FC236}">
              <a16:creationId xmlns:a16="http://schemas.microsoft.com/office/drawing/2014/main" xmlns="" id="{00000000-0008-0000-0000-000083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508" name="Text Box 72">
          <a:extLst>
            <a:ext uri="{FF2B5EF4-FFF2-40B4-BE49-F238E27FC236}">
              <a16:creationId xmlns:a16="http://schemas.microsoft.com/office/drawing/2014/main" xmlns="" id="{00000000-0008-0000-0000-000084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509" name="Text Box 73">
          <a:extLst>
            <a:ext uri="{FF2B5EF4-FFF2-40B4-BE49-F238E27FC236}">
              <a16:creationId xmlns:a16="http://schemas.microsoft.com/office/drawing/2014/main" xmlns="" id="{00000000-0008-0000-0000-000085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510" name="Text Box 74">
          <a:extLst>
            <a:ext uri="{FF2B5EF4-FFF2-40B4-BE49-F238E27FC236}">
              <a16:creationId xmlns:a16="http://schemas.microsoft.com/office/drawing/2014/main" xmlns="" id="{00000000-0008-0000-0000-000086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511" name="Text Box 75">
          <a:extLst>
            <a:ext uri="{FF2B5EF4-FFF2-40B4-BE49-F238E27FC236}">
              <a16:creationId xmlns:a16="http://schemas.microsoft.com/office/drawing/2014/main" xmlns="" id="{00000000-0008-0000-0000-000087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512" name="Text Box 76">
          <a:extLst>
            <a:ext uri="{FF2B5EF4-FFF2-40B4-BE49-F238E27FC236}">
              <a16:creationId xmlns:a16="http://schemas.microsoft.com/office/drawing/2014/main" xmlns="" id="{00000000-0008-0000-0000-000088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513" name="Text Box 77">
          <a:extLst>
            <a:ext uri="{FF2B5EF4-FFF2-40B4-BE49-F238E27FC236}">
              <a16:creationId xmlns:a16="http://schemas.microsoft.com/office/drawing/2014/main" xmlns="" id="{00000000-0008-0000-0000-000089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514" name="Text Box 78">
          <a:extLst>
            <a:ext uri="{FF2B5EF4-FFF2-40B4-BE49-F238E27FC236}">
              <a16:creationId xmlns:a16="http://schemas.microsoft.com/office/drawing/2014/main" xmlns="" id="{00000000-0008-0000-0000-00008A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515" name="Text Box 79">
          <a:extLst>
            <a:ext uri="{FF2B5EF4-FFF2-40B4-BE49-F238E27FC236}">
              <a16:creationId xmlns:a16="http://schemas.microsoft.com/office/drawing/2014/main" xmlns="" id="{00000000-0008-0000-0000-00008B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516" name="Text Box 80">
          <a:extLst>
            <a:ext uri="{FF2B5EF4-FFF2-40B4-BE49-F238E27FC236}">
              <a16:creationId xmlns:a16="http://schemas.microsoft.com/office/drawing/2014/main" xmlns="" id="{00000000-0008-0000-0000-00008C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517" name="Text Box 81">
          <a:extLst>
            <a:ext uri="{FF2B5EF4-FFF2-40B4-BE49-F238E27FC236}">
              <a16:creationId xmlns:a16="http://schemas.microsoft.com/office/drawing/2014/main" xmlns="" id="{00000000-0008-0000-0000-00008D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47625"/>
    <xdr:sp macro="" textlink="">
      <xdr:nvSpPr>
        <xdr:cNvPr id="5518" name="Text Box 82">
          <a:extLst>
            <a:ext uri="{FF2B5EF4-FFF2-40B4-BE49-F238E27FC236}">
              <a16:creationId xmlns:a16="http://schemas.microsoft.com/office/drawing/2014/main" xmlns="" id="{00000000-0008-0000-0000-00008E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519" name="Text Box 3079">
          <a:extLst>
            <a:ext uri="{FF2B5EF4-FFF2-40B4-BE49-F238E27FC236}">
              <a16:creationId xmlns:a16="http://schemas.microsoft.com/office/drawing/2014/main" xmlns="" id="{00000000-0008-0000-0000-00008F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520" name="Text Box 3080">
          <a:extLst>
            <a:ext uri="{FF2B5EF4-FFF2-40B4-BE49-F238E27FC236}">
              <a16:creationId xmlns:a16="http://schemas.microsoft.com/office/drawing/2014/main" xmlns="" id="{00000000-0008-0000-0000-000090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521" name="Text Box 3081">
          <a:extLst>
            <a:ext uri="{FF2B5EF4-FFF2-40B4-BE49-F238E27FC236}">
              <a16:creationId xmlns:a16="http://schemas.microsoft.com/office/drawing/2014/main" xmlns="" id="{00000000-0008-0000-0000-000091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522" name="Text Box 3082">
          <a:extLst>
            <a:ext uri="{FF2B5EF4-FFF2-40B4-BE49-F238E27FC236}">
              <a16:creationId xmlns:a16="http://schemas.microsoft.com/office/drawing/2014/main" xmlns="" id="{00000000-0008-0000-0000-000092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523" name="Text Box 3083">
          <a:extLst>
            <a:ext uri="{FF2B5EF4-FFF2-40B4-BE49-F238E27FC236}">
              <a16:creationId xmlns:a16="http://schemas.microsoft.com/office/drawing/2014/main" xmlns="" id="{00000000-0008-0000-0000-000093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524" name="Text Box 3084">
          <a:extLst>
            <a:ext uri="{FF2B5EF4-FFF2-40B4-BE49-F238E27FC236}">
              <a16:creationId xmlns:a16="http://schemas.microsoft.com/office/drawing/2014/main" xmlns="" id="{00000000-0008-0000-0000-000094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525" name="Text Box 3085">
          <a:extLst>
            <a:ext uri="{FF2B5EF4-FFF2-40B4-BE49-F238E27FC236}">
              <a16:creationId xmlns:a16="http://schemas.microsoft.com/office/drawing/2014/main" xmlns="" id="{00000000-0008-0000-0000-000095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526" name="Text Box 3086">
          <a:extLst>
            <a:ext uri="{FF2B5EF4-FFF2-40B4-BE49-F238E27FC236}">
              <a16:creationId xmlns:a16="http://schemas.microsoft.com/office/drawing/2014/main" xmlns="" id="{00000000-0008-0000-0000-000096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527" name="Text Box 3087">
          <a:extLst>
            <a:ext uri="{FF2B5EF4-FFF2-40B4-BE49-F238E27FC236}">
              <a16:creationId xmlns:a16="http://schemas.microsoft.com/office/drawing/2014/main" xmlns="" id="{00000000-0008-0000-0000-000097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528" name="Text Box 3088">
          <a:extLst>
            <a:ext uri="{FF2B5EF4-FFF2-40B4-BE49-F238E27FC236}">
              <a16:creationId xmlns:a16="http://schemas.microsoft.com/office/drawing/2014/main" xmlns="" id="{00000000-0008-0000-0000-000098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529" name="Text Box 3089">
          <a:extLst>
            <a:ext uri="{FF2B5EF4-FFF2-40B4-BE49-F238E27FC236}">
              <a16:creationId xmlns:a16="http://schemas.microsoft.com/office/drawing/2014/main" xmlns="" id="{00000000-0008-0000-0000-000099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530" name="Text Box 3090">
          <a:extLst>
            <a:ext uri="{FF2B5EF4-FFF2-40B4-BE49-F238E27FC236}">
              <a16:creationId xmlns:a16="http://schemas.microsoft.com/office/drawing/2014/main" xmlns="" id="{00000000-0008-0000-0000-00009A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531" name="Text Box 3091">
          <a:extLst>
            <a:ext uri="{FF2B5EF4-FFF2-40B4-BE49-F238E27FC236}">
              <a16:creationId xmlns:a16="http://schemas.microsoft.com/office/drawing/2014/main" xmlns="" id="{00000000-0008-0000-0000-00009B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532" name="Text Box 3092">
          <a:extLst>
            <a:ext uri="{FF2B5EF4-FFF2-40B4-BE49-F238E27FC236}">
              <a16:creationId xmlns:a16="http://schemas.microsoft.com/office/drawing/2014/main" xmlns="" id="{00000000-0008-0000-0000-00009C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533" name="Text Box 3093">
          <a:extLst>
            <a:ext uri="{FF2B5EF4-FFF2-40B4-BE49-F238E27FC236}">
              <a16:creationId xmlns:a16="http://schemas.microsoft.com/office/drawing/2014/main" xmlns="" id="{00000000-0008-0000-0000-00009D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534" name="Text Box 3094">
          <a:extLst>
            <a:ext uri="{FF2B5EF4-FFF2-40B4-BE49-F238E27FC236}">
              <a16:creationId xmlns:a16="http://schemas.microsoft.com/office/drawing/2014/main" xmlns="" id="{00000000-0008-0000-0000-00009E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535" name="Text Box 3095">
          <a:extLst>
            <a:ext uri="{FF2B5EF4-FFF2-40B4-BE49-F238E27FC236}">
              <a16:creationId xmlns:a16="http://schemas.microsoft.com/office/drawing/2014/main" xmlns="" id="{00000000-0008-0000-0000-00009F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536" name="Text Box 3096">
          <a:extLst>
            <a:ext uri="{FF2B5EF4-FFF2-40B4-BE49-F238E27FC236}">
              <a16:creationId xmlns:a16="http://schemas.microsoft.com/office/drawing/2014/main" xmlns="" id="{00000000-0008-0000-0000-0000A0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537" name="Text Box 3097">
          <a:extLst>
            <a:ext uri="{FF2B5EF4-FFF2-40B4-BE49-F238E27FC236}">
              <a16:creationId xmlns:a16="http://schemas.microsoft.com/office/drawing/2014/main" xmlns="" id="{00000000-0008-0000-0000-0000A1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538" name="Text Box 3098">
          <a:extLst>
            <a:ext uri="{FF2B5EF4-FFF2-40B4-BE49-F238E27FC236}">
              <a16:creationId xmlns:a16="http://schemas.microsoft.com/office/drawing/2014/main" xmlns="" id="{00000000-0008-0000-0000-0000A2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539" name="Text Box 3099">
          <a:extLst>
            <a:ext uri="{FF2B5EF4-FFF2-40B4-BE49-F238E27FC236}">
              <a16:creationId xmlns:a16="http://schemas.microsoft.com/office/drawing/2014/main" xmlns="" id="{00000000-0008-0000-0000-0000A3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540" name="Text Box 3100">
          <a:extLst>
            <a:ext uri="{FF2B5EF4-FFF2-40B4-BE49-F238E27FC236}">
              <a16:creationId xmlns:a16="http://schemas.microsoft.com/office/drawing/2014/main" xmlns="" id="{00000000-0008-0000-0000-0000A4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541" name="Text Box 3101">
          <a:extLst>
            <a:ext uri="{FF2B5EF4-FFF2-40B4-BE49-F238E27FC236}">
              <a16:creationId xmlns:a16="http://schemas.microsoft.com/office/drawing/2014/main" xmlns="" id="{00000000-0008-0000-0000-0000A5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5542" name="Text Box 3102">
          <a:extLst>
            <a:ext uri="{FF2B5EF4-FFF2-40B4-BE49-F238E27FC236}">
              <a16:creationId xmlns:a16="http://schemas.microsoft.com/office/drawing/2014/main" xmlns="" id="{00000000-0008-0000-0000-0000A6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543" name="Text Box 59">
          <a:extLst>
            <a:ext uri="{FF2B5EF4-FFF2-40B4-BE49-F238E27FC236}">
              <a16:creationId xmlns:a16="http://schemas.microsoft.com/office/drawing/2014/main" xmlns="" id="{00000000-0008-0000-0000-0000A7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544" name="Text Box 60">
          <a:extLst>
            <a:ext uri="{FF2B5EF4-FFF2-40B4-BE49-F238E27FC236}">
              <a16:creationId xmlns:a16="http://schemas.microsoft.com/office/drawing/2014/main" xmlns="" id="{00000000-0008-0000-0000-0000A8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545" name="Text Box 61">
          <a:extLst>
            <a:ext uri="{FF2B5EF4-FFF2-40B4-BE49-F238E27FC236}">
              <a16:creationId xmlns:a16="http://schemas.microsoft.com/office/drawing/2014/main" xmlns="" id="{00000000-0008-0000-0000-0000A9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546" name="Text Box 62">
          <a:extLst>
            <a:ext uri="{FF2B5EF4-FFF2-40B4-BE49-F238E27FC236}">
              <a16:creationId xmlns:a16="http://schemas.microsoft.com/office/drawing/2014/main" xmlns="" id="{00000000-0008-0000-0000-0000AA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547" name="Text Box 63">
          <a:extLst>
            <a:ext uri="{FF2B5EF4-FFF2-40B4-BE49-F238E27FC236}">
              <a16:creationId xmlns:a16="http://schemas.microsoft.com/office/drawing/2014/main" xmlns="" id="{00000000-0008-0000-0000-0000AB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548" name="Text Box 64">
          <a:extLst>
            <a:ext uri="{FF2B5EF4-FFF2-40B4-BE49-F238E27FC236}">
              <a16:creationId xmlns:a16="http://schemas.microsoft.com/office/drawing/2014/main" xmlns="" id="{00000000-0008-0000-0000-0000AC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549" name="Text Box 65">
          <a:extLst>
            <a:ext uri="{FF2B5EF4-FFF2-40B4-BE49-F238E27FC236}">
              <a16:creationId xmlns:a16="http://schemas.microsoft.com/office/drawing/2014/main" xmlns="" id="{00000000-0008-0000-0000-0000AD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550" name="Text Box 66">
          <a:extLst>
            <a:ext uri="{FF2B5EF4-FFF2-40B4-BE49-F238E27FC236}">
              <a16:creationId xmlns:a16="http://schemas.microsoft.com/office/drawing/2014/main" xmlns="" id="{00000000-0008-0000-0000-0000AE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551" name="Text Box 67">
          <a:extLst>
            <a:ext uri="{FF2B5EF4-FFF2-40B4-BE49-F238E27FC236}">
              <a16:creationId xmlns:a16="http://schemas.microsoft.com/office/drawing/2014/main" xmlns="" id="{00000000-0008-0000-0000-0000AF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552" name="Text Box 68">
          <a:extLst>
            <a:ext uri="{FF2B5EF4-FFF2-40B4-BE49-F238E27FC236}">
              <a16:creationId xmlns:a16="http://schemas.microsoft.com/office/drawing/2014/main" xmlns="" id="{00000000-0008-0000-0000-0000B0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553" name="Text Box 69">
          <a:extLst>
            <a:ext uri="{FF2B5EF4-FFF2-40B4-BE49-F238E27FC236}">
              <a16:creationId xmlns:a16="http://schemas.microsoft.com/office/drawing/2014/main" xmlns="" id="{00000000-0008-0000-0000-0000B1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554" name="Text Box 70">
          <a:extLst>
            <a:ext uri="{FF2B5EF4-FFF2-40B4-BE49-F238E27FC236}">
              <a16:creationId xmlns:a16="http://schemas.microsoft.com/office/drawing/2014/main" xmlns="" id="{00000000-0008-0000-0000-0000B2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555" name="Text Box 71">
          <a:extLst>
            <a:ext uri="{FF2B5EF4-FFF2-40B4-BE49-F238E27FC236}">
              <a16:creationId xmlns:a16="http://schemas.microsoft.com/office/drawing/2014/main" xmlns="" id="{00000000-0008-0000-0000-0000B3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556" name="Text Box 72">
          <a:extLst>
            <a:ext uri="{FF2B5EF4-FFF2-40B4-BE49-F238E27FC236}">
              <a16:creationId xmlns:a16="http://schemas.microsoft.com/office/drawing/2014/main" xmlns="" id="{00000000-0008-0000-0000-0000B4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557" name="Text Box 73">
          <a:extLst>
            <a:ext uri="{FF2B5EF4-FFF2-40B4-BE49-F238E27FC236}">
              <a16:creationId xmlns:a16="http://schemas.microsoft.com/office/drawing/2014/main" xmlns="" id="{00000000-0008-0000-0000-0000B5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558" name="Text Box 74">
          <a:extLst>
            <a:ext uri="{FF2B5EF4-FFF2-40B4-BE49-F238E27FC236}">
              <a16:creationId xmlns:a16="http://schemas.microsoft.com/office/drawing/2014/main" xmlns="" id="{00000000-0008-0000-0000-0000B6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559" name="Text Box 75">
          <a:extLst>
            <a:ext uri="{FF2B5EF4-FFF2-40B4-BE49-F238E27FC236}">
              <a16:creationId xmlns:a16="http://schemas.microsoft.com/office/drawing/2014/main" xmlns="" id="{00000000-0008-0000-0000-0000B7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560" name="Text Box 76">
          <a:extLst>
            <a:ext uri="{FF2B5EF4-FFF2-40B4-BE49-F238E27FC236}">
              <a16:creationId xmlns:a16="http://schemas.microsoft.com/office/drawing/2014/main" xmlns="" id="{00000000-0008-0000-0000-0000B8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561" name="Text Box 77">
          <a:extLst>
            <a:ext uri="{FF2B5EF4-FFF2-40B4-BE49-F238E27FC236}">
              <a16:creationId xmlns:a16="http://schemas.microsoft.com/office/drawing/2014/main" xmlns="" id="{00000000-0008-0000-0000-0000B9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562" name="Text Box 78">
          <a:extLst>
            <a:ext uri="{FF2B5EF4-FFF2-40B4-BE49-F238E27FC236}">
              <a16:creationId xmlns:a16="http://schemas.microsoft.com/office/drawing/2014/main" xmlns="" id="{00000000-0008-0000-0000-0000BA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563" name="Text Box 79">
          <a:extLst>
            <a:ext uri="{FF2B5EF4-FFF2-40B4-BE49-F238E27FC236}">
              <a16:creationId xmlns:a16="http://schemas.microsoft.com/office/drawing/2014/main" xmlns="" id="{00000000-0008-0000-0000-0000BB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564" name="Text Box 80">
          <a:extLst>
            <a:ext uri="{FF2B5EF4-FFF2-40B4-BE49-F238E27FC236}">
              <a16:creationId xmlns:a16="http://schemas.microsoft.com/office/drawing/2014/main" xmlns="" id="{00000000-0008-0000-0000-0000BC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565" name="Text Box 81">
          <a:extLst>
            <a:ext uri="{FF2B5EF4-FFF2-40B4-BE49-F238E27FC236}">
              <a16:creationId xmlns:a16="http://schemas.microsoft.com/office/drawing/2014/main" xmlns="" id="{00000000-0008-0000-0000-0000BD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566" name="Text Box 3079">
          <a:extLst>
            <a:ext uri="{FF2B5EF4-FFF2-40B4-BE49-F238E27FC236}">
              <a16:creationId xmlns:a16="http://schemas.microsoft.com/office/drawing/2014/main" xmlns="" id="{00000000-0008-0000-0000-0000BE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567" name="Text Box 3080">
          <a:extLst>
            <a:ext uri="{FF2B5EF4-FFF2-40B4-BE49-F238E27FC236}">
              <a16:creationId xmlns:a16="http://schemas.microsoft.com/office/drawing/2014/main" xmlns="" id="{00000000-0008-0000-0000-0000BF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568" name="Text Box 3081">
          <a:extLst>
            <a:ext uri="{FF2B5EF4-FFF2-40B4-BE49-F238E27FC236}">
              <a16:creationId xmlns:a16="http://schemas.microsoft.com/office/drawing/2014/main" xmlns="" id="{00000000-0008-0000-0000-0000C0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569" name="Text Box 3082">
          <a:extLst>
            <a:ext uri="{FF2B5EF4-FFF2-40B4-BE49-F238E27FC236}">
              <a16:creationId xmlns:a16="http://schemas.microsoft.com/office/drawing/2014/main" xmlns="" id="{00000000-0008-0000-0000-0000C1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570" name="Text Box 3083">
          <a:extLst>
            <a:ext uri="{FF2B5EF4-FFF2-40B4-BE49-F238E27FC236}">
              <a16:creationId xmlns:a16="http://schemas.microsoft.com/office/drawing/2014/main" xmlns="" id="{00000000-0008-0000-0000-0000C2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571" name="Text Box 3084">
          <a:extLst>
            <a:ext uri="{FF2B5EF4-FFF2-40B4-BE49-F238E27FC236}">
              <a16:creationId xmlns:a16="http://schemas.microsoft.com/office/drawing/2014/main" xmlns="" id="{00000000-0008-0000-0000-0000C3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572" name="Text Box 3085">
          <a:extLst>
            <a:ext uri="{FF2B5EF4-FFF2-40B4-BE49-F238E27FC236}">
              <a16:creationId xmlns:a16="http://schemas.microsoft.com/office/drawing/2014/main" xmlns="" id="{00000000-0008-0000-0000-0000C4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573" name="Text Box 3086">
          <a:extLst>
            <a:ext uri="{FF2B5EF4-FFF2-40B4-BE49-F238E27FC236}">
              <a16:creationId xmlns:a16="http://schemas.microsoft.com/office/drawing/2014/main" xmlns="" id="{00000000-0008-0000-0000-0000C5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574" name="Text Box 3087">
          <a:extLst>
            <a:ext uri="{FF2B5EF4-FFF2-40B4-BE49-F238E27FC236}">
              <a16:creationId xmlns:a16="http://schemas.microsoft.com/office/drawing/2014/main" xmlns="" id="{00000000-0008-0000-0000-0000C6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575" name="Text Box 3088">
          <a:extLst>
            <a:ext uri="{FF2B5EF4-FFF2-40B4-BE49-F238E27FC236}">
              <a16:creationId xmlns:a16="http://schemas.microsoft.com/office/drawing/2014/main" xmlns="" id="{00000000-0008-0000-0000-0000C7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576" name="Text Box 3089">
          <a:extLst>
            <a:ext uri="{FF2B5EF4-FFF2-40B4-BE49-F238E27FC236}">
              <a16:creationId xmlns:a16="http://schemas.microsoft.com/office/drawing/2014/main" xmlns="" id="{00000000-0008-0000-0000-0000C8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577" name="Text Box 3090">
          <a:extLst>
            <a:ext uri="{FF2B5EF4-FFF2-40B4-BE49-F238E27FC236}">
              <a16:creationId xmlns:a16="http://schemas.microsoft.com/office/drawing/2014/main" xmlns="" id="{00000000-0008-0000-0000-0000C9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578" name="Text Box 3091">
          <a:extLst>
            <a:ext uri="{FF2B5EF4-FFF2-40B4-BE49-F238E27FC236}">
              <a16:creationId xmlns:a16="http://schemas.microsoft.com/office/drawing/2014/main" xmlns="" id="{00000000-0008-0000-0000-0000CA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579" name="Text Box 3092">
          <a:extLst>
            <a:ext uri="{FF2B5EF4-FFF2-40B4-BE49-F238E27FC236}">
              <a16:creationId xmlns:a16="http://schemas.microsoft.com/office/drawing/2014/main" xmlns="" id="{00000000-0008-0000-0000-0000CB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580" name="Text Box 3093">
          <a:extLst>
            <a:ext uri="{FF2B5EF4-FFF2-40B4-BE49-F238E27FC236}">
              <a16:creationId xmlns:a16="http://schemas.microsoft.com/office/drawing/2014/main" xmlns="" id="{00000000-0008-0000-0000-0000CC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581" name="Text Box 3094">
          <a:extLst>
            <a:ext uri="{FF2B5EF4-FFF2-40B4-BE49-F238E27FC236}">
              <a16:creationId xmlns:a16="http://schemas.microsoft.com/office/drawing/2014/main" xmlns="" id="{00000000-0008-0000-0000-0000CD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582" name="Text Box 3095">
          <a:extLst>
            <a:ext uri="{FF2B5EF4-FFF2-40B4-BE49-F238E27FC236}">
              <a16:creationId xmlns:a16="http://schemas.microsoft.com/office/drawing/2014/main" xmlns="" id="{00000000-0008-0000-0000-0000CE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583" name="Text Box 3096">
          <a:extLst>
            <a:ext uri="{FF2B5EF4-FFF2-40B4-BE49-F238E27FC236}">
              <a16:creationId xmlns:a16="http://schemas.microsoft.com/office/drawing/2014/main" xmlns="" id="{00000000-0008-0000-0000-0000CF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584" name="Text Box 3097">
          <a:extLst>
            <a:ext uri="{FF2B5EF4-FFF2-40B4-BE49-F238E27FC236}">
              <a16:creationId xmlns:a16="http://schemas.microsoft.com/office/drawing/2014/main" xmlns="" id="{00000000-0008-0000-0000-0000D0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585" name="Text Box 3098">
          <a:extLst>
            <a:ext uri="{FF2B5EF4-FFF2-40B4-BE49-F238E27FC236}">
              <a16:creationId xmlns:a16="http://schemas.microsoft.com/office/drawing/2014/main" xmlns="" id="{00000000-0008-0000-0000-0000D1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586" name="Text Box 3099">
          <a:extLst>
            <a:ext uri="{FF2B5EF4-FFF2-40B4-BE49-F238E27FC236}">
              <a16:creationId xmlns:a16="http://schemas.microsoft.com/office/drawing/2014/main" xmlns="" id="{00000000-0008-0000-0000-0000D2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587" name="Text Box 3100">
          <a:extLst>
            <a:ext uri="{FF2B5EF4-FFF2-40B4-BE49-F238E27FC236}">
              <a16:creationId xmlns:a16="http://schemas.microsoft.com/office/drawing/2014/main" xmlns="" id="{00000000-0008-0000-0000-0000D3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588" name="Text Box 3101">
          <a:extLst>
            <a:ext uri="{FF2B5EF4-FFF2-40B4-BE49-F238E27FC236}">
              <a16:creationId xmlns:a16="http://schemas.microsoft.com/office/drawing/2014/main" xmlns="" id="{00000000-0008-0000-0000-0000D4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5589" name="Text Box 3102">
          <a:extLst>
            <a:ext uri="{FF2B5EF4-FFF2-40B4-BE49-F238E27FC236}">
              <a16:creationId xmlns:a16="http://schemas.microsoft.com/office/drawing/2014/main" xmlns="" id="{00000000-0008-0000-0000-0000D5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590" name="Text Box 59">
          <a:extLst>
            <a:ext uri="{FF2B5EF4-FFF2-40B4-BE49-F238E27FC236}">
              <a16:creationId xmlns:a16="http://schemas.microsoft.com/office/drawing/2014/main" xmlns="" id="{00000000-0008-0000-0000-0000D6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591" name="Text Box 60">
          <a:extLst>
            <a:ext uri="{FF2B5EF4-FFF2-40B4-BE49-F238E27FC236}">
              <a16:creationId xmlns:a16="http://schemas.microsoft.com/office/drawing/2014/main" xmlns="" id="{00000000-0008-0000-0000-0000D7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592" name="Text Box 61">
          <a:extLst>
            <a:ext uri="{FF2B5EF4-FFF2-40B4-BE49-F238E27FC236}">
              <a16:creationId xmlns:a16="http://schemas.microsoft.com/office/drawing/2014/main" xmlns="" id="{00000000-0008-0000-0000-0000D8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593" name="Text Box 62">
          <a:extLst>
            <a:ext uri="{FF2B5EF4-FFF2-40B4-BE49-F238E27FC236}">
              <a16:creationId xmlns:a16="http://schemas.microsoft.com/office/drawing/2014/main" xmlns="" id="{00000000-0008-0000-0000-0000D9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594" name="Text Box 63">
          <a:extLst>
            <a:ext uri="{FF2B5EF4-FFF2-40B4-BE49-F238E27FC236}">
              <a16:creationId xmlns:a16="http://schemas.microsoft.com/office/drawing/2014/main" xmlns="" id="{00000000-0008-0000-0000-0000DA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595" name="Text Box 64">
          <a:extLst>
            <a:ext uri="{FF2B5EF4-FFF2-40B4-BE49-F238E27FC236}">
              <a16:creationId xmlns:a16="http://schemas.microsoft.com/office/drawing/2014/main" xmlns="" id="{00000000-0008-0000-0000-0000DB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596" name="Text Box 65">
          <a:extLst>
            <a:ext uri="{FF2B5EF4-FFF2-40B4-BE49-F238E27FC236}">
              <a16:creationId xmlns:a16="http://schemas.microsoft.com/office/drawing/2014/main" xmlns="" id="{00000000-0008-0000-0000-0000DC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597" name="Text Box 66">
          <a:extLst>
            <a:ext uri="{FF2B5EF4-FFF2-40B4-BE49-F238E27FC236}">
              <a16:creationId xmlns:a16="http://schemas.microsoft.com/office/drawing/2014/main" xmlns="" id="{00000000-0008-0000-0000-0000DD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598" name="Text Box 67">
          <a:extLst>
            <a:ext uri="{FF2B5EF4-FFF2-40B4-BE49-F238E27FC236}">
              <a16:creationId xmlns:a16="http://schemas.microsoft.com/office/drawing/2014/main" xmlns="" id="{00000000-0008-0000-0000-0000DE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599" name="Text Box 68">
          <a:extLst>
            <a:ext uri="{FF2B5EF4-FFF2-40B4-BE49-F238E27FC236}">
              <a16:creationId xmlns:a16="http://schemas.microsoft.com/office/drawing/2014/main" xmlns="" id="{00000000-0008-0000-0000-0000DF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600" name="Text Box 69">
          <a:extLst>
            <a:ext uri="{FF2B5EF4-FFF2-40B4-BE49-F238E27FC236}">
              <a16:creationId xmlns:a16="http://schemas.microsoft.com/office/drawing/2014/main" xmlns="" id="{00000000-0008-0000-0000-0000E0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601" name="Text Box 70">
          <a:extLst>
            <a:ext uri="{FF2B5EF4-FFF2-40B4-BE49-F238E27FC236}">
              <a16:creationId xmlns:a16="http://schemas.microsoft.com/office/drawing/2014/main" xmlns="" id="{00000000-0008-0000-0000-0000E1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602" name="Text Box 71">
          <a:extLst>
            <a:ext uri="{FF2B5EF4-FFF2-40B4-BE49-F238E27FC236}">
              <a16:creationId xmlns:a16="http://schemas.microsoft.com/office/drawing/2014/main" xmlns="" id="{00000000-0008-0000-0000-0000E2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603" name="Text Box 72">
          <a:extLst>
            <a:ext uri="{FF2B5EF4-FFF2-40B4-BE49-F238E27FC236}">
              <a16:creationId xmlns:a16="http://schemas.microsoft.com/office/drawing/2014/main" xmlns="" id="{00000000-0008-0000-0000-0000E3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604" name="Text Box 73">
          <a:extLst>
            <a:ext uri="{FF2B5EF4-FFF2-40B4-BE49-F238E27FC236}">
              <a16:creationId xmlns:a16="http://schemas.microsoft.com/office/drawing/2014/main" xmlns="" id="{00000000-0008-0000-0000-0000E4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605" name="Text Box 74">
          <a:extLst>
            <a:ext uri="{FF2B5EF4-FFF2-40B4-BE49-F238E27FC236}">
              <a16:creationId xmlns:a16="http://schemas.microsoft.com/office/drawing/2014/main" xmlns="" id="{00000000-0008-0000-0000-0000E5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606" name="Text Box 75">
          <a:extLst>
            <a:ext uri="{FF2B5EF4-FFF2-40B4-BE49-F238E27FC236}">
              <a16:creationId xmlns:a16="http://schemas.microsoft.com/office/drawing/2014/main" xmlns="" id="{00000000-0008-0000-0000-0000E6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607" name="Text Box 76">
          <a:extLst>
            <a:ext uri="{FF2B5EF4-FFF2-40B4-BE49-F238E27FC236}">
              <a16:creationId xmlns:a16="http://schemas.microsoft.com/office/drawing/2014/main" xmlns="" id="{00000000-0008-0000-0000-0000E7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608" name="Text Box 77">
          <a:extLst>
            <a:ext uri="{FF2B5EF4-FFF2-40B4-BE49-F238E27FC236}">
              <a16:creationId xmlns:a16="http://schemas.microsoft.com/office/drawing/2014/main" xmlns="" id="{00000000-0008-0000-0000-0000E8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609" name="Text Box 78">
          <a:extLst>
            <a:ext uri="{FF2B5EF4-FFF2-40B4-BE49-F238E27FC236}">
              <a16:creationId xmlns:a16="http://schemas.microsoft.com/office/drawing/2014/main" xmlns="" id="{00000000-0008-0000-0000-0000E9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610" name="Text Box 79">
          <a:extLst>
            <a:ext uri="{FF2B5EF4-FFF2-40B4-BE49-F238E27FC236}">
              <a16:creationId xmlns:a16="http://schemas.microsoft.com/office/drawing/2014/main" xmlns="" id="{00000000-0008-0000-0000-0000EA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611" name="Text Box 80">
          <a:extLst>
            <a:ext uri="{FF2B5EF4-FFF2-40B4-BE49-F238E27FC236}">
              <a16:creationId xmlns:a16="http://schemas.microsoft.com/office/drawing/2014/main" xmlns="" id="{00000000-0008-0000-0000-0000EB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612" name="Text Box 81">
          <a:extLst>
            <a:ext uri="{FF2B5EF4-FFF2-40B4-BE49-F238E27FC236}">
              <a16:creationId xmlns:a16="http://schemas.microsoft.com/office/drawing/2014/main" xmlns="" id="{00000000-0008-0000-0000-0000EC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47625"/>
    <xdr:sp macro="" textlink="">
      <xdr:nvSpPr>
        <xdr:cNvPr id="5613" name="Text Box 82">
          <a:extLst>
            <a:ext uri="{FF2B5EF4-FFF2-40B4-BE49-F238E27FC236}">
              <a16:creationId xmlns:a16="http://schemas.microsoft.com/office/drawing/2014/main" xmlns="" id="{00000000-0008-0000-0000-0000ED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614" name="Text Box 3079">
          <a:extLst>
            <a:ext uri="{FF2B5EF4-FFF2-40B4-BE49-F238E27FC236}">
              <a16:creationId xmlns:a16="http://schemas.microsoft.com/office/drawing/2014/main" xmlns="" id="{00000000-0008-0000-0000-0000EE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615" name="Text Box 3080">
          <a:extLst>
            <a:ext uri="{FF2B5EF4-FFF2-40B4-BE49-F238E27FC236}">
              <a16:creationId xmlns:a16="http://schemas.microsoft.com/office/drawing/2014/main" xmlns="" id="{00000000-0008-0000-0000-0000EF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616" name="Text Box 3081">
          <a:extLst>
            <a:ext uri="{FF2B5EF4-FFF2-40B4-BE49-F238E27FC236}">
              <a16:creationId xmlns:a16="http://schemas.microsoft.com/office/drawing/2014/main" xmlns="" id="{00000000-0008-0000-0000-0000F0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617" name="Text Box 3082">
          <a:extLst>
            <a:ext uri="{FF2B5EF4-FFF2-40B4-BE49-F238E27FC236}">
              <a16:creationId xmlns:a16="http://schemas.microsoft.com/office/drawing/2014/main" xmlns="" id="{00000000-0008-0000-0000-0000F1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618" name="Text Box 3083">
          <a:extLst>
            <a:ext uri="{FF2B5EF4-FFF2-40B4-BE49-F238E27FC236}">
              <a16:creationId xmlns:a16="http://schemas.microsoft.com/office/drawing/2014/main" xmlns="" id="{00000000-0008-0000-0000-0000F2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619" name="Text Box 3084">
          <a:extLst>
            <a:ext uri="{FF2B5EF4-FFF2-40B4-BE49-F238E27FC236}">
              <a16:creationId xmlns:a16="http://schemas.microsoft.com/office/drawing/2014/main" xmlns="" id="{00000000-0008-0000-0000-0000F3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620" name="Text Box 3085">
          <a:extLst>
            <a:ext uri="{FF2B5EF4-FFF2-40B4-BE49-F238E27FC236}">
              <a16:creationId xmlns:a16="http://schemas.microsoft.com/office/drawing/2014/main" xmlns="" id="{00000000-0008-0000-0000-0000F4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621" name="Text Box 3086">
          <a:extLst>
            <a:ext uri="{FF2B5EF4-FFF2-40B4-BE49-F238E27FC236}">
              <a16:creationId xmlns:a16="http://schemas.microsoft.com/office/drawing/2014/main" xmlns="" id="{00000000-0008-0000-0000-0000F5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622" name="Text Box 3087">
          <a:extLst>
            <a:ext uri="{FF2B5EF4-FFF2-40B4-BE49-F238E27FC236}">
              <a16:creationId xmlns:a16="http://schemas.microsoft.com/office/drawing/2014/main" xmlns="" id="{00000000-0008-0000-0000-0000F6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623" name="Text Box 3088">
          <a:extLst>
            <a:ext uri="{FF2B5EF4-FFF2-40B4-BE49-F238E27FC236}">
              <a16:creationId xmlns:a16="http://schemas.microsoft.com/office/drawing/2014/main" xmlns="" id="{00000000-0008-0000-0000-0000F7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624" name="Text Box 3089">
          <a:extLst>
            <a:ext uri="{FF2B5EF4-FFF2-40B4-BE49-F238E27FC236}">
              <a16:creationId xmlns:a16="http://schemas.microsoft.com/office/drawing/2014/main" xmlns="" id="{00000000-0008-0000-0000-0000F8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625" name="Text Box 3090">
          <a:extLst>
            <a:ext uri="{FF2B5EF4-FFF2-40B4-BE49-F238E27FC236}">
              <a16:creationId xmlns:a16="http://schemas.microsoft.com/office/drawing/2014/main" xmlns="" id="{00000000-0008-0000-0000-0000F9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626" name="Text Box 3091">
          <a:extLst>
            <a:ext uri="{FF2B5EF4-FFF2-40B4-BE49-F238E27FC236}">
              <a16:creationId xmlns:a16="http://schemas.microsoft.com/office/drawing/2014/main" xmlns="" id="{00000000-0008-0000-0000-0000FA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627" name="Text Box 3092">
          <a:extLst>
            <a:ext uri="{FF2B5EF4-FFF2-40B4-BE49-F238E27FC236}">
              <a16:creationId xmlns:a16="http://schemas.microsoft.com/office/drawing/2014/main" xmlns="" id="{00000000-0008-0000-0000-0000FB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628" name="Text Box 3093">
          <a:extLst>
            <a:ext uri="{FF2B5EF4-FFF2-40B4-BE49-F238E27FC236}">
              <a16:creationId xmlns:a16="http://schemas.microsoft.com/office/drawing/2014/main" xmlns="" id="{00000000-0008-0000-0000-0000FC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629" name="Text Box 3094">
          <a:extLst>
            <a:ext uri="{FF2B5EF4-FFF2-40B4-BE49-F238E27FC236}">
              <a16:creationId xmlns:a16="http://schemas.microsoft.com/office/drawing/2014/main" xmlns="" id="{00000000-0008-0000-0000-0000FD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630" name="Text Box 3095">
          <a:extLst>
            <a:ext uri="{FF2B5EF4-FFF2-40B4-BE49-F238E27FC236}">
              <a16:creationId xmlns:a16="http://schemas.microsoft.com/office/drawing/2014/main" xmlns="" id="{00000000-0008-0000-0000-0000FE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631" name="Text Box 3096">
          <a:extLst>
            <a:ext uri="{FF2B5EF4-FFF2-40B4-BE49-F238E27FC236}">
              <a16:creationId xmlns:a16="http://schemas.microsoft.com/office/drawing/2014/main" xmlns="" id="{00000000-0008-0000-0000-0000FF1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632" name="Text Box 3097">
          <a:extLst>
            <a:ext uri="{FF2B5EF4-FFF2-40B4-BE49-F238E27FC236}">
              <a16:creationId xmlns:a16="http://schemas.microsoft.com/office/drawing/2014/main" xmlns="" id="{00000000-0008-0000-0000-000000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633" name="Text Box 3098">
          <a:extLst>
            <a:ext uri="{FF2B5EF4-FFF2-40B4-BE49-F238E27FC236}">
              <a16:creationId xmlns:a16="http://schemas.microsoft.com/office/drawing/2014/main" xmlns="" id="{00000000-0008-0000-0000-000001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634" name="Text Box 3099">
          <a:extLst>
            <a:ext uri="{FF2B5EF4-FFF2-40B4-BE49-F238E27FC236}">
              <a16:creationId xmlns:a16="http://schemas.microsoft.com/office/drawing/2014/main" xmlns="" id="{00000000-0008-0000-0000-000002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635" name="Text Box 3100">
          <a:extLst>
            <a:ext uri="{FF2B5EF4-FFF2-40B4-BE49-F238E27FC236}">
              <a16:creationId xmlns:a16="http://schemas.microsoft.com/office/drawing/2014/main" xmlns="" id="{00000000-0008-0000-0000-000003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636" name="Text Box 3101">
          <a:extLst>
            <a:ext uri="{FF2B5EF4-FFF2-40B4-BE49-F238E27FC236}">
              <a16:creationId xmlns:a16="http://schemas.microsoft.com/office/drawing/2014/main" xmlns="" id="{00000000-0008-0000-0000-000004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5637" name="Text Box 3102">
          <a:extLst>
            <a:ext uri="{FF2B5EF4-FFF2-40B4-BE49-F238E27FC236}">
              <a16:creationId xmlns:a16="http://schemas.microsoft.com/office/drawing/2014/main" xmlns="" id="{00000000-0008-0000-0000-000005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638" name="Text Box 59">
          <a:extLst>
            <a:ext uri="{FF2B5EF4-FFF2-40B4-BE49-F238E27FC236}">
              <a16:creationId xmlns:a16="http://schemas.microsoft.com/office/drawing/2014/main" xmlns="" id="{00000000-0008-0000-0000-000006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639" name="Text Box 60">
          <a:extLst>
            <a:ext uri="{FF2B5EF4-FFF2-40B4-BE49-F238E27FC236}">
              <a16:creationId xmlns:a16="http://schemas.microsoft.com/office/drawing/2014/main" xmlns="" id="{00000000-0008-0000-0000-000007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640" name="Text Box 61">
          <a:extLst>
            <a:ext uri="{FF2B5EF4-FFF2-40B4-BE49-F238E27FC236}">
              <a16:creationId xmlns:a16="http://schemas.microsoft.com/office/drawing/2014/main" xmlns="" id="{00000000-0008-0000-0000-000008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641" name="Text Box 62">
          <a:extLst>
            <a:ext uri="{FF2B5EF4-FFF2-40B4-BE49-F238E27FC236}">
              <a16:creationId xmlns:a16="http://schemas.microsoft.com/office/drawing/2014/main" xmlns="" id="{00000000-0008-0000-0000-000009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642" name="Text Box 63">
          <a:extLst>
            <a:ext uri="{FF2B5EF4-FFF2-40B4-BE49-F238E27FC236}">
              <a16:creationId xmlns:a16="http://schemas.microsoft.com/office/drawing/2014/main" xmlns="" id="{00000000-0008-0000-0000-00000A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643" name="Text Box 64">
          <a:extLst>
            <a:ext uri="{FF2B5EF4-FFF2-40B4-BE49-F238E27FC236}">
              <a16:creationId xmlns:a16="http://schemas.microsoft.com/office/drawing/2014/main" xmlns="" id="{00000000-0008-0000-0000-00000B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644" name="Text Box 65">
          <a:extLst>
            <a:ext uri="{FF2B5EF4-FFF2-40B4-BE49-F238E27FC236}">
              <a16:creationId xmlns:a16="http://schemas.microsoft.com/office/drawing/2014/main" xmlns="" id="{00000000-0008-0000-0000-00000C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645" name="Text Box 66">
          <a:extLst>
            <a:ext uri="{FF2B5EF4-FFF2-40B4-BE49-F238E27FC236}">
              <a16:creationId xmlns:a16="http://schemas.microsoft.com/office/drawing/2014/main" xmlns="" id="{00000000-0008-0000-0000-00000D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646" name="Text Box 67">
          <a:extLst>
            <a:ext uri="{FF2B5EF4-FFF2-40B4-BE49-F238E27FC236}">
              <a16:creationId xmlns:a16="http://schemas.microsoft.com/office/drawing/2014/main" xmlns="" id="{00000000-0008-0000-0000-00000E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647" name="Text Box 68">
          <a:extLst>
            <a:ext uri="{FF2B5EF4-FFF2-40B4-BE49-F238E27FC236}">
              <a16:creationId xmlns:a16="http://schemas.microsoft.com/office/drawing/2014/main" xmlns="" id="{00000000-0008-0000-0000-00000F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648" name="Text Box 69">
          <a:extLst>
            <a:ext uri="{FF2B5EF4-FFF2-40B4-BE49-F238E27FC236}">
              <a16:creationId xmlns:a16="http://schemas.microsoft.com/office/drawing/2014/main" xmlns="" id="{00000000-0008-0000-0000-000010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649" name="Text Box 70">
          <a:extLst>
            <a:ext uri="{FF2B5EF4-FFF2-40B4-BE49-F238E27FC236}">
              <a16:creationId xmlns:a16="http://schemas.microsoft.com/office/drawing/2014/main" xmlns="" id="{00000000-0008-0000-0000-000011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650" name="Text Box 71">
          <a:extLst>
            <a:ext uri="{FF2B5EF4-FFF2-40B4-BE49-F238E27FC236}">
              <a16:creationId xmlns:a16="http://schemas.microsoft.com/office/drawing/2014/main" xmlns="" id="{00000000-0008-0000-0000-000012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651" name="Text Box 72">
          <a:extLst>
            <a:ext uri="{FF2B5EF4-FFF2-40B4-BE49-F238E27FC236}">
              <a16:creationId xmlns:a16="http://schemas.microsoft.com/office/drawing/2014/main" xmlns="" id="{00000000-0008-0000-0000-000013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652" name="Text Box 73">
          <a:extLst>
            <a:ext uri="{FF2B5EF4-FFF2-40B4-BE49-F238E27FC236}">
              <a16:creationId xmlns:a16="http://schemas.microsoft.com/office/drawing/2014/main" xmlns="" id="{00000000-0008-0000-0000-000014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653" name="Text Box 74">
          <a:extLst>
            <a:ext uri="{FF2B5EF4-FFF2-40B4-BE49-F238E27FC236}">
              <a16:creationId xmlns:a16="http://schemas.microsoft.com/office/drawing/2014/main" xmlns="" id="{00000000-0008-0000-0000-000015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654" name="Text Box 75">
          <a:extLst>
            <a:ext uri="{FF2B5EF4-FFF2-40B4-BE49-F238E27FC236}">
              <a16:creationId xmlns:a16="http://schemas.microsoft.com/office/drawing/2014/main" xmlns="" id="{00000000-0008-0000-0000-000016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655" name="Text Box 76">
          <a:extLst>
            <a:ext uri="{FF2B5EF4-FFF2-40B4-BE49-F238E27FC236}">
              <a16:creationId xmlns:a16="http://schemas.microsoft.com/office/drawing/2014/main" xmlns="" id="{00000000-0008-0000-0000-000017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656" name="Text Box 77">
          <a:extLst>
            <a:ext uri="{FF2B5EF4-FFF2-40B4-BE49-F238E27FC236}">
              <a16:creationId xmlns:a16="http://schemas.microsoft.com/office/drawing/2014/main" xmlns="" id="{00000000-0008-0000-0000-000018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657" name="Text Box 78">
          <a:extLst>
            <a:ext uri="{FF2B5EF4-FFF2-40B4-BE49-F238E27FC236}">
              <a16:creationId xmlns:a16="http://schemas.microsoft.com/office/drawing/2014/main" xmlns="" id="{00000000-0008-0000-0000-000019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658" name="Text Box 79">
          <a:extLst>
            <a:ext uri="{FF2B5EF4-FFF2-40B4-BE49-F238E27FC236}">
              <a16:creationId xmlns:a16="http://schemas.microsoft.com/office/drawing/2014/main" xmlns="" id="{00000000-0008-0000-0000-00001A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659" name="Text Box 80">
          <a:extLst>
            <a:ext uri="{FF2B5EF4-FFF2-40B4-BE49-F238E27FC236}">
              <a16:creationId xmlns:a16="http://schemas.microsoft.com/office/drawing/2014/main" xmlns="" id="{00000000-0008-0000-0000-00001B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660" name="Text Box 81">
          <a:extLst>
            <a:ext uri="{FF2B5EF4-FFF2-40B4-BE49-F238E27FC236}">
              <a16:creationId xmlns:a16="http://schemas.microsoft.com/office/drawing/2014/main" xmlns="" id="{00000000-0008-0000-0000-00001C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661" name="Text Box 3079">
          <a:extLst>
            <a:ext uri="{FF2B5EF4-FFF2-40B4-BE49-F238E27FC236}">
              <a16:creationId xmlns:a16="http://schemas.microsoft.com/office/drawing/2014/main" xmlns="" id="{00000000-0008-0000-0000-00001D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662" name="Text Box 3080">
          <a:extLst>
            <a:ext uri="{FF2B5EF4-FFF2-40B4-BE49-F238E27FC236}">
              <a16:creationId xmlns:a16="http://schemas.microsoft.com/office/drawing/2014/main" xmlns="" id="{00000000-0008-0000-0000-00001E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663" name="Text Box 3081">
          <a:extLst>
            <a:ext uri="{FF2B5EF4-FFF2-40B4-BE49-F238E27FC236}">
              <a16:creationId xmlns:a16="http://schemas.microsoft.com/office/drawing/2014/main" xmlns="" id="{00000000-0008-0000-0000-00001F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664" name="Text Box 3082">
          <a:extLst>
            <a:ext uri="{FF2B5EF4-FFF2-40B4-BE49-F238E27FC236}">
              <a16:creationId xmlns:a16="http://schemas.microsoft.com/office/drawing/2014/main" xmlns="" id="{00000000-0008-0000-0000-000020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665" name="Text Box 3083">
          <a:extLst>
            <a:ext uri="{FF2B5EF4-FFF2-40B4-BE49-F238E27FC236}">
              <a16:creationId xmlns:a16="http://schemas.microsoft.com/office/drawing/2014/main" xmlns="" id="{00000000-0008-0000-0000-000021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666" name="Text Box 3084">
          <a:extLst>
            <a:ext uri="{FF2B5EF4-FFF2-40B4-BE49-F238E27FC236}">
              <a16:creationId xmlns:a16="http://schemas.microsoft.com/office/drawing/2014/main" xmlns="" id="{00000000-0008-0000-0000-000022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667" name="Text Box 3085">
          <a:extLst>
            <a:ext uri="{FF2B5EF4-FFF2-40B4-BE49-F238E27FC236}">
              <a16:creationId xmlns:a16="http://schemas.microsoft.com/office/drawing/2014/main" xmlns="" id="{00000000-0008-0000-0000-000023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668" name="Text Box 3086">
          <a:extLst>
            <a:ext uri="{FF2B5EF4-FFF2-40B4-BE49-F238E27FC236}">
              <a16:creationId xmlns:a16="http://schemas.microsoft.com/office/drawing/2014/main" xmlns="" id="{00000000-0008-0000-0000-000024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669" name="Text Box 3087">
          <a:extLst>
            <a:ext uri="{FF2B5EF4-FFF2-40B4-BE49-F238E27FC236}">
              <a16:creationId xmlns:a16="http://schemas.microsoft.com/office/drawing/2014/main" xmlns="" id="{00000000-0008-0000-0000-000025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670" name="Text Box 3088">
          <a:extLst>
            <a:ext uri="{FF2B5EF4-FFF2-40B4-BE49-F238E27FC236}">
              <a16:creationId xmlns:a16="http://schemas.microsoft.com/office/drawing/2014/main" xmlns="" id="{00000000-0008-0000-0000-000026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671" name="Text Box 3089">
          <a:extLst>
            <a:ext uri="{FF2B5EF4-FFF2-40B4-BE49-F238E27FC236}">
              <a16:creationId xmlns:a16="http://schemas.microsoft.com/office/drawing/2014/main" xmlns="" id="{00000000-0008-0000-0000-000027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672" name="Text Box 3090">
          <a:extLst>
            <a:ext uri="{FF2B5EF4-FFF2-40B4-BE49-F238E27FC236}">
              <a16:creationId xmlns:a16="http://schemas.microsoft.com/office/drawing/2014/main" xmlns="" id="{00000000-0008-0000-0000-000028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673" name="Text Box 3091">
          <a:extLst>
            <a:ext uri="{FF2B5EF4-FFF2-40B4-BE49-F238E27FC236}">
              <a16:creationId xmlns:a16="http://schemas.microsoft.com/office/drawing/2014/main" xmlns="" id="{00000000-0008-0000-0000-000029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674" name="Text Box 3092">
          <a:extLst>
            <a:ext uri="{FF2B5EF4-FFF2-40B4-BE49-F238E27FC236}">
              <a16:creationId xmlns:a16="http://schemas.microsoft.com/office/drawing/2014/main" xmlns="" id="{00000000-0008-0000-0000-00002A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675" name="Text Box 3093">
          <a:extLst>
            <a:ext uri="{FF2B5EF4-FFF2-40B4-BE49-F238E27FC236}">
              <a16:creationId xmlns:a16="http://schemas.microsoft.com/office/drawing/2014/main" xmlns="" id="{00000000-0008-0000-0000-00002B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676" name="Text Box 3094">
          <a:extLst>
            <a:ext uri="{FF2B5EF4-FFF2-40B4-BE49-F238E27FC236}">
              <a16:creationId xmlns:a16="http://schemas.microsoft.com/office/drawing/2014/main" xmlns="" id="{00000000-0008-0000-0000-00002C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677" name="Text Box 3095">
          <a:extLst>
            <a:ext uri="{FF2B5EF4-FFF2-40B4-BE49-F238E27FC236}">
              <a16:creationId xmlns:a16="http://schemas.microsoft.com/office/drawing/2014/main" xmlns="" id="{00000000-0008-0000-0000-00002D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678" name="Text Box 3096">
          <a:extLst>
            <a:ext uri="{FF2B5EF4-FFF2-40B4-BE49-F238E27FC236}">
              <a16:creationId xmlns:a16="http://schemas.microsoft.com/office/drawing/2014/main" xmlns="" id="{00000000-0008-0000-0000-00002E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679" name="Text Box 3097">
          <a:extLst>
            <a:ext uri="{FF2B5EF4-FFF2-40B4-BE49-F238E27FC236}">
              <a16:creationId xmlns:a16="http://schemas.microsoft.com/office/drawing/2014/main" xmlns="" id="{00000000-0008-0000-0000-00002F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680" name="Text Box 3098">
          <a:extLst>
            <a:ext uri="{FF2B5EF4-FFF2-40B4-BE49-F238E27FC236}">
              <a16:creationId xmlns:a16="http://schemas.microsoft.com/office/drawing/2014/main" xmlns="" id="{00000000-0008-0000-0000-000030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681" name="Text Box 3099">
          <a:extLst>
            <a:ext uri="{FF2B5EF4-FFF2-40B4-BE49-F238E27FC236}">
              <a16:creationId xmlns:a16="http://schemas.microsoft.com/office/drawing/2014/main" xmlns="" id="{00000000-0008-0000-0000-000031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682" name="Text Box 3100">
          <a:extLst>
            <a:ext uri="{FF2B5EF4-FFF2-40B4-BE49-F238E27FC236}">
              <a16:creationId xmlns:a16="http://schemas.microsoft.com/office/drawing/2014/main" xmlns="" id="{00000000-0008-0000-0000-000032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683" name="Text Box 3101">
          <a:extLst>
            <a:ext uri="{FF2B5EF4-FFF2-40B4-BE49-F238E27FC236}">
              <a16:creationId xmlns:a16="http://schemas.microsoft.com/office/drawing/2014/main" xmlns="" id="{00000000-0008-0000-0000-000033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5684" name="Text Box 3102">
          <a:extLst>
            <a:ext uri="{FF2B5EF4-FFF2-40B4-BE49-F238E27FC236}">
              <a16:creationId xmlns:a16="http://schemas.microsoft.com/office/drawing/2014/main" xmlns="" id="{00000000-0008-0000-0000-000034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685" name="Text Box 59">
          <a:extLst>
            <a:ext uri="{FF2B5EF4-FFF2-40B4-BE49-F238E27FC236}">
              <a16:creationId xmlns:a16="http://schemas.microsoft.com/office/drawing/2014/main" xmlns="" id="{00000000-0008-0000-0000-000035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686" name="Text Box 60">
          <a:extLst>
            <a:ext uri="{FF2B5EF4-FFF2-40B4-BE49-F238E27FC236}">
              <a16:creationId xmlns:a16="http://schemas.microsoft.com/office/drawing/2014/main" xmlns="" id="{00000000-0008-0000-0000-000036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687" name="Text Box 61">
          <a:extLst>
            <a:ext uri="{FF2B5EF4-FFF2-40B4-BE49-F238E27FC236}">
              <a16:creationId xmlns:a16="http://schemas.microsoft.com/office/drawing/2014/main" xmlns="" id="{00000000-0008-0000-0000-000037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688" name="Text Box 62">
          <a:extLst>
            <a:ext uri="{FF2B5EF4-FFF2-40B4-BE49-F238E27FC236}">
              <a16:creationId xmlns:a16="http://schemas.microsoft.com/office/drawing/2014/main" xmlns="" id="{00000000-0008-0000-0000-000038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689" name="Text Box 63">
          <a:extLst>
            <a:ext uri="{FF2B5EF4-FFF2-40B4-BE49-F238E27FC236}">
              <a16:creationId xmlns:a16="http://schemas.microsoft.com/office/drawing/2014/main" xmlns="" id="{00000000-0008-0000-0000-000039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690" name="Text Box 64">
          <a:extLst>
            <a:ext uri="{FF2B5EF4-FFF2-40B4-BE49-F238E27FC236}">
              <a16:creationId xmlns:a16="http://schemas.microsoft.com/office/drawing/2014/main" xmlns="" id="{00000000-0008-0000-0000-00003A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691" name="Text Box 65">
          <a:extLst>
            <a:ext uri="{FF2B5EF4-FFF2-40B4-BE49-F238E27FC236}">
              <a16:creationId xmlns:a16="http://schemas.microsoft.com/office/drawing/2014/main" xmlns="" id="{00000000-0008-0000-0000-00003B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692" name="Text Box 66">
          <a:extLst>
            <a:ext uri="{FF2B5EF4-FFF2-40B4-BE49-F238E27FC236}">
              <a16:creationId xmlns:a16="http://schemas.microsoft.com/office/drawing/2014/main" xmlns="" id="{00000000-0008-0000-0000-00003C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693" name="Text Box 67">
          <a:extLst>
            <a:ext uri="{FF2B5EF4-FFF2-40B4-BE49-F238E27FC236}">
              <a16:creationId xmlns:a16="http://schemas.microsoft.com/office/drawing/2014/main" xmlns="" id="{00000000-0008-0000-0000-00003D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694" name="Text Box 68">
          <a:extLst>
            <a:ext uri="{FF2B5EF4-FFF2-40B4-BE49-F238E27FC236}">
              <a16:creationId xmlns:a16="http://schemas.microsoft.com/office/drawing/2014/main" xmlns="" id="{00000000-0008-0000-0000-00003E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695" name="Text Box 69">
          <a:extLst>
            <a:ext uri="{FF2B5EF4-FFF2-40B4-BE49-F238E27FC236}">
              <a16:creationId xmlns:a16="http://schemas.microsoft.com/office/drawing/2014/main" xmlns="" id="{00000000-0008-0000-0000-00003F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696" name="Text Box 70">
          <a:extLst>
            <a:ext uri="{FF2B5EF4-FFF2-40B4-BE49-F238E27FC236}">
              <a16:creationId xmlns:a16="http://schemas.microsoft.com/office/drawing/2014/main" xmlns="" id="{00000000-0008-0000-0000-000040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697" name="Text Box 71">
          <a:extLst>
            <a:ext uri="{FF2B5EF4-FFF2-40B4-BE49-F238E27FC236}">
              <a16:creationId xmlns:a16="http://schemas.microsoft.com/office/drawing/2014/main" xmlns="" id="{00000000-0008-0000-0000-000041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698" name="Text Box 72">
          <a:extLst>
            <a:ext uri="{FF2B5EF4-FFF2-40B4-BE49-F238E27FC236}">
              <a16:creationId xmlns:a16="http://schemas.microsoft.com/office/drawing/2014/main" xmlns="" id="{00000000-0008-0000-0000-000042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699" name="Text Box 73">
          <a:extLst>
            <a:ext uri="{FF2B5EF4-FFF2-40B4-BE49-F238E27FC236}">
              <a16:creationId xmlns:a16="http://schemas.microsoft.com/office/drawing/2014/main" xmlns="" id="{00000000-0008-0000-0000-000043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700" name="Text Box 74">
          <a:extLst>
            <a:ext uri="{FF2B5EF4-FFF2-40B4-BE49-F238E27FC236}">
              <a16:creationId xmlns:a16="http://schemas.microsoft.com/office/drawing/2014/main" xmlns="" id="{00000000-0008-0000-0000-000044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701" name="Text Box 75">
          <a:extLst>
            <a:ext uri="{FF2B5EF4-FFF2-40B4-BE49-F238E27FC236}">
              <a16:creationId xmlns:a16="http://schemas.microsoft.com/office/drawing/2014/main" xmlns="" id="{00000000-0008-0000-0000-000045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702" name="Text Box 76">
          <a:extLst>
            <a:ext uri="{FF2B5EF4-FFF2-40B4-BE49-F238E27FC236}">
              <a16:creationId xmlns:a16="http://schemas.microsoft.com/office/drawing/2014/main" xmlns="" id="{00000000-0008-0000-0000-000046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703" name="Text Box 77">
          <a:extLst>
            <a:ext uri="{FF2B5EF4-FFF2-40B4-BE49-F238E27FC236}">
              <a16:creationId xmlns:a16="http://schemas.microsoft.com/office/drawing/2014/main" xmlns="" id="{00000000-0008-0000-0000-000047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704" name="Text Box 78">
          <a:extLst>
            <a:ext uri="{FF2B5EF4-FFF2-40B4-BE49-F238E27FC236}">
              <a16:creationId xmlns:a16="http://schemas.microsoft.com/office/drawing/2014/main" xmlns="" id="{00000000-0008-0000-0000-000048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705" name="Text Box 79">
          <a:extLst>
            <a:ext uri="{FF2B5EF4-FFF2-40B4-BE49-F238E27FC236}">
              <a16:creationId xmlns:a16="http://schemas.microsoft.com/office/drawing/2014/main" xmlns="" id="{00000000-0008-0000-0000-000049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706" name="Text Box 80">
          <a:extLst>
            <a:ext uri="{FF2B5EF4-FFF2-40B4-BE49-F238E27FC236}">
              <a16:creationId xmlns:a16="http://schemas.microsoft.com/office/drawing/2014/main" xmlns="" id="{00000000-0008-0000-0000-00004A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707" name="Text Box 81">
          <a:extLst>
            <a:ext uri="{FF2B5EF4-FFF2-40B4-BE49-F238E27FC236}">
              <a16:creationId xmlns:a16="http://schemas.microsoft.com/office/drawing/2014/main" xmlns="" id="{00000000-0008-0000-0000-00004B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47625"/>
    <xdr:sp macro="" textlink="">
      <xdr:nvSpPr>
        <xdr:cNvPr id="5708" name="Text Box 82">
          <a:extLst>
            <a:ext uri="{FF2B5EF4-FFF2-40B4-BE49-F238E27FC236}">
              <a16:creationId xmlns:a16="http://schemas.microsoft.com/office/drawing/2014/main" xmlns="" id="{00000000-0008-0000-0000-00004C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709" name="Text Box 3079">
          <a:extLst>
            <a:ext uri="{FF2B5EF4-FFF2-40B4-BE49-F238E27FC236}">
              <a16:creationId xmlns:a16="http://schemas.microsoft.com/office/drawing/2014/main" xmlns="" id="{00000000-0008-0000-0000-00004D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710" name="Text Box 3080">
          <a:extLst>
            <a:ext uri="{FF2B5EF4-FFF2-40B4-BE49-F238E27FC236}">
              <a16:creationId xmlns:a16="http://schemas.microsoft.com/office/drawing/2014/main" xmlns="" id="{00000000-0008-0000-0000-00004E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711" name="Text Box 3081">
          <a:extLst>
            <a:ext uri="{FF2B5EF4-FFF2-40B4-BE49-F238E27FC236}">
              <a16:creationId xmlns:a16="http://schemas.microsoft.com/office/drawing/2014/main" xmlns="" id="{00000000-0008-0000-0000-00004F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712" name="Text Box 3082">
          <a:extLst>
            <a:ext uri="{FF2B5EF4-FFF2-40B4-BE49-F238E27FC236}">
              <a16:creationId xmlns:a16="http://schemas.microsoft.com/office/drawing/2014/main" xmlns="" id="{00000000-0008-0000-0000-000050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713" name="Text Box 3083">
          <a:extLst>
            <a:ext uri="{FF2B5EF4-FFF2-40B4-BE49-F238E27FC236}">
              <a16:creationId xmlns:a16="http://schemas.microsoft.com/office/drawing/2014/main" xmlns="" id="{00000000-0008-0000-0000-000051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714" name="Text Box 3084">
          <a:extLst>
            <a:ext uri="{FF2B5EF4-FFF2-40B4-BE49-F238E27FC236}">
              <a16:creationId xmlns:a16="http://schemas.microsoft.com/office/drawing/2014/main" xmlns="" id="{00000000-0008-0000-0000-000052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715" name="Text Box 3085">
          <a:extLst>
            <a:ext uri="{FF2B5EF4-FFF2-40B4-BE49-F238E27FC236}">
              <a16:creationId xmlns:a16="http://schemas.microsoft.com/office/drawing/2014/main" xmlns="" id="{00000000-0008-0000-0000-000053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716" name="Text Box 3086">
          <a:extLst>
            <a:ext uri="{FF2B5EF4-FFF2-40B4-BE49-F238E27FC236}">
              <a16:creationId xmlns:a16="http://schemas.microsoft.com/office/drawing/2014/main" xmlns="" id="{00000000-0008-0000-0000-000054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717" name="Text Box 3087">
          <a:extLst>
            <a:ext uri="{FF2B5EF4-FFF2-40B4-BE49-F238E27FC236}">
              <a16:creationId xmlns:a16="http://schemas.microsoft.com/office/drawing/2014/main" xmlns="" id="{00000000-0008-0000-0000-000055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718" name="Text Box 3088">
          <a:extLst>
            <a:ext uri="{FF2B5EF4-FFF2-40B4-BE49-F238E27FC236}">
              <a16:creationId xmlns:a16="http://schemas.microsoft.com/office/drawing/2014/main" xmlns="" id="{00000000-0008-0000-0000-000056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719" name="Text Box 3089">
          <a:extLst>
            <a:ext uri="{FF2B5EF4-FFF2-40B4-BE49-F238E27FC236}">
              <a16:creationId xmlns:a16="http://schemas.microsoft.com/office/drawing/2014/main" xmlns="" id="{00000000-0008-0000-0000-000057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720" name="Text Box 3090">
          <a:extLst>
            <a:ext uri="{FF2B5EF4-FFF2-40B4-BE49-F238E27FC236}">
              <a16:creationId xmlns:a16="http://schemas.microsoft.com/office/drawing/2014/main" xmlns="" id="{00000000-0008-0000-0000-000058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721" name="Text Box 3091">
          <a:extLst>
            <a:ext uri="{FF2B5EF4-FFF2-40B4-BE49-F238E27FC236}">
              <a16:creationId xmlns:a16="http://schemas.microsoft.com/office/drawing/2014/main" xmlns="" id="{00000000-0008-0000-0000-000059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722" name="Text Box 3092">
          <a:extLst>
            <a:ext uri="{FF2B5EF4-FFF2-40B4-BE49-F238E27FC236}">
              <a16:creationId xmlns:a16="http://schemas.microsoft.com/office/drawing/2014/main" xmlns="" id="{00000000-0008-0000-0000-00005A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723" name="Text Box 3093">
          <a:extLst>
            <a:ext uri="{FF2B5EF4-FFF2-40B4-BE49-F238E27FC236}">
              <a16:creationId xmlns:a16="http://schemas.microsoft.com/office/drawing/2014/main" xmlns="" id="{00000000-0008-0000-0000-00005B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724" name="Text Box 3094">
          <a:extLst>
            <a:ext uri="{FF2B5EF4-FFF2-40B4-BE49-F238E27FC236}">
              <a16:creationId xmlns:a16="http://schemas.microsoft.com/office/drawing/2014/main" xmlns="" id="{00000000-0008-0000-0000-00005C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725" name="Text Box 3095">
          <a:extLst>
            <a:ext uri="{FF2B5EF4-FFF2-40B4-BE49-F238E27FC236}">
              <a16:creationId xmlns:a16="http://schemas.microsoft.com/office/drawing/2014/main" xmlns="" id="{00000000-0008-0000-0000-00005D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726" name="Text Box 3096">
          <a:extLst>
            <a:ext uri="{FF2B5EF4-FFF2-40B4-BE49-F238E27FC236}">
              <a16:creationId xmlns:a16="http://schemas.microsoft.com/office/drawing/2014/main" xmlns="" id="{00000000-0008-0000-0000-00005E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727" name="Text Box 3097">
          <a:extLst>
            <a:ext uri="{FF2B5EF4-FFF2-40B4-BE49-F238E27FC236}">
              <a16:creationId xmlns:a16="http://schemas.microsoft.com/office/drawing/2014/main" xmlns="" id="{00000000-0008-0000-0000-00005F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728" name="Text Box 3098">
          <a:extLst>
            <a:ext uri="{FF2B5EF4-FFF2-40B4-BE49-F238E27FC236}">
              <a16:creationId xmlns:a16="http://schemas.microsoft.com/office/drawing/2014/main" xmlns="" id="{00000000-0008-0000-0000-000060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729" name="Text Box 3099">
          <a:extLst>
            <a:ext uri="{FF2B5EF4-FFF2-40B4-BE49-F238E27FC236}">
              <a16:creationId xmlns:a16="http://schemas.microsoft.com/office/drawing/2014/main" xmlns="" id="{00000000-0008-0000-0000-000061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730" name="Text Box 3100">
          <a:extLst>
            <a:ext uri="{FF2B5EF4-FFF2-40B4-BE49-F238E27FC236}">
              <a16:creationId xmlns:a16="http://schemas.microsoft.com/office/drawing/2014/main" xmlns="" id="{00000000-0008-0000-0000-000062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731" name="Text Box 3101">
          <a:extLst>
            <a:ext uri="{FF2B5EF4-FFF2-40B4-BE49-F238E27FC236}">
              <a16:creationId xmlns:a16="http://schemas.microsoft.com/office/drawing/2014/main" xmlns="" id="{00000000-0008-0000-0000-000063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5732" name="Text Box 3102">
          <a:extLst>
            <a:ext uri="{FF2B5EF4-FFF2-40B4-BE49-F238E27FC236}">
              <a16:creationId xmlns:a16="http://schemas.microsoft.com/office/drawing/2014/main" xmlns="" id="{00000000-0008-0000-0000-000064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733" name="Text Box 59">
          <a:extLst>
            <a:ext uri="{FF2B5EF4-FFF2-40B4-BE49-F238E27FC236}">
              <a16:creationId xmlns:a16="http://schemas.microsoft.com/office/drawing/2014/main" xmlns="" id="{00000000-0008-0000-0000-000065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734" name="Text Box 60">
          <a:extLst>
            <a:ext uri="{FF2B5EF4-FFF2-40B4-BE49-F238E27FC236}">
              <a16:creationId xmlns:a16="http://schemas.microsoft.com/office/drawing/2014/main" xmlns="" id="{00000000-0008-0000-0000-000066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735" name="Text Box 61">
          <a:extLst>
            <a:ext uri="{FF2B5EF4-FFF2-40B4-BE49-F238E27FC236}">
              <a16:creationId xmlns:a16="http://schemas.microsoft.com/office/drawing/2014/main" xmlns="" id="{00000000-0008-0000-0000-000067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736" name="Text Box 62">
          <a:extLst>
            <a:ext uri="{FF2B5EF4-FFF2-40B4-BE49-F238E27FC236}">
              <a16:creationId xmlns:a16="http://schemas.microsoft.com/office/drawing/2014/main" xmlns="" id="{00000000-0008-0000-0000-000068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737" name="Text Box 63">
          <a:extLst>
            <a:ext uri="{FF2B5EF4-FFF2-40B4-BE49-F238E27FC236}">
              <a16:creationId xmlns:a16="http://schemas.microsoft.com/office/drawing/2014/main" xmlns="" id="{00000000-0008-0000-0000-000069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738" name="Text Box 64">
          <a:extLst>
            <a:ext uri="{FF2B5EF4-FFF2-40B4-BE49-F238E27FC236}">
              <a16:creationId xmlns:a16="http://schemas.microsoft.com/office/drawing/2014/main" xmlns="" id="{00000000-0008-0000-0000-00006A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739" name="Text Box 65">
          <a:extLst>
            <a:ext uri="{FF2B5EF4-FFF2-40B4-BE49-F238E27FC236}">
              <a16:creationId xmlns:a16="http://schemas.microsoft.com/office/drawing/2014/main" xmlns="" id="{00000000-0008-0000-0000-00006B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740" name="Text Box 66">
          <a:extLst>
            <a:ext uri="{FF2B5EF4-FFF2-40B4-BE49-F238E27FC236}">
              <a16:creationId xmlns:a16="http://schemas.microsoft.com/office/drawing/2014/main" xmlns="" id="{00000000-0008-0000-0000-00006C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741" name="Text Box 67">
          <a:extLst>
            <a:ext uri="{FF2B5EF4-FFF2-40B4-BE49-F238E27FC236}">
              <a16:creationId xmlns:a16="http://schemas.microsoft.com/office/drawing/2014/main" xmlns="" id="{00000000-0008-0000-0000-00006D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742" name="Text Box 68">
          <a:extLst>
            <a:ext uri="{FF2B5EF4-FFF2-40B4-BE49-F238E27FC236}">
              <a16:creationId xmlns:a16="http://schemas.microsoft.com/office/drawing/2014/main" xmlns="" id="{00000000-0008-0000-0000-00006E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743" name="Text Box 69">
          <a:extLst>
            <a:ext uri="{FF2B5EF4-FFF2-40B4-BE49-F238E27FC236}">
              <a16:creationId xmlns:a16="http://schemas.microsoft.com/office/drawing/2014/main" xmlns="" id="{00000000-0008-0000-0000-00006F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744" name="Text Box 70">
          <a:extLst>
            <a:ext uri="{FF2B5EF4-FFF2-40B4-BE49-F238E27FC236}">
              <a16:creationId xmlns:a16="http://schemas.microsoft.com/office/drawing/2014/main" xmlns="" id="{00000000-0008-0000-0000-000070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745" name="Text Box 71">
          <a:extLst>
            <a:ext uri="{FF2B5EF4-FFF2-40B4-BE49-F238E27FC236}">
              <a16:creationId xmlns:a16="http://schemas.microsoft.com/office/drawing/2014/main" xmlns="" id="{00000000-0008-0000-0000-000071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746" name="Text Box 72">
          <a:extLst>
            <a:ext uri="{FF2B5EF4-FFF2-40B4-BE49-F238E27FC236}">
              <a16:creationId xmlns:a16="http://schemas.microsoft.com/office/drawing/2014/main" xmlns="" id="{00000000-0008-0000-0000-000072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747" name="Text Box 73">
          <a:extLst>
            <a:ext uri="{FF2B5EF4-FFF2-40B4-BE49-F238E27FC236}">
              <a16:creationId xmlns:a16="http://schemas.microsoft.com/office/drawing/2014/main" xmlns="" id="{00000000-0008-0000-0000-000073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748" name="Text Box 74">
          <a:extLst>
            <a:ext uri="{FF2B5EF4-FFF2-40B4-BE49-F238E27FC236}">
              <a16:creationId xmlns:a16="http://schemas.microsoft.com/office/drawing/2014/main" xmlns="" id="{00000000-0008-0000-0000-000074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749" name="Text Box 75">
          <a:extLst>
            <a:ext uri="{FF2B5EF4-FFF2-40B4-BE49-F238E27FC236}">
              <a16:creationId xmlns:a16="http://schemas.microsoft.com/office/drawing/2014/main" xmlns="" id="{00000000-0008-0000-0000-000075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750" name="Text Box 76">
          <a:extLst>
            <a:ext uri="{FF2B5EF4-FFF2-40B4-BE49-F238E27FC236}">
              <a16:creationId xmlns:a16="http://schemas.microsoft.com/office/drawing/2014/main" xmlns="" id="{00000000-0008-0000-0000-000076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751" name="Text Box 77">
          <a:extLst>
            <a:ext uri="{FF2B5EF4-FFF2-40B4-BE49-F238E27FC236}">
              <a16:creationId xmlns:a16="http://schemas.microsoft.com/office/drawing/2014/main" xmlns="" id="{00000000-0008-0000-0000-000077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752" name="Text Box 78">
          <a:extLst>
            <a:ext uri="{FF2B5EF4-FFF2-40B4-BE49-F238E27FC236}">
              <a16:creationId xmlns:a16="http://schemas.microsoft.com/office/drawing/2014/main" xmlns="" id="{00000000-0008-0000-0000-000078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753" name="Text Box 79">
          <a:extLst>
            <a:ext uri="{FF2B5EF4-FFF2-40B4-BE49-F238E27FC236}">
              <a16:creationId xmlns:a16="http://schemas.microsoft.com/office/drawing/2014/main" xmlns="" id="{00000000-0008-0000-0000-000079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754" name="Text Box 80">
          <a:extLst>
            <a:ext uri="{FF2B5EF4-FFF2-40B4-BE49-F238E27FC236}">
              <a16:creationId xmlns:a16="http://schemas.microsoft.com/office/drawing/2014/main" xmlns="" id="{00000000-0008-0000-0000-00007A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755" name="Text Box 81">
          <a:extLst>
            <a:ext uri="{FF2B5EF4-FFF2-40B4-BE49-F238E27FC236}">
              <a16:creationId xmlns:a16="http://schemas.microsoft.com/office/drawing/2014/main" xmlns="" id="{00000000-0008-0000-0000-00007B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756" name="Text Box 3079">
          <a:extLst>
            <a:ext uri="{FF2B5EF4-FFF2-40B4-BE49-F238E27FC236}">
              <a16:creationId xmlns:a16="http://schemas.microsoft.com/office/drawing/2014/main" xmlns="" id="{00000000-0008-0000-0000-00007C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757" name="Text Box 3080">
          <a:extLst>
            <a:ext uri="{FF2B5EF4-FFF2-40B4-BE49-F238E27FC236}">
              <a16:creationId xmlns:a16="http://schemas.microsoft.com/office/drawing/2014/main" xmlns="" id="{00000000-0008-0000-0000-00007D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758" name="Text Box 3081">
          <a:extLst>
            <a:ext uri="{FF2B5EF4-FFF2-40B4-BE49-F238E27FC236}">
              <a16:creationId xmlns:a16="http://schemas.microsoft.com/office/drawing/2014/main" xmlns="" id="{00000000-0008-0000-0000-00007E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759" name="Text Box 3082">
          <a:extLst>
            <a:ext uri="{FF2B5EF4-FFF2-40B4-BE49-F238E27FC236}">
              <a16:creationId xmlns:a16="http://schemas.microsoft.com/office/drawing/2014/main" xmlns="" id="{00000000-0008-0000-0000-00007F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760" name="Text Box 3083">
          <a:extLst>
            <a:ext uri="{FF2B5EF4-FFF2-40B4-BE49-F238E27FC236}">
              <a16:creationId xmlns:a16="http://schemas.microsoft.com/office/drawing/2014/main" xmlns="" id="{00000000-0008-0000-0000-000080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761" name="Text Box 3084">
          <a:extLst>
            <a:ext uri="{FF2B5EF4-FFF2-40B4-BE49-F238E27FC236}">
              <a16:creationId xmlns:a16="http://schemas.microsoft.com/office/drawing/2014/main" xmlns="" id="{00000000-0008-0000-0000-000081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762" name="Text Box 3085">
          <a:extLst>
            <a:ext uri="{FF2B5EF4-FFF2-40B4-BE49-F238E27FC236}">
              <a16:creationId xmlns:a16="http://schemas.microsoft.com/office/drawing/2014/main" xmlns="" id="{00000000-0008-0000-0000-000082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763" name="Text Box 3086">
          <a:extLst>
            <a:ext uri="{FF2B5EF4-FFF2-40B4-BE49-F238E27FC236}">
              <a16:creationId xmlns:a16="http://schemas.microsoft.com/office/drawing/2014/main" xmlns="" id="{00000000-0008-0000-0000-000083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764" name="Text Box 3087">
          <a:extLst>
            <a:ext uri="{FF2B5EF4-FFF2-40B4-BE49-F238E27FC236}">
              <a16:creationId xmlns:a16="http://schemas.microsoft.com/office/drawing/2014/main" xmlns="" id="{00000000-0008-0000-0000-000084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765" name="Text Box 3088">
          <a:extLst>
            <a:ext uri="{FF2B5EF4-FFF2-40B4-BE49-F238E27FC236}">
              <a16:creationId xmlns:a16="http://schemas.microsoft.com/office/drawing/2014/main" xmlns="" id="{00000000-0008-0000-0000-000085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766" name="Text Box 3089">
          <a:extLst>
            <a:ext uri="{FF2B5EF4-FFF2-40B4-BE49-F238E27FC236}">
              <a16:creationId xmlns:a16="http://schemas.microsoft.com/office/drawing/2014/main" xmlns="" id="{00000000-0008-0000-0000-000086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767" name="Text Box 3090">
          <a:extLst>
            <a:ext uri="{FF2B5EF4-FFF2-40B4-BE49-F238E27FC236}">
              <a16:creationId xmlns:a16="http://schemas.microsoft.com/office/drawing/2014/main" xmlns="" id="{00000000-0008-0000-0000-000087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768" name="Text Box 3091">
          <a:extLst>
            <a:ext uri="{FF2B5EF4-FFF2-40B4-BE49-F238E27FC236}">
              <a16:creationId xmlns:a16="http://schemas.microsoft.com/office/drawing/2014/main" xmlns="" id="{00000000-0008-0000-0000-000088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769" name="Text Box 3092">
          <a:extLst>
            <a:ext uri="{FF2B5EF4-FFF2-40B4-BE49-F238E27FC236}">
              <a16:creationId xmlns:a16="http://schemas.microsoft.com/office/drawing/2014/main" xmlns="" id="{00000000-0008-0000-0000-000089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770" name="Text Box 3093">
          <a:extLst>
            <a:ext uri="{FF2B5EF4-FFF2-40B4-BE49-F238E27FC236}">
              <a16:creationId xmlns:a16="http://schemas.microsoft.com/office/drawing/2014/main" xmlns="" id="{00000000-0008-0000-0000-00008A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771" name="Text Box 3094">
          <a:extLst>
            <a:ext uri="{FF2B5EF4-FFF2-40B4-BE49-F238E27FC236}">
              <a16:creationId xmlns:a16="http://schemas.microsoft.com/office/drawing/2014/main" xmlns="" id="{00000000-0008-0000-0000-00008B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772" name="Text Box 3095">
          <a:extLst>
            <a:ext uri="{FF2B5EF4-FFF2-40B4-BE49-F238E27FC236}">
              <a16:creationId xmlns:a16="http://schemas.microsoft.com/office/drawing/2014/main" xmlns="" id="{00000000-0008-0000-0000-00008C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773" name="Text Box 3096">
          <a:extLst>
            <a:ext uri="{FF2B5EF4-FFF2-40B4-BE49-F238E27FC236}">
              <a16:creationId xmlns:a16="http://schemas.microsoft.com/office/drawing/2014/main" xmlns="" id="{00000000-0008-0000-0000-00008D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774" name="Text Box 3097">
          <a:extLst>
            <a:ext uri="{FF2B5EF4-FFF2-40B4-BE49-F238E27FC236}">
              <a16:creationId xmlns:a16="http://schemas.microsoft.com/office/drawing/2014/main" xmlns="" id="{00000000-0008-0000-0000-00008E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775" name="Text Box 3098">
          <a:extLst>
            <a:ext uri="{FF2B5EF4-FFF2-40B4-BE49-F238E27FC236}">
              <a16:creationId xmlns:a16="http://schemas.microsoft.com/office/drawing/2014/main" xmlns="" id="{00000000-0008-0000-0000-00008F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776" name="Text Box 3099">
          <a:extLst>
            <a:ext uri="{FF2B5EF4-FFF2-40B4-BE49-F238E27FC236}">
              <a16:creationId xmlns:a16="http://schemas.microsoft.com/office/drawing/2014/main" xmlns="" id="{00000000-0008-0000-0000-000090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777" name="Text Box 3100">
          <a:extLst>
            <a:ext uri="{FF2B5EF4-FFF2-40B4-BE49-F238E27FC236}">
              <a16:creationId xmlns:a16="http://schemas.microsoft.com/office/drawing/2014/main" xmlns="" id="{00000000-0008-0000-0000-000091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778" name="Text Box 3101">
          <a:extLst>
            <a:ext uri="{FF2B5EF4-FFF2-40B4-BE49-F238E27FC236}">
              <a16:creationId xmlns:a16="http://schemas.microsoft.com/office/drawing/2014/main" xmlns="" id="{00000000-0008-0000-0000-000092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5779" name="Text Box 3102">
          <a:extLst>
            <a:ext uri="{FF2B5EF4-FFF2-40B4-BE49-F238E27FC236}">
              <a16:creationId xmlns:a16="http://schemas.microsoft.com/office/drawing/2014/main" xmlns="" id="{00000000-0008-0000-0000-000093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780" name="Text Box 59">
          <a:extLst>
            <a:ext uri="{FF2B5EF4-FFF2-40B4-BE49-F238E27FC236}">
              <a16:creationId xmlns:a16="http://schemas.microsoft.com/office/drawing/2014/main" xmlns="" id="{00000000-0008-0000-0000-000094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781" name="Text Box 60">
          <a:extLst>
            <a:ext uri="{FF2B5EF4-FFF2-40B4-BE49-F238E27FC236}">
              <a16:creationId xmlns:a16="http://schemas.microsoft.com/office/drawing/2014/main" xmlns="" id="{00000000-0008-0000-0000-000095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782" name="Text Box 61">
          <a:extLst>
            <a:ext uri="{FF2B5EF4-FFF2-40B4-BE49-F238E27FC236}">
              <a16:creationId xmlns:a16="http://schemas.microsoft.com/office/drawing/2014/main" xmlns="" id="{00000000-0008-0000-0000-000096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783" name="Text Box 62">
          <a:extLst>
            <a:ext uri="{FF2B5EF4-FFF2-40B4-BE49-F238E27FC236}">
              <a16:creationId xmlns:a16="http://schemas.microsoft.com/office/drawing/2014/main" xmlns="" id="{00000000-0008-0000-0000-000097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784" name="Text Box 63">
          <a:extLst>
            <a:ext uri="{FF2B5EF4-FFF2-40B4-BE49-F238E27FC236}">
              <a16:creationId xmlns:a16="http://schemas.microsoft.com/office/drawing/2014/main" xmlns="" id="{00000000-0008-0000-0000-000098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785" name="Text Box 64">
          <a:extLst>
            <a:ext uri="{FF2B5EF4-FFF2-40B4-BE49-F238E27FC236}">
              <a16:creationId xmlns:a16="http://schemas.microsoft.com/office/drawing/2014/main" xmlns="" id="{00000000-0008-0000-0000-000099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786" name="Text Box 65">
          <a:extLst>
            <a:ext uri="{FF2B5EF4-FFF2-40B4-BE49-F238E27FC236}">
              <a16:creationId xmlns:a16="http://schemas.microsoft.com/office/drawing/2014/main" xmlns="" id="{00000000-0008-0000-0000-00009A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787" name="Text Box 66">
          <a:extLst>
            <a:ext uri="{FF2B5EF4-FFF2-40B4-BE49-F238E27FC236}">
              <a16:creationId xmlns:a16="http://schemas.microsoft.com/office/drawing/2014/main" xmlns="" id="{00000000-0008-0000-0000-00009B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788" name="Text Box 67">
          <a:extLst>
            <a:ext uri="{FF2B5EF4-FFF2-40B4-BE49-F238E27FC236}">
              <a16:creationId xmlns:a16="http://schemas.microsoft.com/office/drawing/2014/main" xmlns="" id="{00000000-0008-0000-0000-00009C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789" name="Text Box 68">
          <a:extLst>
            <a:ext uri="{FF2B5EF4-FFF2-40B4-BE49-F238E27FC236}">
              <a16:creationId xmlns:a16="http://schemas.microsoft.com/office/drawing/2014/main" xmlns="" id="{00000000-0008-0000-0000-00009D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790" name="Text Box 69">
          <a:extLst>
            <a:ext uri="{FF2B5EF4-FFF2-40B4-BE49-F238E27FC236}">
              <a16:creationId xmlns:a16="http://schemas.microsoft.com/office/drawing/2014/main" xmlns="" id="{00000000-0008-0000-0000-00009E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791" name="Text Box 70">
          <a:extLst>
            <a:ext uri="{FF2B5EF4-FFF2-40B4-BE49-F238E27FC236}">
              <a16:creationId xmlns:a16="http://schemas.microsoft.com/office/drawing/2014/main" xmlns="" id="{00000000-0008-0000-0000-00009F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792" name="Text Box 71">
          <a:extLst>
            <a:ext uri="{FF2B5EF4-FFF2-40B4-BE49-F238E27FC236}">
              <a16:creationId xmlns:a16="http://schemas.microsoft.com/office/drawing/2014/main" xmlns="" id="{00000000-0008-0000-0000-0000A0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793" name="Text Box 72">
          <a:extLst>
            <a:ext uri="{FF2B5EF4-FFF2-40B4-BE49-F238E27FC236}">
              <a16:creationId xmlns:a16="http://schemas.microsoft.com/office/drawing/2014/main" xmlns="" id="{00000000-0008-0000-0000-0000A1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794" name="Text Box 73">
          <a:extLst>
            <a:ext uri="{FF2B5EF4-FFF2-40B4-BE49-F238E27FC236}">
              <a16:creationId xmlns:a16="http://schemas.microsoft.com/office/drawing/2014/main" xmlns="" id="{00000000-0008-0000-0000-0000A2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795" name="Text Box 74">
          <a:extLst>
            <a:ext uri="{FF2B5EF4-FFF2-40B4-BE49-F238E27FC236}">
              <a16:creationId xmlns:a16="http://schemas.microsoft.com/office/drawing/2014/main" xmlns="" id="{00000000-0008-0000-0000-0000A3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796" name="Text Box 75">
          <a:extLst>
            <a:ext uri="{FF2B5EF4-FFF2-40B4-BE49-F238E27FC236}">
              <a16:creationId xmlns:a16="http://schemas.microsoft.com/office/drawing/2014/main" xmlns="" id="{00000000-0008-0000-0000-0000A4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797" name="Text Box 76">
          <a:extLst>
            <a:ext uri="{FF2B5EF4-FFF2-40B4-BE49-F238E27FC236}">
              <a16:creationId xmlns:a16="http://schemas.microsoft.com/office/drawing/2014/main" xmlns="" id="{00000000-0008-0000-0000-0000A5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798" name="Text Box 77">
          <a:extLst>
            <a:ext uri="{FF2B5EF4-FFF2-40B4-BE49-F238E27FC236}">
              <a16:creationId xmlns:a16="http://schemas.microsoft.com/office/drawing/2014/main" xmlns="" id="{00000000-0008-0000-0000-0000A6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799" name="Text Box 78">
          <a:extLst>
            <a:ext uri="{FF2B5EF4-FFF2-40B4-BE49-F238E27FC236}">
              <a16:creationId xmlns:a16="http://schemas.microsoft.com/office/drawing/2014/main" xmlns="" id="{00000000-0008-0000-0000-0000A7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800" name="Text Box 79">
          <a:extLst>
            <a:ext uri="{FF2B5EF4-FFF2-40B4-BE49-F238E27FC236}">
              <a16:creationId xmlns:a16="http://schemas.microsoft.com/office/drawing/2014/main" xmlns="" id="{00000000-0008-0000-0000-0000A8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801" name="Text Box 80">
          <a:extLst>
            <a:ext uri="{FF2B5EF4-FFF2-40B4-BE49-F238E27FC236}">
              <a16:creationId xmlns:a16="http://schemas.microsoft.com/office/drawing/2014/main" xmlns="" id="{00000000-0008-0000-0000-0000A9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802" name="Text Box 81">
          <a:extLst>
            <a:ext uri="{FF2B5EF4-FFF2-40B4-BE49-F238E27FC236}">
              <a16:creationId xmlns:a16="http://schemas.microsoft.com/office/drawing/2014/main" xmlns="" id="{00000000-0008-0000-0000-0000AA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47625"/>
    <xdr:sp macro="" textlink="">
      <xdr:nvSpPr>
        <xdr:cNvPr id="5803" name="Text Box 82">
          <a:extLst>
            <a:ext uri="{FF2B5EF4-FFF2-40B4-BE49-F238E27FC236}">
              <a16:creationId xmlns:a16="http://schemas.microsoft.com/office/drawing/2014/main" xmlns="" id="{00000000-0008-0000-0000-0000AB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804" name="Text Box 3079">
          <a:extLst>
            <a:ext uri="{FF2B5EF4-FFF2-40B4-BE49-F238E27FC236}">
              <a16:creationId xmlns:a16="http://schemas.microsoft.com/office/drawing/2014/main" xmlns="" id="{00000000-0008-0000-0000-0000AC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805" name="Text Box 3080">
          <a:extLst>
            <a:ext uri="{FF2B5EF4-FFF2-40B4-BE49-F238E27FC236}">
              <a16:creationId xmlns:a16="http://schemas.microsoft.com/office/drawing/2014/main" xmlns="" id="{00000000-0008-0000-0000-0000AD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806" name="Text Box 3081">
          <a:extLst>
            <a:ext uri="{FF2B5EF4-FFF2-40B4-BE49-F238E27FC236}">
              <a16:creationId xmlns:a16="http://schemas.microsoft.com/office/drawing/2014/main" xmlns="" id="{00000000-0008-0000-0000-0000AE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807" name="Text Box 3082">
          <a:extLst>
            <a:ext uri="{FF2B5EF4-FFF2-40B4-BE49-F238E27FC236}">
              <a16:creationId xmlns:a16="http://schemas.microsoft.com/office/drawing/2014/main" xmlns="" id="{00000000-0008-0000-0000-0000AF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808" name="Text Box 3083">
          <a:extLst>
            <a:ext uri="{FF2B5EF4-FFF2-40B4-BE49-F238E27FC236}">
              <a16:creationId xmlns:a16="http://schemas.microsoft.com/office/drawing/2014/main" xmlns="" id="{00000000-0008-0000-0000-0000B0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809" name="Text Box 3084">
          <a:extLst>
            <a:ext uri="{FF2B5EF4-FFF2-40B4-BE49-F238E27FC236}">
              <a16:creationId xmlns:a16="http://schemas.microsoft.com/office/drawing/2014/main" xmlns="" id="{00000000-0008-0000-0000-0000B1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810" name="Text Box 3085">
          <a:extLst>
            <a:ext uri="{FF2B5EF4-FFF2-40B4-BE49-F238E27FC236}">
              <a16:creationId xmlns:a16="http://schemas.microsoft.com/office/drawing/2014/main" xmlns="" id="{00000000-0008-0000-0000-0000B2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811" name="Text Box 3086">
          <a:extLst>
            <a:ext uri="{FF2B5EF4-FFF2-40B4-BE49-F238E27FC236}">
              <a16:creationId xmlns:a16="http://schemas.microsoft.com/office/drawing/2014/main" xmlns="" id="{00000000-0008-0000-0000-0000B3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812" name="Text Box 3087">
          <a:extLst>
            <a:ext uri="{FF2B5EF4-FFF2-40B4-BE49-F238E27FC236}">
              <a16:creationId xmlns:a16="http://schemas.microsoft.com/office/drawing/2014/main" xmlns="" id="{00000000-0008-0000-0000-0000B4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813" name="Text Box 3088">
          <a:extLst>
            <a:ext uri="{FF2B5EF4-FFF2-40B4-BE49-F238E27FC236}">
              <a16:creationId xmlns:a16="http://schemas.microsoft.com/office/drawing/2014/main" xmlns="" id="{00000000-0008-0000-0000-0000B5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814" name="Text Box 3089">
          <a:extLst>
            <a:ext uri="{FF2B5EF4-FFF2-40B4-BE49-F238E27FC236}">
              <a16:creationId xmlns:a16="http://schemas.microsoft.com/office/drawing/2014/main" xmlns="" id="{00000000-0008-0000-0000-0000B6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815" name="Text Box 3090">
          <a:extLst>
            <a:ext uri="{FF2B5EF4-FFF2-40B4-BE49-F238E27FC236}">
              <a16:creationId xmlns:a16="http://schemas.microsoft.com/office/drawing/2014/main" xmlns="" id="{00000000-0008-0000-0000-0000B7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816" name="Text Box 3091">
          <a:extLst>
            <a:ext uri="{FF2B5EF4-FFF2-40B4-BE49-F238E27FC236}">
              <a16:creationId xmlns:a16="http://schemas.microsoft.com/office/drawing/2014/main" xmlns="" id="{00000000-0008-0000-0000-0000B8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817" name="Text Box 3092">
          <a:extLst>
            <a:ext uri="{FF2B5EF4-FFF2-40B4-BE49-F238E27FC236}">
              <a16:creationId xmlns:a16="http://schemas.microsoft.com/office/drawing/2014/main" xmlns="" id="{00000000-0008-0000-0000-0000B9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818" name="Text Box 3093">
          <a:extLst>
            <a:ext uri="{FF2B5EF4-FFF2-40B4-BE49-F238E27FC236}">
              <a16:creationId xmlns:a16="http://schemas.microsoft.com/office/drawing/2014/main" xmlns="" id="{00000000-0008-0000-0000-0000BA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819" name="Text Box 3094">
          <a:extLst>
            <a:ext uri="{FF2B5EF4-FFF2-40B4-BE49-F238E27FC236}">
              <a16:creationId xmlns:a16="http://schemas.microsoft.com/office/drawing/2014/main" xmlns="" id="{00000000-0008-0000-0000-0000BB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820" name="Text Box 3095">
          <a:extLst>
            <a:ext uri="{FF2B5EF4-FFF2-40B4-BE49-F238E27FC236}">
              <a16:creationId xmlns:a16="http://schemas.microsoft.com/office/drawing/2014/main" xmlns="" id="{00000000-0008-0000-0000-0000BC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821" name="Text Box 3096">
          <a:extLst>
            <a:ext uri="{FF2B5EF4-FFF2-40B4-BE49-F238E27FC236}">
              <a16:creationId xmlns:a16="http://schemas.microsoft.com/office/drawing/2014/main" xmlns="" id="{00000000-0008-0000-0000-0000BD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822" name="Text Box 3097">
          <a:extLst>
            <a:ext uri="{FF2B5EF4-FFF2-40B4-BE49-F238E27FC236}">
              <a16:creationId xmlns:a16="http://schemas.microsoft.com/office/drawing/2014/main" xmlns="" id="{00000000-0008-0000-0000-0000BE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823" name="Text Box 3098">
          <a:extLst>
            <a:ext uri="{FF2B5EF4-FFF2-40B4-BE49-F238E27FC236}">
              <a16:creationId xmlns:a16="http://schemas.microsoft.com/office/drawing/2014/main" xmlns="" id="{00000000-0008-0000-0000-0000BF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824" name="Text Box 3099">
          <a:extLst>
            <a:ext uri="{FF2B5EF4-FFF2-40B4-BE49-F238E27FC236}">
              <a16:creationId xmlns:a16="http://schemas.microsoft.com/office/drawing/2014/main" xmlns="" id="{00000000-0008-0000-0000-0000C0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825" name="Text Box 3100">
          <a:extLst>
            <a:ext uri="{FF2B5EF4-FFF2-40B4-BE49-F238E27FC236}">
              <a16:creationId xmlns:a16="http://schemas.microsoft.com/office/drawing/2014/main" xmlns="" id="{00000000-0008-0000-0000-0000C1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826" name="Text Box 3101">
          <a:extLst>
            <a:ext uri="{FF2B5EF4-FFF2-40B4-BE49-F238E27FC236}">
              <a16:creationId xmlns:a16="http://schemas.microsoft.com/office/drawing/2014/main" xmlns="" id="{00000000-0008-0000-0000-0000C2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5827" name="Text Box 3102">
          <a:extLst>
            <a:ext uri="{FF2B5EF4-FFF2-40B4-BE49-F238E27FC236}">
              <a16:creationId xmlns:a16="http://schemas.microsoft.com/office/drawing/2014/main" xmlns="" id="{00000000-0008-0000-0000-0000C3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828" name="Text Box 59">
          <a:extLst>
            <a:ext uri="{FF2B5EF4-FFF2-40B4-BE49-F238E27FC236}">
              <a16:creationId xmlns:a16="http://schemas.microsoft.com/office/drawing/2014/main" xmlns="" id="{00000000-0008-0000-0000-0000C4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829" name="Text Box 60">
          <a:extLst>
            <a:ext uri="{FF2B5EF4-FFF2-40B4-BE49-F238E27FC236}">
              <a16:creationId xmlns:a16="http://schemas.microsoft.com/office/drawing/2014/main" xmlns="" id="{00000000-0008-0000-0000-0000C5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830" name="Text Box 61">
          <a:extLst>
            <a:ext uri="{FF2B5EF4-FFF2-40B4-BE49-F238E27FC236}">
              <a16:creationId xmlns:a16="http://schemas.microsoft.com/office/drawing/2014/main" xmlns="" id="{00000000-0008-0000-0000-0000C6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831" name="Text Box 62">
          <a:extLst>
            <a:ext uri="{FF2B5EF4-FFF2-40B4-BE49-F238E27FC236}">
              <a16:creationId xmlns:a16="http://schemas.microsoft.com/office/drawing/2014/main" xmlns="" id="{00000000-0008-0000-0000-0000C7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832" name="Text Box 63">
          <a:extLst>
            <a:ext uri="{FF2B5EF4-FFF2-40B4-BE49-F238E27FC236}">
              <a16:creationId xmlns:a16="http://schemas.microsoft.com/office/drawing/2014/main" xmlns="" id="{00000000-0008-0000-0000-0000C8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833" name="Text Box 64">
          <a:extLst>
            <a:ext uri="{FF2B5EF4-FFF2-40B4-BE49-F238E27FC236}">
              <a16:creationId xmlns:a16="http://schemas.microsoft.com/office/drawing/2014/main" xmlns="" id="{00000000-0008-0000-0000-0000C9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834" name="Text Box 65">
          <a:extLst>
            <a:ext uri="{FF2B5EF4-FFF2-40B4-BE49-F238E27FC236}">
              <a16:creationId xmlns:a16="http://schemas.microsoft.com/office/drawing/2014/main" xmlns="" id="{00000000-0008-0000-0000-0000CA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835" name="Text Box 66">
          <a:extLst>
            <a:ext uri="{FF2B5EF4-FFF2-40B4-BE49-F238E27FC236}">
              <a16:creationId xmlns:a16="http://schemas.microsoft.com/office/drawing/2014/main" xmlns="" id="{00000000-0008-0000-0000-0000CB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836" name="Text Box 67">
          <a:extLst>
            <a:ext uri="{FF2B5EF4-FFF2-40B4-BE49-F238E27FC236}">
              <a16:creationId xmlns:a16="http://schemas.microsoft.com/office/drawing/2014/main" xmlns="" id="{00000000-0008-0000-0000-0000CC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837" name="Text Box 68">
          <a:extLst>
            <a:ext uri="{FF2B5EF4-FFF2-40B4-BE49-F238E27FC236}">
              <a16:creationId xmlns:a16="http://schemas.microsoft.com/office/drawing/2014/main" xmlns="" id="{00000000-0008-0000-0000-0000CD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838" name="Text Box 69">
          <a:extLst>
            <a:ext uri="{FF2B5EF4-FFF2-40B4-BE49-F238E27FC236}">
              <a16:creationId xmlns:a16="http://schemas.microsoft.com/office/drawing/2014/main" xmlns="" id="{00000000-0008-0000-0000-0000CE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839" name="Text Box 70">
          <a:extLst>
            <a:ext uri="{FF2B5EF4-FFF2-40B4-BE49-F238E27FC236}">
              <a16:creationId xmlns:a16="http://schemas.microsoft.com/office/drawing/2014/main" xmlns="" id="{00000000-0008-0000-0000-0000CF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840" name="Text Box 71">
          <a:extLst>
            <a:ext uri="{FF2B5EF4-FFF2-40B4-BE49-F238E27FC236}">
              <a16:creationId xmlns:a16="http://schemas.microsoft.com/office/drawing/2014/main" xmlns="" id="{00000000-0008-0000-0000-0000D0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841" name="Text Box 72">
          <a:extLst>
            <a:ext uri="{FF2B5EF4-FFF2-40B4-BE49-F238E27FC236}">
              <a16:creationId xmlns:a16="http://schemas.microsoft.com/office/drawing/2014/main" xmlns="" id="{00000000-0008-0000-0000-0000D1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842" name="Text Box 73">
          <a:extLst>
            <a:ext uri="{FF2B5EF4-FFF2-40B4-BE49-F238E27FC236}">
              <a16:creationId xmlns:a16="http://schemas.microsoft.com/office/drawing/2014/main" xmlns="" id="{00000000-0008-0000-0000-0000D2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843" name="Text Box 74">
          <a:extLst>
            <a:ext uri="{FF2B5EF4-FFF2-40B4-BE49-F238E27FC236}">
              <a16:creationId xmlns:a16="http://schemas.microsoft.com/office/drawing/2014/main" xmlns="" id="{00000000-0008-0000-0000-0000D3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844" name="Text Box 75">
          <a:extLst>
            <a:ext uri="{FF2B5EF4-FFF2-40B4-BE49-F238E27FC236}">
              <a16:creationId xmlns:a16="http://schemas.microsoft.com/office/drawing/2014/main" xmlns="" id="{00000000-0008-0000-0000-0000D4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845" name="Text Box 76">
          <a:extLst>
            <a:ext uri="{FF2B5EF4-FFF2-40B4-BE49-F238E27FC236}">
              <a16:creationId xmlns:a16="http://schemas.microsoft.com/office/drawing/2014/main" xmlns="" id="{00000000-0008-0000-0000-0000D5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846" name="Text Box 77">
          <a:extLst>
            <a:ext uri="{FF2B5EF4-FFF2-40B4-BE49-F238E27FC236}">
              <a16:creationId xmlns:a16="http://schemas.microsoft.com/office/drawing/2014/main" xmlns="" id="{00000000-0008-0000-0000-0000D6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847" name="Text Box 78">
          <a:extLst>
            <a:ext uri="{FF2B5EF4-FFF2-40B4-BE49-F238E27FC236}">
              <a16:creationId xmlns:a16="http://schemas.microsoft.com/office/drawing/2014/main" xmlns="" id="{00000000-0008-0000-0000-0000D7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848" name="Text Box 79">
          <a:extLst>
            <a:ext uri="{FF2B5EF4-FFF2-40B4-BE49-F238E27FC236}">
              <a16:creationId xmlns:a16="http://schemas.microsoft.com/office/drawing/2014/main" xmlns="" id="{00000000-0008-0000-0000-0000D8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849" name="Text Box 80">
          <a:extLst>
            <a:ext uri="{FF2B5EF4-FFF2-40B4-BE49-F238E27FC236}">
              <a16:creationId xmlns:a16="http://schemas.microsoft.com/office/drawing/2014/main" xmlns="" id="{00000000-0008-0000-0000-0000D9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850" name="Text Box 81">
          <a:extLst>
            <a:ext uri="{FF2B5EF4-FFF2-40B4-BE49-F238E27FC236}">
              <a16:creationId xmlns:a16="http://schemas.microsoft.com/office/drawing/2014/main" xmlns="" id="{00000000-0008-0000-0000-0000DA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851" name="Text Box 3079">
          <a:extLst>
            <a:ext uri="{FF2B5EF4-FFF2-40B4-BE49-F238E27FC236}">
              <a16:creationId xmlns:a16="http://schemas.microsoft.com/office/drawing/2014/main" xmlns="" id="{00000000-0008-0000-0000-0000DB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852" name="Text Box 3080">
          <a:extLst>
            <a:ext uri="{FF2B5EF4-FFF2-40B4-BE49-F238E27FC236}">
              <a16:creationId xmlns:a16="http://schemas.microsoft.com/office/drawing/2014/main" xmlns="" id="{00000000-0008-0000-0000-0000DC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853" name="Text Box 3081">
          <a:extLst>
            <a:ext uri="{FF2B5EF4-FFF2-40B4-BE49-F238E27FC236}">
              <a16:creationId xmlns:a16="http://schemas.microsoft.com/office/drawing/2014/main" xmlns="" id="{00000000-0008-0000-0000-0000DD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854" name="Text Box 3082">
          <a:extLst>
            <a:ext uri="{FF2B5EF4-FFF2-40B4-BE49-F238E27FC236}">
              <a16:creationId xmlns:a16="http://schemas.microsoft.com/office/drawing/2014/main" xmlns="" id="{00000000-0008-0000-0000-0000DE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855" name="Text Box 3083">
          <a:extLst>
            <a:ext uri="{FF2B5EF4-FFF2-40B4-BE49-F238E27FC236}">
              <a16:creationId xmlns:a16="http://schemas.microsoft.com/office/drawing/2014/main" xmlns="" id="{00000000-0008-0000-0000-0000DF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856" name="Text Box 3084">
          <a:extLst>
            <a:ext uri="{FF2B5EF4-FFF2-40B4-BE49-F238E27FC236}">
              <a16:creationId xmlns:a16="http://schemas.microsoft.com/office/drawing/2014/main" xmlns="" id="{00000000-0008-0000-0000-0000E0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857" name="Text Box 3085">
          <a:extLst>
            <a:ext uri="{FF2B5EF4-FFF2-40B4-BE49-F238E27FC236}">
              <a16:creationId xmlns:a16="http://schemas.microsoft.com/office/drawing/2014/main" xmlns="" id="{00000000-0008-0000-0000-0000E1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858" name="Text Box 3086">
          <a:extLst>
            <a:ext uri="{FF2B5EF4-FFF2-40B4-BE49-F238E27FC236}">
              <a16:creationId xmlns:a16="http://schemas.microsoft.com/office/drawing/2014/main" xmlns="" id="{00000000-0008-0000-0000-0000E2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859" name="Text Box 3087">
          <a:extLst>
            <a:ext uri="{FF2B5EF4-FFF2-40B4-BE49-F238E27FC236}">
              <a16:creationId xmlns:a16="http://schemas.microsoft.com/office/drawing/2014/main" xmlns="" id="{00000000-0008-0000-0000-0000E3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860" name="Text Box 3088">
          <a:extLst>
            <a:ext uri="{FF2B5EF4-FFF2-40B4-BE49-F238E27FC236}">
              <a16:creationId xmlns:a16="http://schemas.microsoft.com/office/drawing/2014/main" xmlns="" id="{00000000-0008-0000-0000-0000E4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861" name="Text Box 3089">
          <a:extLst>
            <a:ext uri="{FF2B5EF4-FFF2-40B4-BE49-F238E27FC236}">
              <a16:creationId xmlns:a16="http://schemas.microsoft.com/office/drawing/2014/main" xmlns="" id="{00000000-0008-0000-0000-0000E5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862" name="Text Box 3090">
          <a:extLst>
            <a:ext uri="{FF2B5EF4-FFF2-40B4-BE49-F238E27FC236}">
              <a16:creationId xmlns:a16="http://schemas.microsoft.com/office/drawing/2014/main" xmlns="" id="{00000000-0008-0000-0000-0000E6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863" name="Text Box 3091">
          <a:extLst>
            <a:ext uri="{FF2B5EF4-FFF2-40B4-BE49-F238E27FC236}">
              <a16:creationId xmlns:a16="http://schemas.microsoft.com/office/drawing/2014/main" xmlns="" id="{00000000-0008-0000-0000-0000E7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864" name="Text Box 3092">
          <a:extLst>
            <a:ext uri="{FF2B5EF4-FFF2-40B4-BE49-F238E27FC236}">
              <a16:creationId xmlns:a16="http://schemas.microsoft.com/office/drawing/2014/main" xmlns="" id="{00000000-0008-0000-0000-0000E8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865" name="Text Box 3093">
          <a:extLst>
            <a:ext uri="{FF2B5EF4-FFF2-40B4-BE49-F238E27FC236}">
              <a16:creationId xmlns:a16="http://schemas.microsoft.com/office/drawing/2014/main" xmlns="" id="{00000000-0008-0000-0000-0000E9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866" name="Text Box 3094">
          <a:extLst>
            <a:ext uri="{FF2B5EF4-FFF2-40B4-BE49-F238E27FC236}">
              <a16:creationId xmlns:a16="http://schemas.microsoft.com/office/drawing/2014/main" xmlns="" id="{00000000-0008-0000-0000-0000EA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867" name="Text Box 3095">
          <a:extLst>
            <a:ext uri="{FF2B5EF4-FFF2-40B4-BE49-F238E27FC236}">
              <a16:creationId xmlns:a16="http://schemas.microsoft.com/office/drawing/2014/main" xmlns="" id="{00000000-0008-0000-0000-0000EB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868" name="Text Box 3096">
          <a:extLst>
            <a:ext uri="{FF2B5EF4-FFF2-40B4-BE49-F238E27FC236}">
              <a16:creationId xmlns:a16="http://schemas.microsoft.com/office/drawing/2014/main" xmlns="" id="{00000000-0008-0000-0000-0000EC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869" name="Text Box 3097">
          <a:extLst>
            <a:ext uri="{FF2B5EF4-FFF2-40B4-BE49-F238E27FC236}">
              <a16:creationId xmlns:a16="http://schemas.microsoft.com/office/drawing/2014/main" xmlns="" id="{00000000-0008-0000-0000-0000ED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870" name="Text Box 3098">
          <a:extLst>
            <a:ext uri="{FF2B5EF4-FFF2-40B4-BE49-F238E27FC236}">
              <a16:creationId xmlns:a16="http://schemas.microsoft.com/office/drawing/2014/main" xmlns="" id="{00000000-0008-0000-0000-0000EE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871" name="Text Box 3099">
          <a:extLst>
            <a:ext uri="{FF2B5EF4-FFF2-40B4-BE49-F238E27FC236}">
              <a16:creationId xmlns:a16="http://schemas.microsoft.com/office/drawing/2014/main" xmlns="" id="{00000000-0008-0000-0000-0000EF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872" name="Text Box 3100">
          <a:extLst>
            <a:ext uri="{FF2B5EF4-FFF2-40B4-BE49-F238E27FC236}">
              <a16:creationId xmlns:a16="http://schemas.microsoft.com/office/drawing/2014/main" xmlns="" id="{00000000-0008-0000-0000-0000F0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873" name="Text Box 3101">
          <a:extLst>
            <a:ext uri="{FF2B5EF4-FFF2-40B4-BE49-F238E27FC236}">
              <a16:creationId xmlns:a16="http://schemas.microsoft.com/office/drawing/2014/main" xmlns="" id="{00000000-0008-0000-0000-0000F1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5874" name="Text Box 3102">
          <a:extLst>
            <a:ext uri="{FF2B5EF4-FFF2-40B4-BE49-F238E27FC236}">
              <a16:creationId xmlns:a16="http://schemas.microsoft.com/office/drawing/2014/main" xmlns="" id="{00000000-0008-0000-0000-0000F2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875" name="Text Box 59">
          <a:extLst>
            <a:ext uri="{FF2B5EF4-FFF2-40B4-BE49-F238E27FC236}">
              <a16:creationId xmlns:a16="http://schemas.microsoft.com/office/drawing/2014/main" xmlns="" id="{00000000-0008-0000-0000-0000F3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876" name="Text Box 60">
          <a:extLst>
            <a:ext uri="{FF2B5EF4-FFF2-40B4-BE49-F238E27FC236}">
              <a16:creationId xmlns:a16="http://schemas.microsoft.com/office/drawing/2014/main" xmlns="" id="{00000000-0008-0000-0000-0000F4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877" name="Text Box 61">
          <a:extLst>
            <a:ext uri="{FF2B5EF4-FFF2-40B4-BE49-F238E27FC236}">
              <a16:creationId xmlns:a16="http://schemas.microsoft.com/office/drawing/2014/main" xmlns="" id="{00000000-0008-0000-0000-0000F5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878" name="Text Box 62">
          <a:extLst>
            <a:ext uri="{FF2B5EF4-FFF2-40B4-BE49-F238E27FC236}">
              <a16:creationId xmlns:a16="http://schemas.microsoft.com/office/drawing/2014/main" xmlns="" id="{00000000-0008-0000-0000-0000F6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879" name="Text Box 63">
          <a:extLst>
            <a:ext uri="{FF2B5EF4-FFF2-40B4-BE49-F238E27FC236}">
              <a16:creationId xmlns:a16="http://schemas.microsoft.com/office/drawing/2014/main" xmlns="" id="{00000000-0008-0000-0000-0000F7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880" name="Text Box 64">
          <a:extLst>
            <a:ext uri="{FF2B5EF4-FFF2-40B4-BE49-F238E27FC236}">
              <a16:creationId xmlns:a16="http://schemas.microsoft.com/office/drawing/2014/main" xmlns="" id="{00000000-0008-0000-0000-0000F8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881" name="Text Box 65">
          <a:extLst>
            <a:ext uri="{FF2B5EF4-FFF2-40B4-BE49-F238E27FC236}">
              <a16:creationId xmlns:a16="http://schemas.microsoft.com/office/drawing/2014/main" xmlns="" id="{00000000-0008-0000-0000-0000F9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882" name="Text Box 66">
          <a:extLst>
            <a:ext uri="{FF2B5EF4-FFF2-40B4-BE49-F238E27FC236}">
              <a16:creationId xmlns:a16="http://schemas.microsoft.com/office/drawing/2014/main" xmlns="" id="{00000000-0008-0000-0000-0000FA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883" name="Text Box 67">
          <a:extLst>
            <a:ext uri="{FF2B5EF4-FFF2-40B4-BE49-F238E27FC236}">
              <a16:creationId xmlns:a16="http://schemas.microsoft.com/office/drawing/2014/main" xmlns="" id="{00000000-0008-0000-0000-0000FB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884" name="Text Box 68">
          <a:extLst>
            <a:ext uri="{FF2B5EF4-FFF2-40B4-BE49-F238E27FC236}">
              <a16:creationId xmlns:a16="http://schemas.microsoft.com/office/drawing/2014/main" xmlns="" id="{00000000-0008-0000-0000-0000FC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885" name="Text Box 69">
          <a:extLst>
            <a:ext uri="{FF2B5EF4-FFF2-40B4-BE49-F238E27FC236}">
              <a16:creationId xmlns:a16="http://schemas.microsoft.com/office/drawing/2014/main" xmlns="" id="{00000000-0008-0000-0000-0000FD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886" name="Text Box 70">
          <a:extLst>
            <a:ext uri="{FF2B5EF4-FFF2-40B4-BE49-F238E27FC236}">
              <a16:creationId xmlns:a16="http://schemas.microsoft.com/office/drawing/2014/main" xmlns="" id="{00000000-0008-0000-0000-0000FE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887" name="Text Box 71">
          <a:extLst>
            <a:ext uri="{FF2B5EF4-FFF2-40B4-BE49-F238E27FC236}">
              <a16:creationId xmlns:a16="http://schemas.microsoft.com/office/drawing/2014/main" xmlns="" id="{00000000-0008-0000-0000-0000FF1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888" name="Text Box 72">
          <a:extLst>
            <a:ext uri="{FF2B5EF4-FFF2-40B4-BE49-F238E27FC236}">
              <a16:creationId xmlns:a16="http://schemas.microsoft.com/office/drawing/2014/main" xmlns="" id="{00000000-0008-0000-0000-000000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889" name="Text Box 73">
          <a:extLst>
            <a:ext uri="{FF2B5EF4-FFF2-40B4-BE49-F238E27FC236}">
              <a16:creationId xmlns:a16="http://schemas.microsoft.com/office/drawing/2014/main" xmlns="" id="{00000000-0008-0000-0000-000001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890" name="Text Box 74">
          <a:extLst>
            <a:ext uri="{FF2B5EF4-FFF2-40B4-BE49-F238E27FC236}">
              <a16:creationId xmlns:a16="http://schemas.microsoft.com/office/drawing/2014/main" xmlns="" id="{00000000-0008-0000-0000-000002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891" name="Text Box 75">
          <a:extLst>
            <a:ext uri="{FF2B5EF4-FFF2-40B4-BE49-F238E27FC236}">
              <a16:creationId xmlns:a16="http://schemas.microsoft.com/office/drawing/2014/main" xmlns="" id="{00000000-0008-0000-0000-000003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892" name="Text Box 76">
          <a:extLst>
            <a:ext uri="{FF2B5EF4-FFF2-40B4-BE49-F238E27FC236}">
              <a16:creationId xmlns:a16="http://schemas.microsoft.com/office/drawing/2014/main" xmlns="" id="{00000000-0008-0000-0000-000004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893" name="Text Box 77">
          <a:extLst>
            <a:ext uri="{FF2B5EF4-FFF2-40B4-BE49-F238E27FC236}">
              <a16:creationId xmlns:a16="http://schemas.microsoft.com/office/drawing/2014/main" xmlns="" id="{00000000-0008-0000-0000-000005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894" name="Text Box 78">
          <a:extLst>
            <a:ext uri="{FF2B5EF4-FFF2-40B4-BE49-F238E27FC236}">
              <a16:creationId xmlns:a16="http://schemas.microsoft.com/office/drawing/2014/main" xmlns="" id="{00000000-0008-0000-0000-000006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895" name="Text Box 79">
          <a:extLst>
            <a:ext uri="{FF2B5EF4-FFF2-40B4-BE49-F238E27FC236}">
              <a16:creationId xmlns:a16="http://schemas.microsoft.com/office/drawing/2014/main" xmlns="" id="{00000000-0008-0000-0000-000007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896" name="Text Box 80">
          <a:extLst>
            <a:ext uri="{FF2B5EF4-FFF2-40B4-BE49-F238E27FC236}">
              <a16:creationId xmlns:a16="http://schemas.microsoft.com/office/drawing/2014/main" xmlns="" id="{00000000-0008-0000-0000-000008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897" name="Text Box 81">
          <a:extLst>
            <a:ext uri="{FF2B5EF4-FFF2-40B4-BE49-F238E27FC236}">
              <a16:creationId xmlns:a16="http://schemas.microsoft.com/office/drawing/2014/main" xmlns="" id="{00000000-0008-0000-0000-000009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47625"/>
    <xdr:sp macro="" textlink="">
      <xdr:nvSpPr>
        <xdr:cNvPr id="5898" name="Text Box 82">
          <a:extLst>
            <a:ext uri="{FF2B5EF4-FFF2-40B4-BE49-F238E27FC236}">
              <a16:creationId xmlns:a16="http://schemas.microsoft.com/office/drawing/2014/main" xmlns="" id="{00000000-0008-0000-0000-00000A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899" name="Text Box 3079">
          <a:extLst>
            <a:ext uri="{FF2B5EF4-FFF2-40B4-BE49-F238E27FC236}">
              <a16:creationId xmlns:a16="http://schemas.microsoft.com/office/drawing/2014/main" xmlns="" id="{00000000-0008-0000-0000-00000B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900" name="Text Box 3080">
          <a:extLst>
            <a:ext uri="{FF2B5EF4-FFF2-40B4-BE49-F238E27FC236}">
              <a16:creationId xmlns:a16="http://schemas.microsoft.com/office/drawing/2014/main" xmlns="" id="{00000000-0008-0000-0000-00000C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901" name="Text Box 3081">
          <a:extLst>
            <a:ext uri="{FF2B5EF4-FFF2-40B4-BE49-F238E27FC236}">
              <a16:creationId xmlns:a16="http://schemas.microsoft.com/office/drawing/2014/main" xmlns="" id="{00000000-0008-0000-0000-00000D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902" name="Text Box 3082">
          <a:extLst>
            <a:ext uri="{FF2B5EF4-FFF2-40B4-BE49-F238E27FC236}">
              <a16:creationId xmlns:a16="http://schemas.microsoft.com/office/drawing/2014/main" xmlns="" id="{00000000-0008-0000-0000-00000E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903" name="Text Box 3083">
          <a:extLst>
            <a:ext uri="{FF2B5EF4-FFF2-40B4-BE49-F238E27FC236}">
              <a16:creationId xmlns:a16="http://schemas.microsoft.com/office/drawing/2014/main" xmlns="" id="{00000000-0008-0000-0000-00000F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904" name="Text Box 3084">
          <a:extLst>
            <a:ext uri="{FF2B5EF4-FFF2-40B4-BE49-F238E27FC236}">
              <a16:creationId xmlns:a16="http://schemas.microsoft.com/office/drawing/2014/main" xmlns="" id="{00000000-0008-0000-0000-000010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905" name="Text Box 3085">
          <a:extLst>
            <a:ext uri="{FF2B5EF4-FFF2-40B4-BE49-F238E27FC236}">
              <a16:creationId xmlns:a16="http://schemas.microsoft.com/office/drawing/2014/main" xmlns="" id="{00000000-0008-0000-0000-000011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906" name="Text Box 3086">
          <a:extLst>
            <a:ext uri="{FF2B5EF4-FFF2-40B4-BE49-F238E27FC236}">
              <a16:creationId xmlns:a16="http://schemas.microsoft.com/office/drawing/2014/main" xmlns="" id="{00000000-0008-0000-0000-000012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907" name="Text Box 3087">
          <a:extLst>
            <a:ext uri="{FF2B5EF4-FFF2-40B4-BE49-F238E27FC236}">
              <a16:creationId xmlns:a16="http://schemas.microsoft.com/office/drawing/2014/main" xmlns="" id="{00000000-0008-0000-0000-000013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908" name="Text Box 3088">
          <a:extLst>
            <a:ext uri="{FF2B5EF4-FFF2-40B4-BE49-F238E27FC236}">
              <a16:creationId xmlns:a16="http://schemas.microsoft.com/office/drawing/2014/main" xmlns="" id="{00000000-0008-0000-0000-000014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909" name="Text Box 3089">
          <a:extLst>
            <a:ext uri="{FF2B5EF4-FFF2-40B4-BE49-F238E27FC236}">
              <a16:creationId xmlns:a16="http://schemas.microsoft.com/office/drawing/2014/main" xmlns="" id="{00000000-0008-0000-0000-000015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910" name="Text Box 3090">
          <a:extLst>
            <a:ext uri="{FF2B5EF4-FFF2-40B4-BE49-F238E27FC236}">
              <a16:creationId xmlns:a16="http://schemas.microsoft.com/office/drawing/2014/main" xmlns="" id="{00000000-0008-0000-0000-000016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911" name="Text Box 3091">
          <a:extLst>
            <a:ext uri="{FF2B5EF4-FFF2-40B4-BE49-F238E27FC236}">
              <a16:creationId xmlns:a16="http://schemas.microsoft.com/office/drawing/2014/main" xmlns="" id="{00000000-0008-0000-0000-000017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912" name="Text Box 3092">
          <a:extLst>
            <a:ext uri="{FF2B5EF4-FFF2-40B4-BE49-F238E27FC236}">
              <a16:creationId xmlns:a16="http://schemas.microsoft.com/office/drawing/2014/main" xmlns="" id="{00000000-0008-0000-0000-000018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913" name="Text Box 3093">
          <a:extLst>
            <a:ext uri="{FF2B5EF4-FFF2-40B4-BE49-F238E27FC236}">
              <a16:creationId xmlns:a16="http://schemas.microsoft.com/office/drawing/2014/main" xmlns="" id="{00000000-0008-0000-0000-000019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914" name="Text Box 3094">
          <a:extLst>
            <a:ext uri="{FF2B5EF4-FFF2-40B4-BE49-F238E27FC236}">
              <a16:creationId xmlns:a16="http://schemas.microsoft.com/office/drawing/2014/main" xmlns="" id="{00000000-0008-0000-0000-00001A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915" name="Text Box 3095">
          <a:extLst>
            <a:ext uri="{FF2B5EF4-FFF2-40B4-BE49-F238E27FC236}">
              <a16:creationId xmlns:a16="http://schemas.microsoft.com/office/drawing/2014/main" xmlns="" id="{00000000-0008-0000-0000-00001B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916" name="Text Box 3096">
          <a:extLst>
            <a:ext uri="{FF2B5EF4-FFF2-40B4-BE49-F238E27FC236}">
              <a16:creationId xmlns:a16="http://schemas.microsoft.com/office/drawing/2014/main" xmlns="" id="{00000000-0008-0000-0000-00001C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917" name="Text Box 3097">
          <a:extLst>
            <a:ext uri="{FF2B5EF4-FFF2-40B4-BE49-F238E27FC236}">
              <a16:creationId xmlns:a16="http://schemas.microsoft.com/office/drawing/2014/main" xmlns="" id="{00000000-0008-0000-0000-00001D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918" name="Text Box 3098">
          <a:extLst>
            <a:ext uri="{FF2B5EF4-FFF2-40B4-BE49-F238E27FC236}">
              <a16:creationId xmlns:a16="http://schemas.microsoft.com/office/drawing/2014/main" xmlns="" id="{00000000-0008-0000-0000-00001E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919" name="Text Box 3099">
          <a:extLst>
            <a:ext uri="{FF2B5EF4-FFF2-40B4-BE49-F238E27FC236}">
              <a16:creationId xmlns:a16="http://schemas.microsoft.com/office/drawing/2014/main" xmlns="" id="{00000000-0008-0000-0000-00001F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920" name="Text Box 3100">
          <a:extLst>
            <a:ext uri="{FF2B5EF4-FFF2-40B4-BE49-F238E27FC236}">
              <a16:creationId xmlns:a16="http://schemas.microsoft.com/office/drawing/2014/main" xmlns="" id="{00000000-0008-0000-0000-000020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921" name="Text Box 3101">
          <a:extLst>
            <a:ext uri="{FF2B5EF4-FFF2-40B4-BE49-F238E27FC236}">
              <a16:creationId xmlns:a16="http://schemas.microsoft.com/office/drawing/2014/main" xmlns="" id="{00000000-0008-0000-0000-000021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5922" name="Text Box 3102">
          <a:extLst>
            <a:ext uri="{FF2B5EF4-FFF2-40B4-BE49-F238E27FC236}">
              <a16:creationId xmlns:a16="http://schemas.microsoft.com/office/drawing/2014/main" xmlns="" id="{00000000-0008-0000-0000-000022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923" name="Text Box 59">
          <a:extLst>
            <a:ext uri="{FF2B5EF4-FFF2-40B4-BE49-F238E27FC236}">
              <a16:creationId xmlns:a16="http://schemas.microsoft.com/office/drawing/2014/main" xmlns="" id="{00000000-0008-0000-0000-000023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924" name="Text Box 60">
          <a:extLst>
            <a:ext uri="{FF2B5EF4-FFF2-40B4-BE49-F238E27FC236}">
              <a16:creationId xmlns:a16="http://schemas.microsoft.com/office/drawing/2014/main" xmlns="" id="{00000000-0008-0000-0000-000024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925" name="Text Box 61">
          <a:extLst>
            <a:ext uri="{FF2B5EF4-FFF2-40B4-BE49-F238E27FC236}">
              <a16:creationId xmlns:a16="http://schemas.microsoft.com/office/drawing/2014/main" xmlns="" id="{00000000-0008-0000-0000-000025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926" name="Text Box 62">
          <a:extLst>
            <a:ext uri="{FF2B5EF4-FFF2-40B4-BE49-F238E27FC236}">
              <a16:creationId xmlns:a16="http://schemas.microsoft.com/office/drawing/2014/main" xmlns="" id="{00000000-0008-0000-0000-000026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927" name="Text Box 63">
          <a:extLst>
            <a:ext uri="{FF2B5EF4-FFF2-40B4-BE49-F238E27FC236}">
              <a16:creationId xmlns:a16="http://schemas.microsoft.com/office/drawing/2014/main" xmlns="" id="{00000000-0008-0000-0000-000027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928" name="Text Box 64">
          <a:extLst>
            <a:ext uri="{FF2B5EF4-FFF2-40B4-BE49-F238E27FC236}">
              <a16:creationId xmlns:a16="http://schemas.microsoft.com/office/drawing/2014/main" xmlns="" id="{00000000-0008-0000-0000-000028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929" name="Text Box 65">
          <a:extLst>
            <a:ext uri="{FF2B5EF4-FFF2-40B4-BE49-F238E27FC236}">
              <a16:creationId xmlns:a16="http://schemas.microsoft.com/office/drawing/2014/main" xmlns="" id="{00000000-0008-0000-0000-000029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930" name="Text Box 66">
          <a:extLst>
            <a:ext uri="{FF2B5EF4-FFF2-40B4-BE49-F238E27FC236}">
              <a16:creationId xmlns:a16="http://schemas.microsoft.com/office/drawing/2014/main" xmlns="" id="{00000000-0008-0000-0000-00002A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931" name="Text Box 67">
          <a:extLst>
            <a:ext uri="{FF2B5EF4-FFF2-40B4-BE49-F238E27FC236}">
              <a16:creationId xmlns:a16="http://schemas.microsoft.com/office/drawing/2014/main" xmlns="" id="{00000000-0008-0000-0000-00002B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932" name="Text Box 68">
          <a:extLst>
            <a:ext uri="{FF2B5EF4-FFF2-40B4-BE49-F238E27FC236}">
              <a16:creationId xmlns:a16="http://schemas.microsoft.com/office/drawing/2014/main" xmlns="" id="{00000000-0008-0000-0000-00002C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933" name="Text Box 69">
          <a:extLst>
            <a:ext uri="{FF2B5EF4-FFF2-40B4-BE49-F238E27FC236}">
              <a16:creationId xmlns:a16="http://schemas.microsoft.com/office/drawing/2014/main" xmlns="" id="{00000000-0008-0000-0000-00002D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934" name="Text Box 70">
          <a:extLst>
            <a:ext uri="{FF2B5EF4-FFF2-40B4-BE49-F238E27FC236}">
              <a16:creationId xmlns:a16="http://schemas.microsoft.com/office/drawing/2014/main" xmlns="" id="{00000000-0008-0000-0000-00002E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935" name="Text Box 71">
          <a:extLst>
            <a:ext uri="{FF2B5EF4-FFF2-40B4-BE49-F238E27FC236}">
              <a16:creationId xmlns:a16="http://schemas.microsoft.com/office/drawing/2014/main" xmlns="" id="{00000000-0008-0000-0000-00002F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936" name="Text Box 72">
          <a:extLst>
            <a:ext uri="{FF2B5EF4-FFF2-40B4-BE49-F238E27FC236}">
              <a16:creationId xmlns:a16="http://schemas.microsoft.com/office/drawing/2014/main" xmlns="" id="{00000000-0008-0000-0000-000030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937" name="Text Box 73">
          <a:extLst>
            <a:ext uri="{FF2B5EF4-FFF2-40B4-BE49-F238E27FC236}">
              <a16:creationId xmlns:a16="http://schemas.microsoft.com/office/drawing/2014/main" xmlns="" id="{00000000-0008-0000-0000-000031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938" name="Text Box 74">
          <a:extLst>
            <a:ext uri="{FF2B5EF4-FFF2-40B4-BE49-F238E27FC236}">
              <a16:creationId xmlns:a16="http://schemas.microsoft.com/office/drawing/2014/main" xmlns="" id="{00000000-0008-0000-0000-000032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939" name="Text Box 75">
          <a:extLst>
            <a:ext uri="{FF2B5EF4-FFF2-40B4-BE49-F238E27FC236}">
              <a16:creationId xmlns:a16="http://schemas.microsoft.com/office/drawing/2014/main" xmlns="" id="{00000000-0008-0000-0000-000033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940" name="Text Box 76">
          <a:extLst>
            <a:ext uri="{FF2B5EF4-FFF2-40B4-BE49-F238E27FC236}">
              <a16:creationId xmlns:a16="http://schemas.microsoft.com/office/drawing/2014/main" xmlns="" id="{00000000-0008-0000-0000-000034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941" name="Text Box 77">
          <a:extLst>
            <a:ext uri="{FF2B5EF4-FFF2-40B4-BE49-F238E27FC236}">
              <a16:creationId xmlns:a16="http://schemas.microsoft.com/office/drawing/2014/main" xmlns="" id="{00000000-0008-0000-0000-000035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942" name="Text Box 78">
          <a:extLst>
            <a:ext uri="{FF2B5EF4-FFF2-40B4-BE49-F238E27FC236}">
              <a16:creationId xmlns:a16="http://schemas.microsoft.com/office/drawing/2014/main" xmlns="" id="{00000000-0008-0000-0000-000036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943" name="Text Box 79">
          <a:extLst>
            <a:ext uri="{FF2B5EF4-FFF2-40B4-BE49-F238E27FC236}">
              <a16:creationId xmlns:a16="http://schemas.microsoft.com/office/drawing/2014/main" xmlns="" id="{00000000-0008-0000-0000-000037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944" name="Text Box 80">
          <a:extLst>
            <a:ext uri="{FF2B5EF4-FFF2-40B4-BE49-F238E27FC236}">
              <a16:creationId xmlns:a16="http://schemas.microsoft.com/office/drawing/2014/main" xmlns="" id="{00000000-0008-0000-0000-000038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945" name="Text Box 81">
          <a:extLst>
            <a:ext uri="{FF2B5EF4-FFF2-40B4-BE49-F238E27FC236}">
              <a16:creationId xmlns:a16="http://schemas.microsoft.com/office/drawing/2014/main" xmlns="" id="{00000000-0008-0000-0000-000039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946" name="Text Box 3079">
          <a:extLst>
            <a:ext uri="{FF2B5EF4-FFF2-40B4-BE49-F238E27FC236}">
              <a16:creationId xmlns:a16="http://schemas.microsoft.com/office/drawing/2014/main" xmlns="" id="{00000000-0008-0000-0000-00003A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947" name="Text Box 3080">
          <a:extLst>
            <a:ext uri="{FF2B5EF4-FFF2-40B4-BE49-F238E27FC236}">
              <a16:creationId xmlns:a16="http://schemas.microsoft.com/office/drawing/2014/main" xmlns="" id="{00000000-0008-0000-0000-00003B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948" name="Text Box 3081">
          <a:extLst>
            <a:ext uri="{FF2B5EF4-FFF2-40B4-BE49-F238E27FC236}">
              <a16:creationId xmlns:a16="http://schemas.microsoft.com/office/drawing/2014/main" xmlns="" id="{00000000-0008-0000-0000-00003C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949" name="Text Box 3082">
          <a:extLst>
            <a:ext uri="{FF2B5EF4-FFF2-40B4-BE49-F238E27FC236}">
              <a16:creationId xmlns:a16="http://schemas.microsoft.com/office/drawing/2014/main" xmlns="" id="{00000000-0008-0000-0000-00003D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950" name="Text Box 3083">
          <a:extLst>
            <a:ext uri="{FF2B5EF4-FFF2-40B4-BE49-F238E27FC236}">
              <a16:creationId xmlns:a16="http://schemas.microsoft.com/office/drawing/2014/main" xmlns="" id="{00000000-0008-0000-0000-00003E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951" name="Text Box 3084">
          <a:extLst>
            <a:ext uri="{FF2B5EF4-FFF2-40B4-BE49-F238E27FC236}">
              <a16:creationId xmlns:a16="http://schemas.microsoft.com/office/drawing/2014/main" xmlns="" id="{00000000-0008-0000-0000-00003F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952" name="Text Box 3085">
          <a:extLst>
            <a:ext uri="{FF2B5EF4-FFF2-40B4-BE49-F238E27FC236}">
              <a16:creationId xmlns:a16="http://schemas.microsoft.com/office/drawing/2014/main" xmlns="" id="{00000000-0008-0000-0000-000040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953" name="Text Box 3086">
          <a:extLst>
            <a:ext uri="{FF2B5EF4-FFF2-40B4-BE49-F238E27FC236}">
              <a16:creationId xmlns:a16="http://schemas.microsoft.com/office/drawing/2014/main" xmlns="" id="{00000000-0008-0000-0000-000041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954" name="Text Box 3087">
          <a:extLst>
            <a:ext uri="{FF2B5EF4-FFF2-40B4-BE49-F238E27FC236}">
              <a16:creationId xmlns:a16="http://schemas.microsoft.com/office/drawing/2014/main" xmlns="" id="{00000000-0008-0000-0000-000042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955" name="Text Box 3088">
          <a:extLst>
            <a:ext uri="{FF2B5EF4-FFF2-40B4-BE49-F238E27FC236}">
              <a16:creationId xmlns:a16="http://schemas.microsoft.com/office/drawing/2014/main" xmlns="" id="{00000000-0008-0000-0000-000043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956" name="Text Box 3089">
          <a:extLst>
            <a:ext uri="{FF2B5EF4-FFF2-40B4-BE49-F238E27FC236}">
              <a16:creationId xmlns:a16="http://schemas.microsoft.com/office/drawing/2014/main" xmlns="" id="{00000000-0008-0000-0000-000044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957" name="Text Box 3090">
          <a:extLst>
            <a:ext uri="{FF2B5EF4-FFF2-40B4-BE49-F238E27FC236}">
              <a16:creationId xmlns:a16="http://schemas.microsoft.com/office/drawing/2014/main" xmlns="" id="{00000000-0008-0000-0000-000045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958" name="Text Box 3091">
          <a:extLst>
            <a:ext uri="{FF2B5EF4-FFF2-40B4-BE49-F238E27FC236}">
              <a16:creationId xmlns:a16="http://schemas.microsoft.com/office/drawing/2014/main" xmlns="" id="{00000000-0008-0000-0000-000046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959" name="Text Box 3092">
          <a:extLst>
            <a:ext uri="{FF2B5EF4-FFF2-40B4-BE49-F238E27FC236}">
              <a16:creationId xmlns:a16="http://schemas.microsoft.com/office/drawing/2014/main" xmlns="" id="{00000000-0008-0000-0000-000047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960" name="Text Box 3093">
          <a:extLst>
            <a:ext uri="{FF2B5EF4-FFF2-40B4-BE49-F238E27FC236}">
              <a16:creationId xmlns:a16="http://schemas.microsoft.com/office/drawing/2014/main" xmlns="" id="{00000000-0008-0000-0000-000048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961" name="Text Box 3094">
          <a:extLst>
            <a:ext uri="{FF2B5EF4-FFF2-40B4-BE49-F238E27FC236}">
              <a16:creationId xmlns:a16="http://schemas.microsoft.com/office/drawing/2014/main" xmlns="" id="{00000000-0008-0000-0000-000049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962" name="Text Box 3095">
          <a:extLst>
            <a:ext uri="{FF2B5EF4-FFF2-40B4-BE49-F238E27FC236}">
              <a16:creationId xmlns:a16="http://schemas.microsoft.com/office/drawing/2014/main" xmlns="" id="{00000000-0008-0000-0000-00004A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963" name="Text Box 3096">
          <a:extLst>
            <a:ext uri="{FF2B5EF4-FFF2-40B4-BE49-F238E27FC236}">
              <a16:creationId xmlns:a16="http://schemas.microsoft.com/office/drawing/2014/main" xmlns="" id="{00000000-0008-0000-0000-00004B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964" name="Text Box 3097">
          <a:extLst>
            <a:ext uri="{FF2B5EF4-FFF2-40B4-BE49-F238E27FC236}">
              <a16:creationId xmlns:a16="http://schemas.microsoft.com/office/drawing/2014/main" xmlns="" id="{00000000-0008-0000-0000-00004C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965" name="Text Box 3098">
          <a:extLst>
            <a:ext uri="{FF2B5EF4-FFF2-40B4-BE49-F238E27FC236}">
              <a16:creationId xmlns:a16="http://schemas.microsoft.com/office/drawing/2014/main" xmlns="" id="{00000000-0008-0000-0000-00004D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966" name="Text Box 3099">
          <a:extLst>
            <a:ext uri="{FF2B5EF4-FFF2-40B4-BE49-F238E27FC236}">
              <a16:creationId xmlns:a16="http://schemas.microsoft.com/office/drawing/2014/main" xmlns="" id="{00000000-0008-0000-0000-00004E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967" name="Text Box 3100">
          <a:extLst>
            <a:ext uri="{FF2B5EF4-FFF2-40B4-BE49-F238E27FC236}">
              <a16:creationId xmlns:a16="http://schemas.microsoft.com/office/drawing/2014/main" xmlns="" id="{00000000-0008-0000-0000-00004F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968" name="Text Box 3101">
          <a:extLst>
            <a:ext uri="{FF2B5EF4-FFF2-40B4-BE49-F238E27FC236}">
              <a16:creationId xmlns:a16="http://schemas.microsoft.com/office/drawing/2014/main" xmlns="" id="{00000000-0008-0000-0000-000050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5969" name="Text Box 3102">
          <a:extLst>
            <a:ext uri="{FF2B5EF4-FFF2-40B4-BE49-F238E27FC236}">
              <a16:creationId xmlns:a16="http://schemas.microsoft.com/office/drawing/2014/main" xmlns="" id="{00000000-0008-0000-0000-000051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970" name="Text Box 59">
          <a:extLst>
            <a:ext uri="{FF2B5EF4-FFF2-40B4-BE49-F238E27FC236}">
              <a16:creationId xmlns:a16="http://schemas.microsoft.com/office/drawing/2014/main" xmlns="" id="{00000000-0008-0000-0000-000052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971" name="Text Box 60">
          <a:extLst>
            <a:ext uri="{FF2B5EF4-FFF2-40B4-BE49-F238E27FC236}">
              <a16:creationId xmlns:a16="http://schemas.microsoft.com/office/drawing/2014/main" xmlns="" id="{00000000-0008-0000-0000-000053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972" name="Text Box 61">
          <a:extLst>
            <a:ext uri="{FF2B5EF4-FFF2-40B4-BE49-F238E27FC236}">
              <a16:creationId xmlns:a16="http://schemas.microsoft.com/office/drawing/2014/main" xmlns="" id="{00000000-0008-0000-0000-000054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973" name="Text Box 62">
          <a:extLst>
            <a:ext uri="{FF2B5EF4-FFF2-40B4-BE49-F238E27FC236}">
              <a16:creationId xmlns:a16="http://schemas.microsoft.com/office/drawing/2014/main" xmlns="" id="{00000000-0008-0000-0000-000055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974" name="Text Box 63">
          <a:extLst>
            <a:ext uri="{FF2B5EF4-FFF2-40B4-BE49-F238E27FC236}">
              <a16:creationId xmlns:a16="http://schemas.microsoft.com/office/drawing/2014/main" xmlns="" id="{00000000-0008-0000-0000-000056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975" name="Text Box 64">
          <a:extLst>
            <a:ext uri="{FF2B5EF4-FFF2-40B4-BE49-F238E27FC236}">
              <a16:creationId xmlns:a16="http://schemas.microsoft.com/office/drawing/2014/main" xmlns="" id="{00000000-0008-0000-0000-000057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976" name="Text Box 65">
          <a:extLst>
            <a:ext uri="{FF2B5EF4-FFF2-40B4-BE49-F238E27FC236}">
              <a16:creationId xmlns:a16="http://schemas.microsoft.com/office/drawing/2014/main" xmlns="" id="{00000000-0008-0000-0000-000058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977" name="Text Box 66">
          <a:extLst>
            <a:ext uri="{FF2B5EF4-FFF2-40B4-BE49-F238E27FC236}">
              <a16:creationId xmlns:a16="http://schemas.microsoft.com/office/drawing/2014/main" xmlns="" id="{00000000-0008-0000-0000-000059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978" name="Text Box 67">
          <a:extLst>
            <a:ext uri="{FF2B5EF4-FFF2-40B4-BE49-F238E27FC236}">
              <a16:creationId xmlns:a16="http://schemas.microsoft.com/office/drawing/2014/main" xmlns="" id="{00000000-0008-0000-0000-00005A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979" name="Text Box 68">
          <a:extLst>
            <a:ext uri="{FF2B5EF4-FFF2-40B4-BE49-F238E27FC236}">
              <a16:creationId xmlns:a16="http://schemas.microsoft.com/office/drawing/2014/main" xmlns="" id="{00000000-0008-0000-0000-00005B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980" name="Text Box 69">
          <a:extLst>
            <a:ext uri="{FF2B5EF4-FFF2-40B4-BE49-F238E27FC236}">
              <a16:creationId xmlns:a16="http://schemas.microsoft.com/office/drawing/2014/main" xmlns="" id="{00000000-0008-0000-0000-00005C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981" name="Text Box 70">
          <a:extLst>
            <a:ext uri="{FF2B5EF4-FFF2-40B4-BE49-F238E27FC236}">
              <a16:creationId xmlns:a16="http://schemas.microsoft.com/office/drawing/2014/main" xmlns="" id="{00000000-0008-0000-0000-00005D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982" name="Text Box 71">
          <a:extLst>
            <a:ext uri="{FF2B5EF4-FFF2-40B4-BE49-F238E27FC236}">
              <a16:creationId xmlns:a16="http://schemas.microsoft.com/office/drawing/2014/main" xmlns="" id="{00000000-0008-0000-0000-00005E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983" name="Text Box 72">
          <a:extLst>
            <a:ext uri="{FF2B5EF4-FFF2-40B4-BE49-F238E27FC236}">
              <a16:creationId xmlns:a16="http://schemas.microsoft.com/office/drawing/2014/main" xmlns="" id="{00000000-0008-0000-0000-00005F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984" name="Text Box 73">
          <a:extLst>
            <a:ext uri="{FF2B5EF4-FFF2-40B4-BE49-F238E27FC236}">
              <a16:creationId xmlns:a16="http://schemas.microsoft.com/office/drawing/2014/main" xmlns="" id="{00000000-0008-0000-0000-000060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985" name="Text Box 74">
          <a:extLst>
            <a:ext uri="{FF2B5EF4-FFF2-40B4-BE49-F238E27FC236}">
              <a16:creationId xmlns:a16="http://schemas.microsoft.com/office/drawing/2014/main" xmlns="" id="{00000000-0008-0000-0000-000061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986" name="Text Box 75">
          <a:extLst>
            <a:ext uri="{FF2B5EF4-FFF2-40B4-BE49-F238E27FC236}">
              <a16:creationId xmlns:a16="http://schemas.microsoft.com/office/drawing/2014/main" xmlns="" id="{00000000-0008-0000-0000-000062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987" name="Text Box 76">
          <a:extLst>
            <a:ext uri="{FF2B5EF4-FFF2-40B4-BE49-F238E27FC236}">
              <a16:creationId xmlns:a16="http://schemas.microsoft.com/office/drawing/2014/main" xmlns="" id="{00000000-0008-0000-0000-000063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988" name="Text Box 77">
          <a:extLst>
            <a:ext uri="{FF2B5EF4-FFF2-40B4-BE49-F238E27FC236}">
              <a16:creationId xmlns:a16="http://schemas.microsoft.com/office/drawing/2014/main" xmlns="" id="{00000000-0008-0000-0000-000064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989" name="Text Box 78">
          <a:extLst>
            <a:ext uri="{FF2B5EF4-FFF2-40B4-BE49-F238E27FC236}">
              <a16:creationId xmlns:a16="http://schemas.microsoft.com/office/drawing/2014/main" xmlns="" id="{00000000-0008-0000-0000-000065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990" name="Text Box 79">
          <a:extLst>
            <a:ext uri="{FF2B5EF4-FFF2-40B4-BE49-F238E27FC236}">
              <a16:creationId xmlns:a16="http://schemas.microsoft.com/office/drawing/2014/main" xmlns="" id="{00000000-0008-0000-0000-000066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991" name="Text Box 80">
          <a:extLst>
            <a:ext uri="{FF2B5EF4-FFF2-40B4-BE49-F238E27FC236}">
              <a16:creationId xmlns:a16="http://schemas.microsoft.com/office/drawing/2014/main" xmlns="" id="{00000000-0008-0000-0000-000067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5992" name="Text Box 81">
          <a:extLst>
            <a:ext uri="{FF2B5EF4-FFF2-40B4-BE49-F238E27FC236}">
              <a16:creationId xmlns:a16="http://schemas.microsoft.com/office/drawing/2014/main" xmlns="" id="{00000000-0008-0000-0000-000068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47625"/>
    <xdr:sp macro="" textlink="">
      <xdr:nvSpPr>
        <xdr:cNvPr id="5993" name="Text Box 82">
          <a:extLst>
            <a:ext uri="{FF2B5EF4-FFF2-40B4-BE49-F238E27FC236}">
              <a16:creationId xmlns:a16="http://schemas.microsoft.com/office/drawing/2014/main" xmlns="" id="{00000000-0008-0000-0000-000069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994" name="Text Box 3079">
          <a:extLst>
            <a:ext uri="{FF2B5EF4-FFF2-40B4-BE49-F238E27FC236}">
              <a16:creationId xmlns:a16="http://schemas.microsoft.com/office/drawing/2014/main" xmlns="" id="{00000000-0008-0000-0000-00006A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995" name="Text Box 3080">
          <a:extLst>
            <a:ext uri="{FF2B5EF4-FFF2-40B4-BE49-F238E27FC236}">
              <a16:creationId xmlns:a16="http://schemas.microsoft.com/office/drawing/2014/main" xmlns="" id="{00000000-0008-0000-0000-00006B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996" name="Text Box 3081">
          <a:extLst>
            <a:ext uri="{FF2B5EF4-FFF2-40B4-BE49-F238E27FC236}">
              <a16:creationId xmlns:a16="http://schemas.microsoft.com/office/drawing/2014/main" xmlns="" id="{00000000-0008-0000-0000-00006C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997" name="Text Box 3082">
          <a:extLst>
            <a:ext uri="{FF2B5EF4-FFF2-40B4-BE49-F238E27FC236}">
              <a16:creationId xmlns:a16="http://schemas.microsoft.com/office/drawing/2014/main" xmlns="" id="{00000000-0008-0000-0000-00006D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998" name="Text Box 3083">
          <a:extLst>
            <a:ext uri="{FF2B5EF4-FFF2-40B4-BE49-F238E27FC236}">
              <a16:creationId xmlns:a16="http://schemas.microsoft.com/office/drawing/2014/main" xmlns="" id="{00000000-0008-0000-0000-00006E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5999" name="Text Box 3084">
          <a:extLst>
            <a:ext uri="{FF2B5EF4-FFF2-40B4-BE49-F238E27FC236}">
              <a16:creationId xmlns:a16="http://schemas.microsoft.com/office/drawing/2014/main" xmlns="" id="{00000000-0008-0000-0000-00006F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000" name="Text Box 3085">
          <a:extLst>
            <a:ext uri="{FF2B5EF4-FFF2-40B4-BE49-F238E27FC236}">
              <a16:creationId xmlns:a16="http://schemas.microsoft.com/office/drawing/2014/main" xmlns="" id="{00000000-0008-0000-0000-000070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001" name="Text Box 3086">
          <a:extLst>
            <a:ext uri="{FF2B5EF4-FFF2-40B4-BE49-F238E27FC236}">
              <a16:creationId xmlns:a16="http://schemas.microsoft.com/office/drawing/2014/main" xmlns="" id="{00000000-0008-0000-0000-000071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002" name="Text Box 3087">
          <a:extLst>
            <a:ext uri="{FF2B5EF4-FFF2-40B4-BE49-F238E27FC236}">
              <a16:creationId xmlns:a16="http://schemas.microsoft.com/office/drawing/2014/main" xmlns="" id="{00000000-0008-0000-0000-000072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003" name="Text Box 3088">
          <a:extLst>
            <a:ext uri="{FF2B5EF4-FFF2-40B4-BE49-F238E27FC236}">
              <a16:creationId xmlns:a16="http://schemas.microsoft.com/office/drawing/2014/main" xmlns="" id="{00000000-0008-0000-0000-000073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004" name="Text Box 3089">
          <a:extLst>
            <a:ext uri="{FF2B5EF4-FFF2-40B4-BE49-F238E27FC236}">
              <a16:creationId xmlns:a16="http://schemas.microsoft.com/office/drawing/2014/main" xmlns="" id="{00000000-0008-0000-0000-000074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005" name="Text Box 3090">
          <a:extLst>
            <a:ext uri="{FF2B5EF4-FFF2-40B4-BE49-F238E27FC236}">
              <a16:creationId xmlns:a16="http://schemas.microsoft.com/office/drawing/2014/main" xmlns="" id="{00000000-0008-0000-0000-000075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006" name="Text Box 3091">
          <a:extLst>
            <a:ext uri="{FF2B5EF4-FFF2-40B4-BE49-F238E27FC236}">
              <a16:creationId xmlns:a16="http://schemas.microsoft.com/office/drawing/2014/main" xmlns="" id="{00000000-0008-0000-0000-000076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007" name="Text Box 3092">
          <a:extLst>
            <a:ext uri="{FF2B5EF4-FFF2-40B4-BE49-F238E27FC236}">
              <a16:creationId xmlns:a16="http://schemas.microsoft.com/office/drawing/2014/main" xmlns="" id="{00000000-0008-0000-0000-000077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008" name="Text Box 3093">
          <a:extLst>
            <a:ext uri="{FF2B5EF4-FFF2-40B4-BE49-F238E27FC236}">
              <a16:creationId xmlns:a16="http://schemas.microsoft.com/office/drawing/2014/main" xmlns="" id="{00000000-0008-0000-0000-000078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009" name="Text Box 3094">
          <a:extLst>
            <a:ext uri="{FF2B5EF4-FFF2-40B4-BE49-F238E27FC236}">
              <a16:creationId xmlns:a16="http://schemas.microsoft.com/office/drawing/2014/main" xmlns="" id="{00000000-0008-0000-0000-000079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010" name="Text Box 3095">
          <a:extLst>
            <a:ext uri="{FF2B5EF4-FFF2-40B4-BE49-F238E27FC236}">
              <a16:creationId xmlns:a16="http://schemas.microsoft.com/office/drawing/2014/main" xmlns="" id="{00000000-0008-0000-0000-00007A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011" name="Text Box 3096">
          <a:extLst>
            <a:ext uri="{FF2B5EF4-FFF2-40B4-BE49-F238E27FC236}">
              <a16:creationId xmlns:a16="http://schemas.microsoft.com/office/drawing/2014/main" xmlns="" id="{00000000-0008-0000-0000-00007B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012" name="Text Box 3097">
          <a:extLst>
            <a:ext uri="{FF2B5EF4-FFF2-40B4-BE49-F238E27FC236}">
              <a16:creationId xmlns:a16="http://schemas.microsoft.com/office/drawing/2014/main" xmlns="" id="{00000000-0008-0000-0000-00007C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013" name="Text Box 3098">
          <a:extLst>
            <a:ext uri="{FF2B5EF4-FFF2-40B4-BE49-F238E27FC236}">
              <a16:creationId xmlns:a16="http://schemas.microsoft.com/office/drawing/2014/main" xmlns="" id="{00000000-0008-0000-0000-00007D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014" name="Text Box 3099">
          <a:extLst>
            <a:ext uri="{FF2B5EF4-FFF2-40B4-BE49-F238E27FC236}">
              <a16:creationId xmlns:a16="http://schemas.microsoft.com/office/drawing/2014/main" xmlns="" id="{00000000-0008-0000-0000-00007E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015" name="Text Box 3100">
          <a:extLst>
            <a:ext uri="{FF2B5EF4-FFF2-40B4-BE49-F238E27FC236}">
              <a16:creationId xmlns:a16="http://schemas.microsoft.com/office/drawing/2014/main" xmlns="" id="{00000000-0008-0000-0000-00007F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016" name="Text Box 3101">
          <a:extLst>
            <a:ext uri="{FF2B5EF4-FFF2-40B4-BE49-F238E27FC236}">
              <a16:creationId xmlns:a16="http://schemas.microsoft.com/office/drawing/2014/main" xmlns="" id="{00000000-0008-0000-0000-000080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6017" name="Text Box 3102">
          <a:extLst>
            <a:ext uri="{FF2B5EF4-FFF2-40B4-BE49-F238E27FC236}">
              <a16:creationId xmlns:a16="http://schemas.microsoft.com/office/drawing/2014/main" xmlns="" id="{00000000-0008-0000-0000-000081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018" name="Text Box 59">
          <a:extLst>
            <a:ext uri="{FF2B5EF4-FFF2-40B4-BE49-F238E27FC236}">
              <a16:creationId xmlns:a16="http://schemas.microsoft.com/office/drawing/2014/main" xmlns="" id="{00000000-0008-0000-0000-000082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019" name="Text Box 60">
          <a:extLst>
            <a:ext uri="{FF2B5EF4-FFF2-40B4-BE49-F238E27FC236}">
              <a16:creationId xmlns:a16="http://schemas.microsoft.com/office/drawing/2014/main" xmlns="" id="{00000000-0008-0000-0000-000083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020" name="Text Box 61">
          <a:extLst>
            <a:ext uri="{FF2B5EF4-FFF2-40B4-BE49-F238E27FC236}">
              <a16:creationId xmlns:a16="http://schemas.microsoft.com/office/drawing/2014/main" xmlns="" id="{00000000-0008-0000-0000-000084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021" name="Text Box 62">
          <a:extLst>
            <a:ext uri="{FF2B5EF4-FFF2-40B4-BE49-F238E27FC236}">
              <a16:creationId xmlns:a16="http://schemas.microsoft.com/office/drawing/2014/main" xmlns="" id="{00000000-0008-0000-0000-000085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022" name="Text Box 63">
          <a:extLst>
            <a:ext uri="{FF2B5EF4-FFF2-40B4-BE49-F238E27FC236}">
              <a16:creationId xmlns:a16="http://schemas.microsoft.com/office/drawing/2014/main" xmlns="" id="{00000000-0008-0000-0000-000086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023" name="Text Box 64">
          <a:extLst>
            <a:ext uri="{FF2B5EF4-FFF2-40B4-BE49-F238E27FC236}">
              <a16:creationId xmlns:a16="http://schemas.microsoft.com/office/drawing/2014/main" xmlns="" id="{00000000-0008-0000-0000-000087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024" name="Text Box 65">
          <a:extLst>
            <a:ext uri="{FF2B5EF4-FFF2-40B4-BE49-F238E27FC236}">
              <a16:creationId xmlns:a16="http://schemas.microsoft.com/office/drawing/2014/main" xmlns="" id="{00000000-0008-0000-0000-000088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025" name="Text Box 66">
          <a:extLst>
            <a:ext uri="{FF2B5EF4-FFF2-40B4-BE49-F238E27FC236}">
              <a16:creationId xmlns:a16="http://schemas.microsoft.com/office/drawing/2014/main" xmlns="" id="{00000000-0008-0000-0000-000089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026" name="Text Box 67">
          <a:extLst>
            <a:ext uri="{FF2B5EF4-FFF2-40B4-BE49-F238E27FC236}">
              <a16:creationId xmlns:a16="http://schemas.microsoft.com/office/drawing/2014/main" xmlns="" id="{00000000-0008-0000-0000-00008A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027" name="Text Box 68">
          <a:extLst>
            <a:ext uri="{FF2B5EF4-FFF2-40B4-BE49-F238E27FC236}">
              <a16:creationId xmlns:a16="http://schemas.microsoft.com/office/drawing/2014/main" xmlns="" id="{00000000-0008-0000-0000-00008B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028" name="Text Box 69">
          <a:extLst>
            <a:ext uri="{FF2B5EF4-FFF2-40B4-BE49-F238E27FC236}">
              <a16:creationId xmlns:a16="http://schemas.microsoft.com/office/drawing/2014/main" xmlns="" id="{00000000-0008-0000-0000-00008C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029" name="Text Box 70">
          <a:extLst>
            <a:ext uri="{FF2B5EF4-FFF2-40B4-BE49-F238E27FC236}">
              <a16:creationId xmlns:a16="http://schemas.microsoft.com/office/drawing/2014/main" xmlns="" id="{00000000-0008-0000-0000-00008D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030" name="Text Box 71">
          <a:extLst>
            <a:ext uri="{FF2B5EF4-FFF2-40B4-BE49-F238E27FC236}">
              <a16:creationId xmlns:a16="http://schemas.microsoft.com/office/drawing/2014/main" xmlns="" id="{00000000-0008-0000-0000-00008E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031" name="Text Box 72">
          <a:extLst>
            <a:ext uri="{FF2B5EF4-FFF2-40B4-BE49-F238E27FC236}">
              <a16:creationId xmlns:a16="http://schemas.microsoft.com/office/drawing/2014/main" xmlns="" id="{00000000-0008-0000-0000-00008F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032" name="Text Box 73">
          <a:extLst>
            <a:ext uri="{FF2B5EF4-FFF2-40B4-BE49-F238E27FC236}">
              <a16:creationId xmlns:a16="http://schemas.microsoft.com/office/drawing/2014/main" xmlns="" id="{00000000-0008-0000-0000-000090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033" name="Text Box 74">
          <a:extLst>
            <a:ext uri="{FF2B5EF4-FFF2-40B4-BE49-F238E27FC236}">
              <a16:creationId xmlns:a16="http://schemas.microsoft.com/office/drawing/2014/main" xmlns="" id="{00000000-0008-0000-0000-000091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034" name="Text Box 75">
          <a:extLst>
            <a:ext uri="{FF2B5EF4-FFF2-40B4-BE49-F238E27FC236}">
              <a16:creationId xmlns:a16="http://schemas.microsoft.com/office/drawing/2014/main" xmlns="" id="{00000000-0008-0000-0000-000092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035" name="Text Box 76">
          <a:extLst>
            <a:ext uri="{FF2B5EF4-FFF2-40B4-BE49-F238E27FC236}">
              <a16:creationId xmlns:a16="http://schemas.microsoft.com/office/drawing/2014/main" xmlns="" id="{00000000-0008-0000-0000-000093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036" name="Text Box 77">
          <a:extLst>
            <a:ext uri="{FF2B5EF4-FFF2-40B4-BE49-F238E27FC236}">
              <a16:creationId xmlns:a16="http://schemas.microsoft.com/office/drawing/2014/main" xmlns="" id="{00000000-0008-0000-0000-000094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037" name="Text Box 78">
          <a:extLst>
            <a:ext uri="{FF2B5EF4-FFF2-40B4-BE49-F238E27FC236}">
              <a16:creationId xmlns:a16="http://schemas.microsoft.com/office/drawing/2014/main" xmlns="" id="{00000000-0008-0000-0000-000095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038" name="Text Box 79">
          <a:extLst>
            <a:ext uri="{FF2B5EF4-FFF2-40B4-BE49-F238E27FC236}">
              <a16:creationId xmlns:a16="http://schemas.microsoft.com/office/drawing/2014/main" xmlns="" id="{00000000-0008-0000-0000-000096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039" name="Text Box 80">
          <a:extLst>
            <a:ext uri="{FF2B5EF4-FFF2-40B4-BE49-F238E27FC236}">
              <a16:creationId xmlns:a16="http://schemas.microsoft.com/office/drawing/2014/main" xmlns="" id="{00000000-0008-0000-0000-000097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040" name="Text Box 81">
          <a:extLst>
            <a:ext uri="{FF2B5EF4-FFF2-40B4-BE49-F238E27FC236}">
              <a16:creationId xmlns:a16="http://schemas.microsoft.com/office/drawing/2014/main" xmlns="" id="{00000000-0008-0000-0000-000098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041" name="Text Box 3079">
          <a:extLst>
            <a:ext uri="{FF2B5EF4-FFF2-40B4-BE49-F238E27FC236}">
              <a16:creationId xmlns:a16="http://schemas.microsoft.com/office/drawing/2014/main" xmlns="" id="{00000000-0008-0000-0000-000099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042" name="Text Box 3080">
          <a:extLst>
            <a:ext uri="{FF2B5EF4-FFF2-40B4-BE49-F238E27FC236}">
              <a16:creationId xmlns:a16="http://schemas.microsoft.com/office/drawing/2014/main" xmlns="" id="{00000000-0008-0000-0000-00009A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043" name="Text Box 3081">
          <a:extLst>
            <a:ext uri="{FF2B5EF4-FFF2-40B4-BE49-F238E27FC236}">
              <a16:creationId xmlns:a16="http://schemas.microsoft.com/office/drawing/2014/main" xmlns="" id="{00000000-0008-0000-0000-00009B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044" name="Text Box 3082">
          <a:extLst>
            <a:ext uri="{FF2B5EF4-FFF2-40B4-BE49-F238E27FC236}">
              <a16:creationId xmlns:a16="http://schemas.microsoft.com/office/drawing/2014/main" xmlns="" id="{00000000-0008-0000-0000-00009C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045" name="Text Box 3083">
          <a:extLst>
            <a:ext uri="{FF2B5EF4-FFF2-40B4-BE49-F238E27FC236}">
              <a16:creationId xmlns:a16="http://schemas.microsoft.com/office/drawing/2014/main" xmlns="" id="{00000000-0008-0000-0000-00009D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046" name="Text Box 3084">
          <a:extLst>
            <a:ext uri="{FF2B5EF4-FFF2-40B4-BE49-F238E27FC236}">
              <a16:creationId xmlns:a16="http://schemas.microsoft.com/office/drawing/2014/main" xmlns="" id="{00000000-0008-0000-0000-00009E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047" name="Text Box 3085">
          <a:extLst>
            <a:ext uri="{FF2B5EF4-FFF2-40B4-BE49-F238E27FC236}">
              <a16:creationId xmlns:a16="http://schemas.microsoft.com/office/drawing/2014/main" xmlns="" id="{00000000-0008-0000-0000-00009F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048" name="Text Box 3086">
          <a:extLst>
            <a:ext uri="{FF2B5EF4-FFF2-40B4-BE49-F238E27FC236}">
              <a16:creationId xmlns:a16="http://schemas.microsoft.com/office/drawing/2014/main" xmlns="" id="{00000000-0008-0000-0000-0000A0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049" name="Text Box 3087">
          <a:extLst>
            <a:ext uri="{FF2B5EF4-FFF2-40B4-BE49-F238E27FC236}">
              <a16:creationId xmlns:a16="http://schemas.microsoft.com/office/drawing/2014/main" xmlns="" id="{00000000-0008-0000-0000-0000A1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050" name="Text Box 3088">
          <a:extLst>
            <a:ext uri="{FF2B5EF4-FFF2-40B4-BE49-F238E27FC236}">
              <a16:creationId xmlns:a16="http://schemas.microsoft.com/office/drawing/2014/main" xmlns="" id="{00000000-0008-0000-0000-0000A2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051" name="Text Box 3089">
          <a:extLst>
            <a:ext uri="{FF2B5EF4-FFF2-40B4-BE49-F238E27FC236}">
              <a16:creationId xmlns:a16="http://schemas.microsoft.com/office/drawing/2014/main" xmlns="" id="{00000000-0008-0000-0000-0000A3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052" name="Text Box 3090">
          <a:extLst>
            <a:ext uri="{FF2B5EF4-FFF2-40B4-BE49-F238E27FC236}">
              <a16:creationId xmlns:a16="http://schemas.microsoft.com/office/drawing/2014/main" xmlns="" id="{00000000-0008-0000-0000-0000A4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053" name="Text Box 3091">
          <a:extLst>
            <a:ext uri="{FF2B5EF4-FFF2-40B4-BE49-F238E27FC236}">
              <a16:creationId xmlns:a16="http://schemas.microsoft.com/office/drawing/2014/main" xmlns="" id="{00000000-0008-0000-0000-0000A5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054" name="Text Box 3092">
          <a:extLst>
            <a:ext uri="{FF2B5EF4-FFF2-40B4-BE49-F238E27FC236}">
              <a16:creationId xmlns:a16="http://schemas.microsoft.com/office/drawing/2014/main" xmlns="" id="{00000000-0008-0000-0000-0000A6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055" name="Text Box 3093">
          <a:extLst>
            <a:ext uri="{FF2B5EF4-FFF2-40B4-BE49-F238E27FC236}">
              <a16:creationId xmlns:a16="http://schemas.microsoft.com/office/drawing/2014/main" xmlns="" id="{00000000-0008-0000-0000-0000A7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056" name="Text Box 3094">
          <a:extLst>
            <a:ext uri="{FF2B5EF4-FFF2-40B4-BE49-F238E27FC236}">
              <a16:creationId xmlns:a16="http://schemas.microsoft.com/office/drawing/2014/main" xmlns="" id="{00000000-0008-0000-0000-0000A8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057" name="Text Box 3095">
          <a:extLst>
            <a:ext uri="{FF2B5EF4-FFF2-40B4-BE49-F238E27FC236}">
              <a16:creationId xmlns:a16="http://schemas.microsoft.com/office/drawing/2014/main" xmlns="" id="{00000000-0008-0000-0000-0000A9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058" name="Text Box 3096">
          <a:extLst>
            <a:ext uri="{FF2B5EF4-FFF2-40B4-BE49-F238E27FC236}">
              <a16:creationId xmlns:a16="http://schemas.microsoft.com/office/drawing/2014/main" xmlns="" id="{00000000-0008-0000-0000-0000AA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059" name="Text Box 3097">
          <a:extLst>
            <a:ext uri="{FF2B5EF4-FFF2-40B4-BE49-F238E27FC236}">
              <a16:creationId xmlns:a16="http://schemas.microsoft.com/office/drawing/2014/main" xmlns="" id="{00000000-0008-0000-0000-0000AB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060" name="Text Box 3098">
          <a:extLst>
            <a:ext uri="{FF2B5EF4-FFF2-40B4-BE49-F238E27FC236}">
              <a16:creationId xmlns:a16="http://schemas.microsoft.com/office/drawing/2014/main" xmlns="" id="{00000000-0008-0000-0000-0000AC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061" name="Text Box 3099">
          <a:extLst>
            <a:ext uri="{FF2B5EF4-FFF2-40B4-BE49-F238E27FC236}">
              <a16:creationId xmlns:a16="http://schemas.microsoft.com/office/drawing/2014/main" xmlns="" id="{00000000-0008-0000-0000-0000AD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062" name="Text Box 3100">
          <a:extLst>
            <a:ext uri="{FF2B5EF4-FFF2-40B4-BE49-F238E27FC236}">
              <a16:creationId xmlns:a16="http://schemas.microsoft.com/office/drawing/2014/main" xmlns="" id="{00000000-0008-0000-0000-0000AE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063" name="Text Box 3101">
          <a:extLst>
            <a:ext uri="{FF2B5EF4-FFF2-40B4-BE49-F238E27FC236}">
              <a16:creationId xmlns:a16="http://schemas.microsoft.com/office/drawing/2014/main" xmlns="" id="{00000000-0008-0000-0000-0000AF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6064" name="Text Box 3102">
          <a:extLst>
            <a:ext uri="{FF2B5EF4-FFF2-40B4-BE49-F238E27FC236}">
              <a16:creationId xmlns:a16="http://schemas.microsoft.com/office/drawing/2014/main" xmlns="" id="{00000000-0008-0000-0000-0000B0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065" name="Text Box 59">
          <a:extLst>
            <a:ext uri="{FF2B5EF4-FFF2-40B4-BE49-F238E27FC236}">
              <a16:creationId xmlns:a16="http://schemas.microsoft.com/office/drawing/2014/main" xmlns="" id="{00000000-0008-0000-0000-0000B1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066" name="Text Box 60">
          <a:extLst>
            <a:ext uri="{FF2B5EF4-FFF2-40B4-BE49-F238E27FC236}">
              <a16:creationId xmlns:a16="http://schemas.microsoft.com/office/drawing/2014/main" xmlns="" id="{00000000-0008-0000-0000-0000B2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067" name="Text Box 61">
          <a:extLst>
            <a:ext uri="{FF2B5EF4-FFF2-40B4-BE49-F238E27FC236}">
              <a16:creationId xmlns:a16="http://schemas.microsoft.com/office/drawing/2014/main" xmlns="" id="{00000000-0008-0000-0000-0000B3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068" name="Text Box 62">
          <a:extLst>
            <a:ext uri="{FF2B5EF4-FFF2-40B4-BE49-F238E27FC236}">
              <a16:creationId xmlns:a16="http://schemas.microsoft.com/office/drawing/2014/main" xmlns="" id="{00000000-0008-0000-0000-0000B4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069" name="Text Box 63">
          <a:extLst>
            <a:ext uri="{FF2B5EF4-FFF2-40B4-BE49-F238E27FC236}">
              <a16:creationId xmlns:a16="http://schemas.microsoft.com/office/drawing/2014/main" xmlns="" id="{00000000-0008-0000-0000-0000B5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070" name="Text Box 64">
          <a:extLst>
            <a:ext uri="{FF2B5EF4-FFF2-40B4-BE49-F238E27FC236}">
              <a16:creationId xmlns:a16="http://schemas.microsoft.com/office/drawing/2014/main" xmlns="" id="{00000000-0008-0000-0000-0000B6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071" name="Text Box 65">
          <a:extLst>
            <a:ext uri="{FF2B5EF4-FFF2-40B4-BE49-F238E27FC236}">
              <a16:creationId xmlns:a16="http://schemas.microsoft.com/office/drawing/2014/main" xmlns="" id="{00000000-0008-0000-0000-0000B7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072" name="Text Box 66">
          <a:extLst>
            <a:ext uri="{FF2B5EF4-FFF2-40B4-BE49-F238E27FC236}">
              <a16:creationId xmlns:a16="http://schemas.microsoft.com/office/drawing/2014/main" xmlns="" id="{00000000-0008-0000-0000-0000B8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073" name="Text Box 67">
          <a:extLst>
            <a:ext uri="{FF2B5EF4-FFF2-40B4-BE49-F238E27FC236}">
              <a16:creationId xmlns:a16="http://schemas.microsoft.com/office/drawing/2014/main" xmlns="" id="{00000000-0008-0000-0000-0000B9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074" name="Text Box 68">
          <a:extLst>
            <a:ext uri="{FF2B5EF4-FFF2-40B4-BE49-F238E27FC236}">
              <a16:creationId xmlns:a16="http://schemas.microsoft.com/office/drawing/2014/main" xmlns="" id="{00000000-0008-0000-0000-0000BA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075" name="Text Box 69">
          <a:extLst>
            <a:ext uri="{FF2B5EF4-FFF2-40B4-BE49-F238E27FC236}">
              <a16:creationId xmlns:a16="http://schemas.microsoft.com/office/drawing/2014/main" xmlns="" id="{00000000-0008-0000-0000-0000BB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076" name="Text Box 70">
          <a:extLst>
            <a:ext uri="{FF2B5EF4-FFF2-40B4-BE49-F238E27FC236}">
              <a16:creationId xmlns:a16="http://schemas.microsoft.com/office/drawing/2014/main" xmlns="" id="{00000000-0008-0000-0000-0000BC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077" name="Text Box 71">
          <a:extLst>
            <a:ext uri="{FF2B5EF4-FFF2-40B4-BE49-F238E27FC236}">
              <a16:creationId xmlns:a16="http://schemas.microsoft.com/office/drawing/2014/main" xmlns="" id="{00000000-0008-0000-0000-0000BD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078" name="Text Box 72">
          <a:extLst>
            <a:ext uri="{FF2B5EF4-FFF2-40B4-BE49-F238E27FC236}">
              <a16:creationId xmlns:a16="http://schemas.microsoft.com/office/drawing/2014/main" xmlns="" id="{00000000-0008-0000-0000-0000BE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079" name="Text Box 73">
          <a:extLst>
            <a:ext uri="{FF2B5EF4-FFF2-40B4-BE49-F238E27FC236}">
              <a16:creationId xmlns:a16="http://schemas.microsoft.com/office/drawing/2014/main" xmlns="" id="{00000000-0008-0000-0000-0000BF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080" name="Text Box 74">
          <a:extLst>
            <a:ext uri="{FF2B5EF4-FFF2-40B4-BE49-F238E27FC236}">
              <a16:creationId xmlns:a16="http://schemas.microsoft.com/office/drawing/2014/main" xmlns="" id="{00000000-0008-0000-0000-0000C0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081" name="Text Box 75">
          <a:extLst>
            <a:ext uri="{FF2B5EF4-FFF2-40B4-BE49-F238E27FC236}">
              <a16:creationId xmlns:a16="http://schemas.microsoft.com/office/drawing/2014/main" xmlns="" id="{00000000-0008-0000-0000-0000C1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082" name="Text Box 76">
          <a:extLst>
            <a:ext uri="{FF2B5EF4-FFF2-40B4-BE49-F238E27FC236}">
              <a16:creationId xmlns:a16="http://schemas.microsoft.com/office/drawing/2014/main" xmlns="" id="{00000000-0008-0000-0000-0000C2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083" name="Text Box 77">
          <a:extLst>
            <a:ext uri="{FF2B5EF4-FFF2-40B4-BE49-F238E27FC236}">
              <a16:creationId xmlns:a16="http://schemas.microsoft.com/office/drawing/2014/main" xmlns="" id="{00000000-0008-0000-0000-0000C3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084" name="Text Box 78">
          <a:extLst>
            <a:ext uri="{FF2B5EF4-FFF2-40B4-BE49-F238E27FC236}">
              <a16:creationId xmlns:a16="http://schemas.microsoft.com/office/drawing/2014/main" xmlns="" id="{00000000-0008-0000-0000-0000C4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085" name="Text Box 79">
          <a:extLst>
            <a:ext uri="{FF2B5EF4-FFF2-40B4-BE49-F238E27FC236}">
              <a16:creationId xmlns:a16="http://schemas.microsoft.com/office/drawing/2014/main" xmlns="" id="{00000000-0008-0000-0000-0000C5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086" name="Text Box 80">
          <a:extLst>
            <a:ext uri="{FF2B5EF4-FFF2-40B4-BE49-F238E27FC236}">
              <a16:creationId xmlns:a16="http://schemas.microsoft.com/office/drawing/2014/main" xmlns="" id="{00000000-0008-0000-0000-0000C6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087" name="Text Box 81">
          <a:extLst>
            <a:ext uri="{FF2B5EF4-FFF2-40B4-BE49-F238E27FC236}">
              <a16:creationId xmlns:a16="http://schemas.microsoft.com/office/drawing/2014/main" xmlns="" id="{00000000-0008-0000-0000-0000C7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47625"/>
    <xdr:sp macro="" textlink="">
      <xdr:nvSpPr>
        <xdr:cNvPr id="6088" name="Text Box 82">
          <a:extLst>
            <a:ext uri="{FF2B5EF4-FFF2-40B4-BE49-F238E27FC236}">
              <a16:creationId xmlns:a16="http://schemas.microsoft.com/office/drawing/2014/main" xmlns="" id="{00000000-0008-0000-0000-0000C8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089" name="Text Box 3079">
          <a:extLst>
            <a:ext uri="{FF2B5EF4-FFF2-40B4-BE49-F238E27FC236}">
              <a16:creationId xmlns:a16="http://schemas.microsoft.com/office/drawing/2014/main" xmlns="" id="{00000000-0008-0000-0000-0000C9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090" name="Text Box 3080">
          <a:extLst>
            <a:ext uri="{FF2B5EF4-FFF2-40B4-BE49-F238E27FC236}">
              <a16:creationId xmlns:a16="http://schemas.microsoft.com/office/drawing/2014/main" xmlns="" id="{00000000-0008-0000-0000-0000CA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091" name="Text Box 3081">
          <a:extLst>
            <a:ext uri="{FF2B5EF4-FFF2-40B4-BE49-F238E27FC236}">
              <a16:creationId xmlns:a16="http://schemas.microsoft.com/office/drawing/2014/main" xmlns="" id="{00000000-0008-0000-0000-0000CB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092" name="Text Box 3082">
          <a:extLst>
            <a:ext uri="{FF2B5EF4-FFF2-40B4-BE49-F238E27FC236}">
              <a16:creationId xmlns:a16="http://schemas.microsoft.com/office/drawing/2014/main" xmlns="" id="{00000000-0008-0000-0000-0000CC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093" name="Text Box 3083">
          <a:extLst>
            <a:ext uri="{FF2B5EF4-FFF2-40B4-BE49-F238E27FC236}">
              <a16:creationId xmlns:a16="http://schemas.microsoft.com/office/drawing/2014/main" xmlns="" id="{00000000-0008-0000-0000-0000CD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094" name="Text Box 3084">
          <a:extLst>
            <a:ext uri="{FF2B5EF4-FFF2-40B4-BE49-F238E27FC236}">
              <a16:creationId xmlns:a16="http://schemas.microsoft.com/office/drawing/2014/main" xmlns="" id="{00000000-0008-0000-0000-0000CE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095" name="Text Box 3085">
          <a:extLst>
            <a:ext uri="{FF2B5EF4-FFF2-40B4-BE49-F238E27FC236}">
              <a16:creationId xmlns:a16="http://schemas.microsoft.com/office/drawing/2014/main" xmlns="" id="{00000000-0008-0000-0000-0000CF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096" name="Text Box 3086">
          <a:extLst>
            <a:ext uri="{FF2B5EF4-FFF2-40B4-BE49-F238E27FC236}">
              <a16:creationId xmlns:a16="http://schemas.microsoft.com/office/drawing/2014/main" xmlns="" id="{00000000-0008-0000-0000-0000D0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097" name="Text Box 3087">
          <a:extLst>
            <a:ext uri="{FF2B5EF4-FFF2-40B4-BE49-F238E27FC236}">
              <a16:creationId xmlns:a16="http://schemas.microsoft.com/office/drawing/2014/main" xmlns="" id="{00000000-0008-0000-0000-0000D1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098" name="Text Box 3088">
          <a:extLst>
            <a:ext uri="{FF2B5EF4-FFF2-40B4-BE49-F238E27FC236}">
              <a16:creationId xmlns:a16="http://schemas.microsoft.com/office/drawing/2014/main" xmlns="" id="{00000000-0008-0000-0000-0000D2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099" name="Text Box 3089">
          <a:extLst>
            <a:ext uri="{FF2B5EF4-FFF2-40B4-BE49-F238E27FC236}">
              <a16:creationId xmlns:a16="http://schemas.microsoft.com/office/drawing/2014/main" xmlns="" id="{00000000-0008-0000-0000-0000D3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100" name="Text Box 3090">
          <a:extLst>
            <a:ext uri="{FF2B5EF4-FFF2-40B4-BE49-F238E27FC236}">
              <a16:creationId xmlns:a16="http://schemas.microsoft.com/office/drawing/2014/main" xmlns="" id="{00000000-0008-0000-0000-0000D4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101" name="Text Box 3091">
          <a:extLst>
            <a:ext uri="{FF2B5EF4-FFF2-40B4-BE49-F238E27FC236}">
              <a16:creationId xmlns:a16="http://schemas.microsoft.com/office/drawing/2014/main" xmlns="" id="{00000000-0008-0000-0000-0000D5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102" name="Text Box 3092">
          <a:extLst>
            <a:ext uri="{FF2B5EF4-FFF2-40B4-BE49-F238E27FC236}">
              <a16:creationId xmlns:a16="http://schemas.microsoft.com/office/drawing/2014/main" xmlns="" id="{00000000-0008-0000-0000-0000D6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103" name="Text Box 3093">
          <a:extLst>
            <a:ext uri="{FF2B5EF4-FFF2-40B4-BE49-F238E27FC236}">
              <a16:creationId xmlns:a16="http://schemas.microsoft.com/office/drawing/2014/main" xmlns="" id="{00000000-0008-0000-0000-0000D7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104" name="Text Box 3094">
          <a:extLst>
            <a:ext uri="{FF2B5EF4-FFF2-40B4-BE49-F238E27FC236}">
              <a16:creationId xmlns:a16="http://schemas.microsoft.com/office/drawing/2014/main" xmlns="" id="{00000000-0008-0000-0000-0000D8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105" name="Text Box 3095">
          <a:extLst>
            <a:ext uri="{FF2B5EF4-FFF2-40B4-BE49-F238E27FC236}">
              <a16:creationId xmlns:a16="http://schemas.microsoft.com/office/drawing/2014/main" xmlns="" id="{00000000-0008-0000-0000-0000D9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106" name="Text Box 3096">
          <a:extLst>
            <a:ext uri="{FF2B5EF4-FFF2-40B4-BE49-F238E27FC236}">
              <a16:creationId xmlns:a16="http://schemas.microsoft.com/office/drawing/2014/main" xmlns="" id="{00000000-0008-0000-0000-0000DA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107" name="Text Box 3097">
          <a:extLst>
            <a:ext uri="{FF2B5EF4-FFF2-40B4-BE49-F238E27FC236}">
              <a16:creationId xmlns:a16="http://schemas.microsoft.com/office/drawing/2014/main" xmlns="" id="{00000000-0008-0000-0000-0000DB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108" name="Text Box 3098">
          <a:extLst>
            <a:ext uri="{FF2B5EF4-FFF2-40B4-BE49-F238E27FC236}">
              <a16:creationId xmlns:a16="http://schemas.microsoft.com/office/drawing/2014/main" xmlns="" id="{00000000-0008-0000-0000-0000DC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109" name="Text Box 3099">
          <a:extLst>
            <a:ext uri="{FF2B5EF4-FFF2-40B4-BE49-F238E27FC236}">
              <a16:creationId xmlns:a16="http://schemas.microsoft.com/office/drawing/2014/main" xmlns="" id="{00000000-0008-0000-0000-0000DD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110" name="Text Box 3100">
          <a:extLst>
            <a:ext uri="{FF2B5EF4-FFF2-40B4-BE49-F238E27FC236}">
              <a16:creationId xmlns:a16="http://schemas.microsoft.com/office/drawing/2014/main" xmlns="" id="{00000000-0008-0000-0000-0000DE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111" name="Text Box 3101">
          <a:extLst>
            <a:ext uri="{FF2B5EF4-FFF2-40B4-BE49-F238E27FC236}">
              <a16:creationId xmlns:a16="http://schemas.microsoft.com/office/drawing/2014/main" xmlns="" id="{00000000-0008-0000-0000-0000DF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6112" name="Text Box 3102">
          <a:extLst>
            <a:ext uri="{FF2B5EF4-FFF2-40B4-BE49-F238E27FC236}">
              <a16:creationId xmlns:a16="http://schemas.microsoft.com/office/drawing/2014/main" xmlns="" id="{00000000-0008-0000-0000-0000E0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113" name="Text Box 59">
          <a:extLst>
            <a:ext uri="{FF2B5EF4-FFF2-40B4-BE49-F238E27FC236}">
              <a16:creationId xmlns:a16="http://schemas.microsoft.com/office/drawing/2014/main" xmlns="" id="{00000000-0008-0000-0000-0000E1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114" name="Text Box 60">
          <a:extLst>
            <a:ext uri="{FF2B5EF4-FFF2-40B4-BE49-F238E27FC236}">
              <a16:creationId xmlns:a16="http://schemas.microsoft.com/office/drawing/2014/main" xmlns="" id="{00000000-0008-0000-0000-0000E2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115" name="Text Box 61">
          <a:extLst>
            <a:ext uri="{FF2B5EF4-FFF2-40B4-BE49-F238E27FC236}">
              <a16:creationId xmlns:a16="http://schemas.microsoft.com/office/drawing/2014/main" xmlns="" id="{00000000-0008-0000-0000-0000E3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116" name="Text Box 62">
          <a:extLst>
            <a:ext uri="{FF2B5EF4-FFF2-40B4-BE49-F238E27FC236}">
              <a16:creationId xmlns:a16="http://schemas.microsoft.com/office/drawing/2014/main" xmlns="" id="{00000000-0008-0000-0000-0000E4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117" name="Text Box 63">
          <a:extLst>
            <a:ext uri="{FF2B5EF4-FFF2-40B4-BE49-F238E27FC236}">
              <a16:creationId xmlns:a16="http://schemas.microsoft.com/office/drawing/2014/main" xmlns="" id="{00000000-0008-0000-0000-0000E5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118" name="Text Box 64">
          <a:extLst>
            <a:ext uri="{FF2B5EF4-FFF2-40B4-BE49-F238E27FC236}">
              <a16:creationId xmlns:a16="http://schemas.microsoft.com/office/drawing/2014/main" xmlns="" id="{00000000-0008-0000-0000-0000E6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119" name="Text Box 65">
          <a:extLst>
            <a:ext uri="{FF2B5EF4-FFF2-40B4-BE49-F238E27FC236}">
              <a16:creationId xmlns:a16="http://schemas.microsoft.com/office/drawing/2014/main" xmlns="" id="{00000000-0008-0000-0000-0000E7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120" name="Text Box 66">
          <a:extLst>
            <a:ext uri="{FF2B5EF4-FFF2-40B4-BE49-F238E27FC236}">
              <a16:creationId xmlns:a16="http://schemas.microsoft.com/office/drawing/2014/main" xmlns="" id="{00000000-0008-0000-0000-0000E8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121" name="Text Box 67">
          <a:extLst>
            <a:ext uri="{FF2B5EF4-FFF2-40B4-BE49-F238E27FC236}">
              <a16:creationId xmlns:a16="http://schemas.microsoft.com/office/drawing/2014/main" xmlns="" id="{00000000-0008-0000-0000-0000E9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122" name="Text Box 68">
          <a:extLst>
            <a:ext uri="{FF2B5EF4-FFF2-40B4-BE49-F238E27FC236}">
              <a16:creationId xmlns:a16="http://schemas.microsoft.com/office/drawing/2014/main" xmlns="" id="{00000000-0008-0000-0000-0000EA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123" name="Text Box 69">
          <a:extLst>
            <a:ext uri="{FF2B5EF4-FFF2-40B4-BE49-F238E27FC236}">
              <a16:creationId xmlns:a16="http://schemas.microsoft.com/office/drawing/2014/main" xmlns="" id="{00000000-0008-0000-0000-0000EB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124" name="Text Box 70">
          <a:extLst>
            <a:ext uri="{FF2B5EF4-FFF2-40B4-BE49-F238E27FC236}">
              <a16:creationId xmlns:a16="http://schemas.microsoft.com/office/drawing/2014/main" xmlns="" id="{00000000-0008-0000-0000-0000EC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125" name="Text Box 71">
          <a:extLst>
            <a:ext uri="{FF2B5EF4-FFF2-40B4-BE49-F238E27FC236}">
              <a16:creationId xmlns:a16="http://schemas.microsoft.com/office/drawing/2014/main" xmlns="" id="{00000000-0008-0000-0000-0000ED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126" name="Text Box 72">
          <a:extLst>
            <a:ext uri="{FF2B5EF4-FFF2-40B4-BE49-F238E27FC236}">
              <a16:creationId xmlns:a16="http://schemas.microsoft.com/office/drawing/2014/main" xmlns="" id="{00000000-0008-0000-0000-0000EE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127" name="Text Box 73">
          <a:extLst>
            <a:ext uri="{FF2B5EF4-FFF2-40B4-BE49-F238E27FC236}">
              <a16:creationId xmlns:a16="http://schemas.microsoft.com/office/drawing/2014/main" xmlns="" id="{00000000-0008-0000-0000-0000EF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128" name="Text Box 74">
          <a:extLst>
            <a:ext uri="{FF2B5EF4-FFF2-40B4-BE49-F238E27FC236}">
              <a16:creationId xmlns:a16="http://schemas.microsoft.com/office/drawing/2014/main" xmlns="" id="{00000000-0008-0000-0000-0000F0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129" name="Text Box 75">
          <a:extLst>
            <a:ext uri="{FF2B5EF4-FFF2-40B4-BE49-F238E27FC236}">
              <a16:creationId xmlns:a16="http://schemas.microsoft.com/office/drawing/2014/main" xmlns="" id="{00000000-0008-0000-0000-0000F1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130" name="Text Box 76">
          <a:extLst>
            <a:ext uri="{FF2B5EF4-FFF2-40B4-BE49-F238E27FC236}">
              <a16:creationId xmlns:a16="http://schemas.microsoft.com/office/drawing/2014/main" xmlns="" id="{00000000-0008-0000-0000-0000F2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131" name="Text Box 77">
          <a:extLst>
            <a:ext uri="{FF2B5EF4-FFF2-40B4-BE49-F238E27FC236}">
              <a16:creationId xmlns:a16="http://schemas.microsoft.com/office/drawing/2014/main" xmlns="" id="{00000000-0008-0000-0000-0000F3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132" name="Text Box 78">
          <a:extLst>
            <a:ext uri="{FF2B5EF4-FFF2-40B4-BE49-F238E27FC236}">
              <a16:creationId xmlns:a16="http://schemas.microsoft.com/office/drawing/2014/main" xmlns="" id="{00000000-0008-0000-0000-0000F4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133" name="Text Box 79">
          <a:extLst>
            <a:ext uri="{FF2B5EF4-FFF2-40B4-BE49-F238E27FC236}">
              <a16:creationId xmlns:a16="http://schemas.microsoft.com/office/drawing/2014/main" xmlns="" id="{00000000-0008-0000-0000-0000F5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134" name="Text Box 80">
          <a:extLst>
            <a:ext uri="{FF2B5EF4-FFF2-40B4-BE49-F238E27FC236}">
              <a16:creationId xmlns:a16="http://schemas.microsoft.com/office/drawing/2014/main" xmlns="" id="{00000000-0008-0000-0000-0000F6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135" name="Text Box 81">
          <a:extLst>
            <a:ext uri="{FF2B5EF4-FFF2-40B4-BE49-F238E27FC236}">
              <a16:creationId xmlns:a16="http://schemas.microsoft.com/office/drawing/2014/main" xmlns="" id="{00000000-0008-0000-0000-0000F7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136" name="Text Box 3079">
          <a:extLst>
            <a:ext uri="{FF2B5EF4-FFF2-40B4-BE49-F238E27FC236}">
              <a16:creationId xmlns:a16="http://schemas.microsoft.com/office/drawing/2014/main" xmlns="" id="{00000000-0008-0000-0000-0000F8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137" name="Text Box 3080">
          <a:extLst>
            <a:ext uri="{FF2B5EF4-FFF2-40B4-BE49-F238E27FC236}">
              <a16:creationId xmlns:a16="http://schemas.microsoft.com/office/drawing/2014/main" xmlns="" id="{00000000-0008-0000-0000-0000F9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138" name="Text Box 3081">
          <a:extLst>
            <a:ext uri="{FF2B5EF4-FFF2-40B4-BE49-F238E27FC236}">
              <a16:creationId xmlns:a16="http://schemas.microsoft.com/office/drawing/2014/main" xmlns="" id="{00000000-0008-0000-0000-0000FA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139" name="Text Box 3082">
          <a:extLst>
            <a:ext uri="{FF2B5EF4-FFF2-40B4-BE49-F238E27FC236}">
              <a16:creationId xmlns:a16="http://schemas.microsoft.com/office/drawing/2014/main" xmlns="" id="{00000000-0008-0000-0000-0000FB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140" name="Text Box 3083">
          <a:extLst>
            <a:ext uri="{FF2B5EF4-FFF2-40B4-BE49-F238E27FC236}">
              <a16:creationId xmlns:a16="http://schemas.microsoft.com/office/drawing/2014/main" xmlns="" id="{00000000-0008-0000-0000-0000FC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141" name="Text Box 3084">
          <a:extLst>
            <a:ext uri="{FF2B5EF4-FFF2-40B4-BE49-F238E27FC236}">
              <a16:creationId xmlns:a16="http://schemas.microsoft.com/office/drawing/2014/main" xmlns="" id="{00000000-0008-0000-0000-0000FD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142" name="Text Box 3085">
          <a:extLst>
            <a:ext uri="{FF2B5EF4-FFF2-40B4-BE49-F238E27FC236}">
              <a16:creationId xmlns:a16="http://schemas.microsoft.com/office/drawing/2014/main" xmlns="" id="{00000000-0008-0000-0000-0000FE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143" name="Text Box 3086">
          <a:extLst>
            <a:ext uri="{FF2B5EF4-FFF2-40B4-BE49-F238E27FC236}">
              <a16:creationId xmlns:a16="http://schemas.microsoft.com/office/drawing/2014/main" xmlns="" id="{00000000-0008-0000-0000-0000FF1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144" name="Text Box 3087">
          <a:extLst>
            <a:ext uri="{FF2B5EF4-FFF2-40B4-BE49-F238E27FC236}">
              <a16:creationId xmlns:a16="http://schemas.microsoft.com/office/drawing/2014/main" xmlns="" id="{00000000-0008-0000-0000-000000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145" name="Text Box 3088">
          <a:extLst>
            <a:ext uri="{FF2B5EF4-FFF2-40B4-BE49-F238E27FC236}">
              <a16:creationId xmlns:a16="http://schemas.microsoft.com/office/drawing/2014/main" xmlns="" id="{00000000-0008-0000-0000-000001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146" name="Text Box 3089">
          <a:extLst>
            <a:ext uri="{FF2B5EF4-FFF2-40B4-BE49-F238E27FC236}">
              <a16:creationId xmlns:a16="http://schemas.microsoft.com/office/drawing/2014/main" xmlns="" id="{00000000-0008-0000-0000-000002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147" name="Text Box 3090">
          <a:extLst>
            <a:ext uri="{FF2B5EF4-FFF2-40B4-BE49-F238E27FC236}">
              <a16:creationId xmlns:a16="http://schemas.microsoft.com/office/drawing/2014/main" xmlns="" id="{00000000-0008-0000-0000-000003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148" name="Text Box 3091">
          <a:extLst>
            <a:ext uri="{FF2B5EF4-FFF2-40B4-BE49-F238E27FC236}">
              <a16:creationId xmlns:a16="http://schemas.microsoft.com/office/drawing/2014/main" xmlns="" id="{00000000-0008-0000-0000-000004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149" name="Text Box 3092">
          <a:extLst>
            <a:ext uri="{FF2B5EF4-FFF2-40B4-BE49-F238E27FC236}">
              <a16:creationId xmlns:a16="http://schemas.microsoft.com/office/drawing/2014/main" xmlns="" id="{00000000-0008-0000-0000-000005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150" name="Text Box 3093">
          <a:extLst>
            <a:ext uri="{FF2B5EF4-FFF2-40B4-BE49-F238E27FC236}">
              <a16:creationId xmlns:a16="http://schemas.microsoft.com/office/drawing/2014/main" xmlns="" id="{00000000-0008-0000-0000-000006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151" name="Text Box 3094">
          <a:extLst>
            <a:ext uri="{FF2B5EF4-FFF2-40B4-BE49-F238E27FC236}">
              <a16:creationId xmlns:a16="http://schemas.microsoft.com/office/drawing/2014/main" xmlns="" id="{00000000-0008-0000-0000-000007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152" name="Text Box 3095">
          <a:extLst>
            <a:ext uri="{FF2B5EF4-FFF2-40B4-BE49-F238E27FC236}">
              <a16:creationId xmlns:a16="http://schemas.microsoft.com/office/drawing/2014/main" xmlns="" id="{00000000-0008-0000-0000-000008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153" name="Text Box 3096">
          <a:extLst>
            <a:ext uri="{FF2B5EF4-FFF2-40B4-BE49-F238E27FC236}">
              <a16:creationId xmlns:a16="http://schemas.microsoft.com/office/drawing/2014/main" xmlns="" id="{00000000-0008-0000-0000-000009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154" name="Text Box 3097">
          <a:extLst>
            <a:ext uri="{FF2B5EF4-FFF2-40B4-BE49-F238E27FC236}">
              <a16:creationId xmlns:a16="http://schemas.microsoft.com/office/drawing/2014/main" xmlns="" id="{00000000-0008-0000-0000-00000A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155" name="Text Box 3098">
          <a:extLst>
            <a:ext uri="{FF2B5EF4-FFF2-40B4-BE49-F238E27FC236}">
              <a16:creationId xmlns:a16="http://schemas.microsoft.com/office/drawing/2014/main" xmlns="" id="{00000000-0008-0000-0000-00000B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156" name="Text Box 3099">
          <a:extLst>
            <a:ext uri="{FF2B5EF4-FFF2-40B4-BE49-F238E27FC236}">
              <a16:creationId xmlns:a16="http://schemas.microsoft.com/office/drawing/2014/main" xmlns="" id="{00000000-0008-0000-0000-00000C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157" name="Text Box 3100">
          <a:extLst>
            <a:ext uri="{FF2B5EF4-FFF2-40B4-BE49-F238E27FC236}">
              <a16:creationId xmlns:a16="http://schemas.microsoft.com/office/drawing/2014/main" xmlns="" id="{00000000-0008-0000-0000-00000D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158" name="Text Box 3101">
          <a:extLst>
            <a:ext uri="{FF2B5EF4-FFF2-40B4-BE49-F238E27FC236}">
              <a16:creationId xmlns:a16="http://schemas.microsoft.com/office/drawing/2014/main" xmlns="" id="{00000000-0008-0000-0000-00000E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6159" name="Text Box 3102">
          <a:extLst>
            <a:ext uri="{FF2B5EF4-FFF2-40B4-BE49-F238E27FC236}">
              <a16:creationId xmlns:a16="http://schemas.microsoft.com/office/drawing/2014/main" xmlns="" id="{00000000-0008-0000-0000-00000F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160" name="Text Box 59">
          <a:extLst>
            <a:ext uri="{FF2B5EF4-FFF2-40B4-BE49-F238E27FC236}">
              <a16:creationId xmlns:a16="http://schemas.microsoft.com/office/drawing/2014/main" xmlns="" id="{00000000-0008-0000-0000-000010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161" name="Text Box 60">
          <a:extLst>
            <a:ext uri="{FF2B5EF4-FFF2-40B4-BE49-F238E27FC236}">
              <a16:creationId xmlns:a16="http://schemas.microsoft.com/office/drawing/2014/main" xmlns="" id="{00000000-0008-0000-0000-000011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162" name="Text Box 61">
          <a:extLst>
            <a:ext uri="{FF2B5EF4-FFF2-40B4-BE49-F238E27FC236}">
              <a16:creationId xmlns:a16="http://schemas.microsoft.com/office/drawing/2014/main" xmlns="" id="{00000000-0008-0000-0000-000012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163" name="Text Box 62">
          <a:extLst>
            <a:ext uri="{FF2B5EF4-FFF2-40B4-BE49-F238E27FC236}">
              <a16:creationId xmlns:a16="http://schemas.microsoft.com/office/drawing/2014/main" xmlns="" id="{00000000-0008-0000-0000-000013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164" name="Text Box 63">
          <a:extLst>
            <a:ext uri="{FF2B5EF4-FFF2-40B4-BE49-F238E27FC236}">
              <a16:creationId xmlns:a16="http://schemas.microsoft.com/office/drawing/2014/main" xmlns="" id="{00000000-0008-0000-0000-000014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165" name="Text Box 64">
          <a:extLst>
            <a:ext uri="{FF2B5EF4-FFF2-40B4-BE49-F238E27FC236}">
              <a16:creationId xmlns:a16="http://schemas.microsoft.com/office/drawing/2014/main" xmlns="" id="{00000000-0008-0000-0000-000015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166" name="Text Box 65">
          <a:extLst>
            <a:ext uri="{FF2B5EF4-FFF2-40B4-BE49-F238E27FC236}">
              <a16:creationId xmlns:a16="http://schemas.microsoft.com/office/drawing/2014/main" xmlns="" id="{00000000-0008-0000-0000-000016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167" name="Text Box 66">
          <a:extLst>
            <a:ext uri="{FF2B5EF4-FFF2-40B4-BE49-F238E27FC236}">
              <a16:creationId xmlns:a16="http://schemas.microsoft.com/office/drawing/2014/main" xmlns="" id="{00000000-0008-0000-0000-000017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168" name="Text Box 67">
          <a:extLst>
            <a:ext uri="{FF2B5EF4-FFF2-40B4-BE49-F238E27FC236}">
              <a16:creationId xmlns:a16="http://schemas.microsoft.com/office/drawing/2014/main" xmlns="" id="{00000000-0008-0000-0000-000018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169" name="Text Box 68">
          <a:extLst>
            <a:ext uri="{FF2B5EF4-FFF2-40B4-BE49-F238E27FC236}">
              <a16:creationId xmlns:a16="http://schemas.microsoft.com/office/drawing/2014/main" xmlns="" id="{00000000-0008-0000-0000-000019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170" name="Text Box 69">
          <a:extLst>
            <a:ext uri="{FF2B5EF4-FFF2-40B4-BE49-F238E27FC236}">
              <a16:creationId xmlns:a16="http://schemas.microsoft.com/office/drawing/2014/main" xmlns="" id="{00000000-0008-0000-0000-00001A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171" name="Text Box 70">
          <a:extLst>
            <a:ext uri="{FF2B5EF4-FFF2-40B4-BE49-F238E27FC236}">
              <a16:creationId xmlns:a16="http://schemas.microsoft.com/office/drawing/2014/main" xmlns="" id="{00000000-0008-0000-0000-00001B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172" name="Text Box 71">
          <a:extLst>
            <a:ext uri="{FF2B5EF4-FFF2-40B4-BE49-F238E27FC236}">
              <a16:creationId xmlns:a16="http://schemas.microsoft.com/office/drawing/2014/main" xmlns="" id="{00000000-0008-0000-0000-00001C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173" name="Text Box 72">
          <a:extLst>
            <a:ext uri="{FF2B5EF4-FFF2-40B4-BE49-F238E27FC236}">
              <a16:creationId xmlns:a16="http://schemas.microsoft.com/office/drawing/2014/main" xmlns="" id="{00000000-0008-0000-0000-00001D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174" name="Text Box 73">
          <a:extLst>
            <a:ext uri="{FF2B5EF4-FFF2-40B4-BE49-F238E27FC236}">
              <a16:creationId xmlns:a16="http://schemas.microsoft.com/office/drawing/2014/main" xmlns="" id="{00000000-0008-0000-0000-00001E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175" name="Text Box 74">
          <a:extLst>
            <a:ext uri="{FF2B5EF4-FFF2-40B4-BE49-F238E27FC236}">
              <a16:creationId xmlns:a16="http://schemas.microsoft.com/office/drawing/2014/main" xmlns="" id="{00000000-0008-0000-0000-00001F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176" name="Text Box 75">
          <a:extLst>
            <a:ext uri="{FF2B5EF4-FFF2-40B4-BE49-F238E27FC236}">
              <a16:creationId xmlns:a16="http://schemas.microsoft.com/office/drawing/2014/main" xmlns="" id="{00000000-0008-0000-0000-000020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177" name="Text Box 76">
          <a:extLst>
            <a:ext uri="{FF2B5EF4-FFF2-40B4-BE49-F238E27FC236}">
              <a16:creationId xmlns:a16="http://schemas.microsoft.com/office/drawing/2014/main" xmlns="" id="{00000000-0008-0000-0000-000021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178" name="Text Box 77">
          <a:extLst>
            <a:ext uri="{FF2B5EF4-FFF2-40B4-BE49-F238E27FC236}">
              <a16:creationId xmlns:a16="http://schemas.microsoft.com/office/drawing/2014/main" xmlns="" id="{00000000-0008-0000-0000-000022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179" name="Text Box 78">
          <a:extLst>
            <a:ext uri="{FF2B5EF4-FFF2-40B4-BE49-F238E27FC236}">
              <a16:creationId xmlns:a16="http://schemas.microsoft.com/office/drawing/2014/main" xmlns="" id="{00000000-0008-0000-0000-000023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180" name="Text Box 79">
          <a:extLst>
            <a:ext uri="{FF2B5EF4-FFF2-40B4-BE49-F238E27FC236}">
              <a16:creationId xmlns:a16="http://schemas.microsoft.com/office/drawing/2014/main" xmlns="" id="{00000000-0008-0000-0000-000024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181" name="Text Box 80">
          <a:extLst>
            <a:ext uri="{FF2B5EF4-FFF2-40B4-BE49-F238E27FC236}">
              <a16:creationId xmlns:a16="http://schemas.microsoft.com/office/drawing/2014/main" xmlns="" id="{00000000-0008-0000-0000-000025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182" name="Text Box 81">
          <a:extLst>
            <a:ext uri="{FF2B5EF4-FFF2-40B4-BE49-F238E27FC236}">
              <a16:creationId xmlns:a16="http://schemas.microsoft.com/office/drawing/2014/main" xmlns="" id="{00000000-0008-0000-0000-000026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47625"/>
    <xdr:sp macro="" textlink="">
      <xdr:nvSpPr>
        <xdr:cNvPr id="6183" name="Text Box 82">
          <a:extLst>
            <a:ext uri="{FF2B5EF4-FFF2-40B4-BE49-F238E27FC236}">
              <a16:creationId xmlns:a16="http://schemas.microsoft.com/office/drawing/2014/main" xmlns="" id="{00000000-0008-0000-0000-000027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184" name="Text Box 3079">
          <a:extLst>
            <a:ext uri="{FF2B5EF4-FFF2-40B4-BE49-F238E27FC236}">
              <a16:creationId xmlns:a16="http://schemas.microsoft.com/office/drawing/2014/main" xmlns="" id="{00000000-0008-0000-0000-000028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185" name="Text Box 3080">
          <a:extLst>
            <a:ext uri="{FF2B5EF4-FFF2-40B4-BE49-F238E27FC236}">
              <a16:creationId xmlns:a16="http://schemas.microsoft.com/office/drawing/2014/main" xmlns="" id="{00000000-0008-0000-0000-000029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186" name="Text Box 3081">
          <a:extLst>
            <a:ext uri="{FF2B5EF4-FFF2-40B4-BE49-F238E27FC236}">
              <a16:creationId xmlns:a16="http://schemas.microsoft.com/office/drawing/2014/main" xmlns="" id="{00000000-0008-0000-0000-00002A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187" name="Text Box 3082">
          <a:extLst>
            <a:ext uri="{FF2B5EF4-FFF2-40B4-BE49-F238E27FC236}">
              <a16:creationId xmlns:a16="http://schemas.microsoft.com/office/drawing/2014/main" xmlns="" id="{00000000-0008-0000-0000-00002B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188" name="Text Box 3083">
          <a:extLst>
            <a:ext uri="{FF2B5EF4-FFF2-40B4-BE49-F238E27FC236}">
              <a16:creationId xmlns:a16="http://schemas.microsoft.com/office/drawing/2014/main" xmlns="" id="{00000000-0008-0000-0000-00002C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189" name="Text Box 3084">
          <a:extLst>
            <a:ext uri="{FF2B5EF4-FFF2-40B4-BE49-F238E27FC236}">
              <a16:creationId xmlns:a16="http://schemas.microsoft.com/office/drawing/2014/main" xmlns="" id="{00000000-0008-0000-0000-00002D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190" name="Text Box 3085">
          <a:extLst>
            <a:ext uri="{FF2B5EF4-FFF2-40B4-BE49-F238E27FC236}">
              <a16:creationId xmlns:a16="http://schemas.microsoft.com/office/drawing/2014/main" xmlns="" id="{00000000-0008-0000-0000-00002E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191" name="Text Box 3086">
          <a:extLst>
            <a:ext uri="{FF2B5EF4-FFF2-40B4-BE49-F238E27FC236}">
              <a16:creationId xmlns:a16="http://schemas.microsoft.com/office/drawing/2014/main" xmlns="" id="{00000000-0008-0000-0000-00002F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192" name="Text Box 3087">
          <a:extLst>
            <a:ext uri="{FF2B5EF4-FFF2-40B4-BE49-F238E27FC236}">
              <a16:creationId xmlns:a16="http://schemas.microsoft.com/office/drawing/2014/main" xmlns="" id="{00000000-0008-0000-0000-000030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193" name="Text Box 3088">
          <a:extLst>
            <a:ext uri="{FF2B5EF4-FFF2-40B4-BE49-F238E27FC236}">
              <a16:creationId xmlns:a16="http://schemas.microsoft.com/office/drawing/2014/main" xmlns="" id="{00000000-0008-0000-0000-000031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194" name="Text Box 3089">
          <a:extLst>
            <a:ext uri="{FF2B5EF4-FFF2-40B4-BE49-F238E27FC236}">
              <a16:creationId xmlns:a16="http://schemas.microsoft.com/office/drawing/2014/main" xmlns="" id="{00000000-0008-0000-0000-000032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195" name="Text Box 3090">
          <a:extLst>
            <a:ext uri="{FF2B5EF4-FFF2-40B4-BE49-F238E27FC236}">
              <a16:creationId xmlns:a16="http://schemas.microsoft.com/office/drawing/2014/main" xmlns="" id="{00000000-0008-0000-0000-000033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196" name="Text Box 3091">
          <a:extLst>
            <a:ext uri="{FF2B5EF4-FFF2-40B4-BE49-F238E27FC236}">
              <a16:creationId xmlns:a16="http://schemas.microsoft.com/office/drawing/2014/main" xmlns="" id="{00000000-0008-0000-0000-000034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197" name="Text Box 3092">
          <a:extLst>
            <a:ext uri="{FF2B5EF4-FFF2-40B4-BE49-F238E27FC236}">
              <a16:creationId xmlns:a16="http://schemas.microsoft.com/office/drawing/2014/main" xmlns="" id="{00000000-0008-0000-0000-000035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198" name="Text Box 3093">
          <a:extLst>
            <a:ext uri="{FF2B5EF4-FFF2-40B4-BE49-F238E27FC236}">
              <a16:creationId xmlns:a16="http://schemas.microsoft.com/office/drawing/2014/main" xmlns="" id="{00000000-0008-0000-0000-000036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199" name="Text Box 3094">
          <a:extLst>
            <a:ext uri="{FF2B5EF4-FFF2-40B4-BE49-F238E27FC236}">
              <a16:creationId xmlns:a16="http://schemas.microsoft.com/office/drawing/2014/main" xmlns="" id="{00000000-0008-0000-0000-000037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200" name="Text Box 3095">
          <a:extLst>
            <a:ext uri="{FF2B5EF4-FFF2-40B4-BE49-F238E27FC236}">
              <a16:creationId xmlns:a16="http://schemas.microsoft.com/office/drawing/2014/main" xmlns="" id="{00000000-0008-0000-0000-000038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201" name="Text Box 3096">
          <a:extLst>
            <a:ext uri="{FF2B5EF4-FFF2-40B4-BE49-F238E27FC236}">
              <a16:creationId xmlns:a16="http://schemas.microsoft.com/office/drawing/2014/main" xmlns="" id="{00000000-0008-0000-0000-000039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202" name="Text Box 3097">
          <a:extLst>
            <a:ext uri="{FF2B5EF4-FFF2-40B4-BE49-F238E27FC236}">
              <a16:creationId xmlns:a16="http://schemas.microsoft.com/office/drawing/2014/main" xmlns="" id="{00000000-0008-0000-0000-00003A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203" name="Text Box 3098">
          <a:extLst>
            <a:ext uri="{FF2B5EF4-FFF2-40B4-BE49-F238E27FC236}">
              <a16:creationId xmlns:a16="http://schemas.microsoft.com/office/drawing/2014/main" xmlns="" id="{00000000-0008-0000-0000-00003B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204" name="Text Box 3099">
          <a:extLst>
            <a:ext uri="{FF2B5EF4-FFF2-40B4-BE49-F238E27FC236}">
              <a16:creationId xmlns:a16="http://schemas.microsoft.com/office/drawing/2014/main" xmlns="" id="{00000000-0008-0000-0000-00003C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205" name="Text Box 3100">
          <a:extLst>
            <a:ext uri="{FF2B5EF4-FFF2-40B4-BE49-F238E27FC236}">
              <a16:creationId xmlns:a16="http://schemas.microsoft.com/office/drawing/2014/main" xmlns="" id="{00000000-0008-0000-0000-00003D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206" name="Text Box 3101">
          <a:extLst>
            <a:ext uri="{FF2B5EF4-FFF2-40B4-BE49-F238E27FC236}">
              <a16:creationId xmlns:a16="http://schemas.microsoft.com/office/drawing/2014/main" xmlns="" id="{00000000-0008-0000-0000-00003E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6207" name="Text Box 3102">
          <a:extLst>
            <a:ext uri="{FF2B5EF4-FFF2-40B4-BE49-F238E27FC236}">
              <a16:creationId xmlns:a16="http://schemas.microsoft.com/office/drawing/2014/main" xmlns="" id="{00000000-0008-0000-0000-00003F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208" name="Text Box 59">
          <a:extLst>
            <a:ext uri="{FF2B5EF4-FFF2-40B4-BE49-F238E27FC236}">
              <a16:creationId xmlns:a16="http://schemas.microsoft.com/office/drawing/2014/main" xmlns="" id="{00000000-0008-0000-0000-000040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209" name="Text Box 60">
          <a:extLst>
            <a:ext uri="{FF2B5EF4-FFF2-40B4-BE49-F238E27FC236}">
              <a16:creationId xmlns:a16="http://schemas.microsoft.com/office/drawing/2014/main" xmlns="" id="{00000000-0008-0000-0000-000041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210" name="Text Box 61">
          <a:extLst>
            <a:ext uri="{FF2B5EF4-FFF2-40B4-BE49-F238E27FC236}">
              <a16:creationId xmlns:a16="http://schemas.microsoft.com/office/drawing/2014/main" xmlns="" id="{00000000-0008-0000-0000-000042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211" name="Text Box 62">
          <a:extLst>
            <a:ext uri="{FF2B5EF4-FFF2-40B4-BE49-F238E27FC236}">
              <a16:creationId xmlns:a16="http://schemas.microsoft.com/office/drawing/2014/main" xmlns="" id="{00000000-0008-0000-0000-000043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212" name="Text Box 63">
          <a:extLst>
            <a:ext uri="{FF2B5EF4-FFF2-40B4-BE49-F238E27FC236}">
              <a16:creationId xmlns:a16="http://schemas.microsoft.com/office/drawing/2014/main" xmlns="" id="{00000000-0008-0000-0000-000044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213" name="Text Box 64">
          <a:extLst>
            <a:ext uri="{FF2B5EF4-FFF2-40B4-BE49-F238E27FC236}">
              <a16:creationId xmlns:a16="http://schemas.microsoft.com/office/drawing/2014/main" xmlns="" id="{00000000-0008-0000-0000-000045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214" name="Text Box 65">
          <a:extLst>
            <a:ext uri="{FF2B5EF4-FFF2-40B4-BE49-F238E27FC236}">
              <a16:creationId xmlns:a16="http://schemas.microsoft.com/office/drawing/2014/main" xmlns="" id="{00000000-0008-0000-0000-000046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215" name="Text Box 66">
          <a:extLst>
            <a:ext uri="{FF2B5EF4-FFF2-40B4-BE49-F238E27FC236}">
              <a16:creationId xmlns:a16="http://schemas.microsoft.com/office/drawing/2014/main" xmlns="" id="{00000000-0008-0000-0000-000047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216" name="Text Box 67">
          <a:extLst>
            <a:ext uri="{FF2B5EF4-FFF2-40B4-BE49-F238E27FC236}">
              <a16:creationId xmlns:a16="http://schemas.microsoft.com/office/drawing/2014/main" xmlns="" id="{00000000-0008-0000-0000-000048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217" name="Text Box 68">
          <a:extLst>
            <a:ext uri="{FF2B5EF4-FFF2-40B4-BE49-F238E27FC236}">
              <a16:creationId xmlns:a16="http://schemas.microsoft.com/office/drawing/2014/main" xmlns="" id="{00000000-0008-0000-0000-000049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218" name="Text Box 69">
          <a:extLst>
            <a:ext uri="{FF2B5EF4-FFF2-40B4-BE49-F238E27FC236}">
              <a16:creationId xmlns:a16="http://schemas.microsoft.com/office/drawing/2014/main" xmlns="" id="{00000000-0008-0000-0000-00004A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219" name="Text Box 70">
          <a:extLst>
            <a:ext uri="{FF2B5EF4-FFF2-40B4-BE49-F238E27FC236}">
              <a16:creationId xmlns:a16="http://schemas.microsoft.com/office/drawing/2014/main" xmlns="" id="{00000000-0008-0000-0000-00004B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220" name="Text Box 71">
          <a:extLst>
            <a:ext uri="{FF2B5EF4-FFF2-40B4-BE49-F238E27FC236}">
              <a16:creationId xmlns:a16="http://schemas.microsoft.com/office/drawing/2014/main" xmlns="" id="{00000000-0008-0000-0000-00004C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221" name="Text Box 72">
          <a:extLst>
            <a:ext uri="{FF2B5EF4-FFF2-40B4-BE49-F238E27FC236}">
              <a16:creationId xmlns:a16="http://schemas.microsoft.com/office/drawing/2014/main" xmlns="" id="{00000000-0008-0000-0000-00004D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222" name="Text Box 73">
          <a:extLst>
            <a:ext uri="{FF2B5EF4-FFF2-40B4-BE49-F238E27FC236}">
              <a16:creationId xmlns:a16="http://schemas.microsoft.com/office/drawing/2014/main" xmlns="" id="{00000000-0008-0000-0000-00004E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223" name="Text Box 74">
          <a:extLst>
            <a:ext uri="{FF2B5EF4-FFF2-40B4-BE49-F238E27FC236}">
              <a16:creationId xmlns:a16="http://schemas.microsoft.com/office/drawing/2014/main" xmlns="" id="{00000000-0008-0000-0000-00004F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224" name="Text Box 75">
          <a:extLst>
            <a:ext uri="{FF2B5EF4-FFF2-40B4-BE49-F238E27FC236}">
              <a16:creationId xmlns:a16="http://schemas.microsoft.com/office/drawing/2014/main" xmlns="" id="{00000000-0008-0000-0000-000050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225" name="Text Box 76">
          <a:extLst>
            <a:ext uri="{FF2B5EF4-FFF2-40B4-BE49-F238E27FC236}">
              <a16:creationId xmlns:a16="http://schemas.microsoft.com/office/drawing/2014/main" xmlns="" id="{00000000-0008-0000-0000-000051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226" name="Text Box 77">
          <a:extLst>
            <a:ext uri="{FF2B5EF4-FFF2-40B4-BE49-F238E27FC236}">
              <a16:creationId xmlns:a16="http://schemas.microsoft.com/office/drawing/2014/main" xmlns="" id="{00000000-0008-0000-0000-000052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227" name="Text Box 78">
          <a:extLst>
            <a:ext uri="{FF2B5EF4-FFF2-40B4-BE49-F238E27FC236}">
              <a16:creationId xmlns:a16="http://schemas.microsoft.com/office/drawing/2014/main" xmlns="" id="{00000000-0008-0000-0000-000053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228" name="Text Box 79">
          <a:extLst>
            <a:ext uri="{FF2B5EF4-FFF2-40B4-BE49-F238E27FC236}">
              <a16:creationId xmlns:a16="http://schemas.microsoft.com/office/drawing/2014/main" xmlns="" id="{00000000-0008-0000-0000-000054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229" name="Text Box 80">
          <a:extLst>
            <a:ext uri="{FF2B5EF4-FFF2-40B4-BE49-F238E27FC236}">
              <a16:creationId xmlns:a16="http://schemas.microsoft.com/office/drawing/2014/main" xmlns="" id="{00000000-0008-0000-0000-000055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230" name="Text Box 81">
          <a:extLst>
            <a:ext uri="{FF2B5EF4-FFF2-40B4-BE49-F238E27FC236}">
              <a16:creationId xmlns:a16="http://schemas.microsoft.com/office/drawing/2014/main" xmlns="" id="{00000000-0008-0000-0000-000056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231" name="Text Box 3079">
          <a:extLst>
            <a:ext uri="{FF2B5EF4-FFF2-40B4-BE49-F238E27FC236}">
              <a16:creationId xmlns:a16="http://schemas.microsoft.com/office/drawing/2014/main" xmlns="" id="{00000000-0008-0000-0000-000057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232" name="Text Box 3080">
          <a:extLst>
            <a:ext uri="{FF2B5EF4-FFF2-40B4-BE49-F238E27FC236}">
              <a16:creationId xmlns:a16="http://schemas.microsoft.com/office/drawing/2014/main" xmlns="" id="{00000000-0008-0000-0000-000058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233" name="Text Box 3081">
          <a:extLst>
            <a:ext uri="{FF2B5EF4-FFF2-40B4-BE49-F238E27FC236}">
              <a16:creationId xmlns:a16="http://schemas.microsoft.com/office/drawing/2014/main" xmlns="" id="{00000000-0008-0000-0000-000059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234" name="Text Box 3082">
          <a:extLst>
            <a:ext uri="{FF2B5EF4-FFF2-40B4-BE49-F238E27FC236}">
              <a16:creationId xmlns:a16="http://schemas.microsoft.com/office/drawing/2014/main" xmlns="" id="{00000000-0008-0000-0000-00005A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235" name="Text Box 3083">
          <a:extLst>
            <a:ext uri="{FF2B5EF4-FFF2-40B4-BE49-F238E27FC236}">
              <a16:creationId xmlns:a16="http://schemas.microsoft.com/office/drawing/2014/main" xmlns="" id="{00000000-0008-0000-0000-00005B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236" name="Text Box 3084">
          <a:extLst>
            <a:ext uri="{FF2B5EF4-FFF2-40B4-BE49-F238E27FC236}">
              <a16:creationId xmlns:a16="http://schemas.microsoft.com/office/drawing/2014/main" xmlns="" id="{00000000-0008-0000-0000-00005C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237" name="Text Box 3085">
          <a:extLst>
            <a:ext uri="{FF2B5EF4-FFF2-40B4-BE49-F238E27FC236}">
              <a16:creationId xmlns:a16="http://schemas.microsoft.com/office/drawing/2014/main" xmlns="" id="{00000000-0008-0000-0000-00005D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238" name="Text Box 3086">
          <a:extLst>
            <a:ext uri="{FF2B5EF4-FFF2-40B4-BE49-F238E27FC236}">
              <a16:creationId xmlns:a16="http://schemas.microsoft.com/office/drawing/2014/main" xmlns="" id="{00000000-0008-0000-0000-00005E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239" name="Text Box 3087">
          <a:extLst>
            <a:ext uri="{FF2B5EF4-FFF2-40B4-BE49-F238E27FC236}">
              <a16:creationId xmlns:a16="http://schemas.microsoft.com/office/drawing/2014/main" xmlns="" id="{00000000-0008-0000-0000-00005F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240" name="Text Box 3088">
          <a:extLst>
            <a:ext uri="{FF2B5EF4-FFF2-40B4-BE49-F238E27FC236}">
              <a16:creationId xmlns:a16="http://schemas.microsoft.com/office/drawing/2014/main" xmlns="" id="{00000000-0008-0000-0000-000060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241" name="Text Box 3089">
          <a:extLst>
            <a:ext uri="{FF2B5EF4-FFF2-40B4-BE49-F238E27FC236}">
              <a16:creationId xmlns:a16="http://schemas.microsoft.com/office/drawing/2014/main" xmlns="" id="{00000000-0008-0000-0000-000061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242" name="Text Box 3090">
          <a:extLst>
            <a:ext uri="{FF2B5EF4-FFF2-40B4-BE49-F238E27FC236}">
              <a16:creationId xmlns:a16="http://schemas.microsoft.com/office/drawing/2014/main" xmlns="" id="{00000000-0008-0000-0000-000062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243" name="Text Box 3091">
          <a:extLst>
            <a:ext uri="{FF2B5EF4-FFF2-40B4-BE49-F238E27FC236}">
              <a16:creationId xmlns:a16="http://schemas.microsoft.com/office/drawing/2014/main" xmlns="" id="{00000000-0008-0000-0000-000063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244" name="Text Box 3092">
          <a:extLst>
            <a:ext uri="{FF2B5EF4-FFF2-40B4-BE49-F238E27FC236}">
              <a16:creationId xmlns:a16="http://schemas.microsoft.com/office/drawing/2014/main" xmlns="" id="{00000000-0008-0000-0000-000064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245" name="Text Box 3093">
          <a:extLst>
            <a:ext uri="{FF2B5EF4-FFF2-40B4-BE49-F238E27FC236}">
              <a16:creationId xmlns:a16="http://schemas.microsoft.com/office/drawing/2014/main" xmlns="" id="{00000000-0008-0000-0000-000065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246" name="Text Box 3094">
          <a:extLst>
            <a:ext uri="{FF2B5EF4-FFF2-40B4-BE49-F238E27FC236}">
              <a16:creationId xmlns:a16="http://schemas.microsoft.com/office/drawing/2014/main" xmlns="" id="{00000000-0008-0000-0000-000066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247" name="Text Box 3095">
          <a:extLst>
            <a:ext uri="{FF2B5EF4-FFF2-40B4-BE49-F238E27FC236}">
              <a16:creationId xmlns:a16="http://schemas.microsoft.com/office/drawing/2014/main" xmlns="" id="{00000000-0008-0000-0000-000067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248" name="Text Box 3096">
          <a:extLst>
            <a:ext uri="{FF2B5EF4-FFF2-40B4-BE49-F238E27FC236}">
              <a16:creationId xmlns:a16="http://schemas.microsoft.com/office/drawing/2014/main" xmlns="" id="{00000000-0008-0000-0000-000068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249" name="Text Box 3097">
          <a:extLst>
            <a:ext uri="{FF2B5EF4-FFF2-40B4-BE49-F238E27FC236}">
              <a16:creationId xmlns:a16="http://schemas.microsoft.com/office/drawing/2014/main" xmlns="" id="{00000000-0008-0000-0000-000069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250" name="Text Box 3098">
          <a:extLst>
            <a:ext uri="{FF2B5EF4-FFF2-40B4-BE49-F238E27FC236}">
              <a16:creationId xmlns:a16="http://schemas.microsoft.com/office/drawing/2014/main" xmlns="" id="{00000000-0008-0000-0000-00006A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251" name="Text Box 3099">
          <a:extLst>
            <a:ext uri="{FF2B5EF4-FFF2-40B4-BE49-F238E27FC236}">
              <a16:creationId xmlns:a16="http://schemas.microsoft.com/office/drawing/2014/main" xmlns="" id="{00000000-0008-0000-0000-00006B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252" name="Text Box 3100">
          <a:extLst>
            <a:ext uri="{FF2B5EF4-FFF2-40B4-BE49-F238E27FC236}">
              <a16:creationId xmlns:a16="http://schemas.microsoft.com/office/drawing/2014/main" xmlns="" id="{00000000-0008-0000-0000-00006C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253" name="Text Box 3101">
          <a:extLst>
            <a:ext uri="{FF2B5EF4-FFF2-40B4-BE49-F238E27FC236}">
              <a16:creationId xmlns:a16="http://schemas.microsoft.com/office/drawing/2014/main" xmlns="" id="{00000000-0008-0000-0000-00006D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6254" name="Text Box 3102">
          <a:extLst>
            <a:ext uri="{FF2B5EF4-FFF2-40B4-BE49-F238E27FC236}">
              <a16:creationId xmlns:a16="http://schemas.microsoft.com/office/drawing/2014/main" xmlns="" id="{00000000-0008-0000-0000-00006E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255" name="Text Box 59">
          <a:extLst>
            <a:ext uri="{FF2B5EF4-FFF2-40B4-BE49-F238E27FC236}">
              <a16:creationId xmlns:a16="http://schemas.microsoft.com/office/drawing/2014/main" xmlns="" id="{00000000-0008-0000-0000-00006F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256" name="Text Box 60">
          <a:extLst>
            <a:ext uri="{FF2B5EF4-FFF2-40B4-BE49-F238E27FC236}">
              <a16:creationId xmlns:a16="http://schemas.microsoft.com/office/drawing/2014/main" xmlns="" id="{00000000-0008-0000-0000-000070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257" name="Text Box 61">
          <a:extLst>
            <a:ext uri="{FF2B5EF4-FFF2-40B4-BE49-F238E27FC236}">
              <a16:creationId xmlns:a16="http://schemas.microsoft.com/office/drawing/2014/main" xmlns="" id="{00000000-0008-0000-0000-000071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258" name="Text Box 62">
          <a:extLst>
            <a:ext uri="{FF2B5EF4-FFF2-40B4-BE49-F238E27FC236}">
              <a16:creationId xmlns:a16="http://schemas.microsoft.com/office/drawing/2014/main" xmlns="" id="{00000000-0008-0000-0000-000072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259" name="Text Box 63">
          <a:extLst>
            <a:ext uri="{FF2B5EF4-FFF2-40B4-BE49-F238E27FC236}">
              <a16:creationId xmlns:a16="http://schemas.microsoft.com/office/drawing/2014/main" xmlns="" id="{00000000-0008-0000-0000-000073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260" name="Text Box 64">
          <a:extLst>
            <a:ext uri="{FF2B5EF4-FFF2-40B4-BE49-F238E27FC236}">
              <a16:creationId xmlns:a16="http://schemas.microsoft.com/office/drawing/2014/main" xmlns="" id="{00000000-0008-0000-0000-000074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261" name="Text Box 65">
          <a:extLst>
            <a:ext uri="{FF2B5EF4-FFF2-40B4-BE49-F238E27FC236}">
              <a16:creationId xmlns:a16="http://schemas.microsoft.com/office/drawing/2014/main" xmlns="" id="{00000000-0008-0000-0000-000075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262" name="Text Box 66">
          <a:extLst>
            <a:ext uri="{FF2B5EF4-FFF2-40B4-BE49-F238E27FC236}">
              <a16:creationId xmlns:a16="http://schemas.microsoft.com/office/drawing/2014/main" xmlns="" id="{00000000-0008-0000-0000-000076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263" name="Text Box 67">
          <a:extLst>
            <a:ext uri="{FF2B5EF4-FFF2-40B4-BE49-F238E27FC236}">
              <a16:creationId xmlns:a16="http://schemas.microsoft.com/office/drawing/2014/main" xmlns="" id="{00000000-0008-0000-0000-000077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264" name="Text Box 68">
          <a:extLst>
            <a:ext uri="{FF2B5EF4-FFF2-40B4-BE49-F238E27FC236}">
              <a16:creationId xmlns:a16="http://schemas.microsoft.com/office/drawing/2014/main" xmlns="" id="{00000000-0008-0000-0000-000078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265" name="Text Box 69">
          <a:extLst>
            <a:ext uri="{FF2B5EF4-FFF2-40B4-BE49-F238E27FC236}">
              <a16:creationId xmlns:a16="http://schemas.microsoft.com/office/drawing/2014/main" xmlns="" id="{00000000-0008-0000-0000-000079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266" name="Text Box 70">
          <a:extLst>
            <a:ext uri="{FF2B5EF4-FFF2-40B4-BE49-F238E27FC236}">
              <a16:creationId xmlns:a16="http://schemas.microsoft.com/office/drawing/2014/main" xmlns="" id="{00000000-0008-0000-0000-00007A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267" name="Text Box 71">
          <a:extLst>
            <a:ext uri="{FF2B5EF4-FFF2-40B4-BE49-F238E27FC236}">
              <a16:creationId xmlns:a16="http://schemas.microsoft.com/office/drawing/2014/main" xmlns="" id="{00000000-0008-0000-0000-00007B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268" name="Text Box 72">
          <a:extLst>
            <a:ext uri="{FF2B5EF4-FFF2-40B4-BE49-F238E27FC236}">
              <a16:creationId xmlns:a16="http://schemas.microsoft.com/office/drawing/2014/main" xmlns="" id="{00000000-0008-0000-0000-00007C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269" name="Text Box 73">
          <a:extLst>
            <a:ext uri="{FF2B5EF4-FFF2-40B4-BE49-F238E27FC236}">
              <a16:creationId xmlns:a16="http://schemas.microsoft.com/office/drawing/2014/main" xmlns="" id="{00000000-0008-0000-0000-00007D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270" name="Text Box 74">
          <a:extLst>
            <a:ext uri="{FF2B5EF4-FFF2-40B4-BE49-F238E27FC236}">
              <a16:creationId xmlns:a16="http://schemas.microsoft.com/office/drawing/2014/main" xmlns="" id="{00000000-0008-0000-0000-00007E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271" name="Text Box 75">
          <a:extLst>
            <a:ext uri="{FF2B5EF4-FFF2-40B4-BE49-F238E27FC236}">
              <a16:creationId xmlns:a16="http://schemas.microsoft.com/office/drawing/2014/main" xmlns="" id="{00000000-0008-0000-0000-00007F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272" name="Text Box 76">
          <a:extLst>
            <a:ext uri="{FF2B5EF4-FFF2-40B4-BE49-F238E27FC236}">
              <a16:creationId xmlns:a16="http://schemas.microsoft.com/office/drawing/2014/main" xmlns="" id="{00000000-0008-0000-0000-000080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273" name="Text Box 77">
          <a:extLst>
            <a:ext uri="{FF2B5EF4-FFF2-40B4-BE49-F238E27FC236}">
              <a16:creationId xmlns:a16="http://schemas.microsoft.com/office/drawing/2014/main" xmlns="" id="{00000000-0008-0000-0000-000081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274" name="Text Box 78">
          <a:extLst>
            <a:ext uri="{FF2B5EF4-FFF2-40B4-BE49-F238E27FC236}">
              <a16:creationId xmlns:a16="http://schemas.microsoft.com/office/drawing/2014/main" xmlns="" id="{00000000-0008-0000-0000-000082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275" name="Text Box 79">
          <a:extLst>
            <a:ext uri="{FF2B5EF4-FFF2-40B4-BE49-F238E27FC236}">
              <a16:creationId xmlns:a16="http://schemas.microsoft.com/office/drawing/2014/main" xmlns="" id="{00000000-0008-0000-0000-000083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276" name="Text Box 80">
          <a:extLst>
            <a:ext uri="{FF2B5EF4-FFF2-40B4-BE49-F238E27FC236}">
              <a16:creationId xmlns:a16="http://schemas.microsoft.com/office/drawing/2014/main" xmlns="" id="{00000000-0008-0000-0000-000084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277" name="Text Box 81">
          <a:extLst>
            <a:ext uri="{FF2B5EF4-FFF2-40B4-BE49-F238E27FC236}">
              <a16:creationId xmlns:a16="http://schemas.microsoft.com/office/drawing/2014/main" xmlns="" id="{00000000-0008-0000-0000-000085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47625"/>
    <xdr:sp macro="" textlink="">
      <xdr:nvSpPr>
        <xdr:cNvPr id="6278" name="Text Box 82">
          <a:extLst>
            <a:ext uri="{FF2B5EF4-FFF2-40B4-BE49-F238E27FC236}">
              <a16:creationId xmlns:a16="http://schemas.microsoft.com/office/drawing/2014/main" xmlns="" id="{00000000-0008-0000-0000-000086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279" name="Text Box 3079">
          <a:extLst>
            <a:ext uri="{FF2B5EF4-FFF2-40B4-BE49-F238E27FC236}">
              <a16:creationId xmlns:a16="http://schemas.microsoft.com/office/drawing/2014/main" xmlns="" id="{00000000-0008-0000-0000-000087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280" name="Text Box 3080">
          <a:extLst>
            <a:ext uri="{FF2B5EF4-FFF2-40B4-BE49-F238E27FC236}">
              <a16:creationId xmlns:a16="http://schemas.microsoft.com/office/drawing/2014/main" xmlns="" id="{00000000-0008-0000-0000-000088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281" name="Text Box 3081">
          <a:extLst>
            <a:ext uri="{FF2B5EF4-FFF2-40B4-BE49-F238E27FC236}">
              <a16:creationId xmlns:a16="http://schemas.microsoft.com/office/drawing/2014/main" xmlns="" id="{00000000-0008-0000-0000-000089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282" name="Text Box 3082">
          <a:extLst>
            <a:ext uri="{FF2B5EF4-FFF2-40B4-BE49-F238E27FC236}">
              <a16:creationId xmlns:a16="http://schemas.microsoft.com/office/drawing/2014/main" xmlns="" id="{00000000-0008-0000-0000-00008A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283" name="Text Box 3083">
          <a:extLst>
            <a:ext uri="{FF2B5EF4-FFF2-40B4-BE49-F238E27FC236}">
              <a16:creationId xmlns:a16="http://schemas.microsoft.com/office/drawing/2014/main" xmlns="" id="{00000000-0008-0000-0000-00008B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284" name="Text Box 3084">
          <a:extLst>
            <a:ext uri="{FF2B5EF4-FFF2-40B4-BE49-F238E27FC236}">
              <a16:creationId xmlns:a16="http://schemas.microsoft.com/office/drawing/2014/main" xmlns="" id="{00000000-0008-0000-0000-00008C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285" name="Text Box 3085">
          <a:extLst>
            <a:ext uri="{FF2B5EF4-FFF2-40B4-BE49-F238E27FC236}">
              <a16:creationId xmlns:a16="http://schemas.microsoft.com/office/drawing/2014/main" xmlns="" id="{00000000-0008-0000-0000-00008D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286" name="Text Box 3086">
          <a:extLst>
            <a:ext uri="{FF2B5EF4-FFF2-40B4-BE49-F238E27FC236}">
              <a16:creationId xmlns:a16="http://schemas.microsoft.com/office/drawing/2014/main" xmlns="" id="{00000000-0008-0000-0000-00008E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287" name="Text Box 3087">
          <a:extLst>
            <a:ext uri="{FF2B5EF4-FFF2-40B4-BE49-F238E27FC236}">
              <a16:creationId xmlns:a16="http://schemas.microsoft.com/office/drawing/2014/main" xmlns="" id="{00000000-0008-0000-0000-00008F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288" name="Text Box 3088">
          <a:extLst>
            <a:ext uri="{FF2B5EF4-FFF2-40B4-BE49-F238E27FC236}">
              <a16:creationId xmlns:a16="http://schemas.microsoft.com/office/drawing/2014/main" xmlns="" id="{00000000-0008-0000-0000-000090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289" name="Text Box 3089">
          <a:extLst>
            <a:ext uri="{FF2B5EF4-FFF2-40B4-BE49-F238E27FC236}">
              <a16:creationId xmlns:a16="http://schemas.microsoft.com/office/drawing/2014/main" xmlns="" id="{00000000-0008-0000-0000-000091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290" name="Text Box 3090">
          <a:extLst>
            <a:ext uri="{FF2B5EF4-FFF2-40B4-BE49-F238E27FC236}">
              <a16:creationId xmlns:a16="http://schemas.microsoft.com/office/drawing/2014/main" xmlns="" id="{00000000-0008-0000-0000-000092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291" name="Text Box 3091">
          <a:extLst>
            <a:ext uri="{FF2B5EF4-FFF2-40B4-BE49-F238E27FC236}">
              <a16:creationId xmlns:a16="http://schemas.microsoft.com/office/drawing/2014/main" xmlns="" id="{00000000-0008-0000-0000-000093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292" name="Text Box 3092">
          <a:extLst>
            <a:ext uri="{FF2B5EF4-FFF2-40B4-BE49-F238E27FC236}">
              <a16:creationId xmlns:a16="http://schemas.microsoft.com/office/drawing/2014/main" xmlns="" id="{00000000-0008-0000-0000-000094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293" name="Text Box 3093">
          <a:extLst>
            <a:ext uri="{FF2B5EF4-FFF2-40B4-BE49-F238E27FC236}">
              <a16:creationId xmlns:a16="http://schemas.microsoft.com/office/drawing/2014/main" xmlns="" id="{00000000-0008-0000-0000-000095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294" name="Text Box 3094">
          <a:extLst>
            <a:ext uri="{FF2B5EF4-FFF2-40B4-BE49-F238E27FC236}">
              <a16:creationId xmlns:a16="http://schemas.microsoft.com/office/drawing/2014/main" xmlns="" id="{00000000-0008-0000-0000-000096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295" name="Text Box 3095">
          <a:extLst>
            <a:ext uri="{FF2B5EF4-FFF2-40B4-BE49-F238E27FC236}">
              <a16:creationId xmlns:a16="http://schemas.microsoft.com/office/drawing/2014/main" xmlns="" id="{00000000-0008-0000-0000-000097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296" name="Text Box 3096">
          <a:extLst>
            <a:ext uri="{FF2B5EF4-FFF2-40B4-BE49-F238E27FC236}">
              <a16:creationId xmlns:a16="http://schemas.microsoft.com/office/drawing/2014/main" xmlns="" id="{00000000-0008-0000-0000-000098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297" name="Text Box 3097">
          <a:extLst>
            <a:ext uri="{FF2B5EF4-FFF2-40B4-BE49-F238E27FC236}">
              <a16:creationId xmlns:a16="http://schemas.microsoft.com/office/drawing/2014/main" xmlns="" id="{00000000-0008-0000-0000-000099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298" name="Text Box 3098">
          <a:extLst>
            <a:ext uri="{FF2B5EF4-FFF2-40B4-BE49-F238E27FC236}">
              <a16:creationId xmlns:a16="http://schemas.microsoft.com/office/drawing/2014/main" xmlns="" id="{00000000-0008-0000-0000-00009A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299" name="Text Box 3099">
          <a:extLst>
            <a:ext uri="{FF2B5EF4-FFF2-40B4-BE49-F238E27FC236}">
              <a16:creationId xmlns:a16="http://schemas.microsoft.com/office/drawing/2014/main" xmlns="" id="{00000000-0008-0000-0000-00009B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300" name="Text Box 3100">
          <a:extLst>
            <a:ext uri="{FF2B5EF4-FFF2-40B4-BE49-F238E27FC236}">
              <a16:creationId xmlns:a16="http://schemas.microsoft.com/office/drawing/2014/main" xmlns="" id="{00000000-0008-0000-0000-00009C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301" name="Text Box 3101">
          <a:extLst>
            <a:ext uri="{FF2B5EF4-FFF2-40B4-BE49-F238E27FC236}">
              <a16:creationId xmlns:a16="http://schemas.microsoft.com/office/drawing/2014/main" xmlns="" id="{00000000-0008-0000-0000-00009D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6302" name="Text Box 3102">
          <a:extLst>
            <a:ext uri="{FF2B5EF4-FFF2-40B4-BE49-F238E27FC236}">
              <a16:creationId xmlns:a16="http://schemas.microsoft.com/office/drawing/2014/main" xmlns="" id="{00000000-0008-0000-0000-00009E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303" name="Text Box 59">
          <a:extLst>
            <a:ext uri="{FF2B5EF4-FFF2-40B4-BE49-F238E27FC236}">
              <a16:creationId xmlns:a16="http://schemas.microsoft.com/office/drawing/2014/main" xmlns="" id="{00000000-0008-0000-0000-00009F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304" name="Text Box 60">
          <a:extLst>
            <a:ext uri="{FF2B5EF4-FFF2-40B4-BE49-F238E27FC236}">
              <a16:creationId xmlns:a16="http://schemas.microsoft.com/office/drawing/2014/main" xmlns="" id="{00000000-0008-0000-0000-0000A0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305" name="Text Box 61">
          <a:extLst>
            <a:ext uri="{FF2B5EF4-FFF2-40B4-BE49-F238E27FC236}">
              <a16:creationId xmlns:a16="http://schemas.microsoft.com/office/drawing/2014/main" xmlns="" id="{00000000-0008-0000-0000-0000A1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306" name="Text Box 62">
          <a:extLst>
            <a:ext uri="{FF2B5EF4-FFF2-40B4-BE49-F238E27FC236}">
              <a16:creationId xmlns:a16="http://schemas.microsoft.com/office/drawing/2014/main" xmlns="" id="{00000000-0008-0000-0000-0000A2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307" name="Text Box 63">
          <a:extLst>
            <a:ext uri="{FF2B5EF4-FFF2-40B4-BE49-F238E27FC236}">
              <a16:creationId xmlns:a16="http://schemas.microsoft.com/office/drawing/2014/main" xmlns="" id="{00000000-0008-0000-0000-0000A3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308" name="Text Box 64">
          <a:extLst>
            <a:ext uri="{FF2B5EF4-FFF2-40B4-BE49-F238E27FC236}">
              <a16:creationId xmlns:a16="http://schemas.microsoft.com/office/drawing/2014/main" xmlns="" id="{00000000-0008-0000-0000-0000A4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309" name="Text Box 65">
          <a:extLst>
            <a:ext uri="{FF2B5EF4-FFF2-40B4-BE49-F238E27FC236}">
              <a16:creationId xmlns:a16="http://schemas.microsoft.com/office/drawing/2014/main" xmlns="" id="{00000000-0008-0000-0000-0000A5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310" name="Text Box 66">
          <a:extLst>
            <a:ext uri="{FF2B5EF4-FFF2-40B4-BE49-F238E27FC236}">
              <a16:creationId xmlns:a16="http://schemas.microsoft.com/office/drawing/2014/main" xmlns="" id="{00000000-0008-0000-0000-0000A6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311" name="Text Box 67">
          <a:extLst>
            <a:ext uri="{FF2B5EF4-FFF2-40B4-BE49-F238E27FC236}">
              <a16:creationId xmlns:a16="http://schemas.microsoft.com/office/drawing/2014/main" xmlns="" id="{00000000-0008-0000-0000-0000A7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312" name="Text Box 68">
          <a:extLst>
            <a:ext uri="{FF2B5EF4-FFF2-40B4-BE49-F238E27FC236}">
              <a16:creationId xmlns:a16="http://schemas.microsoft.com/office/drawing/2014/main" xmlns="" id="{00000000-0008-0000-0000-0000A8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313" name="Text Box 69">
          <a:extLst>
            <a:ext uri="{FF2B5EF4-FFF2-40B4-BE49-F238E27FC236}">
              <a16:creationId xmlns:a16="http://schemas.microsoft.com/office/drawing/2014/main" xmlns="" id="{00000000-0008-0000-0000-0000A9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314" name="Text Box 70">
          <a:extLst>
            <a:ext uri="{FF2B5EF4-FFF2-40B4-BE49-F238E27FC236}">
              <a16:creationId xmlns:a16="http://schemas.microsoft.com/office/drawing/2014/main" xmlns="" id="{00000000-0008-0000-0000-0000AA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315" name="Text Box 71">
          <a:extLst>
            <a:ext uri="{FF2B5EF4-FFF2-40B4-BE49-F238E27FC236}">
              <a16:creationId xmlns:a16="http://schemas.microsoft.com/office/drawing/2014/main" xmlns="" id="{00000000-0008-0000-0000-0000AB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316" name="Text Box 72">
          <a:extLst>
            <a:ext uri="{FF2B5EF4-FFF2-40B4-BE49-F238E27FC236}">
              <a16:creationId xmlns:a16="http://schemas.microsoft.com/office/drawing/2014/main" xmlns="" id="{00000000-0008-0000-0000-0000AC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317" name="Text Box 73">
          <a:extLst>
            <a:ext uri="{FF2B5EF4-FFF2-40B4-BE49-F238E27FC236}">
              <a16:creationId xmlns:a16="http://schemas.microsoft.com/office/drawing/2014/main" xmlns="" id="{00000000-0008-0000-0000-0000AD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318" name="Text Box 74">
          <a:extLst>
            <a:ext uri="{FF2B5EF4-FFF2-40B4-BE49-F238E27FC236}">
              <a16:creationId xmlns:a16="http://schemas.microsoft.com/office/drawing/2014/main" xmlns="" id="{00000000-0008-0000-0000-0000AE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319" name="Text Box 75">
          <a:extLst>
            <a:ext uri="{FF2B5EF4-FFF2-40B4-BE49-F238E27FC236}">
              <a16:creationId xmlns:a16="http://schemas.microsoft.com/office/drawing/2014/main" xmlns="" id="{00000000-0008-0000-0000-0000AF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320" name="Text Box 76">
          <a:extLst>
            <a:ext uri="{FF2B5EF4-FFF2-40B4-BE49-F238E27FC236}">
              <a16:creationId xmlns:a16="http://schemas.microsoft.com/office/drawing/2014/main" xmlns="" id="{00000000-0008-0000-0000-0000B0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321" name="Text Box 77">
          <a:extLst>
            <a:ext uri="{FF2B5EF4-FFF2-40B4-BE49-F238E27FC236}">
              <a16:creationId xmlns:a16="http://schemas.microsoft.com/office/drawing/2014/main" xmlns="" id="{00000000-0008-0000-0000-0000B1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322" name="Text Box 78">
          <a:extLst>
            <a:ext uri="{FF2B5EF4-FFF2-40B4-BE49-F238E27FC236}">
              <a16:creationId xmlns:a16="http://schemas.microsoft.com/office/drawing/2014/main" xmlns="" id="{00000000-0008-0000-0000-0000B2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323" name="Text Box 79">
          <a:extLst>
            <a:ext uri="{FF2B5EF4-FFF2-40B4-BE49-F238E27FC236}">
              <a16:creationId xmlns:a16="http://schemas.microsoft.com/office/drawing/2014/main" xmlns="" id="{00000000-0008-0000-0000-0000B3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324" name="Text Box 80">
          <a:extLst>
            <a:ext uri="{FF2B5EF4-FFF2-40B4-BE49-F238E27FC236}">
              <a16:creationId xmlns:a16="http://schemas.microsoft.com/office/drawing/2014/main" xmlns="" id="{00000000-0008-0000-0000-0000B4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325" name="Text Box 81">
          <a:extLst>
            <a:ext uri="{FF2B5EF4-FFF2-40B4-BE49-F238E27FC236}">
              <a16:creationId xmlns:a16="http://schemas.microsoft.com/office/drawing/2014/main" xmlns="" id="{00000000-0008-0000-0000-0000B5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326" name="Text Box 3079">
          <a:extLst>
            <a:ext uri="{FF2B5EF4-FFF2-40B4-BE49-F238E27FC236}">
              <a16:creationId xmlns:a16="http://schemas.microsoft.com/office/drawing/2014/main" xmlns="" id="{00000000-0008-0000-0000-0000B6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327" name="Text Box 3080">
          <a:extLst>
            <a:ext uri="{FF2B5EF4-FFF2-40B4-BE49-F238E27FC236}">
              <a16:creationId xmlns:a16="http://schemas.microsoft.com/office/drawing/2014/main" xmlns="" id="{00000000-0008-0000-0000-0000B7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328" name="Text Box 3081">
          <a:extLst>
            <a:ext uri="{FF2B5EF4-FFF2-40B4-BE49-F238E27FC236}">
              <a16:creationId xmlns:a16="http://schemas.microsoft.com/office/drawing/2014/main" xmlns="" id="{00000000-0008-0000-0000-0000B8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329" name="Text Box 3082">
          <a:extLst>
            <a:ext uri="{FF2B5EF4-FFF2-40B4-BE49-F238E27FC236}">
              <a16:creationId xmlns:a16="http://schemas.microsoft.com/office/drawing/2014/main" xmlns="" id="{00000000-0008-0000-0000-0000B9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330" name="Text Box 3083">
          <a:extLst>
            <a:ext uri="{FF2B5EF4-FFF2-40B4-BE49-F238E27FC236}">
              <a16:creationId xmlns:a16="http://schemas.microsoft.com/office/drawing/2014/main" xmlns="" id="{00000000-0008-0000-0000-0000BA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331" name="Text Box 3084">
          <a:extLst>
            <a:ext uri="{FF2B5EF4-FFF2-40B4-BE49-F238E27FC236}">
              <a16:creationId xmlns:a16="http://schemas.microsoft.com/office/drawing/2014/main" xmlns="" id="{00000000-0008-0000-0000-0000BB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332" name="Text Box 3085">
          <a:extLst>
            <a:ext uri="{FF2B5EF4-FFF2-40B4-BE49-F238E27FC236}">
              <a16:creationId xmlns:a16="http://schemas.microsoft.com/office/drawing/2014/main" xmlns="" id="{00000000-0008-0000-0000-0000BC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333" name="Text Box 3086">
          <a:extLst>
            <a:ext uri="{FF2B5EF4-FFF2-40B4-BE49-F238E27FC236}">
              <a16:creationId xmlns:a16="http://schemas.microsoft.com/office/drawing/2014/main" xmlns="" id="{00000000-0008-0000-0000-0000BD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334" name="Text Box 3087">
          <a:extLst>
            <a:ext uri="{FF2B5EF4-FFF2-40B4-BE49-F238E27FC236}">
              <a16:creationId xmlns:a16="http://schemas.microsoft.com/office/drawing/2014/main" xmlns="" id="{00000000-0008-0000-0000-0000BE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335" name="Text Box 3088">
          <a:extLst>
            <a:ext uri="{FF2B5EF4-FFF2-40B4-BE49-F238E27FC236}">
              <a16:creationId xmlns:a16="http://schemas.microsoft.com/office/drawing/2014/main" xmlns="" id="{00000000-0008-0000-0000-0000BF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336" name="Text Box 3089">
          <a:extLst>
            <a:ext uri="{FF2B5EF4-FFF2-40B4-BE49-F238E27FC236}">
              <a16:creationId xmlns:a16="http://schemas.microsoft.com/office/drawing/2014/main" xmlns="" id="{00000000-0008-0000-0000-0000C0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337" name="Text Box 3090">
          <a:extLst>
            <a:ext uri="{FF2B5EF4-FFF2-40B4-BE49-F238E27FC236}">
              <a16:creationId xmlns:a16="http://schemas.microsoft.com/office/drawing/2014/main" xmlns="" id="{00000000-0008-0000-0000-0000C1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338" name="Text Box 3091">
          <a:extLst>
            <a:ext uri="{FF2B5EF4-FFF2-40B4-BE49-F238E27FC236}">
              <a16:creationId xmlns:a16="http://schemas.microsoft.com/office/drawing/2014/main" xmlns="" id="{00000000-0008-0000-0000-0000C2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339" name="Text Box 3092">
          <a:extLst>
            <a:ext uri="{FF2B5EF4-FFF2-40B4-BE49-F238E27FC236}">
              <a16:creationId xmlns:a16="http://schemas.microsoft.com/office/drawing/2014/main" xmlns="" id="{00000000-0008-0000-0000-0000C3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340" name="Text Box 3093">
          <a:extLst>
            <a:ext uri="{FF2B5EF4-FFF2-40B4-BE49-F238E27FC236}">
              <a16:creationId xmlns:a16="http://schemas.microsoft.com/office/drawing/2014/main" xmlns="" id="{00000000-0008-0000-0000-0000C4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341" name="Text Box 3094">
          <a:extLst>
            <a:ext uri="{FF2B5EF4-FFF2-40B4-BE49-F238E27FC236}">
              <a16:creationId xmlns:a16="http://schemas.microsoft.com/office/drawing/2014/main" xmlns="" id="{00000000-0008-0000-0000-0000C5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342" name="Text Box 3095">
          <a:extLst>
            <a:ext uri="{FF2B5EF4-FFF2-40B4-BE49-F238E27FC236}">
              <a16:creationId xmlns:a16="http://schemas.microsoft.com/office/drawing/2014/main" xmlns="" id="{00000000-0008-0000-0000-0000C6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343" name="Text Box 3096">
          <a:extLst>
            <a:ext uri="{FF2B5EF4-FFF2-40B4-BE49-F238E27FC236}">
              <a16:creationId xmlns:a16="http://schemas.microsoft.com/office/drawing/2014/main" xmlns="" id="{00000000-0008-0000-0000-0000C7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344" name="Text Box 3097">
          <a:extLst>
            <a:ext uri="{FF2B5EF4-FFF2-40B4-BE49-F238E27FC236}">
              <a16:creationId xmlns:a16="http://schemas.microsoft.com/office/drawing/2014/main" xmlns="" id="{00000000-0008-0000-0000-0000C8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345" name="Text Box 3098">
          <a:extLst>
            <a:ext uri="{FF2B5EF4-FFF2-40B4-BE49-F238E27FC236}">
              <a16:creationId xmlns:a16="http://schemas.microsoft.com/office/drawing/2014/main" xmlns="" id="{00000000-0008-0000-0000-0000C9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346" name="Text Box 3099">
          <a:extLst>
            <a:ext uri="{FF2B5EF4-FFF2-40B4-BE49-F238E27FC236}">
              <a16:creationId xmlns:a16="http://schemas.microsoft.com/office/drawing/2014/main" xmlns="" id="{00000000-0008-0000-0000-0000CA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347" name="Text Box 3100">
          <a:extLst>
            <a:ext uri="{FF2B5EF4-FFF2-40B4-BE49-F238E27FC236}">
              <a16:creationId xmlns:a16="http://schemas.microsoft.com/office/drawing/2014/main" xmlns="" id="{00000000-0008-0000-0000-0000CB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348" name="Text Box 3101">
          <a:extLst>
            <a:ext uri="{FF2B5EF4-FFF2-40B4-BE49-F238E27FC236}">
              <a16:creationId xmlns:a16="http://schemas.microsoft.com/office/drawing/2014/main" xmlns="" id="{00000000-0008-0000-0000-0000CC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6349" name="Text Box 3102">
          <a:extLst>
            <a:ext uri="{FF2B5EF4-FFF2-40B4-BE49-F238E27FC236}">
              <a16:creationId xmlns:a16="http://schemas.microsoft.com/office/drawing/2014/main" xmlns="" id="{00000000-0008-0000-0000-0000CD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350" name="Text Box 59">
          <a:extLst>
            <a:ext uri="{FF2B5EF4-FFF2-40B4-BE49-F238E27FC236}">
              <a16:creationId xmlns:a16="http://schemas.microsoft.com/office/drawing/2014/main" xmlns="" id="{00000000-0008-0000-0000-0000CE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351" name="Text Box 60">
          <a:extLst>
            <a:ext uri="{FF2B5EF4-FFF2-40B4-BE49-F238E27FC236}">
              <a16:creationId xmlns:a16="http://schemas.microsoft.com/office/drawing/2014/main" xmlns="" id="{00000000-0008-0000-0000-0000CF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352" name="Text Box 61">
          <a:extLst>
            <a:ext uri="{FF2B5EF4-FFF2-40B4-BE49-F238E27FC236}">
              <a16:creationId xmlns:a16="http://schemas.microsoft.com/office/drawing/2014/main" xmlns="" id="{00000000-0008-0000-0000-0000D0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353" name="Text Box 62">
          <a:extLst>
            <a:ext uri="{FF2B5EF4-FFF2-40B4-BE49-F238E27FC236}">
              <a16:creationId xmlns:a16="http://schemas.microsoft.com/office/drawing/2014/main" xmlns="" id="{00000000-0008-0000-0000-0000D1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354" name="Text Box 63">
          <a:extLst>
            <a:ext uri="{FF2B5EF4-FFF2-40B4-BE49-F238E27FC236}">
              <a16:creationId xmlns:a16="http://schemas.microsoft.com/office/drawing/2014/main" xmlns="" id="{00000000-0008-0000-0000-0000D2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355" name="Text Box 64">
          <a:extLst>
            <a:ext uri="{FF2B5EF4-FFF2-40B4-BE49-F238E27FC236}">
              <a16:creationId xmlns:a16="http://schemas.microsoft.com/office/drawing/2014/main" xmlns="" id="{00000000-0008-0000-0000-0000D3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356" name="Text Box 65">
          <a:extLst>
            <a:ext uri="{FF2B5EF4-FFF2-40B4-BE49-F238E27FC236}">
              <a16:creationId xmlns:a16="http://schemas.microsoft.com/office/drawing/2014/main" xmlns="" id="{00000000-0008-0000-0000-0000D4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357" name="Text Box 66">
          <a:extLst>
            <a:ext uri="{FF2B5EF4-FFF2-40B4-BE49-F238E27FC236}">
              <a16:creationId xmlns:a16="http://schemas.microsoft.com/office/drawing/2014/main" xmlns="" id="{00000000-0008-0000-0000-0000D5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358" name="Text Box 67">
          <a:extLst>
            <a:ext uri="{FF2B5EF4-FFF2-40B4-BE49-F238E27FC236}">
              <a16:creationId xmlns:a16="http://schemas.microsoft.com/office/drawing/2014/main" xmlns="" id="{00000000-0008-0000-0000-0000D6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359" name="Text Box 68">
          <a:extLst>
            <a:ext uri="{FF2B5EF4-FFF2-40B4-BE49-F238E27FC236}">
              <a16:creationId xmlns:a16="http://schemas.microsoft.com/office/drawing/2014/main" xmlns="" id="{00000000-0008-0000-0000-0000D7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360" name="Text Box 69">
          <a:extLst>
            <a:ext uri="{FF2B5EF4-FFF2-40B4-BE49-F238E27FC236}">
              <a16:creationId xmlns:a16="http://schemas.microsoft.com/office/drawing/2014/main" xmlns="" id="{00000000-0008-0000-0000-0000D8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361" name="Text Box 70">
          <a:extLst>
            <a:ext uri="{FF2B5EF4-FFF2-40B4-BE49-F238E27FC236}">
              <a16:creationId xmlns:a16="http://schemas.microsoft.com/office/drawing/2014/main" xmlns="" id="{00000000-0008-0000-0000-0000D9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362" name="Text Box 71">
          <a:extLst>
            <a:ext uri="{FF2B5EF4-FFF2-40B4-BE49-F238E27FC236}">
              <a16:creationId xmlns:a16="http://schemas.microsoft.com/office/drawing/2014/main" xmlns="" id="{00000000-0008-0000-0000-0000DA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363" name="Text Box 72">
          <a:extLst>
            <a:ext uri="{FF2B5EF4-FFF2-40B4-BE49-F238E27FC236}">
              <a16:creationId xmlns:a16="http://schemas.microsoft.com/office/drawing/2014/main" xmlns="" id="{00000000-0008-0000-0000-0000DB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364" name="Text Box 73">
          <a:extLst>
            <a:ext uri="{FF2B5EF4-FFF2-40B4-BE49-F238E27FC236}">
              <a16:creationId xmlns:a16="http://schemas.microsoft.com/office/drawing/2014/main" xmlns="" id="{00000000-0008-0000-0000-0000DC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365" name="Text Box 74">
          <a:extLst>
            <a:ext uri="{FF2B5EF4-FFF2-40B4-BE49-F238E27FC236}">
              <a16:creationId xmlns:a16="http://schemas.microsoft.com/office/drawing/2014/main" xmlns="" id="{00000000-0008-0000-0000-0000DD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366" name="Text Box 75">
          <a:extLst>
            <a:ext uri="{FF2B5EF4-FFF2-40B4-BE49-F238E27FC236}">
              <a16:creationId xmlns:a16="http://schemas.microsoft.com/office/drawing/2014/main" xmlns="" id="{00000000-0008-0000-0000-0000DE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367" name="Text Box 76">
          <a:extLst>
            <a:ext uri="{FF2B5EF4-FFF2-40B4-BE49-F238E27FC236}">
              <a16:creationId xmlns:a16="http://schemas.microsoft.com/office/drawing/2014/main" xmlns="" id="{00000000-0008-0000-0000-0000DF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368" name="Text Box 77">
          <a:extLst>
            <a:ext uri="{FF2B5EF4-FFF2-40B4-BE49-F238E27FC236}">
              <a16:creationId xmlns:a16="http://schemas.microsoft.com/office/drawing/2014/main" xmlns="" id="{00000000-0008-0000-0000-0000E0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369" name="Text Box 78">
          <a:extLst>
            <a:ext uri="{FF2B5EF4-FFF2-40B4-BE49-F238E27FC236}">
              <a16:creationId xmlns:a16="http://schemas.microsoft.com/office/drawing/2014/main" xmlns="" id="{00000000-0008-0000-0000-0000E1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370" name="Text Box 79">
          <a:extLst>
            <a:ext uri="{FF2B5EF4-FFF2-40B4-BE49-F238E27FC236}">
              <a16:creationId xmlns:a16="http://schemas.microsoft.com/office/drawing/2014/main" xmlns="" id="{00000000-0008-0000-0000-0000E2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371" name="Text Box 80">
          <a:extLst>
            <a:ext uri="{FF2B5EF4-FFF2-40B4-BE49-F238E27FC236}">
              <a16:creationId xmlns:a16="http://schemas.microsoft.com/office/drawing/2014/main" xmlns="" id="{00000000-0008-0000-0000-0000E3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372" name="Text Box 81">
          <a:extLst>
            <a:ext uri="{FF2B5EF4-FFF2-40B4-BE49-F238E27FC236}">
              <a16:creationId xmlns:a16="http://schemas.microsoft.com/office/drawing/2014/main" xmlns="" id="{00000000-0008-0000-0000-0000E4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47625"/>
    <xdr:sp macro="" textlink="">
      <xdr:nvSpPr>
        <xdr:cNvPr id="6373" name="Text Box 82">
          <a:extLst>
            <a:ext uri="{FF2B5EF4-FFF2-40B4-BE49-F238E27FC236}">
              <a16:creationId xmlns:a16="http://schemas.microsoft.com/office/drawing/2014/main" xmlns="" id="{00000000-0008-0000-0000-0000E5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374" name="Text Box 3079">
          <a:extLst>
            <a:ext uri="{FF2B5EF4-FFF2-40B4-BE49-F238E27FC236}">
              <a16:creationId xmlns:a16="http://schemas.microsoft.com/office/drawing/2014/main" xmlns="" id="{00000000-0008-0000-0000-0000E6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375" name="Text Box 3080">
          <a:extLst>
            <a:ext uri="{FF2B5EF4-FFF2-40B4-BE49-F238E27FC236}">
              <a16:creationId xmlns:a16="http://schemas.microsoft.com/office/drawing/2014/main" xmlns="" id="{00000000-0008-0000-0000-0000E7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376" name="Text Box 3081">
          <a:extLst>
            <a:ext uri="{FF2B5EF4-FFF2-40B4-BE49-F238E27FC236}">
              <a16:creationId xmlns:a16="http://schemas.microsoft.com/office/drawing/2014/main" xmlns="" id="{00000000-0008-0000-0000-0000E8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377" name="Text Box 3082">
          <a:extLst>
            <a:ext uri="{FF2B5EF4-FFF2-40B4-BE49-F238E27FC236}">
              <a16:creationId xmlns:a16="http://schemas.microsoft.com/office/drawing/2014/main" xmlns="" id="{00000000-0008-0000-0000-0000E9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378" name="Text Box 3083">
          <a:extLst>
            <a:ext uri="{FF2B5EF4-FFF2-40B4-BE49-F238E27FC236}">
              <a16:creationId xmlns:a16="http://schemas.microsoft.com/office/drawing/2014/main" xmlns="" id="{00000000-0008-0000-0000-0000EA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379" name="Text Box 3084">
          <a:extLst>
            <a:ext uri="{FF2B5EF4-FFF2-40B4-BE49-F238E27FC236}">
              <a16:creationId xmlns:a16="http://schemas.microsoft.com/office/drawing/2014/main" xmlns="" id="{00000000-0008-0000-0000-0000EB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380" name="Text Box 3085">
          <a:extLst>
            <a:ext uri="{FF2B5EF4-FFF2-40B4-BE49-F238E27FC236}">
              <a16:creationId xmlns:a16="http://schemas.microsoft.com/office/drawing/2014/main" xmlns="" id="{00000000-0008-0000-0000-0000EC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381" name="Text Box 3086">
          <a:extLst>
            <a:ext uri="{FF2B5EF4-FFF2-40B4-BE49-F238E27FC236}">
              <a16:creationId xmlns:a16="http://schemas.microsoft.com/office/drawing/2014/main" xmlns="" id="{00000000-0008-0000-0000-0000ED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382" name="Text Box 3087">
          <a:extLst>
            <a:ext uri="{FF2B5EF4-FFF2-40B4-BE49-F238E27FC236}">
              <a16:creationId xmlns:a16="http://schemas.microsoft.com/office/drawing/2014/main" xmlns="" id="{00000000-0008-0000-0000-0000EE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383" name="Text Box 3088">
          <a:extLst>
            <a:ext uri="{FF2B5EF4-FFF2-40B4-BE49-F238E27FC236}">
              <a16:creationId xmlns:a16="http://schemas.microsoft.com/office/drawing/2014/main" xmlns="" id="{00000000-0008-0000-0000-0000EF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384" name="Text Box 3089">
          <a:extLst>
            <a:ext uri="{FF2B5EF4-FFF2-40B4-BE49-F238E27FC236}">
              <a16:creationId xmlns:a16="http://schemas.microsoft.com/office/drawing/2014/main" xmlns="" id="{00000000-0008-0000-0000-0000F0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385" name="Text Box 3090">
          <a:extLst>
            <a:ext uri="{FF2B5EF4-FFF2-40B4-BE49-F238E27FC236}">
              <a16:creationId xmlns:a16="http://schemas.microsoft.com/office/drawing/2014/main" xmlns="" id="{00000000-0008-0000-0000-0000F1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386" name="Text Box 3091">
          <a:extLst>
            <a:ext uri="{FF2B5EF4-FFF2-40B4-BE49-F238E27FC236}">
              <a16:creationId xmlns:a16="http://schemas.microsoft.com/office/drawing/2014/main" xmlns="" id="{00000000-0008-0000-0000-0000F2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387" name="Text Box 3092">
          <a:extLst>
            <a:ext uri="{FF2B5EF4-FFF2-40B4-BE49-F238E27FC236}">
              <a16:creationId xmlns:a16="http://schemas.microsoft.com/office/drawing/2014/main" xmlns="" id="{00000000-0008-0000-0000-0000F3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388" name="Text Box 3093">
          <a:extLst>
            <a:ext uri="{FF2B5EF4-FFF2-40B4-BE49-F238E27FC236}">
              <a16:creationId xmlns:a16="http://schemas.microsoft.com/office/drawing/2014/main" xmlns="" id="{00000000-0008-0000-0000-0000F4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389" name="Text Box 3094">
          <a:extLst>
            <a:ext uri="{FF2B5EF4-FFF2-40B4-BE49-F238E27FC236}">
              <a16:creationId xmlns:a16="http://schemas.microsoft.com/office/drawing/2014/main" xmlns="" id="{00000000-0008-0000-0000-0000F5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390" name="Text Box 3095">
          <a:extLst>
            <a:ext uri="{FF2B5EF4-FFF2-40B4-BE49-F238E27FC236}">
              <a16:creationId xmlns:a16="http://schemas.microsoft.com/office/drawing/2014/main" xmlns="" id="{00000000-0008-0000-0000-0000F6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391" name="Text Box 3096">
          <a:extLst>
            <a:ext uri="{FF2B5EF4-FFF2-40B4-BE49-F238E27FC236}">
              <a16:creationId xmlns:a16="http://schemas.microsoft.com/office/drawing/2014/main" xmlns="" id="{00000000-0008-0000-0000-0000F7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392" name="Text Box 3097">
          <a:extLst>
            <a:ext uri="{FF2B5EF4-FFF2-40B4-BE49-F238E27FC236}">
              <a16:creationId xmlns:a16="http://schemas.microsoft.com/office/drawing/2014/main" xmlns="" id="{00000000-0008-0000-0000-0000F8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393" name="Text Box 3098">
          <a:extLst>
            <a:ext uri="{FF2B5EF4-FFF2-40B4-BE49-F238E27FC236}">
              <a16:creationId xmlns:a16="http://schemas.microsoft.com/office/drawing/2014/main" xmlns="" id="{00000000-0008-0000-0000-0000F9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394" name="Text Box 3099">
          <a:extLst>
            <a:ext uri="{FF2B5EF4-FFF2-40B4-BE49-F238E27FC236}">
              <a16:creationId xmlns:a16="http://schemas.microsoft.com/office/drawing/2014/main" xmlns="" id="{00000000-0008-0000-0000-0000FA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395" name="Text Box 3100">
          <a:extLst>
            <a:ext uri="{FF2B5EF4-FFF2-40B4-BE49-F238E27FC236}">
              <a16:creationId xmlns:a16="http://schemas.microsoft.com/office/drawing/2014/main" xmlns="" id="{00000000-0008-0000-0000-0000FB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396" name="Text Box 3101">
          <a:extLst>
            <a:ext uri="{FF2B5EF4-FFF2-40B4-BE49-F238E27FC236}">
              <a16:creationId xmlns:a16="http://schemas.microsoft.com/office/drawing/2014/main" xmlns="" id="{00000000-0008-0000-0000-0000FC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6397" name="Text Box 3102">
          <a:extLst>
            <a:ext uri="{FF2B5EF4-FFF2-40B4-BE49-F238E27FC236}">
              <a16:creationId xmlns:a16="http://schemas.microsoft.com/office/drawing/2014/main" xmlns="" id="{00000000-0008-0000-0000-0000FD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398" name="Text Box 59">
          <a:extLst>
            <a:ext uri="{FF2B5EF4-FFF2-40B4-BE49-F238E27FC236}">
              <a16:creationId xmlns:a16="http://schemas.microsoft.com/office/drawing/2014/main" xmlns="" id="{00000000-0008-0000-0000-0000FE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399" name="Text Box 60">
          <a:extLst>
            <a:ext uri="{FF2B5EF4-FFF2-40B4-BE49-F238E27FC236}">
              <a16:creationId xmlns:a16="http://schemas.microsoft.com/office/drawing/2014/main" xmlns="" id="{00000000-0008-0000-0000-0000FF1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400" name="Text Box 61">
          <a:extLst>
            <a:ext uri="{FF2B5EF4-FFF2-40B4-BE49-F238E27FC236}">
              <a16:creationId xmlns:a16="http://schemas.microsoft.com/office/drawing/2014/main" xmlns="" id="{00000000-0008-0000-0000-000000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401" name="Text Box 62">
          <a:extLst>
            <a:ext uri="{FF2B5EF4-FFF2-40B4-BE49-F238E27FC236}">
              <a16:creationId xmlns:a16="http://schemas.microsoft.com/office/drawing/2014/main" xmlns="" id="{00000000-0008-0000-0000-000001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402" name="Text Box 63">
          <a:extLst>
            <a:ext uri="{FF2B5EF4-FFF2-40B4-BE49-F238E27FC236}">
              <a16:creationId xmlns:a16="http://schemas.microsoft.com/office/drawing/2014/main" xmlns="" id="{00000000-0008-0000-0000-000002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403" name="Text Box 64">
          <a:extLst>
            <a:ext uri="{FF2B5EF4-FFF2-40B4-BE49-F238E27FC236}">
              <a16:creationId xmlns:a16="http://schemas.microsoft.com/office/drawing/2014/main" xmlns="" id="{00000000-0008-0000-0000-000003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404" name="Text Box 65">
          <a:extLst>
            <a:ext uri="{FF2B5EF4-FFF2-40B4-BE49-F238E27FC236}">
              <a16:creationId xmlns:a16="http://schemas.microsoft.com/office/drawing/2014/main" xmlns="" id="{00000000-0008-0000-0000-000004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405" name="Text Box 66">
          <a:extLst>
            <a:ext uri="{FF2B5EF4-FFF2-40B4-BE49-F238E27FC236}">
              <a16:creationId xmlns:a16="http://schemas.microsoft.com/office/drawing/2014/main" xmlns="" id="{00000000-0008-0000-0000-000005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406" name="Text Box 67">
          <a:extLst>
            <a:ext uri="{FF2B5EF4-FFF2-40B4-BE49-F238E27FC236}">
              <a16:creationId xmlns:a16="http://schemas.microsoft.com/office/drawing/2014/main" xmlns="" id="{00000000-0008-0000-0000-000006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407" name="Text Box 68">
          <a:extLst>
            <a:ext uri="{FF2B5EF4-FFF2-40B4-BE49-F238E27FC236}">
              <a16:creationId xmlns:a16="http://schemas.microsoft.com/office/drawing/2014/main" xmlns="" id="{00000000-0008-0000-0000-000007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408" name="Text Box 69">
          <a:extLst>
            <a:ext uri="{FF2B5EF4-FFF2-40B4-BE49-F238E27FC236}">
              <a16:creationId xmlns:a16="http://schemas.microsoft.com/office/drawing/2014/main" xmlns="" id="{00000000-0008-0000-0000-000008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409" name="Text Box 70">
          <a:extLst>
            <a:ext uri="{FF2B5EF4-FFF2-40B4-BE49-F238E27FC236}">
              <a16:creationId xmlns:a16="http://schemas.microsoft.com/office/drawing/2014/main" xmlns="" id="{00000000-0008-0000-0000-000009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410" name="Text Box 71">
          <a:extLst>
            <a:ext uri="{FF2B5EF4-FFF2-40B4-BE49-F238E27FC236}">
              <a16:creationId xmlns:a16="http://schemas.microsoft.com/office/drawing/2014/main" xmlns="" id="{00000000-0008-0000-0000-00000A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411" name="Text Box 72">
          <a:extLst>
            <a:ext uri="{FF2B5EF4-FFF2-40B4-BE49-F238E27FC236}">
              <a16:creationId xmlns:a16="http://schemas.microsoft.com/office/drawing/2014/main" xmlns="" id="{00000000-0008-0000-0000-00000B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412" name="Text Box 73">
          <a:extLst>
            <a:ext uri="{FF2B5EF4-FFF2-40B4-BE49-F238E27FC236}">
              <a16:creationId xmlns:a16="http://schemas.microsoft.com/office/drawing/2014/main" xmlns="" id="{00000000-0008-0000-0000-00000C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413" name="Text Box 74">
          <a:extLst>
            <a:ext uri="{FF2B5EF4-FFF2-40B4-BE49-F238E27FC236}">
              <a16:creationId xmlns:a16="http://schemas.microsoft.com/office/drawing/2014/main" xmlns="" id="{00000000-0008-0000-0000-00000D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414" name="Text Box 75">
          <a:extLst>
            <a:ext uri="{FF2B5EF4-FFF2-40B4-BE49-F238E27FC236}">
              <a16:creationId xmlns:a16="http://schemas.microsoft.com/office/drawing/2014/main" xmlns="" id="{00000000-0008-0000-0000-00000E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415" name="Text Box 76">
          <a:extLst>
            <a:ext uri="{FF2B5EF4-FFF2-40B4-BE49-F238E27FC236}">
              <a16:creationId xmlns:a16="http://schemas.microsoft.com/office/drawing/2014/main" xmlns="" id="{00000000-0008-0000-0000-00000F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416" name="Text Box 77">
          <a:extLst>
            <a:ext uri="{FF2B5EF4-FFF2-40B4-BE49-F238E27FC236}">
              <a16:creationId xmlns:a16="http://schemas.microsoft.com/office/drawing/2014/main" xmlns="" id="{00000000-0008-0000-0000-000010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417" name="Text Box 78">
          <a:extLst>
            <a:ext uri="{FF2B5EF4-FFF2-40B4-BE49-F238E27FC236}">
              <a16:creationId xmlns:a16="http://schemas.microsoft.com/office/drawing/2014/main" xmlns="" id="{00000000-0008-0000-0000-000011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418" name="Text Box 79">
          <a:extLst>
            <a:ext uri="{FF2B5EF4-FFF2-40B4-BE49-F238E27FC236}">
              <a16:creationId xmlns:a16="http://schemas.microsoft.com/office/drawing/2014/main" xmlns="" id="{00000000-0008-0000-0000-000012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419" name="Text Box 80">
          <a:extLst>
            <a:ext uri="{FF2B5EF4-FFF2-40B4-BE49-F238E27FC236}">
              <a16:creationId xmlns:a16="http://schemas.microsoft.com/office/drawing/2014/main" xmlns="" id="{00000000-0008-0000-0000-000013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420" name="Text Box 81">
          <a:extLst>
            <a:ext uri="{FF2B5EF4-FFF2-40B4-BE49-F238E27FC236}">
              <a16:creationId xmlns:a16="http://schemas.microsoft.com/office/drawing/2014/main" xmlns="" id="{00000000-0008-0000-0000-000014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421" name="Text Box 3079">
          <a:extLst>
            <a:ext uri="{FF2B5EF4-FFF2-40B4-BE49-F238E27FC236}">
              <a16:creationId xmlns:a16="http://schemas.microsoft.com/office/drawing/2014/main" xmlns="" id="{00000000-0008-0000-0000-000015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422" name="Text Box 3080">
          <a:extLst>
            <a:ext uri="{FF2B5EF4-FFF2-40B4-BE49-F238E27FC236}">
              <a16:creationId xmlns:a16="http://schemas.microsoft.com/office/drawing/2014/main" xmlns="" id="{00000000-0008-0000-0000-000016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423" name="Text Box 3081">
          <a:extLst>
            <a:ext uri="{FF2B5EF4-FFF2-40B4-BE49-F238E27FC236}">
              <a16:creationId xmlns:a16="http://schemas.microsoft.com/office/drawing/2014/main" xmlns="" id="{00000000-0008-0000-0000-000017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424" name="Text Box 3082">
          <a:extLst>
            <a:ext uri="{FF2B5EF4-FFF2-40B4-BE49-F238E27FC236}">
              <a16:creationId xmlns:a16="http://schemas.microsoft.com/office/drawing/2014/main" xmlns="" id="{00000000-0008-0000-0000-000018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425" name="Text Box 3083">
          <a:extLst>
            <a:ext uri="{FF2B5EF4-FFF2-40B4-BE49-F238E27FC236}">
              <a16:creationId xmlns:a16="http://schemas.microsoft.com/office/drawing/2014/main" xmlns="" id="{00000000-0008-0000-0000-000019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426" name="Text Box 3084">
          <a:extLst>
            <a:ext uri="{FF2B5EF4-FFF2-40B4-BE49-F238E27FC236}">
              <a16:creationId xmlns:a16="http://schemas.microsoft.com/office/drawing/2014/main" xmlns="" id="{00000000-0008-0000-0000-00001A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427" name="Text Box 3085">
          <a:extLst>
            <a:ext uri="{FF2B5EF4-FFF2-40B4-BE49-F238E27FC236}">
              <a16:creationId xmlns:a16="http://schemas.microsoft.com/office/drawing/2014/main" xmlns="" id="{00000000-0008-0000-0000-00001B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428" name="Text Box 3086">
          <a:extLst>
            <a:ext uri="{FF2B5EF4-FFF2-40B4-BE49-F238E27FC236}">
              <a16:creationId xmlns:a16="http://schemas.microsoft.com/office/drawing/2014/main" xmlns="" id="{00000000-0008-0000-0000-00001C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429" name="Text Box 3087">
          <a:extLst>
            <a:ext uri="{FF2B5EF4-FFF2-40B4-BE49-F238E27FC236}">
              <a16:creationId xmlns:a16="http://schemas.microsoft.com/office/drawing/2014/main" xmlns="" id="{00000000-0008-0000-0000-00001D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430" name="Text Box 3088">
          <a:extLst>
            <a:ext uri="{FF2B5EF4-FFF2-40B4-BE49-F238E27FC236}">
              <a16:creationId xmlns:a16="http://schemas.microsoft.com/office/drawing/2014/main" xmlns="" id="{00000000-0008-0000-0000-00001E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431" name="Text Box 3089">
          <a:extLst>
            <a:ext uri="{FF2B5EF4-FFF2-40B4-BE49-F238E27FC236}">
              <a16:creationId xmlns:a16="http://schemas.microsoft.com/office/drawing/2014/main" xmlns="" id="{00000000-0008-0000-0000-00001F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432" name="Text Box 3090">
          <a:extLst>
            <a:ext uri="{FF2B5EF4-FFF2-40B4-BE49-F238E27FC236}">
              <a16:creationId xmlns:a16="http://schemas.microsoft.com/office/drawing/2014/main" xmlns="" id="{00000000-0008-0000-0000-000020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433" name="Text Box 3091">
          <a:extLst>
            <a:ext uri="{FF2B5EF4-FFF2-40B4-BE49-F238E27FC236}">
              <a16:creationId xmlns:a16="http://schemas.microsoft.com/office/drawing/2014/main" xmlns="" id="{00000000-0008-0000-0000-000021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434" name="Text Box 3092">
          <a:extLst>
            <a:ext uri="{FF2B5EF4-FFF2-40B4-BE49-F238E27FC236}">
              <a16:creationId xmlns:a16="http://schemas.microsoft.com/office/drawing/2014/main" xmlns="" id="{00000000-0008-0000-0000-000022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435" name="Text Box 3093">
          <a:extLst>
            <a:ext uri="{FF2B5EF4-FFF2-40B4-BE49-F238E27FC236}">
              <a16:creationId xmlns:a16="http://schemas.microsoft.com/office/drawing/2014/main" xmlns="" id="{00000000-0008-0000-0000-000023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436" name="Text Box 3094">
          <a:extLst>
            <a:ext uri="{FF2B5EF4-FFF2-40B4-BE49-F238E27FC236}">
              <a16:creationId xmlns:a16="http://schemas.microsoft.com/office/drawing/2014/main" xmlns="" id="{00000000-0008-0000-0000-000024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437" name="Text Box 3095">
          <a:extLst>
            <a:ext uri="{FF2B5EF4-FFF2-40B4-BE49-F238E27FC236}">
              <a16:creationId xmlns:a16="http://schemas.microsoft.com/office/drawing/2014/main" xmlns="" id="{00000000-0008-0000-0000-000025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438" name="Text Box 3096">
          <a:extLst>
            <a:ext uri="{FF2B5EF4-FFF2-40B4-BE49-F238E27FC236}">
              <a16:creationId xmlns:a16="http://schemas.microsoft.com/office/drawing/2014/main" xmlns="" id="{00000000-0008-0000-0000-000026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439" name="Text Box 3097">
          <a:extLst>
            <a:ext uri="{FF2B5EF4-FFF2-40B4-BE49-F238E27FC236}">
              <a16:creationId xmlns:a16="http://schemas.microsoft.com/office/drawing/2014/main" xmlns="" id="{00000000-0008-0000-0000-000027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440" name="Text Box 3098">
          <a:extLst>
            <a:ext uri="{FF2B5EF4-FFF2-40B4-BE49-F238E27FC236}">
              <a16:creationId xmlns:a16="http://schemas.microsoft.com/office/drawing/2014/main" xmlns="" id="{00000000-0008-0000-0000-000028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441" name="Text Box 3099">
          <a:extLst>
            <a:ext uri="{FF2B5EF4-FFF2-40B4-BE49-F238E27FC236}">
              <a16:creationId xmlns:a16="http://schemas.microsoft.com/office/drawing/2014/main" xmlns="" id="{00000000-0008-0000-0000-000029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442" name="Text Box 3100">
          <a:extLst>
            <a:ext uri="{FF2B5EF4-FFF2-40B4-BE49-F238E27FC236}">
              <a16:creationId xmlns:a16="http://schemas.microsoft.com/office/drawing/2014/main" xmlns="" id="{00000000-0008-0000-0000-00002A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443" name="Text Box 3101">
          <a:extLst>
            <a:ext uri="{FF2B5EF4-FFF2-40B4-BE49-F238E27FC236}">
              <a16:creationId xmlns:a16="http://schemas.microsoft.com/office/drawing/2014/main" xmlns="" id="{00000000-0008-0000-0000-00002B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6444" name="Text Box 3102">
          <a:extLst>
            <a:ext uri="{FF2B5EF4-FFF2-40B4-BE49-F238E27FC236}">
              <a16:creationId xmlns:a16="http://schemas.microsoft.com/office/drawing/2014/main" xmlns="" id="{00000000-0008-0000-0000-00002C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445" name="Text Box 59">
          <a:extLst>
            <a:ext uri="{FF2B5EF4-FFF2-40B4-BE49-F238E27FC236}">
              <a16:creationId xmlns:a16="http://schemas.microsoft.com/office/drawing/2014/main" xmlns="" id="{00000000-0008-0000-0000-00002D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446" name="Text Box 60">
          <a:extLst>
            <a:ext uri="{FF2B5EF4-FFF2-40B4-BE49-F238E27FC236}">
              <a16:creationId xmlns:a16="http://schemas.microsoft.com/office/drawing/2014/main" xmlns="" id="{00000000-0008-0000-0000-00002E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447" name="Text Box 61">
          <a:extLst>
            <a:ext uri="{FF2B5EF4-FFF2-40B4-BE49-F238E27FC236}">
              <a16:creationId xmlns:a16="http://schemas.microsoft.com/office/drawing/2014/main" xmlns="" id="{00000000-0008-0000-0000-00002F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448" name="Text Box 62">
          <a:extLst>
            <a:ext uri="{FF2B5EF4-FFF2-40B4-BE49-F238E27FC236}">
              <a16:creationId xmlns:a16="http://schemas.microsoft.com/office/drawing/2014/main" xmlns="" id="{00000000-0008-0000-0000-000030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449" name="Text Box 63">
          <a:extLst>
            <a:ext uri="{FF2B5EF4-FFF2-40B4-BE49-F238E27FC236}">
              <a16:creationId xmlns:a16="http://schemas.microsoft.com/office/drawing/2014/main" xmlns="" id="{00000000-0008-0000-0000-000031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450" name="Text Box 64">
          <a:extLst>
            <a:ext uri="{FF2B5EF4-FFF2-40B4-BE49-F238E27FC236}">
              <a16:creationId xmlns:a16="http://schemas.microsoft.com/office/drawing/2014/main" xmlns="" id="{00000000-0008-0000-0000-000032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451" name="Text Box 65">
          <a:extLst>
            <a:ext uri="{FF2B5EF4-FFF2-40B4-BE49-F238E27FC236}">
              <a16:creationId xmlns:a16="http://schemas.microsoft.com/office/drawing/2014/main" xmlns="" id="{00000000-0008-0000-0000-000033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452" name="Text Box 66">
          <a:extLst>
            <a:ext uri="{FF2B5EF4-FFF2-40B4-BE49-F238E27FC236}">
              <a16:creationId xmlns:a16="http://schemas.microsoft.com/office/drawing/2014/main" xmlns="" id="{00000000-0008-0000-0000-000034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453" name="Text Box 67">
          <a:extLst>
            <a:ext uri="{FF2B5EF4-FFF2-40B4-BE49-F238E27FC236}">
              <a16:creationId xmlns:a16="http://schemas.microsoft.com/office/drawing/2014/main" xmlns="" id="{00000000-0008-0000-0000-000035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454" name="Text Box 68">
          <a:extLst>
            <a:ext uri="{FF2B5EF4-FFF2-40B4-BE49-F238E27FC236}">
              <a16:creationId xmlns:a16="http://schemas.microsoft.com/office/drawing/2014/main" xmlns="" id="{00000000-0008-0000-0000-000036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455" name="Text Box 69">
          <a:extLst>
            <a:ext uri="{FF2B5EF4-FFF2-40B4-BE49-F238E27FC236}">
              <a16:creationId xmlns:a16="http://schemas.microsoft.com/office/drawing/2014/main" xmlns="" id="{00000000-0008-0000-0000-000037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456" name="Text Box 70">
          <a:extLst>
            <a:ext uri="{FF2B5EF4-FFF2-40B4-BE49-F238E27FC236}">
              <a16:creationId xmlns:a16="http://schemas.microsoft.com/office/drawing/2014/main" xmlns="" id="{00000000-0008-0000-0000-000038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457" name="Text Box 71">
          <a:extLst>
            <a:ext uri="{FF2B5EF4-FFF2-40B4-BE49-F238E27FC236}">
              <a16:creationId xmlns:a16="http://schemas.microsoft.com/office/drawing/2014/main" xmlns="" id="{00000000-0008-0000-0000-000039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458" name="Text Box 72">
          <a:extLst>
            <a:ext uri="{FF2B5EF4-FFF2-40B4-BE49-F238E27FC236}">
              <a16:creationId xmlns:a16="http://schemas.microsoft.com/office/drawing/2014/main" xmlns="" id="{00000000-0008-0000-0000-00003A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459" name="Text Box 73">
          <a:extLst>
            <a:ext uri="{FF2B5EF4-FFF2-40B4-BE49-F238E27FC236}">
              <a16:creationId xmlns:a16="http://schemas.microsoft.com/office/drawing/2014/main" xmlns="" id="{00000000-0008-0000-0000-00003B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460" name="Text Box 74">
          <a:extLst>
            <a:ext uri="{FF2B5EF4-FFF2-40B4-BE49-F238E27FC236}">
              <a16:creationId xmlns:a16="http://schemas.microsoft.com/office/drawing/2014/main" xmlns="" id="{00000000-0008-0000-0000-00003C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461" name="Text Box 75">
          <a:extLst>
            <a:ext uri="{FF2B5EF4-FFF2-40B4-BE49-F238E27FC236}">
              <a16:creationId xmlns:a16="http://schemas.microsoft.com/office/drawing/2014/main" xmlns="" id="{00000000-0008-0000-0000-00003D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462" name="Text Box 76">
          <a:extLst>
            <a:ext uri="{FF2B5EF4-FFF2-40B4-BE49-F238E27FC236}">
              <a16:creationId xmlns:a16="http://schemas.microsoft.com/office/drawing/2014/main" xmlns="" id="{00000000-0008-0000-0000-00003E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463" name="Text Box 77">
          <a:extLst>
            <a:ext uri="{FF2B5EF4-FFF2-40B4-BE49-F238E27FC236}">
              <a16:creationId xmlns:a16="http://schemas.microsoft.com/office/drawing/2014/main" xmlns="" id="{00000000-0008-0000-0000-00003F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464" name="Text Box 78">
          <a:extLst>
            <a:ext uri="{FF2B5EF4-FFF2-40B4-BE49-F238E27FC236}">
              <a16:creationId xmlns:a16="http://schemas.microsoft.com/office/drawing/2014/main" xmlns="" id="{00000000-0008-0000-0000-000040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465" name="Text Box 79">
          <a:extLst>
            <a:ext uri="{FF2B5EF4-FFF2-40B4-BE49-F238E27FC236}">
              <a16:creationId xmlns:a16="http://schemas.microsoft.com/office/drawing/2014/main" xmlns="" id="{00000000-0008-0000-0000-000041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466" name="Text Box 80">
          <a:extLst>
            <a:ext uri="{FF2B5EF4-FFF2-40B4-BE49-F238E27FC236}">
              <a16:creationId xmlns:a16="http://schemas.microsoft.com/office/drawing/2014/main" xmlns="" id="{00000000-0008-0000-0000-000042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467" name="Text Box 81">
          <a:extLst>
            <a:ext uri="{FF2B5EF4-FFF2-40B4-BE49-F238E27FC236}">
              <a16:creationId xmlns:a16="http://schemas.microsoft.com/office/drawing/2014/main" xmlns="" id="{00000000-0008-0000-0000-000043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47625"/>
    <xdr:sp macro="" textlink="">
      <xdr:nvSpPr>
        <xdr:cNvPr id="6468" name="Text Box 82">
          <a:extLst>
            <a:ext uri="{FF2B5EF4-FFF2-40B4-BE49-F238E27FC236}">
              <a16:creationId xmlns:a16="http://schemas.microsoft.com/office/drawing/2014/main" xmlns="" id="{00000000-0008-0000-0000-000044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469" name="Text Box 3079">
          <a:extLst>
            <a:ext uri="{FF2B5EF4-FFF2-40B4-BE49-F238E27FC236}">
              <a16:creationId xmlns:a16="http://schemas.microsoft.com/office/drawing/2014/main" xmlns="" id="{00000000-0008-0000-0000-000045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470" name="Text Box 3080">
          <a:extLst>
            <a:ext uri="{FF2B5EF4-FFF2-40B4-BE49-F238E27FC236}">
              <a16:creationId xmlns:a16="http://schemas.microsoft.com/office/drawing/2014/main" xmlns="" id="{00000000-0008-0000-0000-000046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471" name="Text Box 3081">
          <a:extLst>
            <a:ext uri="{FF2B5EF4-FFF2-40B4-BE49-F238E27FC236}">
              <a16:creationId xmlns:a16="http://schemas.microsoft.com/office/drawing/2014/main" xmlns="" id="{00000000-0008-0000-0000-000047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472" name="Text Box 3082">
          <a:extLst>
            <a:ext uri="{FF2B5EF4-FFF2-40B4-BE49-F238E27FC236}">
              <a16:creationId xmlns:a16="http://schemas.microsoft.com/office/drawing/2014/main" xmlns="" id="{00000000-0008-0000-0000-000048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473" name="Text Box 3083">
          <a:extLst>
            <a:ext uri="{FF2B5EF4-FFF2-40B4-BE49-F238E27FC236}">
              <a16:creationId xmlns:a16="http://schemas.microsoft.com/office/drawing/2014/main" xmlns="" id="{00000000-0008-0000-0000-000049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474" name="Text Box 3084">
          <a:extLst>
            <a:ext uri="{FF2B5EF4-FFF2-40B4-BE49-F238E27FC236}">
              <a16:creationId xmlns:a16="http://schemas.microsoft.com/office/drawing/2014/main" xmlns="" id="{00000000-0008-0000-0000-00004A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475" name="Text Box 3085">
          <a:extLst>
            <a:ext uri="{FF2B5EF4-FFF2-40B4-BE49-F238E27FC236}">
              <a16:creationId xmlns:a16="http://schemas.microsoft.com/office/drawing/2014/main" xmlns="" id="{00000000-0008-0000-0000-00004B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476" name="Text Box 3086">
          <a:extLst>
            <a:ext uri="{FF2B5EF4-FFF2-40B4-BE49-F238E27FC236}">
              <a16:creationId xmlns:a16="http://schemas.microsoft.com/office/drawing/2014/main" xmlns="" id="{00000000-0008-0000-0000-00004C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477" name="Text Box 3087">
          <a:extLst>
            <a:ext uri="{FF2B5EF4-FFF2-40B4-BE49-F238E27FC236}">
              <a16:creationId xmlns:a16="http://schemas.microsoft.com/office/drawing/2014/main" xmlns="" id="{00000000-0008-0000-0000-00004D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478" name="Text Box 3088">
          <a:extLst>
            <a:ext uri="{FF2B5EF4-FFF2-40B4-BE49-F238E27FC236}">
              <a16:creationId xmlns:a16="http://schemas.microsoft.com/office/drawing/2014/main" xmlns="" id="{00000000-0008-0000-0000-00004E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479" name="Text Box 3089">
          <a:extLst>
            <a:ext uri="{FF2B5EF4-FFF2-40B4-BE49-F238E27FC236}">
              <a16:creationId xmlns:a16="http://schemas.microsoft.com/office/drawing/2014/main" xmlns="" id="{00000000-0008-0000-0000-00004F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480" name="Text Box 3090">
          <a:extLst>
            <a:ext uri="{FF2B5EF4-FFF2-40B4-BE49-F238E27FC236}">
              <a16:creationId xmlns:a16="http://schemas.microsoft.com/office/drawing/2014/main" xmlns="" id="{00000000-0008-0000-0000-000050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481" name="Text Box 3091">
          <a:extLst>
            <a:ext uri="{FF2B5EF4-FFF2-40B4-BE49-F238E27FC236}">
              <a16:creationId xmlns:a16="http://schemas.microsoft.com/office/drawing/2014/main" xmlns="" id="{00000000-0008-0000-0000-000051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482" name="Text Box 3092">
          <a:extLst>
            <a:ext uri="{FF2B5EF4-FFF2-40B4-BE49-F238E27FC236}">
              <a16:creationId xmlns:a16="http://schemas.microsoft.com/office/drawing/2014/main" xmlns="" id="{00000000-0008-0000-0000-000052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483" name="Text Box 3093">
          <a:extLst>
            <a:ext uri="{FF2B5EF4-FFF2-40B4-BE49-F238E27FC236}">
              <a16:creationId xmlns:a16="http://schemas.microsoft.com/office/drawing/2014/main" xmlns="" id="{00000000-0008-0000-0000-000053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484" name="Text Box 3094">
          <a:extLst>
            <a:ext uri="{FF2B5EF4-FFF2-40B4-BE49-F238E27FC236}">
              <a16:creationId xmlns:a16="http://schemas.microsoft.com/office/drawing/2014/main" xmlns="" id="{00000000-0008-0000-0000-000054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485" name="Text Box 3095">
          <a:extLst>
            <a:ext uri="{FF2B5EF4-FFF2-40B4-BE49-F238E27FC236}">
              <a16:creationId xmlns:a16="http://schemas.microsoft.com/office/drawing/2014/main" xmlns="" id="{00000000-0008-0000-0000-000055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486" name="Text Box 3096">
          <a:extLst>
            <a:ext uri="{FF2B5EF4-FFF2-40B4-BE49-F238E27FC236}">
              <a16:creationId xmlns:a16="http://schemas.microsoft.com/office/drawing/2014/main" xmlns="" id="{00000000-0008-0000-0000-000056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487" name="Text Box 3097">
          <a:extLst>
            <a:ext uri="{FF2B5EF4-FFF2-40B4-BE49-F238E27FC236}">
              <a16:creationId xmlns:a16="http://schemas.microsoft.com/office/drawing/2014/main" xmlns="" id="{00000000-0008-0000-0000-000057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488" name="Text Box 3098">
          <a:extLst>
            <a:ext uri="{FF2B5EF4-FFF2-40B4-BE49-F238E27FC236}">
              <a16:creationId xmlns:a16="http://schemas.microsoft.com/office/drawing/2014/main" xmlns="" id="{00000000-0008-0000-0000-000058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489" name="Text Box 3099">
          <a:extLst>
            <a:ext uri="{FF2B5EF4-FFF2-40B4-BE49-F238E27FC236}">
              <a16:creationId xmlns:a16="http://schemas.microsoft.com/office/drawing/2014/main" xmlns="" id="{00000000-0008-0000-0000-000059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490" name="Text Box 3100">
          <a:extLst>
            <a:ext uri="{FF2B5EF4-FFF2-40B4-BE49-F238E27FC236}">
              <a16:creationId xmlns:a16="http://schemas.microsoft.com/office/drawing/2014/main" xmlns="" id="{00000000-0008-0000-0000-00005A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491" name="Text Box 3101">
          <a:extLst>
            <a:ext uri="{FF2B5EF4-FFF2-40B4-BE49-F238E27FC236}">
              <a16:creationId xmlns:a16="http://schemas.microsoft.com/office/drawing/2014/main" xmlns="" id="{00000000-0008-0000-0000-00005B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6492" name="Text Box 3102">
          <a:extLst>
            <a:ext uri="{FF2B5EF4-FFF2-40B4-BE49-F238E27FC236}">
              <a16:creationId xmlns:a16="http://schemas.microsoft.com/office/drawing/2014/main" xmlns="" id="{00000000-0008-0000-0000-00005C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493" name="Text Box 59">
          <a:extLst>
            <a:ext uri="{FF2B5EF4-FFF2-40B4-BE49-F238E27FC236}">
              <a16:creationId xmlns:a16="http://schemas.microsoft.com/office/drawing/2014/main" xmlns="" id="{00000000-0008-0000-0000-00005D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494" name="Text Box 60">
          <a:extLst>
            <a:ext uri="{FF2B5EF4-FFF2-40B4-BE49-F238E27FC236}">
              <a16:creationId xmlns:a16="http://schemas.microsoft.com/office/drawing/2014/main" xmlns="" id="{00000000-0008-0000-0000-00005E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495" name="Text Box 61">
          <a:extLst>
            <a:ext uri="{FF2B5EF4-FFF2-40B4-BE49-F238E27FC236}">
              <a16:creationId xmlns:a16="http://schemas.microsoft.com/office/drawing/2014/main" xmlns="" id="{00000000-0008-0000-0000-00005F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496" name="Text Box 62">
          <a:extLst>
            <a:ext uri="{FF2B5EF4-FFF2-40B4-BE49-F238E27FC236}">
              <a16:creationId xmlns:a16="http://schemas.microsoft.com/office/drawing/2014/main" xmlns="" id="{00000000-0008-0000-0000-000060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497" name="Text Box 63">
          <a:extLst>
            <a:ext uri="{FF2B5EF4-FFF2-40B4-BE49-F238E27FC236}">
              <a16:creationId xmlns:a16="http://schemas.microsoft.com/office/drawing/2014/main" xmlns="" id="{00000000-0008-0000-0000-000061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498" name="Text Box 64">
          <a:extLst>
            <a:ext uri="{FF2B5EF4-FFF2-40B4-BE49-F238E27FC236}">
              <a16:creationId xmlns:a16="http://schemas.microsoft.com/office/drawing/2014/main" xmlns="" id="{00000000-0008-0000-0000-000062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499" name="Text Box 65">
          <a:extLst>
            <a:ext uri="{FF2B5EF4-FFF2-40B4-BE49-F238E27FC236}">
              <a16:creationId xmlns:a16="http://schemas.microsoft.com/office/drawing/2014/main" xmlns="" id="{00000000-0008-0000-0000-000063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500" name="Text Box 66">
          <a:extLst>
            <a:ext uri="{FF2B5EF4-FFF2-40B4-BE49-F238E27FC236}">
              <a16:creationId xmlns:a16="http://schemas.microsoft.com/office/drawing/2014/main" xmlns="" id="{00000000-0008-0000-0000-000064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501" name="Text Box 67">
          <a:extLst>
            <a:ext uri="{FF2B5EF4-FFF2-40B4-BE49-F238E27FC236}">
              <a16:creationId xmlns:a16="http://schemas.microsoft.com/office/drawing/2014/main" xmlns="" id="{00000000-0008-0000-0000-000065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502" name="Text Box 68">
          <a:extLst>
            <a:ext uri="{FF2B5EF4-FFF2-40B4-BE49-F238E27FC236}">
              <a16:creationId xmlns:a16="http://schemas.microsoft.com/office/drawing/2014/main" xmlns="" id="{00000000-0008-0000-0000-000066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503" name="Text Box 69">
          <a:extLst>
            <a:ext uri="{FF2B5EF4-FFF2-40B4-BE49-F238E27FC236}">
              <a16:creationId xmlns:a16="http://schemas.microsoft.com/office/drawing/2014/main" xmlns="" id="{00000000-0008-0000-0000-000067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504" name="Text Box 70">
          <a:extLst>
            <a:ext uri="{FF2B5EF4-FFF2-40B4-BE49-F238E27FC236}">
              <a16:creationId xmlns:a16="http://schemas.microsoft.com/office/drawing/2014/main" xmlns="" id="{00000000-0008-0000-0000-000068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505" name="Text Box 71">
          <a:extLst>
            <a:ext uri="{FF2B5EF4-FFF2-40B4-BE49-F238E27FC236}">
              <a16:creationId xmlns:a16="http://schemas.microsoft.com/office/drawing/2014/main" xmlns="" id="{00000000-0008-0000-0000-000069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506" name="Text Box 72">
          <a:extLst>
            <a:ext uri="{FF2B5EF4-FFF2-40B4-BE49-F238E27FC236}">
              <a16:creationId xmlns:a16="http://schemas.microsoft.com/office/drawing/2014/main" xmlns="" id="{00000000-0008-0000-0000-00006A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507" name="Text Box 73">
          <a:extLst>
            <a:ext uri="{FF2B5EF4-FFF2-40B4-BE49-F238E27FC236}">
              <a16:creationId xmlns:a16="http://schemas.microsoft.com/office/drawing/2014/main" xmlns="" id="{00000000-0008-0000-0000-00006B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508" name="Text Box 74">
          <a:extLst>
            <a:ext uri="{FF2B5EF4-FFF2-40B4-BE49-F238E27FC236}">
              <a16:creationId xmlns:a16="http://schemas.microsoft.com/office/drawing/2014/main" xmlns="" id="{00000000-0008-0000-0000-00006C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509" name="Text Box 75">
          <a:extLst>
            <a:ext uri="{FF2B5EF4-FFF2-40B4-BE49-F238E27FC236}">
              <a16:creationId xmlns:a16="http://schemas.microsoft.com/office/drawing/2014/main" xmlns="" id="{00000000-0008-0000-0000-00006D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510" name="Text Box 76">
          <a:extLst>
            <a:ext uri="{FF2B5EF4-FFF2-40B4-BE49-F238E27FC236}">
              <a16:creationId xmlns:a16="http://schemas.microsoft.com/office/drawing/2014/main" xmlns="" id="{00000000-0008-0000-0000-00006E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511" name="Text Box 77">
          <a:extLst>
            <a:ext uri="{FF2B5EF4-FFF2-40B4-BE49-F238E27FC236}">
              <a16:creationId xmlns:a16="http://schemas.microsoft.com/office/drawing/2014/main" xmlns="" id="{00000000-0008-0000-0000-00006F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512" name="Text Box 78">
          <a:extLst>
            <a:ext uri="{FF2B5EF4-FFF2-40B4-BE49-F238E27FC236}">
              <a16:creationId xmlns:a16="http://schemas.microsoft.com/office/drawing/2014/main" xmlns="" id="{00000000-0008-0000-0000-000070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513" name="Text Box 79">
          <a:extLst>
            <a:ext uri="{FF2B5EF4-FFF2-40B4-BE49-F238E27FC236}">
              <a16:creationId xmlns:a16="http://schemas.microsoft.com/office/drawing/2014/main" xmlns="" id="{00000000-0008-0000-0000-000071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514" name="Text Box 80">
          <a:extLst>
            <a:ext uri="{FF2B5EF4-FFF2-40B4-BE49-F238E27FC236}">
              <a16:creationId xmlns:a16="http://schemas.microsoft.com/office/drawing/2014/main" xmlns="" id="{00000000-0008-0000-0000-000072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515" name="Text Box 81">
          <a:extLst>
            <a:ext uri="{FF2B5EF4-FFF2-40B4-BE49-F238E27FC236}">
              <a16:creationId xmlns:a16="http://schemas.microsoft.com/office/drawing/2014/main" xmlns="" id="{00000000-0008-0000-0000-000073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516" name="Text Box 3079">
          <a:extLst>
            <a:ext uri="{FF2B5EF4-FFF2-40B4-BE49-F238E27FC236}">
              <a16:creationId xmlns:a16="http://schemas.microsoft.com/office/drawing/2014/main" xmlns="" id="{00000000-0008-0000-0000-000074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517" name="Text Box 3080">
          <a:extLst>
            <a:ext uri="{FF2B5EF4-FFF2-40B4-BE49-F238E27FC236}">
              <a16:creationId xmlns:a16="http://schemas.microsoft.com/office/drawing/2014/main" xmlns="" id="{00000000-0008-0000-0000-000075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518" name="Text Box 3081">
          <a:extLst>
            <a:ext uri="{FF2B5EF4-FFF2-40B4-BE49-F238E27FC236}">
              <a16:creationId xmlns:a16="http://schemas.microsoft.com/office/drawing/2014/main" xmlns="" id="{00000000-0008-0000-0000-000076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519" name="Text Box 3082">
          <a:extLst>
            <a:ext uri="{FF2B5EF4-FFF2-40B4-BE49-F238E27FC236}">
              <a16:creationId xmlns:a16="http://schemas.microsoft.com/office/drawing/2014/main" xmlns="" id="{00000000-0008-0000-0000-000077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520" name="Text Box 3083">
          <a:extLst>
            <a:ext uri="{FF2B5EF4-FFF2-40B4-BE49-F238E27FC236}">
              <a16:creationId xmlns:a16="http://schemas.microsoft.com/office/drawing/2014/main" xmlns="" id="{00000000-0008-0000-0000-000078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521" name="Text Box 3084">
          <a:extLst>
            <a:ext uri="{FF2B5EF4-FFF2-40B4-BE49-F238E27FC236}">
              <a16:creationId xmlns:a16="http://schemas.microsoft.com/office/drawing/2014/main" xmlns="" id="{00000000-0008-0000-0000-000079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522" name="Text Box 3085">
          <a:extLst>
            <a:ext uri="{FF2B5EF4-FFF2-40B4-BE49-F238E27FC236}">
              <a16:creationId xmlns:a16="http://schemas.microsoft.com/office/drawing/2014/main" xmlns="" id="{00000000-0008-0000-0000-00007A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523" name="Text Box 3086">
          <a:extLst>
            <a:ext uri="{FF2B5EF4-FFF2-40B4-BE49-F238E27FC236}">
              <a16:creationId xmlns:a16="http://schemas.microsoft.com/office/drawing/2014/main" xmlns="" id="{00000000-0008-0000-0000-00007B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524" name="Text Box 3087">
          <a:extLst>
            <a:ext uri="{FF2B5EF4-FFF2-40B4-BE49-F238E27FC236}">
              <a16:creationId xmlns:a16="http://schemas.microsoft.com/office/drawing/2014/main" xmlns="" id="{00000000-0008-0000-0000-00007C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525" name="Text Box 3088">
          <a:extLst>
            <a:ext uri="{FF2B5EF4-FFF2-40B4-BE49-F238E27FC236}">
              <a16:creationId xmlns:a16="http://schemas.microsoft.com/office/drawing/2014/main" xmlns="" id="{00000000-0008-0000-0000-00007D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526" name="Text Box 3089">
          <a:extLst>
            <a:ext uri="{FF2B5EF4-FFF2-40B4-BE49-F238E27FC236}">
              <a16:creationId xmlns:a16="http://schemas.microsoft.com/office/drawing/2014/main" xmlns="" id="{00000000-0008-0000-0000-00007E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527" name="Text Box 3090">
          <a:extLst>
            <a:ext uri="{FF2B5EF4-FFF2-40B4-BE49-F238E27FC236}">
              <a16:creationId xmlns:a16="http://schemas.microsoft.com/office/drawing/2014/main" xmlns="" id="{00000000-0008-0000-0000-00007F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528" name="Text Box 3091">
          <a:extLst>
            <a:ext uri="{FF2B5EF4-FFF2-40B4-BE49-F238E27FC236}">
              <a16:creationId xmlns:a16="http://schemas.microsoft.com/office/drawing/2014/main" xmlns="" id="{00000000-0008-0000-0000-000080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529" name="Text Box 3092">
          <a:extLst>
            <a:ext uri="{FF2B5EF4-FFF2-40B4-BE49-F238E27FC236}">
              <a16:creationId xmlns:a16="http://schemas.microsoft.com/office/drawing/2014/main" xmlns="" id="{00000000-0008-0000-0000-000081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530" name="Text Box 3093">
          <a:extLst>
            <a:ext uri="{FF2B5EF4-FFF2-40B4-BE49-F238E27FC236}">
              <a16:creationId xmlns:a16="http://schemas.microsoft.com/office/drawing/2014/main" xmlns="" id="{00000000-0008-0000-0000-000082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531" name="Text Box 3094">
          <a:extLst>
            <a:ext uri="{FF2B5EF4-FFF2-40B4-BE49-F238E27FC236}">
              <a16:creationId xmlns:a16="http://schemas.microsoft.com/office/drawing/2014/main" xmlns="" id="{00000000-0008-0000-0000-000083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532" name="Text Box 3095">
          <a:extLst>
            <a:ext uri="{FF2B5EF4-FFF2-40B4-BE49-F238E27FC236}">
              <a16:creationId xmlns:a16="http://schemas.microsoft.com/office/drawing/2014/main" xmlns="" id="{00000000-0008-0000-0000-000084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533" name="Text Box 3096">
          <a:extLst>
            <a:ext uri="{FF2B5EF4-FFF2-40B4-BE49-F238E27FC236}">
              <a16:creationId xmlns:a16="http://schemas.microsoft.com/office/drawing/2014/main" xmlns="" id="{00000000-0008-0000-0000-000085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534" name="Text Box 3097">
          <a:extLst>
            <a:ext uri="{FF2B5EF4-FFF2-40B4-BE49-F238E27FC236}">
              <a16:creationId xmlns:a16="http://schemas.microsoft.com/office/drawing/2014/main" xmlns="" id="{00000000-0008-0000-0000-000086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535" name="Text Box 3098">
          <a:extLst>
            <a:ext uri="{FF2B5EF4-FFF2-40B4-BE49-F238E27FC236}">
              <a16:creationId xmlns:a16="http://schemas.microsoft.com/office/drawing/2014/main" xmlns="" id="{00000000-0008-0000-0000-000087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536" name="Text Box 3099">
          <a:extLst>
            <a:ext uri="{FF2B5EF4-FFF2-40B4-BE49-F238E27FC236}">
              <a16:creationId xmlns:a16="http://schemas.microsoft.com/office/drawing/2014/main" xmlns="" id="{00000000-0008-0000-0000-000088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537" name="Text Box 3100">
          <a:extLst>
            <a:ext uri="{FF2B5EF4-FFF2-40B4-BE49-F238E27FC236}">
              <a16:creationId xmlns:a16="http://schemas.microsoft.com/office/drawing/2014/main" xmlns="" id="{00000000-0008-0000-0000-000089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538" name="Text Box 3101">
          <a:extLst>
            <a:ext uri="{FF2B5EF4-FFF2-40B4-BE49-F238E27FC236}">
              <a16:creationId xmlns:a16="http://schemas.microsoft.com/office/drawing/2014/main" xmlns="" id="{00000000-0008-0000-0000-00008A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6539" name="Text Box 3102">
          <a:extLst>
            <a:ext uri="{FF2B5EF4-FFF2-40B4-BE49-F238E27FC236}">
              <a16:creationId xmlns:a16="http://schemas.microsoft.com/office/drawing/2014/main" xmlns="" id="{00000000-0008-0000-0000-00008B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540" name="Text Box 59">
          <a:extLst>
            <a:ext uri="{FF2B5EF4-FFF2-40B4-BE49-F238E27FC236}">
              <a16:creationId xmlns:a16="http://schemas.microsoft.com/office/drawing/2014/main" xmlns="" id="{00000000-0008-0000-0000-00008C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541" name="Text Box 60">
          <a:extLst>
            <a:ext uri="{FF2B5EF4-FFF2-40B4-BE49-F238E27FC236}">
              <a16:creationId xmlns:a16="http://schemas.microsoft.com/office/drawing/2014/main" xmlns="" id="{00000000-0008-0000-0000-00008D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542" name="Text Box 61">
          <a:extLst>
            <a:ext uri="{FF2B5EF4-FFF2-40B4-BE49-F238E27FC236}">
              <a16:creationId xmlns:a16="http://schemas.microsoft.com/office/drawing/2014/main" xmlns="" id="{00000000-0008-0000-0000-00008E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543" name="Text Box 62">
          <a:extLst>
            <a:ext uri="{FF2B5EF4-FFF2-40B4-BE49-F238E27FC236}">
              <a16:creationId xmlns:a16="http://schemas.microsoft.com/office/drawing/2014/main" xmlns="" id="{00000000-0008-0000-0000-00008F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544" name="Text Box 63">
          <a:extLst>
            <a:ext uri="{FF2B5EF4-FFF2-40B4-BE49-F238E27FC236}">
              <a16:creationId xmlns:a16="http://schemas.microsoft.com/office/drawing/2014/main" xmlns="" id="{00000000-0008-0000-0000-000090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545" name="Text Box 64">
          <a:extLst>
            <a:ext uri="{FF2B5EF4-FFF2-40B4-BE49-F238E27FC236}">
              <a16:creationId xmlns:a16="http://schemas.microsoft.com/office/drawing/2014/main" xmlns="" id="{00000000-0008-0000-0000-000091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546" name="Text Box 65">
          <a:extLst>
            <a:ext uri="{FF2B5EF4-FFF2-40B4-BE49-F238E27FC236}">
              <a16:creationId xmlns:a16="http://schemas.microsoft.com/office/drawing/2014/main" xmlns="" id="{00000000-0008-0000-0000-000092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547" name="Text Box 66">
          <a:extLst>
            <a:ext uri="{FF2B5EF4-FFF2-40B4-BE49-F238E27FC236}">
              <a16:creationId xmlns:a16="http://schemas.microsoft.com/office/drawing/2014/main" xmlns="" id="{00000000-0008-0000-0000-000093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548" name="Text Box 67">
          <a:extLst>
            <a:ext uri="{FF2B5EF4-FFF2-40B4-BE49-F238E27FC236}">
              <a16:creationId xmlns:a16="http://schemas.microsoft.com/office/drawing/2014/main" xmlns="" id="{00000000-0008-0000-0000-000094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549" name="Text Box 68">
          <a:extLst>
            <a:ext uri="{FF2B5EF4-FFF2-40B4-BE49-F238E27FC236}">
              <a16:creationId xmlns:a16="http://schemas.microsoft.com/office/drawing/2014/main" xmlns="" id="{00000000-0008-0000-0000-000095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550" name="Text Box 69">
          <a:extLst>
            <a:ext uri="{FF2B5EF4-FFF2-40B4-BE49-F238E27FC236}">
              <a16:creationId xmlns:a16="http://schemas.microsoft.com/office/drawing/2014/main" xmlns="" id="{00000000-0008-0000-0000-000096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551" name="Text Box 70">
          <a:extLst>
            <a:ext uri="{FF2B5EF4-FFF2-40B4-BE49-F238E27FC236}">
              <a16:creationId xmlns:a16="http://schemas.microsoft.com/office/drawing/2014/main" xmlns="" id="{00000000-0008-0000-0000-000097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552" name="Text Box 71">
          <a:extLst>
            <a:ext uri="{FF2B5EF4-FFF2-40B4-BE49-F238E27FC236}">
              <a16:creationId xmlns:a16="http://schemas.microsoft.com/office/drawing/2014/main" xmlns="" id="{00000000-0008-0000-0000-000098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553" name="Text Box 72">
          <a:extLst>
            <a:ext uri="{FF2B5EF4-FFF2-40B4-BE49-F238E27FC236}">
              <a16:creationId xmlns:a16="http://schemas.microsoft.com/office/drawing/2014/main" xmlns="" id="{00000000-0008-0000-0000-000099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554" name="Text Box 73">
          <a:extLst>
            <a:ext uri="{FF2B5EF4-FFF2-40B4-BE49-F238E27FC236}">
              <a16:creationId xmlns:a16="http://schemas.microsoft.com/office/drawing/2014/main" xmlns="" id="{00000000-0008-0000-0000-00009A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555" name="Text Box 74">
          <a:extLst>
            <a:ext uri="{FF2B5EF4-FFF2-40B4-BE49-F238E27FC236}">
              <a16:creationId xmlns:a16="http://schemas.microsoft.com/office/drawing/2014/main" xmlns="" id="{00000000-0008-0000-0000-00009B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556" name="Text Box 75">
          <a:extLst>
            <a:ext uri="{FF2B5EF4-FFF2-40B4-BE49-F238E27FC236}">
              <a16:creationId xmlns:a16="http://schemas.microsoft.com/office/drawing/2014/main" xmlns="" id="{00000000-0008-0000-0000-00009C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557" name="Text Box 76">
          <a:extLst>
            <a:ext uri="{FF2B5EF4-FFF2-40B4-BE49-F238E27FC236}">
              <a16:creationId xmlns:a16="http://schemas.microsoft.com/office/drawing/2014/main" xmlns="" id="{00000000-0008-0000-0000-00009D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558" name="Text Box 77">
          <a:extLst>
            <a:ext uri="{FF2B5EF4-FFF2-40B4-BE49-F238E27FC236}">
              <a16:creationId xmlns:a16="http://schemas.microsoft.com/office/drawing/2014/main" xmlns="" id="{00000000-0008-0000-0000-00009E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559" name="Text Box 78">
          <a:extLst>
            <a:ext uri="{FF2B5EF4-FFF2-40B4-BE49-F238E27FC236}">
              <a16:creationId xmlns:a16="http://schemas.microsoft.com/office/drawing/2014/main" xmlns="" id="{00000000-0008-0000-0000-00009F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560" name="Text Box 79">
          <a:extLst>
            <a:ext uri="{FF2B5EF4-FFF2-40B4-BE49-F238E27FC236}">
              <a16:creationId xmlns:a16="http://schemas.microsoft.com/office/drawing/2014/main" xmlns="" id="{00000000-0008-0000-0000-0000A0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561" name="Text Box 80">
          <a:extLst>
            <a:ext uri="{FF2B5EF4-FFF2-40B4-BE49-F238E27FC236}">
              <a16:creationId xmlns:a16="http://schemas.microsoft.com/office/drawing/2014/main" xmlns="" id="{00000000-0008-0000-0000-0000A1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562" name="Text Box 81">
          <a:extLst>
            <a:ext uri="{FF2B5EF4-FFF2-40B4-BE49-F238E27FC236}">
              <a16:creationId xmlns:a16="http://schemas.microsoft.com/office/drawing/2014/main" xmlns="" id="{00000000-0008-0000-0000-0000A2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47625"/>
    <xdr:sp macro="" textlink="">
      <xdr:nvSpPr>
        <xdr:cNvPr id="6563" name="Text Box 82">
          <a:extLst>
            <a:ext uri="{FF2B5EF4-FFF2-40B4-BE49-F238E27FC236}">
              <a16:creationId xmlns:a16="http://schemas.microsoft.com/office/drawing/2014/main" xmlns="" id="{00000000-0008-0000-0000-0000A3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564" name="Text Box 3079">
          <a:extLst>
            <a:ext uri="{FF2B5EF4-FFF2-40B4-BE49-F238E27FC236}">
              <a16:creationId xmlns:a16="http://schemas.microsoft.com/office/drawing/2014/main" xmlns="" id="{00000000-0008-0000-0000-0000A4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565" name="Text Box 3080">
          <a:extLst>
            <a:ext uri="{FF2B5EF4-FFF2-40B4-BE49-F238E27FC236}">
              <a16:creationId xmlns:a16="http://schemas.microsoft.com/office/drawing/2014/main" xmlns="" id="{00000000-0008-0000-0000-0000A5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566" name="Text Box 3081">
          <a:extLst>
            <a:ext uri="{FF2B5EF4-FFF2-40B4-BE49-F238E27FC236}">
              <a16:creationId xmlns:a16="http://schemas.microsoft.com/office/drawing/2014/main" xmlns="" id="{00000000-0008-0000-0000-0000A6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567" name="Text Box 3082">
          <a:extLst>
            <a:ext uri="{FF2B5EF4-FFF2-40B4-BE49-F238E27FC236}">
              <a16:creationId xmlns:a16="http://schemas.microsoft.com/office/drawing/2014/main" xmlns="" id="{00000000-0008-0000-0000-0000A7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568" name="Text Box 3083">
          <a:extLst>
            <a:ext uri="{FF2B5EF4-FFF2-40B4-BE49-F238E27FC236}">
              <a16:creationId xmlns:a16="http://schemas.microsoft.com/office/drawing/2014/main" xmlns="" id="{00000000-0008-0000-0000-0000A8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569" name="Text Box 3084">
          <a:extLst>
            <a:ext uri="{FF2B5EF4-FFF2-40B4-BE49-F238E27FC236}">
              <a16:creationId xmlns:a16="http://schemas.microsoft.com/office/drawing/2014/main" xmlns="" id="{00000000-0008-0000-0000-0000A9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570" name="Text Box 3085">
          <a:extLst>
            <a:ext uri="{FF2B5EF4-FFF2-40B4-BE49-F238E27FC236}">
              <a16:creationId xmlns:a16="http://schemas.microsoft.com/office/drawing/2014/main" xmlns="" id="{00000000-0008-0000-0000-0000AA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571" name="Text Box 3086">
          <a:extLst>
            <a:ext uri="{FF2B5EF4-FFF2-40B4-BE49-F238E27FC236}">
              <a16:creationId xmlns:a16="http://schemas.microsoft.com/office/drawing/2014/main" xmlns="" id="{00000000-0008-0000-0000-0000AB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572" name="Text Box 3087">
          <a:extLst>
            <a:ext uri="{FF2B5EF4-FFF2-40B4-BE49-F238E27FC236}">
              <a16:creationId xmlns:a16="http://schemas.microsoft.com/office/drawing/2014/main" xmlns="" id="{00000000-0008-0000-0000-0000AC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573" name="Text Box 3088">
          <a:extLst>
            <a:ext uri="{FF2B5EF4-FFF2-40B4-BE49-F238E27FC236}">
              <a16:creationId xmlns:a16="http://schemas.microsoft.com/office/drawing/2014/main" xmlns="" id="{00000000-0008-0000-0000-0000AD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574" name="Text Box 3089">
          <a:extLst>
            <a:ext uri="{FF2B5EF4-FFF2-40B4-BE49-F238E27FC236}">
              <a16:creationId xmlns:a16="http://schemas.microsoft.com/office/drawing/2014/main" xmlns="" id="{00000000-0008-0000-0000-0000AE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575" name="Text Box 3090">
          <a:extLst>
            <a:ext uri="{FF2B5EF4-FFF2-40B4-BE49-F238E27FC236}">
              <a16:creationId xmlns:a16="http://schemas.microsoft.com/office/drawing/2014/main" xmlns="" id="{00000000-0008-0000-0000-0000AF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576" name="Text Box 3091">
          <a:extLst>
            <a:ext uri="{FF2B5EF4-FFF2-40B4-BE49-F238E27FC236}">
              <a16:creationId xmlns:a16="http://schemas.microsoft.com/office/drawing/2014/main" xmlns="" id="{00000000-0008-0000-0000-0000B0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577" name="Text Box 3092">
          <a:extLst>
            <a:ext uri="{FF2B5EF4-FFF2-40B4-BE49-F238E27FC236}">
              <a16:creationId xmlns:a16="http://schemas.microsoft.com/office/drawing/2014/main" xmlns="" id="{00000000-0008-0000-0000-0000B1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578" name="Text Box 3093">
          <a:extLst>
            <a:ext uri="{FF2B5EF4-FFF2-40B4-BE49-F238E27FC236}">
              <a16:creationId xmlns:a16="http://schemas.microsoft.com/office/drawing/2014/main" xmlns="" id="{00000000-0008-0000-0000-0000B2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579" name="Text Box 3094">
          <a:extLst>
            <a:ext uri="{FF2B5EF4-FFF2-40B4-BE49-F238E27FC236}">
              <a16:creationId xmlns:a16="http://schemas.microsoft.com/office/drawing/2014/main" xmlns="" id="{00000000-0008-0000-0000-0000B3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580" name="Text Box 3095">
          <a:extLst>
            <a:ext uri="{FF2B5EF4-FFF2-40B4-BE49-F238E27FC236}">
              <a16:creationId xmlns:a16="http://schemas.microsoft.com/office/drawing/2014/main" xmlns="" id="{00000000-0008-0000-0000-0000B4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581" name="Text Box 3096">
          <a:extLst>
            <a:ext uri="{FF2B5EF4-FFF2-40B4-BE49-F238E27FC236}">
              <a16:creationId xmlns:a16="http://schemas.microsoft.com/office/drawing/2014/main" xmlns="" id="{00000000-0008-0000-0000-0000B5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582" name="Text Box 3097">
          <a:extLst>
            <a:ext uri="{FF2B5EF4-FFF2-40B4-BE49-F238E27FC236}">
              <a16:creationId xmlns:a16="http://schemas.microsoft.com/office/drawing/2014/main" xmlns="" id="{00000000-0008-0000-0000-0000B6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583" name="Text Box 3098">
          <a:extLst>
            <a:ext uri="{FF2B5EF4-FFF2-40B4-BE49-F238E27FC236}">
              <a16:creationId xmlns:a16="http://schemas.microsoft.com/office/drawing/2014/main" xmlns="" id="{00000000-0008-0000-0000-0000B7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584" name="Text Box 3099">
          <a:extLst>
            <a:ext uri="{FF2B5EF4-FFF2-40B4-BE49-F238E27FC236}">
              <a16:creationId xmlns:a16="http://schemas.microsoft.com/office/drawing/2014/main" xmlns="" id="{00000000-0008-0000-0000-0000B8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585" name="Text Box 3100">
          <a:extLst>
            <a:ext uri="{FF2B5EF4-FFF2-40B4-BE49-F238E27FC236}">
              <a16:creationId xmlns:a16="http://schemas.microsoft.com/office/drawing/2014/main" xmlns="" id="{00000000-0008-0000-0000-0000B9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586" name="Text Box 3101">
          <a:extLst>
            <a:ext uri="{FF2B5EF4-FFF2-40B4-BE49-F238E27FC236}">
              <a16:creationId xmlns:a16="http://schemas.microsoft.com/office/drawing/2014/main" xmlns="" id="{00000000-0008-0000-0000-0000BA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6587" name="Text Box 3102">
          <a:extLst>
            <a:ext uri="{FF2B5EF4-FFF2-40B4-BE49-F238E27FC236}">
              <a16:creationId xmlns:a16="http://schemas.microsoft.com/office/drawing/2014/main" xmlns="" id="{00000000-0008-0000-0000-0000BB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588" name="Text Box 59">
          <a:extLst>
            <a:ext uri="{FF2B5EF4-FFF2-40B4-BE49-F238E27FC236}">
              <a16:creationId xmlns:a16="http://schemas.microsoft.com/office/drawing/2014/main" xmlns="" id="{00000000-0008-0000-0000-0000BC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589" name="Text Box 60">
          <a:extLst>
            <a:ext uri="{FF2B5EF4-FFF2-40B4-BE49-F238E27FC236}">
              <a16:creationId xmlns:a16="http://schemas.microsoft.com/office/drawing/2014/main" xmlns="" id="{00000000-0008-0000-0000-0000BD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590" name="Text Box 61">
          <a:extLst>
            <a:ext uri="{FF2B5EF4-FFF2-40B4-BE49-F238E27FC236}">
              <a16:creationId xmlns:a16="http://schemas.microsoft.com/office/drawing/2014/main" xmlns="" id="{00000000-0008-0000-0000-0000BE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591" name="Text Box 62">
          <a:extLst>
            <a:ext uri="{FF2B5EF4-FFF2-40B4-BE49-F238E27FC236}">
              <a16:creationId xmlns:a16="http://schemas.microsoft.com/office/drawing/2014/main" xmlns="" id="{00000000-0008-0000-0000-0000BF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592" name="Text Box 63">
          <a:extLst>
            <a:ext uri="{FF2B5EF4-FFF2-40B4-BE49-F238E27FC236}">
              <a16:creationId xmlns:a16="http://schemas.microsoft.com/office/drawing/2014/main" xmlns="" id="{00000000-0008-0000-0000-0000C0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593" name="Text Box 64">
          <a:extLst>
            <a:ext uri="{FF2B5EF4-FFF2-40B4-BE49-F238E27FC236}">
              <a16:creationId xmlns:a16="http://schemas.microsoft.com/office/drawing/2014/main" xmlns="" id="{00000000-0008-0000-0000-0000C1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594" name="Text Box 65">
          <a:extLst>
            <a:ext uri="{FF2B5EF4-FFF2-40B4-BE49-F238E27FC236}">
              <a16:creationId xmlns:a16="http://schemas.microsoft.com/office/drawing/2014/main" xmlns="" id="{00000000-0008-0000-0000-0000C2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595" name="Text Box 66">
          <a:extLst>
            <a:ext uri="{FF2B5EF4-FFF2-40B4-BE49-F238E27FC236}">
              <a16:creationId xmlns:a16="http://schemas.microsoft.com/office/drawing/2014/main" xmlns="" id="{00000000-0008-0000-0000-0000C3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596" name="Text Box 67">
          <a:extLst>
            <a:ext uri="{FF2B5EF4-FFF2-40B4-BE49-F238E27FC236}">
              <a16:creationId xmlns:a16="http://schemas.microsoft.com/office/drawing/2014/main" xmlns="" id="{00000000-0008-0000-0000-0000C4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597" name="Text Box 68">
          <a:extLst>
            <a:ext uri="{FF2B5EF4-FFF2-40B4-BE49-F238E27FC236}">
              <a16:creationId xmlns:a16="http://schemas.microsoft.com/office/drawing/2014/main" xmlns="" id="{00000000-0008-0000-0000-0000C5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598" name="Text Box 69">
          <a:extLst>
            <a:ext uri="{FF2B5EF4-FFF2-40B4-BE49-F238E27FC236}">
              <a16:creationId xmlns:a16="http://schemas.microsoft.com/office/drawing/2014/main" xmlns="" id="{00000000-0008-0000-0000-0000C6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599" name="Text Box 70">
          <a:extLst>
            <a:ext uri="{FF2B5EF4-FFF2-40B4-BE49-F238E27FC236}">
              <a16:creationId xmlns:a16="http://schemas.microsoft.com/office/drawing/2014/main" xmlns="" id="{00000000-0008-0000-0000-0000C7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600" name="Text Box 71">
          <a:extLst>
            <a:ext uri="{FF2B5EF4-FFF2-40B4-BE49-F238E27FC236}">
              <a16:creationId xmlns:a16="http://schemas.microsoft.com/office/drawing/2014/main" xmlns="" id="{00000000-0008-0000-0000-0000C8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601" name="Text Box 72">
          <a:extLst>
            <a:ext uri="{FF2B5EF4-FFF2-40B4-BE49-F238E27FC236}">
              <a16:creationId xmlns:a16="http://schemas.microsoft.com/office/drawing/2014/main" xmlns="" id="{00000000-0008-0000-0000-0000C9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602" name="Text Box 73">
          <a:extLst>
            <a:ext uri="{FF2B5EF4-FFF2-40B4-BE49-F238E27FC236}">
              <a16:creationId xmlns:a16="http://schemas.microsoft.com/office/drawing/2014/main" xmlns="" id="{00000000-0008-0000-0000-0000CA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603" name="Text Box 74">
          <a:extLst>
            <a:ext uri="{FF2B5EF4-FFF2-40B4-BE49-F238E27FC236}">
              <a16:creationId xmlns:a16="http://schemas.microsoft.com/office/drawing/2014/main" xmlns="" id="{00000000-0008-0000-0000-0000CB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604" name="Text Box 75">
          <a:extLst>
            <a:ext uri="{FF2B5EF4-FFF2-40B4-BE49-F238E27FC236}">
              <a16:creationId xmlns:a16="http://schemas.microsoft.com/office/drawing/2014/main" xmlns="" id="{00000000-0008-0000-0000-0000CC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605" name="Text Box 76">
          <a:extLst>
            <a:ext uri="{FF2B5EF4-FFF2-40B4-BE49-F238E27FC236}">
              <a16:creationId xmlns:a16="http://schemas.microsoft.com/office/drawing/2014/main" xmlns="" id="{00000000-0008-0000-0000-0000CD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606" name="Text Box 77">
          <a:extLst>
            <a:ext uri="{FF2B5EF4-FFF2-40B4-BE49-F238E27FC236}">
              <a16:creationId xmlns:a16="http://schemas.microsoft.com/office/drawing/2014/main" xmlns="" id="{00000000-0008-0000-0000-0000CE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607" name="Text Box 78">
          <a:extLst>
            <a:ext uri="{FF2B5EF4-FFF2-40B4-BE49-F238E27FC236}">
              <a16:creationId xmlns:a16="http://schemas.microsoft.com/office/drawing/2014/main" xmlns="" id="{00000000-0008-0000-0000-0000CF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608" name="Text Box 79">
          <a:extLst>
            <a:ext uri="{FF2B5EF4-FFF2-40B4-BE49-F238E27FC236}">
              <a16:creationId xmlns:a16="http://schemas.microsoft.com/office/drawing/2014/main" xmlns="" id="{00000000-0008-0000-0000-0000D0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609" name="Text Box 80">
          <a:extLst>
            <a:ext uri="{FF2B5EF4-FFF2-40B4-BE49-F238E27FC236}">
              <a16:creationId xmlns:a16="http://schemas.microsoft.com/office/drawing/2014/main" xmlns="" id="{00000000-0008-0000-0000-0000D1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610" name="Text Box 81">
          <a:extLst>
            <a:ext uri="{FF2B5EF4-FFF2-40B4-BE49-F238E27FC236}">
              <a16:creationId xmlns:a16="http://schemas.microsoft.com/office/drawing/2014/main" xmlns="" id="{00000000-0008-0000-0000-0000D2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611" name="Text Box 3079">
          <a:extLst>
            <a:ext uri="{FF2B5EF4-FFF2-40B4-BE49-F238E27FC236}">
              <a16:creationId xmlns:a16="http://schemas.microsoft.com/office/drawing/2014/main" xmlns="" id="{00000000-0008-0000-0000-0000D3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612" name="Text Box 3080">
          <a:extLst>
            <a:ext uri="{FF2B5EF4-FFF2-40B4-BE49-F238E27FC236}">
              <a16:creationId xmlns:a16="http://schemas.microsoft.com/office/drawing/2014/main" xmlns="" id="{00000000-0008-0000-0000-0000D4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613" name="Text Box 3081">
          <a:extLst>
            <a:ext uri="{FF2B5EF4-FFF2-40B4-BE49-F238E27FC236}">
              <a16:creationId xmlns:a16="http://schemas.microsoft.com/office/drawing/2014/main" xmlns="" id="{00000000-0008-0000-0000-0000D5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614" name="Text Box 3082">
          <a:extLst>
            <a:ext uri="{FF2B5EF4-FFF2-40B4-BE49-F238E27FC236}">
              <a16:creationId xmlns:a16="http://schemas.microsoft.com/office/drawing/2014/main" xmlns="" id="{00000000-0008-0000-0000-0000D6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615" name="Text Box 3083">
          <a:extLst>
            <a:ext uri="{FF2B5EF4-FFF2-40B4-BE49-F238E27FC236}">
              <a16:creationId xmlns:a16="http://schemas.microsoft.com/office/drawing/2014/main" xmlns="" id="{00000000-0008-0000-0000-0000D7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616" name="Text Box 3084">
          <a:extLst>
            <a:ext uri="{FF2B5EF4-FFF2-40B4-BE49-F238E27FC236}">
              <a16:creationId xmlns:a16="http://schemas.microsoft.com/office/drawing/2014/main" xmlns="" id="{00000000-0008-0000-0000-0000D8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617" name="Text Box 3085">
          <a:extLst>
            <a:ext uri="{FF2B5EF4-FFF2-40B4-BE49-F238E27FC236}">
              <a16:creationId xmlns:a16="http://schemas.microsoft.com/office/drawing/2014/main" xmlns="" id="{00000000-0008-0000-0000-0000D9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618" name="Text Box 3086">
          <a:extLst>
            <a:ext uri="{FF2B5EF4-FFF2-40B4-BE49-F238E27FC236}">
              <a16:creationId xmlns:a16="http://schemas.microsoft.com/office/drawing/2014/main" xmlns="" id="{00000000-0008-0000-0000-0000DA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619" name="Text Box 3087">
          <a:extLst>
            <a:ext uri="{FF2B5EF4-FFF2-40B4-BE49-F238E27FC236}">
              <a16:creationId xmlns:a16="http://schemas.microsoft.com/office/drawing/2014/main" xmlns="" id="{00000000-0008-0000-0000-0000DB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620" name="Text Box 3088">
          <a:extLst>
            <a:ext uri="{FF2B5EF4-FFF2-40B4-BE49-F238E27FC236}">
              <a16:creationId xmlns:a16="http://schemas.microsoft.com/office/drawing/2014/main" xmlns="" id="{00000000-0008-0000-0000-0000DC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621" name="Text Box 3089">
          <a:extLst>
            <a:ext uri="{FF2B5EF4-FFF2-40B4-BE49-F238E27FC236}">
              <a16:creationId xmlns:a16="http://schemas.microsoft.com/office/drawing/2014/main" xmlns="" id="{00000000-0008-0000-0000-0000DD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622" name="Text Box 3090">
          <a:extLst>
            <a:ext uri="{FF2B5EF4-FFF2-40B4-BE49-F238E27FC236}">
              <a16:creationId xmlns:a16="http://schemas.microsoft.com/office/drawing/2014/main" xmlns="" id="{00000000-0008-0000-0000-0000DE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623" name="Text Box 3091">
          <a:extLst>
            <a:ext uri="{FF2B5EF4-FFF2-40B4-BE49-F238E27FC236}">
              <a16:creationId xmlns:a16="http://schemas.microsoft.com/office/drawing/2014/main" xmlns="" id="{00000000-0008-0000-0000-0000DF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624" name="Text Box 3092">
          <a:extLst>
            <a:ext uri="{FF2B5EF4-FFF2-40B4-BE49-F238E27FC236}">
              <a16:creationId xmlns:a16="http://schemas.microsoft.com/office/drawing/2014/main" xmlns="" id="{00000000-0008-0000-0000-0000E0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625" name="Text Box 3093">
          <a:extLst>
            <a:ext uri="{FF2B5EF4-FFF2-40B4-BE49-F238E27FC236}">
              <a16:creationId xmlns:a16="http://schemas.microsoft.com/office/drawing/2014/main" xmlns="" id="{00000000-0008-0000-0000-0000E1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626" name="Text Box 3094">
          <a:extLst>
            <a:ext uri="{FF2B5EF4-FFF2-40B4-BE49-F238E27FC236}">
              <a16:creationId xmlns:a16="http://schemas.microsoft.com/office/drawing/2014/main" xmlns="" id="{00000000-0008-0000-0000-0000E2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627" name="Text Box 3095">
          <a:extLst>
            <a:ext uri="{FF2B5EF4-FFF2-40B4-BE49-F238E27FC236}">
              <a16:creationId xmlns:a16="http://schemas.microsoft.com/office/drawing/2014/main" xmlns="" id="{00000000-0008-0000-0000-0000E3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628" name="Text Box 3096">
          <a:extLst>
            <a:ext uri="{FF2B5EF4-FFF2-40B4-BE49-F238E27FC236}">
              <a16:creationId xmlns:a16="http://schemas.microsoft.com/office/drawing/2014/main" xmlns="" id="{00000000-0008-0000-0000-0000E4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629" name="Text Box 3097">
          <a:extLst>
            <a:ext uri="{FF2B5EF4-FFF2-40B4-BE49-F238E27FC236}">
              <a16:creationId xmlns:a16="http://schemas.microsoft.com/office/drawing/2014/main" xmlns="" id="{00000000-0008-0000-0000-0000E5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630" name="Text Box 3098">
          <a:extLst>
            <a:ext uri="{FF2B5EF4-FFF2-40B4-BE49-F238E27FC236}">
              <a16:creationId xmlns:a16="http://schemas.microsoft.com/office/drawing/2014/main" xmlns="" id="{00000000-0008-0000-0000-0000E6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631" name="Text Box 3099">
          <a:extLst>
            <a:ext uri="{FF2B5EF4-FFF2-40B4-BE49-F238E27FC236}">
              <a16:creationId xmlns:a16="http://schemas.microsoft.com/office/drawing/2014/main" xmlns="" id="{00000000-0008-0000-0000-0000E7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632" name="Text Box 3100">
          <a:extLst>
            <a:ext uri="{FF2B5EF4-FFF2-40B4-BE49-F238E27FC236}">
              <a16:creationId xmlns:a16="http://schemas.microsoft.com/office/drawing/2014/main" xmlns="" id="{00000000-0008-0000-0000-0000E8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633" name="Text Box 3101">
          <a:extLst>
            <a:ext uri="{FF2B5EF4-FFF2-40B4-BE49-F238E27FC236}">
              <a16:creationId xmlns:a16="http://schemas.microsoft.com/office/drawing/2014/main" xmlns="" id="{00000000-0008-0000-0000-0000E9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6634" name="Text Box 3102">
          <a:extLst>
            <a:ext uri="{FF2B5EF4-FFF2-40B4-BE49-F238E27FC236}">
              <a16:creationId xmlns:a16="http://schemas.microsoft.com/office/drawing/2014/main" xmlns="" id="{00000000-0008-0000-0000-0000EA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635" name="Text Box 59">
          <a:extLst>
            <a:ext uri="{FF2B5EF4-FFF2-40B4-BE49-F238E27FC236}">
              <a16:creationId xmlns:a16="http://schemas.microsoft.com/office/drawing/2014/main" xmlns="" id="{00000000-0008-0000-0000-0000EB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636" name="Text Box 60">
          <a:extLst>
            <a:ext uri="{FF2B5EF4-FFF2-40B4-BE49-F238E27FC236}">
              <a16:creationId xmlns:a16="http://schemas.microsoft.com/office/drawing/2014/main" xmlns="" id="{00000000-0008-0000-0000-0000EC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637" name="Text Box 61">
          <a:extLst>
            <a:ext uri="{FF2B5EF4-FFF2-40B4-BE49-F238E27FC236}">
              <a16:creationId xmlns:a16="http://schemas.microsoft.com/office/drawing/2014/main" xmlns="" id="{00000000-0008-0000-0000-0000ED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638" name="Text Box 62">
          <a:extLst>
            <a:ext uri="{FF2B5EF4-FFF2-40B4-BE49-F238E27FC236}">
              <a16:creationId xmlns:a16="http://schemas.microsoft.com/office/drawing/2014/main" xmlns="" id="{00000000-0008-0000-0000-0000EE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639" name="Text Box 63">
          <a:extLst>
            <a:ext uri="{FF2B5EF4-FFF2-40B4-BE49-F238E27FC236}">
              <a16:creationId xmlns:a16="http://schemas.microsoft.com/office/drawing/2014/main" xmlns="" id="{00000000-0008-0000-0000-0000EF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640" name="Text Box 64">
          <a:extLst>
            <a:ext uri="{FF2B5EF4-FFF2-40B4-BE49-F238E27FC236}">
              <a16:creationId xmlns:a16="http://schemas.microsoft.com/office/drawing/2014/main" xmlns="" id="{00000000-0008-0000-0000-0000F0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641" name="Text Box 65">
          <a:extLst>
            <a:ext uri="{FF2B5EF4-FFF2-40B4-BE49-F238E27FC236}">
              <a16:creationId xmlns:a16="http://schemas.microsoft.com/office/drawing/2014/main" xmlns="" id="{00000000-0008-0000-0000-0000F1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642" name="Text Box 66">
          <a:extLst>
            <a:ext uri="{FF2B5EF4-FFF2-40B4-BE49-F238E27FC236}">
              <a16:creationId xmlns:a16="http://schemas.microsoft.com/office/drawing/2014/main" xmlns="" id="{00000000-0008-0000-0000-0000F2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643" name="Text Box 67">
          <a:extLst>
            <a:ext uri="{FF2B5EF4-FFF2-40B4-BE49-F238E27FC236}">
              <a16:creationId xmlns:a16="http://schemas.microsoft.com/office/drawing/2014/main" xmlns="" id="{00000000-0008-0000-0000-0000F3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644" name="Text Box 68">
          <a:extLst>
            <a:ext uri="{FF2B5EF4-FFF2-40B4-BE49-F238E27FC236}">
              <a16:creationId xmlns:a16="http://schemas.microsoft.com/office/drawing/2014/main" xmlns="" id="{00000000-0008-0000-0000-0000F4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645" name="Text Box 69">
          <a:extLst>
            <a:ext uri="{FF2B5EF4-FFF2-40B4-BE49-F238E27FC236}">
              <a16:creationId xmlns:a16="http://schemas.microsoft.com/office/drawing/2014/main" xmlns="" id="{00000000-0008-0000-0000-0000F5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646" name="Text Box 70">
          <a:extLst>
            <a:ext uri="{FF2B5EF4-FFF2-40B4-BE49-F238E27FC236}">
              <a16:creationId xmlns:a16="http://schemas.microsoft.com/office/drawing/2014/main" xmlns="" id="{00000000-0008-0000-0000-0000F6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647" name="Text Box 71">
          <a:extLst>
            <a:ext uri="{FF2B5EF4-FFF2-40B4-BE49-F238E27FC236}">
              <a16:creationId xmlns:a16="http://schemas.microsoft.com/office/drawing/2014/main" xmlns="" id="{00000000-0008-0000-0000-0000F7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648" name="Text Box 72">
          <a:extLst>
            <a:ext uri="{FF2B5EF4-FFF2-40B4-BE49-F238E27FC236}">
              <a16:creationId xmlns:a16="http://schemas.microsoft.com/office/drawing/2014/main" xmlns="" id="{00000000-0008-0000-0000-0000F8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649" name="Text Box 73">
          <a:extLst>
            <a:ext uri="{FF2B5EF4-FFF2-40B4-BE49-F238E27FC236}">
              <a16:creationId xmlns:a16="http://schemas.microsoft.com/office/drawing/2014/main" xmlns="" id="{00000000-0008-0000-0000-0000F9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650" name="Text Box 74">
          <a:extLst>
            <a:ext uri="{FF2B5EF4-FFF2-40B4-BE49-F238E27FC236}">
              <a16:creationId xmlns:a16="http://schemas.microsoft.com/office/drawing/2014/main" xmlns="" id="{00000000-0008-0000-0000-0000FA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651" name="Text Box 75">
          <a:extLst>
            <a:ext uri="{FF2B5EF4-FFF2-40B4-BE49-F238E27FC236}">
              <a16:creationId xmlns:a16="http://schemas.microsoft.com/office/drawing/2014/main" xmlns="" id="{00000000-0008-0000-0000-0000FB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652" name="Text Box 76">
          <a:extLst>
            <a:ext uri="{FF2B5EF4-FFF2-40B4-BE49-F238E27FC236}">
              <a16:creationId xmlns:a16="http://schemas.microsoft.com/office/drawing/2014/main" xmlns="" id="{00000000-0008-0000-0000-0000FC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653" name="Text Box 77">
          <a:extLst>
            <a:ext uri="{FF2B5EF4-FFF2-40B4-BE49-F238E27FC236}">
              <a16:creationId xmlns:a16="http://schemas.microsoft.com/office/drawing/2014/main" xmlns="" id="{00000000-0008-0000-0000-0000FD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654" name="Text Box 78">
          <a:extLst>
            <a:ext uri="{FF2B5EF4-FFF2-40B4-BE49-F238E27FC236}">
              <a16:creationId xmlns:a16="http://schemas.microsoft.com/office/drawing/2014/main" xmlns="" id="{00000000-0008-0000-0000-0000FE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655" name="Text Box 79">
          <a:extLst>
            <a:ext uri="{FF2B5EF4-FFF2-40B4-BE49-F238E27FC236}">
              <a16:creationId xmlns:a16="http://schemas.microsoft.com/office/drawing/2014/main" xmlns="" id="{00000000-0008-0000-0000-0000FF19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656" name="Text Box 80">
          <a:extLst>
            <a:ext uri="{FF2B5EF4-FFF2-40B4-BE49-F238E27FC236}">
              <a16:creationId xmlns:a16="http://schemas.microsoft.com/office/drawing/2014/main" xmlns="" id="{00000000-0008-0000-0000-000000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657" name="Text Box 81">
          <a:extLst>
            <a:ext uri="{FF2B5EF4-FFF2-40B4-BE49-F238E27FC236}">
              <a16:creationId xmlns:a16="http://schemas.microsoft.com/office/drawing/2014/main" xmlns="" id="{00000000-0008-0000-0000-000001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47625"/>
    <xdr:sp macro="" textlink="">
      <xdr:nvSpPr>
        <xdr:cNvPr id="6658" name="Text Box 82">
          <a:extLst>
            <a:ext uri="{FF2B5EF4-FFF2-40B4-BE49-F238E27FC236}">
              <a16:creationId xmlns:a16="http://schemas.microsoft.com/office/drawing/2014/main" xmlns="" id="{00000000-0008-0000-0000-000002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659" name="Text Box 3079">
          <a:extLst>
            <a:ext uri="{FF2B5EF4-FFF2-40B4-BE49-F238E27FC236}">
              <a16:creationId xmlns:a16="http://schemas.microsoft.com/office/drawing/2014/main" xmlns="" id="{00000000-0008-0000-0000-000003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660" name="Text Box 3080">
          <a:extLst>
            <a:ext uri="{FF2B5EF4-FFF2-40B4-BE49-F238E27FC236}">
              <a16:creationId xmlns:a16="http://schemas.microsoft.com/office/drawing/2014/main" xmlns="" id="{00000000-0008-0000-0000-000004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661" name="Text Box 3081">
          <a:extLst>
            <a:ext uri="{FF2B5EF4-FFF2-40B4-BE49-F238E27FC236}">
              <a16:creationId xmlns:a16="http://schemas.microsoft.com/office/drawing/2014/main" xmlns="" id="{00000000-0008-0000-0000-000005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662" name="Text Box 3082">
          <a:extLst>
            <a:ext uri="{FF2B5EF4-FFF2-40B4-BE49-F238E27FC236}">
              <a16:creationId xmlns:a16="http://schemas.microsoft.com/office/drawing/2014/main" xmlns="" id="{00000000-0008-0000-0000-000006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663" name="Text Box 3083">
          <a:extLst>
            <a:ext uri="{FF2B5EF4-FFF2-40B4-BE49-F238E27FC236}">
              <a16:creationId xmlns:a16="http://schemas.microsoft.com/office/drawing/2014/main" xmlns="" id="{00000000-0008-0000-0000-000007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664" name="Text Box 3084">
          <a:extLst>
            <a:ext uri="{FF2B5EF4-FFF2-40B4-BE49-F238E27FC236}">
              <a16:creationId xmlns:a16="http://schemas.microsoft.com/office/drawing/2014/main" xmlns="" id="{00000000-0008-0000-0000-000008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665" name="Text Box 3085">
          <a:extLst>
            <a:ext uri="{FF2B5EF4-FFF2-40B4-BE49-F238E27FC236}">
              <a16:creationId xmlns:a16="http://schemas.microsoft.com/office/drawing/2014/main" xmlns="" id="{00000000-0008-0000-0000-000009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666" name="Text Box 3086">
          <a:extLst>
            <a:ext uri="{FF2B5EF4-FFF2-40B4-BE49-F238E27FC236}">
              <a16:creationId xmlns:a16="http://schemas.microsoft.com/office/drawing/2014/main" xmlns="" id="{00000000-0008-0000-0000-00000A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667" name="Text Box 3087">
          <a:extLst>
            <a:ext uri="{FF2B5EF4-FFF2-40B4-BE49-F238E27FC236}">
              <a16:creationId xmlns:a16="http://schemas.microsoft.com/office/drawing/2014/main" xmlns="" id="{00000000-0008-0000-0000-00000B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668" name="Text Box 3088">
          <a:extLst>
            <a:ext uri="{FF2B5EF4-FFF2-40B4-BE49-F238E27FC236}">
              <a16:creationId xmlns:a16="http://schemas.microsoft.com/office/drawing/2014/main" xmlns="" id="{00000000-0008-0000-0000-00000C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669" name="Text Box 3089">
          <a:extLst>
            <a:ext uri="{FF2B5EF4-FFF2-40B4-BE49-F238E27FC236}">
              <a16:creationId xmlns:a16="http://schemas.microsoft.com/office/drawing/2014/main" xmlns="" id="{00000000-0008-0000-0000-00000D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670" name="Text Box 3090">
          <a:extLst>
            <a:ext uri="{FF2B5EF4-FFF2-40B4-BE49-F238E27FC236}">
              <a16:creationId xmlns:a16="http://schemas.microsoft.com/office/drawing/2014/main" xmlns="" id="{00000000-0008-0000-0000-00000E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671" name="Text Box 3091">
          <a:extLst>
            <a:ext uri="{FF2B5EF4-FFF2-40B4-BE49-F238E27FC236}">
              <a16:creationId xmlns:a16="http://schemas.microsoft.com/office/drawing/2014/main" xmlns="" id="{00000000-0008-0000-0000-00000F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672" name="Text Box 3092">
          <a:extLst>
            <a:ext uri="{FF2B5EF4-FFF2-40B4-BE49-F238E27FC236}">
              <a16:creationId xmlns:a16="http://schemas.microsoft.com/office/drawing/2014/main" xmlns="" id="{00000000-0008-0000-0000-000010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673" name="Text Box 3093">
          <a:extLst>
            <a:ext uri="{FF2B5EF4-FFF2-40B4-BE49-F238E27FC236}">
              <a16:creationId xmlns:a16="http://schemas.microsoft.com/office/drawing/2014/main" xmlns="" id="{00000000-0008-0000-0000-000011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674" name="Text Box 3094">
          <a:extLst>
            <a:ext uri="{FF2B5EF4-FFF2-40B4-BE49-F238E27FC236}">
              <a16:creationId xmlns:a16="http://schemas.microsoft.com/office/drawing/2014/main" xmlns="" id="{00000000-0008-0000-0000-000012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675" name="Text Box 3095">
          <a:extLst>
            <a:ext uri="{FF2B5EF4-FFF2-40B4-BE49-F238E27FC236}">
              <a16:creationId xmlns:a16="http://schemas.microsoft.com/office/drawing/2014/main" xmlns="" id="{00000000-0008-0000-0000-000013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676" name="Text Box 3096">
          <a:extLst>
            <a:ext uri="{FF2B5EF4-FFF2-40B4-BE49-F238E27FC236}">
              <a16:creationId xmlns:a16="http://schemas.microsoft.com/office/drawing/2014/main" xmlns="" id="{00000000-0008-0000-0000-000014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677" name="Text Box 3097">
          <a:extLst>
            <a:ext uri="{FF2B5EF4-FFF2-40B4-BE49-F238E27FC236}">
              <a16:creationId xmlns:a16="http://schemas.microsoft.com/office/drawing/2014/main" xmlns="" id="{00000000-0008-0000-0000-000015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678" name="Text Box 3098">
          <a:extLst>
            <a:ext uri="{FF2B5EF4-FFF2-40B4-BE49-F238E27FC236}">
              <a16:creationId xmlns:a16="http://schemas.microsoft.com/office/drawing/2014/main" xmlns="" id="{00000000-0008-0000-0000-000016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679" name="Text Box 3099">
          <a:extLst>
            <a:ext uri="{FF2B5EF4-FFF2-40B4-BE49-F238E27FC236}">
              <a16:creationId xmlns:a16="http://schemas.microsoft.com/office/drawing/2014/main" xmlns="" id="{00000000-0008-0000-0000-000017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680" name="Text Box 3100">
          <a:extLst>
            <a:ext uri="{FF2B5EF4-FFF2-40B4-BE49-F238E27FC236}">
              <a16:creationId xmlns:a16="http://schemas.microsoft.com/office/drawing/2014/main" xmlns="" id="{00000000-0008-0000-0000-000018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681" name="Text Box 3101">
          <a:extLst>
            <a:ext uri="{FF2B5EF4-FFF2-40B4-BE49-F238E27FC236}">
              <a16:creationId xmlns:a16="http://schemas.microsoft.com/office/drawing/2014/main" xmlns="" id="{00000000-0008-0000-0000-000019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6682" name="Text Box 3102">
          <a:extLst>
            <a:ext uri="{FF2B5EF4-FFF2-40B4-BE49-F238E27FC236}">
              <a16:creationId xmlns:a16="http://schemas.microsoft.com/office/drawing/2014/main" xmlns="" id="{00000000-0008-0000-0000-00001A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683" name="Text Box 59">
          <a:extLst>
            <a:ext uri="{FF2B5EF4-FFF2-40B4-BE49-F238E27FC236}">
              <a16:creationId xmlns:a16="http://schemas.microsoft.com/office/drawing/2014/main" xmlns="" id="{00000000-0008-0000-0000-00001B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684" name="Text Box 60">
          <a:extLst>
            <a:ext uri="{FF2B5EF4-FFF2-40B4-BE49-F238E27FC236}">
              <a16:creationId xmlns:a16="http://schemas.microsoft.com/office/drawing/2014/main" xmlns="" id="{00000000-0008-0000-0000-00001C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685" name="Text Box 61">
          <a:extLst>
            <a:ext uri="{FF2B5EF4-FFF2-40B4-BE49-F238E27FC236}">
              <a16:creationId xmlns:a16="http://schemas.microsoft.com/office/drawing/2014/main" xmlns="" id="{00000000-0008-0000-0000-00001D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686" name="Text Box 62">
          <a:extLst>
            <a:ext uri="{FF2B5EF4-FFF2-40B4-BE49-F238E27FC236}">
              <a16:creationId xmlns:a16="http://schemas.microsoft.com/office/drawing/2014/main" xmlns="" id="{00000000-0008-0000-0000-00001E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687" name="Text Box 63">
          <a:extLst>
            <a:ext uri="{FF2B5EF4-FFF2-40B4-BE49-F238E27FC236}">
              <a16:creationId xmlns:a16="http://schemas.microsoft.com/office/drawing/2014/main" xmlns="" id="{00000000-0008-0000-0000-00001F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688" name="Text Box 64">
          <a:extLst>
            <a:ext uri="{FF2B5EF4-FFF2-40B4-BE49-F238E27FC236}">
              <a16:creationId xmlns:a16="http://schemas.microsoft.com/office/drawing/2014/main" xmlns="" id="{00000000-0008-0000-0000-000020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689" name="Text Box 65">
          <a:extLst>
            <a:ext uri="{FF2B5EF4-FFF2-40B4-BE49-F238E27FC236}">
              <a16:creationId xmlns:a16="http://schemas.microsoft.com/office/drawing/2014/main" xmlns="" id="{00000000-0008-0000-0000-000021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690" name="Text Box 66">
          <a:extLst>
            <a:ext uri="{FF2B5EF4-FFF2-40B4-BE49-F238E27FC236}">
              <a16:creationId xmlns:a16="http://schemas.microsoft.com/office/drawing/2014/main" xmlns="" id="{00000000-0008-0000-0000-000022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691" name="Text Box 67">
          <a:extLst>
            <a:ext uri="{FF2B5EF4-FFF2-40B4-BE49-F238E27FC236}">
              <a16:creationId xmlns:a16="http://schemas.microsoft.com/office/drawing/2014/main" xmlns="" id="{00000000-0008-0000-0000-000023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692" name="Text Box 68">
          <a:extLst>
            <a:ext uri="{FF2B5EF4-FFF2-40B4-BE49-F238E27FC236}">
              <a16:creationId xmlns:a16="http://schemas.microsoft.com/office/drawing/2014/main" xmlns="" id="{00000000-0008-0000-0000-000024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693" name="Text Box 69">
          <a:extLst>
            <a:ext uri="{FF2B5EF4-FFF2-40B4-BE49-F238E27FC236}">
              <a16:creationId xmlns:a16="http://schemas.microsoft.com/office/drawing/2014/main" xmlns="" id="{00000000-0008-0000-0000-000025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694" name="Text Box 70">
          <a:extLst>
            <a:ext uri="{FF2B5EF4-FFF2-40B4-BE49-F238E27FC236}">
              <a16:creationId xmlns:a16="http://schemas.microsoft.com/office/drawing/2014/main" xmlns="" id="{00000000-0008-0000-0000-000026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695" name="Text Box 71">
          <a:extLst>
            <a:ext uri="{FF2B5EF4-FFF2-40B4-BE49-F238E27FC236}">
              <a16:creationId xmlns:a16="http://schemas.microsoft.com/office/drawing/2014/main" xmlns="" id="{00000000-0008-0000-0000-000027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696" name="Text Box 72">
          <a:extLst>
            <a:ext uri="{FF2B5EF4-FFF2-40B4-BE49-F238E27FC236}">
              <a16:creationId xmlns:a16="http://schemas.microsoft.com/office/drawing/2014/main" xmlns="" id="{00000000-0008-0000-0000-000028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697" name="Text Box 73">
          <a:extLst>
            <a:ext uri="{FF2B5EF4-FFF2-40B4-BE49-F238E27FC236}">
              <a16:creationId xmlns:a16="http://schemas.microsoft.com/office/drawing/2014/main" xmlns="" id="{00000000-0008-0000-0000-000029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698" name="Text Box 74">
          <a:extLst>
            <a:ext uri="{FF2B5EF4-FFF2-40B4-BE49-F238E27FC236}">
              <a16:creationId xmlns:a16="http://schemas.microsoft.com/office/drawing/2014/main" xmlns="" id="{00000000-0008-0000-0000-00002A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699" name="Text Box 75">
          <a:extLst>
            <a:ext uri="{FF2B5EF4-FFF2-40B4-BE49-F238E27FC236}">
              <a16:creationId xmlns:a16="http://schemas.microsoft.com/office/drawing/2014/main" xmlns="" id="{00000000-0008-0000-0000-00002B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700" name="Text Box 76">
          <a:extLst>
            <a:ext uri="{FF2B5EF4-FFF2-40B4-BE49-F238E27FC236}">
              <a16:creationId xmlns:a16="http://schemas.microsoft.com/office/drawing/2014/main" xmlns="" id="{00000000-0008-0000-0000-00002C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701" name="Text Box 77">
          <a:extLst>
            <a:ext uri="{FF2B5EF4-FFF2-40B4-BE49-F238E27FC236}">
              <a16:creationId xmlns:a16="http://schemas.microsoft.com/office/drawing/2014/main" xmlns="" id="{00000000-0008-0000-0000-00002D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702" name="Text Box 78">
          <a:extLst>
            <a:ext uri="{FF2B5EF4-FFF2-40B4-BE49-F238E27FC236}">
              <a16:creationId xmlns:a16="http://schemas.microsoft.com/office/drawing/2014/main" xmlns="" id="{00000000-0008-0000-0000-00002E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703" name="Text Box 79">
          <a:extLst>
            <a:ext uri="{FF2B5EF4-FFF2-40B4-BE49-F238E27FC236}">
              <a16:creationId xmlns:a16="http://schemas.microsoft.com/office/drawing/2014/main" xmlns="" id="{00000000-0008-0000-0000-00002F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704" name="Text Box 80">
          <a:extLst>
            <a:ext uri="{FF2B5EF4-FFF2-40B4-BE49-F238E27FC236}">
              <a16:creationId xmlns:a16="http://schemas.microsoft.com/office/drawing/2014/main" xmlns="" id="{00000000-0008-0000-0000-000030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705" name="Text Box 81">
          <a:extLst>
            <a:ext uri="{FF2B5EF4-FFF2-40B4-BE49-F238E27FC236}">
              <a16:creationId xmlns:a16="http://schemas.microsoft.com/office/drawing/2014/main" xmlns="" id="{00000000-0008-0000-0000-000031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706" name="Text Box 3079">
          <a:extLst>
            <a:ext uri="{FF2B5EF4-FFF2-40B4-BE49-F238E27FC236}">
              <a16:creationId xmlns:a16="http://schemas.microsoft.com/office/drawing/2014/main" xmlns="" id="{00000000-0008-0000-0000-000032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707" name="Text Box 3080">
          <a:extLst>
            <a:ext uri="{FF2B5EF4-FFF2-40B4-BE49-F238E27FC236}">
              <a16:creationId xmlns:a16="http://schemas.microsoft.com/office/drawing/2014/main" xmlns="" id="{00000000-0008-0000-0000-000033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708" name="Text Box 3081">
          <a:extLst>
            <a:ext uri="{FF2B5EF4-FFF2-40B4-BE49-F238E27FC236}">
              <a16:creationId xmlns:a16="http://schemas.microsoft.com/office/drawing/2014/main" xmlns="" id="{00000000-0008-0000-0000-000034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709" name="Text Box 3082">
          <a:extLst>
            <a:ext uri="{FF2B5EF4-FFF2-40B4-BE49-F238E27FC236}">
              <a16:creationId xmlns:a16="http://schemas.microsoft.com/office/drawing/2014/main" xmlns="" id="{00000000-0008-0000-0000-000035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710" name="Text Box 3083">
          <a:extLst>
            <a:ext uri="{FF2B5EF4-FFF2-40B4-BE49-F238E27FC236}">
              <a16:creationId xmlns:a16="http://schemas.microsoft.com/office/drawing/2014/main" xmlns="" id="{00000000-0008-0000-0000-000036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711" name="Text Box 3084">
          <a:extLst>
            <a:ext uri="{FF2B5EF4-FFF2-40B4-BE49-F238E27FC236}">
              <a16:creationId xmlns:a16="http://schemas.microsoft.com/office/drawing/2014/main" xmlns="" id="{00000000-0008-0000-0000-000037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712" name="Text Box 3085">
          <a:extLst>
            <a:ext uri="{FF2B5EF4-FFF2-40B4-BE49-F238E27FC236}">
              <a16:creationId xmlns:a16="http://schemas.microsoft.com/office/drawing/2014/main" xmlns="" id="{00000000-0008-0000-0000-000038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713" name="Text Box 3086">
          <a:extLst>
            <a:ext uri="{FF2B5EF4-FFF2-40B4-BE49-F238E27FC236}">
              <a16:creationId xmlns:a16="http://schemas.microsoft.com/office/drawing/2014/main" xmlns="" id="{00000000-0008-0000-0000-000039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714" name="Text Box 3087">
          <a:extLst>
            <a:ext uri="{FF2B5EF4-FFF2-40B4-BE49-F238E27FC236}">
              <a16:creationId xmlns:a16="http://schemas.microsoft.com/office/drawing/2014/main" xmlns="" id="{00000000-0008-0000-0000-00003A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715" name="Text Box 3088">
          <a:extLst>
            <a:ext uri="{FF2B5EF4-FFF2-40B4-BE49-F238E27FC236}">
              <a16:creationId xmlns:a16="http://schemas.microsoft.com/office/drawing/2014/main" xmlns="" id="{00000000-0008-0000-0000-00003B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716" name="Text Box 3089">
          <a:extLst>
            <a:ext uri="{FF2B5EF4-FFF2-40B4-BE49-F238E27FC236}">
              <a16:creationId xmlns:a16="http://schemas.microsoft.com/office/drawing/2014/main" xmlns="" id="{00000000-0008-0000-0000-00003C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717" name="Text Box 3090">
          <a:extLst>
            <a:ext uri="{FF2B5EF4-FFF2-40B4-BE49-F238E27FC236}">
              <a16:creationId xmlns:a16="http://schemas.microsoft.com/office/drawing/2014/main" xmlns="" id="{00000000-0008-0000-0000-00003D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718" name="Text Box 3091">
          <a:extLst>
            <a:ext uri="{FF2B5EF4-FFF2-40B4-BE49-F238E27FC236}">
              <a16:creationId xmlns:a16="http://schemas.microsoft.com/office/drawing/2014/main" xmlns="" id="{00000000-0008-0000-0000-00003E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719" name="Text Box 3092">
          <a:extLst>
            <a:ext uri="{FF2B5EF4-FFF2-40B4-BE49-F238E27FC236}">
              <a16:creationId xmlns:a16="http://schemas.microsoft.com/office/drawing/2014/main" xmlns="" id="{00000000-0008-0000-0000-00003F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720" name="Text Box 3093">
          <a:extLst>
            <a:ext uri="{FF2B5EF4-FFF2-40B4-BE49-F238E27FC236}">
              <a16:creationId xmlns:a16="http://schemas.microsoft.com/office/drawing/2014/main" xmlns="" id="{00000000-0008-0000-0000-000040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721" name="Text Box 3094">
          <a:extLst>
            <a:ext uri="{FF2B5EF4-FFF2-40B4-BE49-F238E27FC236}">
              <a16:creationId xmlns:a16="http://schemas.microsoft.com/office/drawing/2014/main" xmlns="" id="{00000000-0008-0000-0000-000041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722" name="Text Box 3095">
          <a:extLst>
            <a:ext uri="{FF2B5EF4-FFF2-40B4-BE49-F238E27FC236}">
              <a16:creationId xmlns:a16="http://schemas.microsoft.com/office/drawing/2014/main" xmlns="" id="{00000000-0008-0000-0000-000042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723" name="Text Box 3096">
          <a:extLst>
            <a:ext uri="{FF2B5EF4-FFF2-40B4-BE49-F238E27FC236}">
              <a16:creationId xmlns:a16="http://schemas.microsoft.com/office/drawing/2014/main" xmlns="" id="{00000000-0008-0000-0000-000043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724" name="Text Box 3097">
          <a:extLst>
            <a:ext uri="{FF2B5EF4-FFF2-40B4-BE49-F238E27FC236}">
              <a16:creationId xmlns:a16="http://schemas.microsoft.com/office/drawing/2014/main" xmlns="" id="{00000000-0008-0000-0000-000044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725" name="Text Box 3098">
          <a:extLst>
            <a:ext uri="{FF2B5EF4-FFF2-40B4-BE49-F238E27FC236}">
              <a16:creationId xmlns:a16="http://schemas.microsoft.com/office/drawing/2014/main" xmlns="" id="{00000000-0008-0000-0000-000045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726" name="Text Box 3099">
          <a:extLst>
            <a:ext uri="{FF2B5EF4-FFF2-40B4-BE49-F238E27FC236}">
              <a16:creationId xmlns:a16="http://schemas.microsoft.com/office/drawing/2014/main" xmlns="" id="{00000000-0008-0000-0000-000046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727" name="Text Box 3100">
          <a:extLst>
            <a:ext uri="{FF2B5EF4-FFF2-40B4-BE49-F238E27FC236}">
              <a16:creationId xmlns:a16="http://schemas.microsoft.com/office/drawing/2014/main" xmlns="" id="{00000000-0008-0000-0000-000047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728" name="Text Box 3101">
          <a:extLst>
            <a:ext uri="{FF2B5EF4-FFF2-40B4-BE49-F238E27FC236}">
              <a16:creationId xmlns:a16="http://schemas.microsoft.com/office/drawing/2014/main" xmlns="" id="{00000000-0008-0000-0000-000048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6729" name="Text Box 3102">
          <a:extLst>
            <a:ext uri="{FF2B5EF4-FFF2-40B4-BE49-F238E27FC236}">
              <a16:creationId xmlns:a16="http://schemas.microsoft.com/office/drawing/2014/main" xmlns="" id="{00000000-0008-0000-0000-000049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730" name="Text Box 59">
          <a:extLst>
            <a:ext uri="{FF2B5EF4-FFF2-40B4-BE49-F238E27FC236}">
              <a16:creationId xmlns:a16="http://schemas.microsoft.com/office/drawing/2014/main" xmlns="" id="{00000000-0008-0000-0000-00004A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731" name="Text Box 60">
          <a:extLst>
            <a:ext uri="{FF2B5EF4-FFF2-40B4-BE49-F238E27FC236}">
              <a16:creationId xmlns:a16="http://schemas.microsoft.com/office/drawing/2014/main" xmlns="" id="{00000000-0008-0000-0000-00004B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732" name="Text Box 61">
          <a:extLst>
            <a:ext uri="{FF2B5EF4-FFF2-40B4-BE49-F238E27FC236}">
              <a16:creationId xmlns:a16="http://schemas.microsoft.com/office/drawing/2014/main" xmlns="" id="{00000000-0008-0000-0000-00004C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733" name="Text Box 62">
          <a:extLst>
            <a:ext uri="{FF2B5EF4-FFF2-40B4-BE49-F238E27FC236}">
              <a16:creationId xmlns:a16="http://schemas.microsoft.com/office/drawing/2014/main" xmlns="" id="{00000000-0008-0000-0000-00004D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734" name="Text Box 63">
          <a:extLst>
            <a:ext uri="{FF2B5EF4-FFF2-40B4-BE49-F238E27FC236}">
              <a16:creationId xmlns:a16="http://schemas.microsoft.com/office/drawing/2014/main" xmlns="" id="{00000000-0008-0000-0000-00004E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735" name="Text Box 64">
          <a:extLst>
            <a:ext uri="{FF2B5EF4-FFF2-40B4-BE49-F238E27FC236}">
              <a16:creationId xmlns:a16="http://schemas.microsoft.com/office/drawing/2014/main" xmlns="" id="{00000000-0008-0000-0000-00004F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736" name="Text Box 65">
          <a:extLst>
            <a:ext uri="{FF2B5EF4-FFF2-40B4-BE49-F238E27FC236}">
              <a16:creationId xmlns:a16="http://schemas.microsoft.com/office/drawing/2014/main" xmlns="" id="{00000000-0008-0000-0000-000050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737" name="Text Box 66">
          <a:extLst>
            <a:ext uri="{FF2B5EF4-FFF2-40B4-BE49-F238E27FC236}">
              <a16:creationId xmlns:a16="http://schemas.microsoft.com/office/drawing/2014/main" xmlns="" id="{00000000-0008-0000-0000-000051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738" name="Text Box 67">
          <a:extLst>
            <a:ext uri="{FF2B5EF4-FFF2-40B4-BE49-F238E27FC236}">
              <a16:creationId xmlns:a16="http://schemas.microsoft.com/office/drawing/2014/main" xmlns="" id="{00000000-0008-0000-0000-000052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739" name="Text Box 68">
          <a:extLst>
            <a:ext uri="{FF2B5EF4-FFF2-40B4-BE49-F238E27FC236}">
              <a16:creationId xmlns:a16="http://schemas.microsoft.com/office/drawing/2014/main" xmlns="" id="{00000000-0008-0000-0000-000053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740" name="Text Box 69">
          <a:extLst>
            <a:ext uri="{FF2B5EF4-FFF2-40B4-BE49-F238E27FC236}">
              <a16:creationId xmlns:a16="http://schemas.microsoft.com/office/drawing/2014/main" xmlns="" id="{00000000-0008-0000-0000-000054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741" name="Text Box 70">
          <a:extLst>
            <a:ext uri="{FF2B5EF4-FFF2-40B4-BE49-F238E27FC236}">
              <a16:creationId xmlns:a16="http://schemas.microsoft.com/office/drawing/2014/main" xmlns="" id="{00000000-0008-0000-0000-000055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742" name="Text Box 71">
          <a:extLst>
            <a:ext uri="{FF2B5EF4-FFF2-40B4-BE49-F238E27FC236}">
              <a16:creationId xmlns:a16="http://schemas.microsoft.com/office/drawing/2014/main" xmlns="" id="{00000000-0008-0000-0000-000056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743" name="Text Box 72">
          <a:extLst>
            <a:ext uri="{FF2B5EF4-FFF2-40B4-BE49-F238E27FC236}">
              <a16:creationId xmlns:a16="http://schemas.microsoft.com/office/drawing/2014/main" xmlns="" id="{00000000-0008-0000-0000-000057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744" name="Text Box 73">
          <a:extLst>
            <a:ext uri="{FF2B5EF4-FFF2-40B4-BE49-F238E27FC236}">
              <a16:creationId xmlns:a16="http://schemas.microsoft.com/office/drawing/2014/main" xmlns="" id="{00000000-0008-0000-0000-000058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745" name="Text Box 74">
          <a:extLst>
            <a:ext uri="{FF2B5EF4-FFF2-40B4-BE49-F238E27FC236}">
              <a16:creationId xmlns:a16="http://schemas.microsoft.com/office/drawing/2014/main" xmlns="" id="{00000000-0008-0000-0000-000059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746" name="Text Box 75">
          <a:extLst>
            <a:ext uri="{FF2B5EF4-FFF2-40B4-BE49-F238E27FC236}">
              <a16:creationId xmlns:a16="http://schemas.microsoft.com/office/drawing/2014/main" xmlns="" id="{00000000-0008-0000-0000-00005A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747" name="Text Box 76">
          <a:extLst>
            <a:ext uri="{FF2B5EF4-FFF2-40B4-BE49-F238E27FC236}">
              <a16:creationId xmlns:a16="http://schemas.microsoft.com/office/drawing/2014/main" xmlns="" id="{00000000-0008-0000-0000-00005B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748" name="Text Box 77">
          <a:extLst>
            <a:ext uri="{FF2B5EF4-FFF2-40B4-BE49-F238E27FC236}">
              <a16:creationId xmlns:a16="http://schemas.microsoft.com/office/drawing/2014/main" xmlns="" id="{00000000-0008-0000-0000-00005C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749" name="Text Box 78">
          <a:extLst>
            <a:ext uri="{FF2B5EF4-FFF2-40B4-BE49-F238E27FC236}">
              <a16:creationId xmlns:a16="http://schemas.microsoft.com/office/drawing/2014/main" xmlns="" id="{00000000-0008-0000-0000-00005D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750" name="Text Box 79">
          <a:extLst>
            <a:ext uri="{FF2B5EF4-FFF2-40B4-BE49-F238E27FC236}">
              <a16:creationId xmlns:a16="http://schemas.microsoft.com/office/drawing/2014/main" xmlns="" id="{00000000-0008-0000-0000-00005E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751" name="Text Box 80">
          <a:extLst>
            <a:ext uri="{FF2B5EF4-FFF2-40B4-BE49-F238E27FC236}">
              <a16:creationId xmlns:a16="http://schemas.microsoft.com/office/drawing/2014/main" xmlns="" id="{00000000-0008-0000-0000-00005F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752" name="Text Box 81">
          <a:extLst>
            <a:ext uri="{FF2B5EF4-FFF2-40B4-BE49-F238E27FC236}">
              <a16:creationId xmlns:a16="http://schemas.microsoft.com/office/drawing/2014/main" xmlns="" id="{00000000-0008-0000-0000-000060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47625"/>
    <xdr:sp macro="" textlink="">
      <xdr:nvSpPr>
        <xdr:cNvPr id="6753" name="Text Box 82">
          <a:extLst>
            <a:ext uri="{FF2B5EF4-FFF2-40B4-BE49-F238E27FC236}">
              <a16:creationId xmlns:a16="http://schemas.microsoft.com/office/drawing/2014/main" xmlns="" id="{00000000-0008-0000-0000-000061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754" name="Text Box 3079">
          <a:extLst>
            <a:ext uri="{FF2B5EF4-FFF2-40B4-BE49-F238E27FC236}">
              <a16:creationId xmlns:a16="http://schemas.microsoft.com/office/drawing/2014/main" xmlns="" id="{00000000-0008-0000-0000-000062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755" name="Text Box 3080">
          <a:extLst>
            <a:ext uri="{FF2B5EF4-FFF2-40B4-BE49-F238E27FC236}">
              <a16:creationId xmlns:a16="http://schemas.microsoft.com/office/drawing/2014/main" xmlns="" id="{00000000-0008-0000-0000-000063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756" name="Text Box 3081">
          <a:extLst>
            <a:ext uri="{FF2B5EF4-FFF2-40B4-BE49-F238E27FC236}">
              <a16:creationId xmlns:a16="http://schemas.microsoft.com/office/drawing/2014/main" xmlns="" id="{00000000-0008-0000-0000-000064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757" name="Text Box 3082">
          <a:extLst>
            <a:ext uri="{FF2B5EF4-FFF2-40B4-BE49-F238E27FC236}">
              <a16:creationId xmlns:a16="http://schemas.microsoft.com/office/drawing/2014/main" xmlns="" id="{00000000-0008-0000-0000-000065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758" name="Text Box 3083">
          <a:extLst>
            <a:ext uri="{FF2B5EF4-FFF2-40B4-BE49-F238E27FC236}">
              <a16:creationId xmlns:a16="http://schemas.microsoft.com/office/drawing/2014/main" xmlns="" id="{00000000-0008-0000-0000-000066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759" name="Text Box 3084">
          <a:extLst>
            <a:ext uri="{FF2B5EF4-FFF2-40B4-BE49-F238E27FC236}">
              <a16:creationId xmlns:a16="http://schemas.microsoft.com/office/drawing/2014/main" xmlns="" id="{00000000-0008-0000-0000-000067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760" name="Text Box 3085">
          <a:extLst>
            <a:ext uri="{FF2B5EF4-FFF2-40B4-BE49-F238E27FC236}">
              <a16:creationId xmlns:a16="http://schemas.microsoft.com/office/drawing/2014/main" xmlns="" id="{00000000-0008-0000-0000-000068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761" name="Text Box 3086">
          <a:extLst>
            <a:ext uri="{FF2B5EF4-FFF2-40B4-BE49-F238E27FC236}">
              <a16:creationId xmlns:a16="http://schemas.microsoft.com/office/drawing/2014/main" xmlns="" id="{00000000-0008-0000-0000-000069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762" name="Text Box 3087">
          <a:extLst>
            <a:ext uri="{FF2B5EF4-FFF2-40B4-BE49-F238E27FC236}">
              <a16:creationId xmlns:a16="http://schemas.microsoft.com/office/drawing/2014/main" xmlns="" id="{00000000-0008-0000-0000-00006A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763" name="Text Box 3088">
          <a:extLst>
            <a:ext uri="{FF2B5EF4-FFF2-40B4-BE49-F238E27FC236}">
              <a16:creationId xmlns:a16="http://schemas.microsoft.com/office/drawing/2014/main" xmlns="" id="{00000000-0008-0000-0000-00006B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764" name="Text Box 3089">
          <a:extLst>
            <a:ext uri="{FF2B5EF4-FFF2-40B4-BE49-F238E27FC236}">
              <a16:creationId xmlns:a16="http://schemas.microsoft.com/office/drawing/2014/main" xmlns="" id="{00000000-0008-0000-0000-00006C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765" name="Text Box 3090">
          <a:extLst>
            <a:ext uri="{FF2B5EF4-FFF2-40B4-BE49-F238E27FC236}">
              <a16:creationId xmlns:a16="http://schemas.microsoft.com/office/drawing/2014/main" xmlns="" id="{00000000-0008-0000-0000-00006D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766" name="Text Box 3091">
          <a:extLst>
            <a:ext uri="{FF2B5EF4-FFF2-40B4-BE49-F238E27FC236}">
              <a16:creationId xmlns:a16="http://schemas.microsoft.com/office/drawing/2014/main" xmlns="" id="{00000000-0008-0000-0000-00006E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767" name="Text Box 3092">
          <a:extLst>
            <a:ext uri="{FF2B5EF4-FFF2-40B4-BE49-F238E27FC236}">
              <a16:creationId xmlns:a16="http://schemas.microsoft.com/office/drawing/2014/main" xmlns="" id="{00000000-0008-0000-0000-00006F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768" name="Text Box 3093">
          <a:extLst>
            <a:ext uri="{FF2B5EF4-FFF2-40B4-BE49-F238E27FC236}">
              <a16:creationId xmlns:a16="http://schemas.microsoft.com/office/drawing/2014/main" xmlns="" id="{00000000-0008-0000-0000-000070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769" name="Text Box 3094">
          <a:extLst>
            <a:ext uri="{FF2B5EF4-FFF2-40B4-BE49-F238E27FC236}">
              <a16:creationId xmlns:a16="http://schemas.microsoft.com/office/drawing/2014/main" xmlns="" id="{00000000-0008-0000-0000-000071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770" name="Text Box 3095">
          <a:extLst>
            <a:ext uri="{FF2B5EF4-FFF2-40B4-BE49-F238E27FC236}">
              <a16:creationId xmlns:a16="http://schemas.microsoft.com/office/drawing/2014/main" xmlns="" id="{00000000-0008-0000-0000-000072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771" name="Text Box 3096">
          <a:extLst>
            <a:ext uri="{FF2B5EF4-FFF2-40B4-BE49-F238E27FC236}">
              <a16:creationId xmlns:a16="http://schemas.microsoft.com/office/drawing/2014/main" xmlns="" id="{00000000-0008-0000-0000-000073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772" name="Text Box 3097">
          <a:extLst>
            <a:ext uri="{FF2B5EF4-FFF2-40B4-BE49-F238E27FC236}">
              <a16:creationId xmlns:a16="http://schemas.microsoft.com/office/drawing/2014/main" xmlns="" id="{00000000-0008-0000-0000-000074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773" name="Text Box 3098">
          <a:extLst>
            <a:ext uri="{FF2B5EF4-FFF2-40B4-BE49-F238E27FC236}">
              <a16:creationId xmlns:a16="http://schemas.microsoft.com/office/drawing/2014/main" xmlns="" id="{00000000-0008-0000-0000-000075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774" name="Text Box 3099">
          <a:extLst>
            <a:ext uri="{FF2B5EF4-FFF2-40B4-BE49-F238E27FC236}">
              <a16:creationId xmlns:a16="http://schemas.microsoft.com/office/drawing/2014/main" xmlns="" id="{00000000-0008-0000-0000-000076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775" name="Text Box 3100">
          <a:extLst>
            <a:ext uri="{FF2B5EF4-FFF2-40B4-BE49-F238E27FC236}">
              <a16:creationId xmlns:a16="http://schemas.microsoft.com/office/drawing/2014/main" xmlns="" id="{00000000-0008-0000-0000-000077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776" name="Text Box 3101">
          <a:extLst>
            <a:ext uri="{FF2B5EF4-FFF2-40B4-BE49-F238E27FC236}">
              <a16:creationId xmlns:a16="http://schemas.microsoft.com/office/drawing/2014/main" xmlns="" id="{00000000-0008-0000-0000-000078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6777" name="Text Box 3102">
          <a:extLst>
            <a:ext uri="{FF2B5EF4-FFF2-40B4-BE49-F238E27FC236}">
              <a16:creationId xmlns:a16="http://schemas.microsoft.com/office/drawing/2014/main" xmlns="" id="{00000000-0008-0000-0000-000079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778" name="Text Box 59">
          <a:extLst>
            <a:ext uri="{FF2B5EF4-FFF2-40B4-BE49-F238E27FC236}">
              <a16:creationId xmlns:a16="http://schemas.microsoft.com/office/drawing/2014/main" xmlns="" id="{00000000-0008-0000-0000-00007A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779" name="Text Box 60">
          <a:extLst>
            <a:ext uri="{FF2B5EF4-FFF2-40B4-BE49-F238E27FC236}">
              <a16:creationId xmlns:a16="http://schemas.microsoft.com/office/drawing/2014/main" xmlns="" id="{00000000-0008-0000-0000-00007B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780" name="Text Box 61">
          <a:extLst>
            <a:ext uri="{FF2B5EF4-FFF2-40B4-BE49-F238E27FC236}">
              <a16:creationId xmlns:a16="http://schemas.microsoft.com/office/drawing/2014/main" xmlns="" id="{00000000-0008-0000-0000-00007C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781" name="Text Box 62">
          <a:extLst>
            <a:ext uri="{FF2B5EF4-FFF2-40B4-BE49-F238E27FC236}">
              <a16:creationId xmlns:a16="http://schemas.microsoft.com/office/drawing/2014/main" xmlns="" id="{00000000-0008-0000-0000-00007D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782" name="Text Box 63">
          <a:extLst>
            <a:ext uri="{FF2B5EF4-FFF2-40B4-BE49-F238E27FC236}">
              <a16:creationId xmlns:a16="http://schemas.microsoft.com/office/drawing/2014/main" xmlns="" id="{00000000-0008-0000-0000-00007E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783" name="Text Box 64">
          <a:extLst>
            <a:ext uri="{FF2B5EF4-FFF2-40B4-BE49-F238E27FC236}">
              <a16:creationId xmlns:a16="http://schemas.microsoft.com/office/drawing/2014/main" xmlns="" id="{00000000-0008-0000-0000-00007F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784" name="Text Box 65">
          <a:extLst>
            <a:ext uri="{FF2B5EF4-FFF2-40B4-BE49-F238E27FC236}">
              <a16:creationId xmlns:a16="http://schemas.microsoft.com/office/drawing/2014/main" xmlns="" id="{00000000-0008-0000-0000-000080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785" name="Text Box 66">
          <a:extLst>
            <a:ext uri="{FF2B5EF4-FFF2-40B4-BE49-F238E27FC236}">
              <a16:creationId xmlns:a16="http://schemas.microsoft.com/office/drawing/2014/main" xmlns="" id="{00000000-0008-0000-0000-000081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786" name="Text Box 67">
          <a:extLst>
            <a:ext uri="{FF2B5EF4-FFF2-40B4-BE49-F238E27FC236}">
              <a16:creationId xmlns:a16="http://schemas.microsoft.com/office/drawing/2014/main" xmlns="" id="{00000000-0008-0000-0000-000082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787" name="Text Box 68">
          <a:extLst>
            <a:ext uri="{FF2B5EF4-FFF2-40B4-BE49-F238E27FC236}">
              <a16:creationId xmlns:a16="http://schemas.microsoft.com/office/drawing/2014/main" xmlns="" id="{00000000-0008-0000-0000-000083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788" name="Text Box 69">
          <a:extLst>
            <a:ext uri="{FF2B5EF4-FFF2-40B4-BE49-F238E27FC236}">
              <a16:creationId xmlns:a16="http://schemas.microsoft.com/office/drawing/2014/main" xmlns="" id="{00000000-0008-0000-0000-000084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789" name="Text Box 70">
          <a:extLst>
            <a:ext uri="{FF2B5EF4-FFF2-40B4-BE49-F238E27FC236}">
              <a16:creationId xmlns:a16="http://schemas.microsoft.com/office/drawing/2014/main" xmlns="" id="{00000000-0008-0000-0000-000085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790" name="Text Box 71">
          <a:extLst>
            <a:ext uri="{FF2B5EF4-FFF2-40B4-BE49-F238E27FC236}">
              <a16:creationId xmlns:a16="http://schemas.microsoft.com/office/drawing/2014/main" xmlns="" id="{00000000-0008-0000-0000-000086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791" name="Text Box 72">
          <a:extLst>
            <a:ext uri="{FF2B5EF4-FFF2-40B4-BE49-F238E27FC236}">
              <a16:creationId xmlns:a16="http://schemas.microsoft.com/office/drawing/2014/main" xmlns="" id="{00000000-0008-0000-0000-000087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792" name="Text Box 73">
          <a:extLst>
            <a:ext uri="{FF2B5EF4-FFF2-40B4-BE49-F238E27FC236}">
              <a16:creationId xmlns:a16="http://schemas.microsoft.com/office/drawing/2014/main" xmlns="" id="{00000000-0008-0000-0000-000088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793" name="Text Box 74">
          <a:extLst>
            <a:ext uri="{FF2B5EF4-FFF2-40B4-BE49-F238E27FC236}">
              <a16:creationId xmlns:a16="http://schemas.microsoft.com/office/drawing/2014/main" xmlns="" id="{00000000-0008-0000-0000-000089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794" name="Text Box 75">
          <a:extLst>
            <a:ext uri="{FF2B5EF4-FFF2-40B4-BE49-F238E27FC236}">
              <a16:creationId xmlns:a16="http://schemas.microsoft.com/office/drawing/2014/main" xmlns="" id="{00000000-0008-0000-0000-00008A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795" name="Text Box 76">
          <a:extLst>
            <a:ext uri="{FF2B5EF4-FFF2-40B4-BE49-F238E27FC236}">
              <a16:creationId xmlns:a16="http://schemas.microsoft.com/office/drawing/2014/main" xmlns="" id="{00000000-0008-0000-0000-00008B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796" name="Text Box 77">
          <a:extLst>
            <a:ext uri="{FF2B5EF4-FFF2-40B4-BE49-F238E27FC236}">
              <a16:creationId xmlns:a16="http://schemas.microsoft.com/office/drawing/2014/main" xmlns="" id="{00000000-0008-0000-0000-00008C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797" name="Text Box 78">
          <a:extLst>
            <a:ext uri="{FF2B5EF4-FFF2-40B4-BE49-F238E27FC236}">
              <a16:creationId xmlns:a16="http://schemas.microsoft.com/office/drawing/2014/main" xmlns="" id="{00000000-0008-0000-0000-00008D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798" name="Text Box 79">
          <a:extLst>
            <a:ext uri="{FF2B5EF4-FFF2-40B4-BE49-F238E27FC236}">
              <a16:creationId xmlns:a16="http://schemas.microsoft.com/office/drawing/2014/main" xmlns="" id="{00000000-0008-0000-0000-00008E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799" name="Text Box 80">
          <a:extLst>
            <a:ext uri="{FF2B5EF4-FFF2-40B4-BE49-F238E27FC236}">
              <a16:creationId xmlns:a16="http://schemas.microsoft.com/office/drawing/2014/main" xmlns="" id="{00000000-0008-0000-0000-00008F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800" name="Text Box 81">
          <a:extLst>
            <a:ext uri="{FF2B5EF4-FFF2-40B4-BE49-F238E27FC236}">
              <a16:creationId xmlns:a16="http://schemas.microsoft.com/office/drawing/2014/main" xmlns="" id="{00000000-0008-0000-0000-000090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801" name="Text Box 3079">
          <a:extLst>
            <a:ext uri="{FF2B5EF4-FFF2-40B4-BE49-F238E27FC236}">
              <a16:creationId xmlns:a16="http://schemas.microsoft.com/office/drawing/2014/main" xmlns="" id="{00000000-0008-0000-0000-000091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802" name="Text Box 3080">
          <a:extLst>
            <a:ext uri="{FF2B5EF4-FFF2-40B4-BE49-F238E27FC236}">
              <a16:creationId xmlns:a16="http://schemas.microsoft.com/office/drawing/2014/main" xmlns="" id="{00000000-0008-0000-0000-000092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803" name="Text Box 3081">
          <a:extLst>
            <a:ext uri="{FF2B5EF4-FFF2-40B4-BE49-F238E27FC236}">
              <a16:creationId xmlns:a16="http://schemas.microsoft.com/office/drawing/2014/main" xmlns="" id="{00000000-0008-0000-0000-000093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804" name="Text Box 3082">
          <a:extLst>
            <a:ext uri="{FF2B5EF4-FFF2-40B4-BE49-F238E27FC236}">
              <a16:creationId xmlns:a16="http://schemas.microsoft.com/office/drawing/2014/main" xmlns="" id="{00000000-0008-0000-0000-000094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805" name="Text Box 3083">
          <a:extLst>
            <a:ext uri="{FF2B5EF4-FFF2-40B4-BE49-F238E27FC236}">
              <a16:creationId xmlns:a16="http://schemas.microsoft.com/office/drawing/2014/main" xmlns="" id="{00000000-0008-0000-0000-000095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806" name="Text Box 3084">
          <a:extLst>
            <a:ext uri="{FF2B5EF4-FFF2-40B4-BE49-F238E27FC236}">
              <a16:creationId xmlns:a16="http://schemas.microsoft.com/office/drawing/2014/main" xmlns="" id="{00000000-0008-0000-0000-000096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807" name="Text Box 3085">
          <a:extLst>
            <a:ext uri="{FF2B5EF4-FFF2-40B4-BE49-F238E27FC236}">
              <a16:creationId xmlns:a16="http://schemas.microsoft.com/office/drawing/2014/main" xmlns="" id="{00000000-0008-0000-0000-000097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808" name="Text Box 3086">
          <a:extLst>
            <a:ext uri="{FF2B5EF4-FFF2-40B4-BE49-F238E27FC236}">
              <a16:creationId xmlns:a16="http://schemas.microsoft.com/office/drawing/2014/main" xmlns="" id="{00000000-0008-0000-0000-000098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809" name="Text Box 3087">
          <a:extLst>
            <a:ext uri="{FF2B5EF4-FFF2-40B4-BE49-F238E27FC236}">
              <a16:creationId xmlns:a16="http://schemas.microsoft.com/office/drawing/2014/main" xmlns="" id="{00000000-0008-0000-0000-000099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810" name="Text Box 3088">
          <a:extLst>
            <a:ext uri="{FF2B5EF4-FFF2-40B4-BE49-F238E27FC236}">
              <a16:creationId xmlns:a16="http://schemas.microsoft.com/office/drawing/2014/main" xmlns="" id="{00000000-0008-0000-0000-00009A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811" name="Text Box 3089">
          <a:extLst>
            <a:ext uri="{FF2B5EF4-FFF2-40B4-BE49-F238E27FC236}">
              <a16:creationId xmlns:a16="http://schemas.microsoft.com/office/drawing/2014/main" xmlns="" id="{00000000-0008-0000-0000-00009B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812" name="Text Box 3090">
          <a:extLst>
            <a:ext uri="{FF2B5EF4-FFF2-40B4-BE49-F238E27FC236}">
              <a16:creationId xmlns:a16="http://schemas.microsoft.com/office/drawing/2014/main" xmlns="" id="{00000000-0008-0000-0000-00009C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813" name="Text Box 3091">
          <a:extLst>
            <a:ext uri="{FF2B5EF4-FFF2-40B4-BE49-F238E27FC236}">
              <a16:creationId xmlns:a16="http://schemas.microsoft.com/office/drawing/2014/main" xmlns="" id="{00000000-0008-0000-0000-00009D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814" name="Text Box 3092">
          <a:extLst>
            <a:ext uri="{FF2B5EF4-FFF2-40B4-BE49-F238E27FC236}">
              <a16:creationId xmlns:a16="http://schemas.microsoft.com/office/drawing/2014/main" xmlns="" id="{00000000-0008-0000-0000-00009E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815" name="Text Box 3093">
          <a:extLst>
            <a:ext uri="{FF2B5EF4-FFF2-40B4-BE49-F238E27FC236}">
              <a16:creationId xmlns:a16="http://schemas.microsoft.com/office/drawing/2014/main" xmlns="" id="{00000000-0008-0000-0000-00009F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816" name="Text Box 3094">
          <a:extLst>
            <a:ext uri="{FF2B5EF4-FFF2-40B4-BE49-F238E27FC236}">
              <a16:creationId xmlns:a16="http://schemas.microsoft.com/office/drawing/2014/main" xmlns="" id="{00000000-0008-0000-0000-0000A0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817" name="Text Box 3095">
          <a:extLst>
            <a:ext uri="{FF2B5EF4-FFF2-40B4-BE49-F238E27FC236}">
              <a16:creationId xmlns:a16="http://schemas.microsoft.com/office/drawing/2014/main" xmlns="" id="{00000000-0008-0000-0000-0000A1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818" name="Text Box 3096">
          <a:extLst>
            <a:ext uri="{FF2B5EF4-FFF2-40B4-BE49-F238E27FC236}">
              <a16:creationId xmlns:a16="http://schemas.microsoft.com/office/drawing/2014/main" xmlns="" id="{00000000-0008-0000-0000-0000A2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819" name="Text Box 3097">
          <a:extLst>
            <a:ext uri="{FF2B5EF4-FFF2-40B4-BE49-F238E27FC236}">
              <a16:creationId xmlns:a16="http://schemas.microsoft.com/office/drawing/2014/main" xmlns="" id="{00000000-0008-0000-0000-0000A3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820" name="Text Box 3098">
          <a:extLst>
            <a:ext uri="{FF2B5EF4-FFF2-40B4-BE49-F238E27FC236}">
              <a16:creationId xmlns:a16="http://schemas.microsoft.com/office/drawing/2014/main" xmlns="" id="{00000000-0008-0000-0000-0000A4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821" name="Text Box 3099">
          <a:extLst>
            <a:ext uri="{FF2B5EF4-FFF2-40B4-BE49-F238E27FC236}">
              <a16:creationId xmlns:a16="http://schemas.microsoft.com/office/drawing/2014/main" xmlns="" id="{00000000-0008-0000-0000-0000A5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822" name="Text Box 3100">
          <a:extLst>
            <a:ext uri="{FF2B5EF4-FFF2-40B4-BE49-F238E27FC236}">
              <a16:creationId xmlns:a16="http://schemas.microsoft.com/office/drawing/2014/main" xmlns="" id="{00000000-0008-0000-0000-0000A6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823" name="Text Box 3101">
          <a:extLst>
            <a:ext uri="{FF2B5EF4-FFF2-40B4-BE49-F238E27FC236}">
              <a16:creationId xmlns:a16="http://schemas.microsoft.com/office/drawing/2014/main" xmlns="" id="{00000000-0008-0000-0000-0000A7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6824" name="Text Box 3102">
          <a:extLst>
            <a:ext uri="{FF2B5EF4-FFF2-40B4-BE49-F238E27FC236}">
              <a16:creationId xmlns:a16="http://schemas.microsoft.com/office/drawing/2014/main" xmlns="" id="{00000000-0008-0000-0000-0000A8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825" name="Text Box 59">
          <a:extLst>
            <a:ext uri="{FF2B5EF4-FFF2-40B4-BE49-F238E27FC236}">
              <a16:creationId xmlns:a16="http://schemas.microsoft.com/office/drawing/2014/main" xmlns="" id="{00000000-0008-0000-0000-0000A9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826" name="Text Box 60">
          <a:extLst>
            <a:ext uri="{FF2B5EF4-FFF2-40B4-BE49-F238E27FC236}">
              <a16:creationId xmlns:a16="http://schemas.microsoft.com/office/drawing/2014/main" xmlns="" id="{00000000-0008-0000-0000-0000AA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827" name="Text Box 61">
          <a:extLst>
            <a:ext uri="{FF2B5EF4-FFF2-40B4-BE49-F238E27FC236}">
              <a16:creationId xmlns:a16="http://schemas.microsoft.com/office/drawing/2014/main" xmlns="" id="{00000000-0008-0000-0000-0000AB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828" name="Text Box 62">
          <a:extLst>
            <a:ext uri="{FF2B5EF4-FFF2-40B4-BE49-F238E27FC236}">
              <a16:creationId xmlns:a16="http://schemas.microsoft.com/office/drawing/2014/main" xmlns="" id="{00000000-0008-0000-0000-0000AC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829" name="Text Box 63">
          <a:extLst>
            <a:ext uri="{FF2B5EF4-FFF2-40B4-BE49-F238E27FC236}">
              <a16:creationId xmlns:a16="http://schemas.microsoft.com/office/drawing/2014/main" xmlns="" id="{00000000-0008-0000-0000-0000AD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830" name="Text Box 64">
          <a:extLst>
            <a:ext uri="{FF2B5EF4-FFF2-40B4-BE49-F238E27FC236}">
              <a16:creationId xmlns:a16="http://schemas.microsoft.com/office/drawing/2014/main" xmlns="" id="{00000000-0008-0000-0000-0000AE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831" name="Text Box 65">
          <a:extLst>
            <a:ext uri="{FF2B5EF4-FFF2-40B4-BE49-F238E27FC236}">
              <a16:creationId xmlns:a16="http://schemas.microsoft.com/office/drawing/2014/main" xmlns="" id="{00000000-0008-0000-0000-0000AF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832" name="Text Box 66">
          <a:extLst>
            <a:ext uri="{FF2B5EF4-FFF2-40B4-BE49-F238E27FC236}">
              <a16:creationId xmlns:a16="http://schemas.microsoft.com/office/drawing/2014/main" xmlns="" id="{00000000-0008-0000-0000-0000B0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833" name="Text Box 67">
          <a:extLst>
            <a:ext uri="{FF2B5EF4-FFF2-40B4-BE49-F238E27FC236}">
              <a16:creationId xmlns:a16="http://schemas.microsoft.com/office/drawing/2014/main" xmlns="" id="{00000000-0008-0000-0000-0000B1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834" name="Text Box 68">
          <a:extLst>
            <a:ext uri="{FF2B5EF4-FFF2-40B4-BE49-F238E27FC236}">
              <a16:creationId xmlns:a16="http://schemas.microsoft.com/office/drawing/2014/main" xmlns="" id="{00000000-0008-0000-0000-0000B2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835" name="Text Box 69">
          <a:extLst>
            <a:ext uri="{FF2B5EF4-FFF2-40B4-BE49-F238E27FC236}">
              <a16:creationId xmlns:a16="http://schemas.microsoft.com/office/drawing/2014/main" xmlns="" id="{00000000-0008-0000-0000-0000B3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836" name="Text Box 70">
          <a:extLst>
            <a:ext uri="{FF2B5EF4-FFF2-40B4-BE49-F238E27FC236}">
              <a16:creationId xmlns:a16="http://schemas.microsoft.com/office/drawing/2014/main" xmlns="" id="{00000000-0008-0000-0000-0000B4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837" name="Text Box 71">
          <a:extLst>
            <a:ext uri="{FF2B5EF4-FFF2-40B4-BE49-F238E27FC236}">
              <a16:creationId xmlns:a16="http://schemas.microsoft.com/office/drawing/2014/main" xmlns="" id="{00000000-0008-0000-0000-0000B5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838" name="Text Box 72">
          <a:extLst>
            <a:ext uri="{FF2B5EF4-FFF2-40B4-BE49-F238E27FC236}">
              <a16:creationId xmlns:a16="http://schemas.microsoft.com/office/drawing/2014/main" xmlns="" id="{00000000-0008-0000-0000-0000B6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839" name="Text Box 73">
          <a:extLst>
            <a:ext uri="{FF2B5EF4-FFF2-40B4-BE49-F238E27FC236}">
              <a16:creationId xmlns:a16="http://schemas.microsoft.com/office/drawing/2014/main" xmlns="" id="{00000000-0008-0000-0000-0000B7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840" name="Text Box 74">
          <a:extLst>
            <a:ext uri="{FF2B5EF4-FFF2-40B4-BE49-F238E27FC236}">
              <a16:creationId xmlns:a16="http://schemas.microsoft.com/office/drawing/2014/main" xmlns="" id="{00000000-0008-0000-0000-0000B8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841" name="Text Box 75">
          <a:extLst>
            <a:ext uri="{FF2B5EF4-FFF2-40B4-BE49-F238E27FC236}">
              <a16:creationId xmlns:a16="http://schemas.microsoft.com/office/drawing/2014/main" xmlns="" id="{00000000-0008-0000-0000-0000B9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842" name="Text Box 76">
          <a:extLst>
            <a:ext uri="{FF2B5EF4-FFF2-40B4-BE49-F238E27FC236}">
              <a16:creationId xmlns:a16="http://schemas.microsoft.com/office/drawing/2014/main" xmlns="" id="{00000000-0008-0000-0000-0000BA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843" name="Text Box 77">
          <a:extLst>
            <a:ext uri="{FF2B5EF4-FFF2-40B4-BE49-F238E27FC236}">
              <a16:creationId xmlns:a16="http://schemas.microsoft.com/office/drawing/2014/main" xmlns="" id="{00000000-0008-0000-0000-0000BB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844" name="Text Box 78">
          <a:extLst>
            <a:ext uri="{FF2B5EF4-FFF2-40B4-BE49-F238E27FC236}">
              <a16:creationId xmlns:a16="http://schemas.microsoft.com/office/drawing/2014/main" xmlns="" id="{00000000-0008-0000-0000-0000BC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845" name="Text Box 79">
          <a:extLst>
            <a:ext uri="{FF2B5EF4-FFF2-40B4-BE49-F238E27FC236}">
              <a16:creationId xmlns:a16="http://schemas.microsoft.com/office/drawing/2014/main" xmlns="" id="{00000000-0008-0000-0000-0000BD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846" name="Text Box 80">
          <a:extLst>
            <a:ext uri="{FF2B5EF4-FFF2-40B4-BE49-F238E27FC236}">
              <a16:creationId xmlns:a16="http://schemas.microsoft.com/office/drawing/2014/main" xmlns="" id="{00000000-0008-0000-0000-0000BE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847" name="Text Box 81">
          <a:extLst>
            <a:ext uri="{FF2B5EF4-FFF2-40B4-BE49-F238E27FC236}">
              <a16:creationId xmlns:a16="http://schemas.microsoft.com/office/drawing/2014/main" xmlns="" id="{00000000-0008-0000-0000-0000BF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47625"/>
    <xdr:sp macro="" textlink="">
      <xdr:nvSpPr>
        <xdr:cNvPr id="6848" name="Text Box 82">
          <a:extLst>
            <a:ext uri="{FF2B5EF4-FFF2-40B4-BE49-F238E27FC236}">
              <a16:creationId xmlns:a16="http://schemas.microsoft.com/office/drawing/2014/main" xmlns="" id="{00000000-0008-0000-0000-0000C0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849" name="Text Box 3079">
          <a:extLst>
            <a:ext uri="{FF2B5EF4-FFF2-40B4-BE49-F238E27FC236}">
              <a16:creationId xmlns:a16="http://schemas.microsoft.com/office/drawing/2014/main" xmlns="" id="{00000000-0008-0000-0000-0000C1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850" name="Text Box 3080">
          <a:extLst>
            <a:ext uri="{FF2B5EF4-FFF2-40B4-BE49-F238E27FC236}">
              <a16:creationId xmlns:a16="http://schemas.microsoft.com/office/drawing/2014/main" xmlns="" id="{00000000-0008-0000-0000-0000C2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851" name="Text Box 3081">
          <a:extLst>
            <a:ext uri="{FF2B5EF4-FFF2-40B4-BE49-F238E27FC236}">
              <a16:creationId xmlns:a16="http://schemas.microsoft.com/office/drawing/2014/main" xmlns="" id="{00000000-0008-0000-0000-0000C3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852" name="Text Box 3082">
          <a:extLst>
            <a:ext uri="{FF2B5EF4-FFF2-40B4-BE49-F238E27FC236}">
              <a16:creationId xmlns:a16="http://schemas.microsoft.com/office/drawing/2014/main" xmlns="" id="{00000000-0008-0000-0000-0000C4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853" name="Text Box 3083">
          <a:extLst>
            <a:ext uri="{FF2B5EF4-FFF2-40B4-BE49-F238E27FC236}">
              <a16:creationId xmlns:a16="http://schemas.microsoft.com/office/drawing/2014/main" xmlns="" id="{00000000-0008-0000-0000-0000C5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854" name="Text Box 3084">
          <a:extLst>
            <a:ext uri="{FF2B5EF4-FFF2-40B4-BE49-F238E27FC236}">
              <a16:creationId xmlns:a16="http://schemas.microsoft.com/office/drawing/2014/main" xmlns="" id="{00000000-0008-0000-0000-0000C6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855" name="Text Box 3085">
          <a:extLst>
            <a:ext uri="{FF2B5EF4-FFF2-40B4-BE49-F238E27FC236}">
              <a16:creationId xmlns:a16="http://schemas.microsoft.com/office/drawing/2014/main" xmlns="" id="{00000000-0008-0000-0000-0000C7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856" name="Text Box 3086">
          <a:extLst>
            <a:ext uri="{FF2B5EF4-FFF2-40B4-BE49-F238E27FC236}">
              <a16:creationId xmlns:a16="http://schemas.microsoft.com/office/drawing/2014/main" xmlns="" id="{00000000-0008-0000-0000-0000C8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857" name="Text Box 3087">
          <a:extLst>
            <a:ext uri="{FF2B5EF4-FFF2-40B4-BE49-F238E27FC236}">
              <a16:creationId xmlns:a16="http://schemas.microsoft.com/office/drawing/2014/main" xmlns="" id="{00000000-0008-0000-0000-0000C9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858" name="Text Box 3088">
          <a:extLst>
            <a:ext uri="{FF2B5EF4-FFF2-40B4-BE49-F238E27FC236}">
              <a16:creationId xmlns:a16="http://schemas.microsoft.com/office/drawing/2014/main" xmlns="" id="{00000000-0008-0000-0000-0000CA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859" name="Text Box 3089">
          <a:extLst>
            <a:ext uri="{FF2B5EF4-FFF2-40B4-BE49-F238E27FC236}">
              <a16:creationId xmlns:a16="http://schemas.microsoft.com/office/drawing/2014/main" xmlns="" id="{00000000-0008-0000-0000-0000CB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860" name="Text Box 3090">
          <a:extLst>
            <a:ext uri="{FF2B5EF4-FFF2-40B4-BE49-F238E27FC236}">
              <a16:creationId xmlns:a16="http://schemas.microsoft.com/office/drawing/2014/main" xmlns="" id="{00000000-0008-0000-0000-0000CC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861" name="Text Box 3091">
          <a:extLst>
            <a:ext uri="{FF2B5EF4-FFF2-40B4-BE49-F238E27FC236}">
              <a16:creationId xmlns:a16="http://schemas.microsoft.com/office/drawing/2014/main" xmlns="" id="{00000000-0008-0000-0000-0000CD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862" name="Text Box 3092">
          <a:extLst>
            <a:ext uri="{FF2B5EF4-FFF2-40B4-BE49-F238E27FC236}">
              <a16:creationId xmlns:a16="http://schemas.microsoft.com/office/drawing/2014/main" xmlns="" id="{00000000-0008-0000-0000-0000CE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863" name="Text Box 3093">
          <a:extLst>
            <a:ext uri="{FF2B5EF4-FFF2-40B4-BE49-F238E27FC236}">
              <a16:creationId xmlns:a16="http://schemas.microsoft.com/office/drawing/2014/main" xmlns="" id="{00000000-0008-0000-0000-0000CF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864" name="Text Box 3094">
          <a:extLst>
            <a:ext uri="{FF2B5EF4-FFF2-40B4-BE49-F238E27FC236}">
              <a16:creationId xmlns:a16="http://schemas.microsoft.com/office/drawing/2014/main" xmlns="" id="{00000000-0008-0000-0000-0000D0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865" name="Text Box 3095">
          <a:extLst>
            <a:ext uri="{FF2B5EF4-FFF2-40B4-BE49-F238E27FC236}">
              <a16:creationId xmlns:a16="http://schemas.microsoft.com/office/drawing/2014/main" xmlns="" id="{00000000-0008-0000-0000-0000D1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866" name="Text Box 3096">
          <a:extLst>
            <a:ext uri="{FF2B5EF4-FFF2-40B4-BE49-F238E27FC236}">
              <a16:creationId xmlns:a16="http://schemas.microsoft.com/office/drawing/2014/main" xmlns="" id="{00000000-0008-0000-0000-0000D2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867" name="Text Box 3097">
          <a:extLst>
            <a:ext uri="{FF2B5EF4-FFF2-40B4-BE49-F238E27FC236}">
              <a16:creationId xmlns:a16="http://schemas.microsoft.com/office/drawing/2014/main" xmlns="" id="{00000000-0008-0000-0000-0000D3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868" name="Text Box 3098">
          <a:extLst>
            <a:ext uri="{FF2B5EF4-FFF2-40B4-BE49-F238E27FC236}">
              <a16:creationId xmlns:a16="http://schemas.microsoft.com/office/drawing/2014/main" xmlns="" id="{00000000-0008-0000-0000-0000D4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869" name="Text Box 3099">
          <a:extLst>
            <a:ext uri="{FF2B5EF4-FFF2-40B4-BE49-F238E27FC236}">
              <a16:creationId xmlns:a16="http://schemas.microsoft.com/office/drawing/2014/main" xmlns="" id="{00000000-0008-0000-0000-0000D5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870" name="Text Box 3100">
          <a:extLst>
            <a:ext uri="{FF2B5EF4-FFF2-40B4-BE49-F238E27FC236}">
              <a16:creationId xmlns:a16="http://schemas.microsoft.com/office/drawing/2014/main" xmlns="" id="{00000000-0008-0000-0000-0000D6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871" name="Text Box 3101">
          <a:extLst>
            <a:ext uri="{FF2B5EF4-FFF2-40B4-BE49-F238E27FC236}">
              <a16:creationId xmlns:a16="http://schemas.microsoft.com/office/drawing/2014/main" xmlns="" id="{00000000-0008-0000-0000-0000D7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6872" name="Text Box 3102">
          <a:extLst>
            <a:ext uri="{FF2B5EF4-FFF2-40B4-BE49-F238E27FC236}">
              <a16:creationId xmlns:a16="http://schemas.microsoft.com/office/drawing/2014/main" xmlns="" id="{00000000-0008-0000-0000-0000D8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873" name="Text Box 59">
          <a:extLst>
            <a:ext uri="{FF2B5EF4-FFF2-40B4-BE49-F238E27FC236}">
              <a16:creationId xmlns:a16="http://schemas.microsoft.com/office/drawing/2014/main" xmlns="" id="{00000000-0008-0000-0000-0000D9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874" name="Text Box 60">
          <a:extLst>
            <a:ext uri="{FF2B5EF4-FFF2-40B4-BE49-F238E27FC236}">
              <a16:creationId xmlns:a16="http://schemas.microsoft.com/office/drawing/2014/main" xmlns="" id="{00000000-0008-0000-0000-0000DA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875" name="Text Box 61">
          <a:extLst>
            <a:ext uri="{FF2B5EF4-FFF2-40B4-BE49-F238E27FC236}">
              <a16:creationId xmlns:a16="http://schemas.microsoft.com/office/drawing/2014/main" xmlns="" id="{00000000-0008-0000-0000-0000DB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876" name="Text Box 62">
          <a:extLst>
            <a:ext uri="{FF2B5EF4-FFF2-40B4-BE49-F238E27FC236}">
              <a16:creationId xmlns:a16="http://schemas.microsoft.com/office/drawing/2014/main" xmlns="" id="{00000000-0008-0000-0000-0000DC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877" name="Text Box 63">
          <a:extLst>
            <a:ext uri="{FF2B5EF4-FFF2-40B4-BE49-F238E27FC236}">
              <a16:creationId xmlns:a16="http://schemas.microsoft.com/office/drawing/2014/main" xmlns="" id="{00000000-0008-0000-0000-0000DD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878" name="Text Box 64">
          <a:extLst>
            <a:ext uri="{FF2B5EF4-FFF2-40B4-BE49-F238E27FC236}">
              <a16:creationId xmlns:a16="http://schemas.microsoft.com/office/drawing/2014/main" xmlns="" id="{00000000-0008-0000-0000-0000DE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879" name="Text Box 65">
          <a:extLst>
            <a:ext uri="{FF2B5EF4-FFF2-40B4-BE49-F238E27FC236}">
              <a16:creationId xmlns:a16="http://schemas.microsoft.com/office/drawing/2014/main" xmlns="" id="{00000000-0008-0000-0000-0000DF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880" name="Text Box 66">
          <a:extLst>
            <a:ext uri="{FF2B5EF4-FFF2-40B4-BE49-F238E27FC236}">
              <a16:creationId xmlns:a16="http://schemas.microsoft.com/office/drawing/2014/main" xmlns="" id="{00000000-0008-0000-0000-0000E0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881" name="Text Box 67">
          <a:extLst>
            <a:ext uri="{FF2B5EF4-FFF2-40B4-BE49-F238E27FC236}">
              <a16:creationId xmlns:a16="http://schemas.microsoft.com/office/drawing/2014/main" xmlns="" id="{00000000-0008-0000-0000-0000E1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882" name="Text Box 68">
          <a:extLst>
            <a:ext uri="{FF2B5EF4-FFF2-40B4-BE49-F238E27FC236}">
              <a16:creationId xmlns:a16="http://schemas.microsoft.com/office/drawing/2014/main" xmlns="" id="{00000000-0008-0000-0000-0000E2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883" name="Text Box 69">
          <a:extLst>
            <a:ext uri="{FF2B5EF4-FFF2-40B4-BE49-F238E27FC236}">
              <a16:creationId xmlns:a16="http://schemas.microsoft.com/office/drawing/2014/main" xmlns="" id="{00000000-0008-0000-0000-0000E3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884" name="Text Box 70">
          <a:extLst>
            <a:ext uri="{FF2B5EF4-FFF2-40B4-BE49-F238E27FC236}">
              <a16:creationId xmlns:a16="http://schemas.microsoft.com/office/drawing/2014/main" xmlns="" id="{00000000-0008-0000-0000-0000E4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885" name="Text Box 71">
          <a:extLst>
            <a:ext uri="{FF2B5EF4-FFF2-40B4-BE49-F238E27FC236}">
              <a16:creationId xmlns:a16="http://schemas.microsoft.com/office/drawing/2014/main" xmlns="" id="{00000000-0008-0000-0000-0000E5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886" name="Text Box 72">
          <a:extLst>
            <a:ext uri="{FF2B5EF4-FFF2-40B4-BE49-F238E27FC236}">
              <a16:creationId xmlns:a16="http://schemas.microsoft.com/office/drawing/2014/main" xmlns="" id="{00000000-0008-0000-0000-0000E6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887" name="Text Box 73">
          <a:extLst>
            <a:ext uri="{FF2B5EF4-FFF2-40B4-BE49-F238E27FC236}">
              <a16:creationId xmlns:a16="http://schemas.microsoft.com/office/drawing/2014/main" xmlns="" id="{00000000-0008-0000-0000-0000E7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888" name="Text Box 74">
          <a:extLst>
            <a:ext uri="{FF2B5EF4-FFF2-40B4-BE49-F238E27FC236}">
              <a16:creationId xmlns:a16="http://schemas.microsoft.com/office/drawing/2014/main" xmlns="" id="{00000000-0008-0000-0000-0000E8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889" name="Text Box 75">
          <a:extLst>
            <a:ext uri="{FF2B5EF4-FFF2-40B4-BE49-F238E27FC236}">
              <a16:creationId xmlns:a16="http://schemas.microsoft.com/office/drawing/2014/main" xmlns="" id="{00000000-0008-0000-0000-0000E9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890" name="Text Box 76">
          <a:extLst>
            <a:ext uri="{FF2B5EF4-FFF2-40B4-BE49-F238E27FC236}">
              <a16:creationId xmlns:a16="http://schemas.microsoft.com/office/drawing/2014/main" xmlns="" id="{00000000-0008-0000-0000-0000EA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891" name="Text Box 77">
          <a:extLst>
            <a:ext uri="{FF2B5EF4-FFF2-40B4-BE49-F238E27FC236}">
              <a16:creationId xmlns:a16="http://schemas.microsoft.com/office/drawing/2014/main" xmlns="" id="{00000000-0008-0000-0000-0000EB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892" name="Text Box 78">
          <a:extLst>
            <a:ext uri="{FF2B5EF4-FFF2-40B4-BE49-F238E27FC236}">
              <a16:creationId xmlns:a16="http://schemas.microsoft.com/office/drawing/2014/main" xmlns="" id="{00000000-0008-0000-0000-0000EC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893" name="Text Box 79">
          <a:extLst>
            <a:ext uri="{FF2B5EF4-FFF2-40B4-BE49-F238E27FC236}">
              <a16:creationId xmlns:a16="http://schemas.microsoft.com/office/drawing/2014/main" xmlns="" id="{00000000-0008-0000-0000-0000ED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894" name="Text Box 80">
          <a:extLst>
            <a:ext uri="{FF2B5EF4-FFF2-40B4-BE49-F238E27FC236}">
              <a16:creationId xmlns:a16="http://schemas.microsoft.com/office/drawing/2014/main" xmlns="" id="{00000000-0008-0000-0000-0000EE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895" name="Text Box 81">
          <a:extLst>
            <a:ext uri="{FF2B5EF4-FFF2-40B4-BE49-F238E27FC236}">
              <a16:creationId xmlns:a16="http://schemas.microsoft.com/office/drawing/2014/main" xmlns="" id="{00000000-0008-0000-0000-0000EF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896" name="Text Box 3079">
          <a:extLst>
            <a:ext uri="{FF2B5EF4-FFF2-40B4-BE49-F238E27FC236}">
              <a16:creationId xmlns:a16="http://schemas.microsoft.com/office/drawing/2014/main" xmlns="" id="{00000000-0008-0000-0000-0000F0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897" name="Text Box 3080">
          <a:extLst>
            <a:ext uri="{FF2B5EF4-FFF2-40B4-BE49-F238E27FC236}">
              <a16:creationId xmlns:a16="http://schemas.microsoft.com/office/drawing/2014/main" xmlns="" id="{00000000-0008-0000-0000-0000F1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898" name="Text Box 3081">
          <a:extLst>
            <a:ext uri="{FF2B5EF4-FFF2-40B4-BE49-F238E27FC236}">
              <a16:creationId xmlns:a16="http://schemas.microsoft.com/office/drawing/2014/main" xmlns="" id="{00000000-0008-0000-0000-0000F2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899" name="Text Box 3082">
          <a:extLst>
            <a:ext uri="{FF2B5EF4-FFF2-40B4-BE49-F238E27FC236}">
              <a16:creationId xmlns:a16="http://schemas.microsoft.com/office/drawing/2014/main" xmlns="" id="{00000000-0008-0000-0000-0000F3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900" name="Text Box 3083">
          <a:extLst>
            <a:ext uri="{FF2B5EF4-FFF2-40B4-BE49-F238E27FC236}">
              <a16:creationId xmlns:a16="http://schemas.microsoft.com/office/drawing/2014/main" xmlns="" id="{00000000-0008-0000-0000-0000F4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901" name="Text Box 3084">
          <a:extLst>
            <a:ext uri="{FF2B5EF4-FFF2-40B4-BE49-F238E27FC236}">
              <a16:creationId xmlns:a16="http://schemas.microsoft.com/office/drawing/2014/main" xmlns="" id="{00000000-0008-0000-0000-0000F5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902" name="Text Box 3085">
          <a:extLst>
            <a:ext uri="{FF2B5EF4-FFF2-40B4-BE49-F238E27FC236}">
              <a16:creationId xmlns:a16="http://schemas.microsoft.com/office/drawing/2014/main" xmlns="" id="{00000000-0008-0000-0000-0000F6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903" name="Text Box 3086">
          <a:extLst>
            <a:ext uri="{FF2B5EF4-FFF2-40B4-BE49-F238E27FC236}">
              <a16:creationId xmlns:a16="http://schemas.microsoft.com/office/drawing/2014/main" xmlns="" id="{00000000-0008-0000-0000-0000F7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904" name="Text Box 3087">
          <a:extLst>
            <a:ext uri="{FF2B5EF4-FFF2-40B4-BE49-F238E27FC236}">
              <a16:creationId xmlns:a16="http://schemas.microsoft.com/office/drawing/2014/main" xmlns="" id="{00000000-0008-0000-0000-0000F8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905" name="Text Box 3088">
          <a:extLst>
            <a:ext uri="{FF2B5EF4-FFF2-40B4-BE49-F238E27FC236}">
              <a16:creationId xmlns:a16="http://schemas.microsoft.com/office/drawing/2014/main" xmlns="" id="{00000000-0008-0000-0000-0000F9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906" name="Text Box 3089">
          <a:extLst>
            <a:ext uri="{FF2B5EF4-FFF2-40B4-BE49-F238E27FC236}">
              <a16:creationId xmlns:a16="http://schemas.microsoft.com/office/drawing/2014/main" xmlns="" id="{00000000-0008-0000-0000-0000FA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907" name="Text Box 3090">
          <a:extLst>
            <a:ext uri="{FF2B5EF4-FFF2-40B4-BE49-F238E27FC236}">
              <a16:creationId xmlns:a16="http://schemas.microsoft.com/office/drawing/2014/main" xmlns="" id="{00000000-0008-0000-0000-0000FB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908" name="Text Box 3091">
          <a:extLst>
            <a:ext uri="{FF2B5EF4-FFF2-40B4-BE49-F238E27FC236}">
              <a16:creationId xmlns:a16="http://schemas.microsoft.com/office/drawing/2014/main" xmlns="" id="{00000000-0008-0000-0000-0000FC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909" name="Text Box 3092">
          <a:extLst>
            <a:ext uri="{FF2B5EF4-FFF2-40B4-BE49-F238E27FC236}">
              <a16:creationId xmlns:a16="http://schemas.microsoft.com/office/drawing/2014/main" xmlns="" id="{00000000-0008-0000-0000-0000FD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910" name="Text Box 3093">
          <a:extLst>
            <a:ext uri="{FF2B5EF4-FFF2-40B4-BE49-F238E27FC236}">
              <a16:creationId xmlns:a16="http://schemas.microsoft.com/office/drawing/2014/main" xmlns="" id="{00000000-0008-0000-0000-0000FE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911" name="Text Box 3094">
          <a:extLst>
            <a:ext uri="{FF2B5EF4-FFF2-40B4-BE49-F238E27FC236}">
              <a16:creationId xmlns:a16="http://schemas.microsoft.com/office/drawing/2014/main" xmlns="" id="{00000000-0008-0000-0000-0000FF1A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912" name="Text Box 3095">
          <a:extLst>
            <a:ext uri="{FF2B5EF4-FFF2-40B4-BE49-F238E27FC236}">
              <a16:creationId xmlns:a16="http://schemas.microsoft.com/office/drawing/2014/main" xmlns="" id="{00000000-0008-0000-0000-000000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913" name="Text Box 3096">
          <a:extLst>
            <a:ext uri="{FF2B5EF4-FFF2-40B4-BE49-F238E27FC236}">
              <a16:creationId xmlns:a16="http://schemas.microsoft.com/office/drawing/2014/main" xmlns="" id="{00000000-0008-0000-0000-000001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914" name="Text Box 3097">
          <a:extLst>
            <a:ext uri="{FF2B5EF4-FFF2-40B4-BE49-F238E27FC236}">
              <a16:creationId xmlns:a16="http://schemas.microsoft.com/office/drawing/2014/main" xmlns="" id="{00000000-0008-0000-0000-000002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915" name="Text Box 3098">
          <a:extLst>
            <a:ext uri="{FF2B5EF4-FFF2-40B4-BE49-F238E27FC236}">
              <a16:creationId xmlns:a16="http://schemas.microsoft.com/office/drawing/2014/main" xmlns="" id="{00000000-0008-0000-0000-000003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916" name="Text Box 3099">
          <a:extLst>
            <a:ext uri="{FF2B5EF4-FFF2-40B4-BE49-F238E27FC236}">
              <a16:creationId xmlns:a16="http://schemas.microsoft.com/office/drawing/2014/main" xmlns="" id="{00000000-0008-0000-0000-000004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917" name="Text Box 3100">
          <a:extLst>
            <a:ext uri="{FF2B5EF4-FFF2-40B4-BE49-F238E27FC236}">
              <a16:creationId xmlns:a16="http://schemas.microsoft.com/office/drawing/2014/main" xmlns="" id="{00000000-0008-0000-0000-000005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918" name="Text Box 3101">
          <a:extLst>
            <a:ext uri="{FF2B5EF4-FFF2-40B4-BE49-F238E27FC236}">
              <a16:creationId xmlns:a16="http://schemas.microsoft.com/office/drawing/2014/main" xmlns="" id="{00000000-0008-0000-0000-000006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6919" name="Text Box 3102">
          <a:extLst>
            <a:ext uri="{FF2B5EF4-FFF2-40B4-BE49-F238E27FC236}">
              <a16:creationId xmlns:a16="http://schemas.microsoft.com/office/drawing/2014/main" xmlns="" id="{00000000-0008-0000-0000-000007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920" name="Text Box 59">
          <a:extLst>
            <a:ext uri="{FF2B5EF4-FFF2-40B4-BE49-F238E27FC236}">
              <a16:creationId xmlns:a16="http://schemas.microsoft.com/office/drawing/2014/main" xmlns="" id="{00000000-0008-0000-0000-000008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921" name="Text Box 60">
          <a:extLst>
            <a:ext uri="{FF2B5EF4-FFF2-40B4-BE49-F238E27FC236}">
              <a16:creationId xmlns:a16="http://schemas.microsoft.com/office/drawing/2014/main" xmlns="" id="{00000000-0008-0000-0000-000009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922" name="Text Box 61">
          <a:extLst>
            <a:ext uri="{FF2B5EF4-FFF2-40B4-BE49-F238E27FC236}">
              <a16:creationId xmlns:a16="http://schemas.microsoft.com/office/drawing/2014/main" xmlns="" id="{00000000-0008-0000-0000-00000A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923" name="Text Box 62">
          <a:extLst>
            <a:ext uri="{FF2B5EF4-FFF2-40B4-BE49-F238E27FC236}">
              <a16:creationId xmlns:a16="http://schemas.microsoft.com/office/drawing/2014/main" xmlns="" id="{00000000-0008-0000-0000-00000B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924" name="Text Box 63">
          <a:extLst>
            <a:ext uri="{FF2B5EF4-FFF2-40B4-BE49-F238E27FC236}">
              <a16:creationId xmlns:a16="http://schemas.microsoft.com/office/drawing/2014/main" xmlns="" id="{00000000-0008-0000-0000-00000C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925" name="Text Box 64">
          <a:extLst>
            <a:ext uri="{FF2B5EF4-FFF2-40B4-BE49-F238E27FC236}">
              <a16:creationId xmlns:a16="http://schemas.microsoft.com/office/drawing/2014/main" xmlns="" id="{00000000-0008-0000-0000-00000D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926" name="Text Box 65">
          <a:extLst>
            <a:ext uri="{FF2B5EF4-FFF2-40B4-BE49-F238E27FC236}">
              <a16:creationId xmlns:a16="http://schemas.microsoft.com/office/drawing/2014/main" xmlns="" id="{00000000-0008-0000-0000-00000E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927" name="Text Box 66">
          <a:extLst>
            <a:ext uri="{FF2B5EF4-FFF2-40B4-BE49-F238E27FC236}">
              <a16:creationId xmlns:a16="http://schemas.microsoft.com/office/drawing/2014/main" xmlns="" id="{00000000-0008-0000-0000-00000F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928" name="Text Box 67">
          <a:extLst>
            <a:ext uri="{FF2B5EF4-FFF2-40B4-BE49-F238E27FC236}">
              <a16:creationId xmlns:a16="http://schemas.microsoft.com/office/drawing/2014/main" xmlns="" id="{00000000-0008-0000-0000-000010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929" name="Text Box 68">
          <a:extLst>
            <a:ext uri="{FF2B5EF4-FFF2-40B4-BE49-F238E27FC236}">
              <a16:creationId xmlns:a16="http://schemas.microsoft.com/office/drawing/2014/main" xmlns="" id="{00000000-0008-0000-0000-000011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930" name="Text Box 69">
          <a:extLst>
            <a:ext uri="{FF2B5EF4-FFF2-40B4-BE49-F238E27FC236}">
              <a16:creationId xmlns:a16="http://schemas.microsoft.com/office/drawing/2014/main" xmlns="" id="{00000000-0008-0000-0000-000012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931" name="Text Box 70">
          <a:extLst>
            <a:ext uri="{FF2B5EF4-FFF2-40B4-BE49-F238E27FC236}">
              <a16:creationId xmlns:a16="http://schemas.microsoft.com/office/drawing/2014/main" xmlns="" id="{00000000-0008-0000-0000-000013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932" name="Text Box 71">
          <a:extLst>
            <a:ext uri="{FF2B5EF4-FFF2-40B4-BE49-F238E27FC236}">
              <a16:creationId xmlns:a16="http://schemas.microsoft.com/office/drawing/2014/main" xmlns="" id="{00000000-0008-0000-0000-000014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933" name="Text Box 72">
          <a:extLst>
            <a:ext uri="{FF2B5EF4-FFF2-40B4-BE49-F238E27FC236}">
              <a16:creationId xmlns:a16="http://schemas.microsoft.com/office/drawing/2014/main" xmlns="" id="{00000000-0008-0000-0000-000015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934" name="Text Box 73">
          <a:extLst>
            <a:ext uri="{FF2B5EF4-FFF2-40B4-BE49-F238E27FC236}">
              <a16:creationId xmlns:a16="http://schemas.microsoft.com/office/drawing/2014/main" xmlns="" id="{00000000-0008-0000-0000-000016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935" name="Text Box 74">
          <a:extLst>
            <a:ext uri="{FF2B5EF4-FFF2-40B4-BE49-F238E27FC236}">
              <a16:creationId xmlns:a16="http://schemas.microsoft.com/office/drawing/2014/main" xmlns="" id="{00000000-0008-0000-0000-000017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936" name="Text Box 75">
          <a:extLst>
            <a:ext uri="{FF2B5EF4-FFF2-40B4-BE49-F238E27FC236}">
              <a16:creationId xmlns:a16="http://schemas.microsoft.com/office/drawing/2014/main" xmlns="" id="{00000000-0008-0000-0000-000018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937" name="Text Box 76">
          <a:extLst>
            <a:ext uri="{FF2B5EF4-FFF2-40B4-BE49-F238E27FC236}">
              <a16:creationId xmlns:a16="http://schemas.microsoft.com/office/drawing/2014/main" xmlns="" id="{00000000-0008-0000-0000-000019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938" name="Text Box 77">
          <a:extLst>
            <a:ext uri="{FF2B5EF4-FFF2-40B4-BE49-F238E27FC236}">
              <a16:creationId xmlns:a16="http://schemas.microsoft.com/office/drawing/2014/main" xmlns="" id="{00000000-0008-0000-0000-00001A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939" name="Text Box 78">
          <a:extLst>
            <a:ext uri="{FF2B5EF4-FFF2-40B4-BE49-F238E27FC236}">
              <a16:creationId xmlns:a16="http://schemas.microsoft.com/office/drawing/2014/main" xmlns="" id="{00000000-0008-0000-0000-00001B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940" name="Text Box 79">
          <a:extLst>
            <a:ext uri="{FF2B5EF4-FFF2-40B4-BE49-F238E27FC236}">
              <a16:creationId xmlns:a16="http://schemas.microsoft.com/office/drawing/2014/main" xmlns="" id="{00000000-0008-0000-0000-00001C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941" name="Text Box 80">
          <a:extLst>
            <a:ext uri="{FF2B5EF4-FFF2-40B4-BE49-F238E27FC236}">
              <a16:creationId xmlns:a16="http://schemas.microsoft.com/office/drawing/2014/main" xmlns="" id="{00000000-0008-0000-0000-00001D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942" name="Text Box 81">
          <a:extLst>
            <a:ext uri="{FF2B5EF4-FFF2-40B4-BE49-F238E27FC236}">
              <a16:creationId xmlns:a16="http://schemas.microsoft.com/office/drawing/2014/main" xmlns="" id="{00000000-0008-0000-0000-00001E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47625"/>
    <xdr:sp macro="" textlink="">
      <xdr:nvSpPr>
        <xdr:cNvPr id="6943" name="Text Box 82">
          <a:extLst>
            <a:ext uri="{FF2B5EF4-FFF2-40B4-BE49-F238E27FC236}">
              <a16:creationId xmlns:a16="http://schemas.microsoft.com/office/drawing/2014/main" xmlns="" id="{00000000-0008-0000-0000-00001F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944" name="Text Box 3079">
          <a:extLst>
            <a:ext uri="{FF2B5EF4-FFF2-40B4-BE49-F238E27FC236}">
              <a16:creationId xmlns:a16="http://schemas.microsoft.com/office/drawing/2014/main" xmlns="" id="{00000000-0008-0000-0000-000020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945" name="Text Box 3080">
          <a:extLst>
            <a:ext uri="{FF2B5EF4-FFF2-40B4-BE49-F238E27FC236}">
              <a16:creationId xmlns:a16="http://schemas.microsoft.com/office/drawing/2014/main" xmlns="" id="{00000000-0008-0000-0000-000021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946" name="Text Box 3081">
          <a:extLst>
            <a:ext uri="{FF2B5EF4-FFF2-40B4-BE49-F238E27FC236}">
              <a16:creationId xmlns:a16="http://schemas.microsoft.com/office/drawing/2014/main" xmlns="" id="{00000000-0008-0000-0000-000022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947" name="Text Box 3082">
          <a:extLst>
            <a:ext uri="{FF2B5EF4-FFF2-40B4-BE49-F238E27FC236}">
              <a16:creationId xmlns:a16="http://schemas.microsoft.com/office/drawing/2014/main" xmlns="" id="{00000000-0008-0000-0000-000023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948" name="Text Box 3083">
          <a:extLst>
            <a:ext uri="{FF2B5EF4-FFF2-40B4-BE49-F238E27FC236}">
              <a16:creationId xmlns:a16="http://schemas.microsoft.com/office/drawing/2014/main" xmlns="" id="{00000000-0008-0000-0000-000024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949" name="Text Box 3084">
          <a:extLst>
            <a:ext uri="{FF2B5EF4-FFF2-40B4-BE49-F238E27FC236}">
              <a16:creationId xmlns:a16="http://schemas.microsoft.com/office/drawing/2014/main" xmlns="" id="{00000000-0008-0000-0000-000025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950" name="Text Box 3085">
          <a:extLst>
            <a:ext uri="{FF2B5EF4-FFF2-40B4-BE49-F238E27FC236}">
              <a16:creationId xmlns:a16="http://schemas.microsoft.com/office/drawing/2014/main" xmlns="" id="{00000000-0008-0000-0000-000026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951" name="Text Box 3086">
          <a:extLst>
            <a:ext uri="{FF2B5EF4-FFF2-40B4-BE49-F238E27FC236}">
              <a16:creationId xmlns:a16="http://schemas.microsoft.com/office/drawing/2014/main" xmlns="" id="{00000000-0008-0000-0000-000027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952" name="Text Box 3087">
          <a:extLst>
            <a:ext uri="{FF2B5EF4-FFF2-40B4-BE49-F238E27FC236}">
              <a16:creationId xmlns:a16="http://schemas.microsoft.com/office/drawing/2014/main" xmlns="" id="{00000000-0008-0000-0000-000028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953" name="Text Box 3088">
          <a:extLst>
            <a:ext uri="{FF2B5EF4-FFF2-40B4-BE49-F238E27FC236}">
              <a16:creationId xmlns:a16="http://schemas.microsoft.com/office/drawing/2014/main" xmlns="" id="{00000000-0008-0000-0000-000029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954" name="Text Box 3089">
          <a:extLst>
            <a:ext uri="{FF2B5EF4-FFF2-40B4-BE49-F238E27FC236}">
              <a16:creationId xmlns:a16="http://schemas.microsoft.com/office/drawing/2014/main" xmlns="" id="{00000000-0008-0000-0000-00002A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955" name="Text Box 3090">
          <a:extLst>
            <a:ext uri="{FF2B5EF4-FFF2-40B4-BE49-F238E27FC236}">
              <a16:creationId xmlns:a16="http://schemas.microsoft.com/office/drawing/2014/main" xmlns="" id="{00000000-0008-0000-0000-00002B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956" name="Text Box 3091">
          <a:extLst>
            <a:ext uri="{FF2B5EF4-FFF2-40B4-BE49-F238E27FC236}">
              <a16:creationId xmlns:a16="http://schemas.microsoft.com/office/drawing/2014/main" xmlns="" id="{00000000-0008-0000-0000-00002C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957" name="Text Box 3092">
          <a:extLst>
            <a:ext uri="{FF2B5EF4-FFF2-40B4-BE49-F238E27FC236}">
              <a16:creationId xmlns:a16="http://schemas.microsoft.com/office/drawing/2014/main" xmlns="" id="{00000000-0008-0000-0000-00002D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958" name="Text Box 3093">
          <a:extLst>
            <a:ext uri="{FF2B5EF4-FFF2-40B4-BE49-F238E27FC236}">
              <a16:creationId xmlns:a16="http://schemas.microsoft.com/office/drawing/2014/main" xmlns="" id="{00000000-0008-0000-0000-00002E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959" name="Text Box 3094">
          <a:extLst>
            <a:ext uri="{FF2B5EF4-FFF2-40B4-BE49-F238E27FC236}">
              <a16:creationId xmlns:a16="http://schemas.microsoft.com/office/drawing/2014/main" xmlns="" id="{00000000-0008-0000-0000-00002F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960" name="Text Box 3095">
          <a:extLst>
            <a:ext uri="{FF2B5EF4-FFF2-40B4-BE49-F238E27FC236}">
              <a16:creationId xmlns:a16="http://schemas.microsoft.com/office/drawing/2014/main" xmlns="" id="{00000000-0008-0000-0000-000030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961" name="Text Box 3096">
          <a:extLst>
            <a:ext uri="{FF2B5EF4-FFF2-40B4-BE49-F238E27FC236}">
              <a16:creationId xmlns:a16="http://schemas.microsoft.com/office/drawing/2014/main" xmlns="" id="{00000000-0008-0000-0000-000031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962" name="Text Box 3097">
          <a:extLst>
            <a:ext uri="{FF2B5EF4-FFF2-40B4-BE49-F238E27FC236}">
              <a16:creationId xmlns:a16="http://schemas.microsoft.com/office/drawing/2014/main" xmlns="" id="{00000000-0008-0000-0000-000032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963" name="Text Box 3098">
          <a:extLst>
            <a:ext uri="{FF2B5EF4-FFF2-40B4-BE49-F238E27FC236}">
              <a16:creationId xmlns:a16="http://schemas.microsoft.com/office/drawing/2014/main" xmlns="" id="{00000000-0008-0000-0000-000033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964" name="Text Box 3099">
          <a:extLst>
            <a:ext uri="{FF2B5EF4-FFF2-40B4-BE49-F238E27FC236}">
              <a16:creationId xmlns:a16="http://schemas.microsoft.com/office/drawing/2014/main" xmlns="" id="{00000000-0008-0000-0000-000034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965" name="Text Box 3100">
          <a:extLst>
            <a:ext uri="{FF2B5EF4-FFF2-40B4-BE49-F238E27FC236}">
              <a16:creationId xmlns:a16="http://schemas.microsoft.com/office/drawing/2014/main" xmlns="" id="{00000000-0008-0000-0000-000035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966" name="Text Box 3101">
          <a:extLst>
            <a:ext uri="{FF2B5EF4-FFF2-40B4-BE49-F238E27FC236}">
              <a16:creationId xmlns:a16="http://schemas.microsoft.com/office/drawing/2014/main" xmlns="" id="{00000000-0008-0000-0000-000036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6967" name="Text Box 3102">
          <a:extLst>
            <a:ext uri="{FF2B5EF4-FFF2-40B4-BE49-F238E27FC236}">
              <a16:creationId xmlns:a16="http://schemas.microsoft.com/office/drawing/2014/main" xmlns="" id="{00000000-0008-0000-0000-000037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968" name="Text Box 59">
          <a:extLst>
            <a:ext uri="{FF2B5EF4-FFF2-40B4-BE49-F238E27FC236}">
              <a16:creationId xmlns:a16="http://schemas.microsoft.com/office/drawing/2014/main" xmlns="" id="{00000000-0008-0000-0000-000038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969" name="Text Box 60">
          <a:extLst>
            <a:ext uri="{FF2B5EF4-FFF2-40B4-BE49-F238E27FC236}">
              <a16:creationId xmlns:a16="http://schemas.microsoft.com/office/drawing/2014/main" xmlns="" id="{00000000-0008-0000-0000-000039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970" name="Text Box 61">
          <a:extLst>
            <a:ext uri="{FF2B5EF4-FFF2-40B4-BE49-F238E27FC236}">
              <a16:creationId xmlns:a16="http://schemas.microsoft.com/office/drawing/2014/main" xmlns="" id="{00000000-0008-0000-0000-00003A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971" name="Text Box 62">
          <a:extLst>
            <a:ext uri="{FF2B5EF4-FFF2-40B4-BE49-F238E27FC236}">
              <a16:creationId xmlns:a16="http://schemas.microsoft.com/office/drawing/2014/main" xmlns="" id="{00000000-0008-0000-0000-00003B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972" name="Text Box 63">
          <a:extLst>
            <a:ext uri="{FF2B5EF4-FFF2-40B4-BE49-F238E27FC236}">
              <a16:creationId xmlns:a16="http://schemas.microsoft.com/office/drawing/2014/main" xmlns="" id="{00000000-0008-0000-0000-00003C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973" name="Text Box 64">
          <a:extLst>
            <a:ext uri="{FF2B5EF4-FFF2-40B4-BE49-F238E27FC236}">
              <a16:creationId xmlns:a16="http://schemas.microsoft.com/office/drawing/2014/main" xmlns="" id="{00000000-0008-0000-0000-00003D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974" name="Text Box 65">
          <a:extLst>
            <a:ext uri="{FF2B5EF4-FFF2-40B4-BE49-F238E27FC236}">
              <a16:creationId xmlns:a16="http://schemas.microsoft.com/office/drawing/2014/main" xmlns="" id="{00000000-0008-0000-0000-00003E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975" name="Text Box 66">
          <a:extLst>
            <a:ext uri="{FF2B5EF4-FFF2-40B4-BE49-F238E27FC236}">
              <a16:creationId xmlns:a16="http://schemas.microsoft.com/office/drawing/2014/main" xmlns="" id="{00000000-0008-0000-0000-00003F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976" name="Text Box 67">
          <a:extLst>
            <a:ext uri="{FF2B5EF4-FFF2-40B4-BE49-F238E27FC236}">
              <a16:creationId xmlns:a16="http://schemas.microsoft.com/office/drawing/2014/main" xmlns="" id="{00000000-0008-0000-0000-000040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977" name="Text Box 68">
          <a:extLst>
            <a:ext uri="{FF2B5EF4-FFF2-40B4-BE49-F238E27FC236}">
              <a16:creationId xmlns:a16="http://schemas.microsoft.com/office/drawing/2014/main" xmlns="" id="{00000000-0008-0000-0000-000041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978" name="Text Box 69">
          <a:extLst>
            <a:ext uri="{FF2B5EF4-FFF2-40B4-BE49-F238E27FC236}">
              <a16:creationId xmlns:a16="http://schemas.microsoft.com/office/drawing/2014/main" xmlns="" id="{00000000-0008-0000-0000-000042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979" name="Text Box 70">
          <a:extLst>
            <a:ext uri="{FF2B5EF4-FFF2-40B4-BE49-F238E27FC236}">
              <a16:creationId xmlns:a16="http://schemas.microsoft.com/office/drawing/2014/main" xmlns="" id="{00000000-0008-0000-0000-000043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980" name="Text Box 71">
          <a:extLst>
            <a:ext uri="{FF2B5EF4-FFF2-40B4-BE49-F238E27FC236}">
              <a16:creationId xmlns:a16="http://schemas.microsoft.com/office/drawing/2014/main" xmlns="" id="{00000000-0008-0000-0000-000044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981" name="Text Box 72">
          <a:extLst>
            <a:ext uri="{FF2B5EF4-FFF2-40B4-BE49-F238E27FC236}">
              <a16:creationId xmlns:a16="http://schemas.microsoft.com/office/drawing/2014/main" xmlns="" id="{00000000-0008-0000-0000-000045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982" name="Text Box 73">
          <a:extLst>
            <a:ext uri="{FF2B5EF4-FFF2-40B4-BE49-F238E27FC236}">
              <a16:creationId xmlns:a16="http://schemas.microsoft.com/office/drawing/2014/main" xmlns="" id="{00000000-0008-0000-0000-000046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983" name="Text Box 74">
          <a:extLst>
            <a:ext uri="{FF2B5EF4-FFF2-40B4-BE49-F238E27FC236}">
              <a16:creationId xmlns:a16="http://schemas.microsoft.com/office/drawing/2014/main" xmlns="" id="{00000000-0008-0000-0000-000047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984" name="Text Box 75">
          <a:extLst>
            <a:ext uri="{FF2B5EF4-FFF2-40B4-BE49-F238E27FC236}">
              <a16:creationId xmlns:a16="http://schemas.microsoft.com/office/drawing/2014/main" xmlns="" id="{00000000-0008-0000-0000-000048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985" name="Text Box 76">
          <a:extLst>
            <a:ext uri="{FF2B5EF4-FFF2-40B4-BE49-F238E27FC236}">
              <a16:creationId xmlns:a16="http://schemas.microsoft.com/office/drawing/2014/main" xmlns="" id="{00000000-0008-0000-0000-000049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986" name="Text Box 77">
          <a:extLst>
            <a:ext uri="{FF2B5EF4-FFF2-40B4-BE49-F238E27FC236}">
              <a16:creationId xmlns:a16="http://schemas.microsoft.com/office/drawing/2014/main" xmlns="" id="{00000000-0008-0000-0000-00004A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987" name="Text Box 78">
          <a:extLst>
            <a:ext uri="{FF2B5EF4-FFF2-40B4-BE49-F238E27FC236}">
              <a16:creationId xmlns:a16="http://schemas.microsoft.com/office/drawing/2014/main" xmlns="" id="{00000000-0008-0000-0000-00004B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988" name="Text Box 79">
          <a:extLst>
            <a:ext uri="{FF2B5EF4-FFF2-40B4-BE49-F238E27FC236}">
              <a16:creationId xmlns:a16="http://schemas.microsoft.com/office/drawing/2014/main" xmlns="" id="{00000000-0008-0000-0000-00004C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989" name="Text Box 80">
          <a:extLst>
            <a:ext uri="{FF2B5EF4-FFF2-40B4-BE49-F238E27FC236}">
              <a16:creationId xmlns:a16="http://schemas.microsoft.com/office/drawing/2014/main" xmlns="" id="{00000000-0008-0000-0000-00004D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6990" name="Text Box 81">
          <a:extLst>
            <a:ext uri="{FF2B5EF4-FFF2-40B4-BE49-F238E27FC236}">
              <a16:creationId xmlns:a16="http://schemas.microsoft.com/office/drawing/2014/main" xmlns="" id="{00000000-0008-0000-0000-00004E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991" name="Text Box 3079">
          <a:extLst>
            <a:ext uri="{FF2B5EF4-FFF2-40B4-BE49-F238E27FC236}">
              <a16:creationId xmlns:a16="http://schemas.microsoft.com/office/drawing/2014/main" xmlns="" id="{00000000-0008-0000-0000-00004F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992" name="Text Box 3080">
          <a:extLst>
            <a:ext uri="{FF2B5EF4-FFF2-40B4-BE49-F238E27FC236}">
              <a16:creationId xmlns:a16="http://schemas.microsoft.com/office/drawing/2014/main" xmlns="" id="{00000000-0008-0000-0000-000050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993" name="Text Box 3081">
          <a:extLst>
            <a:ext uri="{FF2B5EF4-FFF2-40B4-BE49-F238E27FC236}">
              <a16:creationId xmlns:a16="http://schemas.microsoft.com/office/drawing/2014/main" xmlns="" id="{00000000-0008-0000-0000-000051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994" name="Text Box 3082">
          <a:extLst>
            <a:ext uri="{FF2B5EF4-FFF2-40B4-BE49-F238E27FC236}">
              <a16:creationId xmlns:a16="http://schemas.microsoft.com/office/drawing/2014/main" xmlns="" id="{00000000-0008-0000-0000-000052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995" name="Text Box 3083">
          <a:extLst>
            <a:ext uri="{FF2B5EF4-FFF2-40B4-BE49-F238E27FC236}">
              <a16:creationId xmlns:a16="http://schemas.microsoft.com/office/drawing/2014/main" xmlns="" id="{00000000-0008-0000-0000-000053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996" name="Text Box 3084">
          <a:extLst>
            <a:ext uri="{FF2B5EF4-FFF2-40B4-BE49-F238E27FC236}">
              <a16:creationId xmlns:a16="http://schemas.microsoft.com/office/drawing/2014/main" xmlns="" id="{00000000-0008-0000-0000-000054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997" name="Text Box 3085">
          <a:extLst>
            <a:ext uri="{FF2B5EF4-FFF2-40B4-BE49-F238E27FC236}">
              <a16:creationId xmlns:a16="http://schemas.microsoft.com/office/drawing/2014/main" xmlns="" id="{00000000-0008-0000-0000-000055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998" name="Text Box 3086">
          <a:extLst>
            <a:ext uri="{FF2B5EF4-FFF2-40B4-BE49-F238E27FC236}">
              <a16:creationId xmlns:a16="http://schemas.microsoft.com/office/drawing/2014/main" xmlns="" id="{00000000-0008-0000-0000-000056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6999" name="Text Box 3087">
          <a:extLst>
            <a:ext uri="{FF2B5EF4-FFF2-40B4-BE49-F238E27FC236}">
              <a16:creationId xmlns:a16="http://schemas.microsoft.com/office/drawing/2014/main" xmlns="" id="{00000000-0008-0000-0000-000057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000" name="Text Box 3088">
          <a:extLst>
            <a:ext uri="{FF2B5EF4-FFF2-40B4-BE49-F238E27FC236}">
              <a16:creationId xmlns:a16="http://schemas.microsoft.com/office/drawing/2014/main" xmlns="" id="{00000000-0008-0000-0000-000058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001" name="Text Box 3089">
          <a:extLst>
            <a:ext uri="{FF2B5EF4-FFF2-40B4-BE49-F238E27FC236}">
              <a16:creationId xmlns:a16="http://schemas.microsoft.com/office/drawing/2014/main" xmlns="" id="{00000000-0008-0000-0000-000059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002" name="Text Box 3090">
          <a:extLst>
            <a:ext uri="{FF2B5EF4-FFF2-40B4-BE49-F238E27FC236}">
              <a16:creationId xmlns:a16="http://schemas.microsoft.com/office/drawing/2014/main" xmlns="" id="{00000000-0008-0000-0000-00005A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003" name="Text Box 3091">
          <a:extLst>
            <a:ext uri="{FF2B5EF4-FFF2-40B4-BE49-F238E27FC236}">
              <a16:creationId xmlns:a16="http://schemas.microsoft.com/office/drawing/2014/main" xmlns="" id="{00000000-0008-0000-0000-00005B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004" name="Text Box 3092">
          <a:extLst>
            <a:ext uri="{FF2B5EF4-FFF2-40B4-BE49-F238E27FC236}">
              <a16:creationId xmlns:a16="http://schemas.microsoft.com/office/drawing/2014/main" xmlns="" id="{00000000-0008-0000-0000-00005C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005" name="Text Box 3093">
          <a:extLst>
            <a:ext uri="{FF2B5EF4-FFF2-40B4-BE49-F238E27FC236}">
              <a16:creationId xmlns:a16="http://schemas.microsoft.com/office/drawing/2014/main" xmlns="" id="{00000000-0008-0000-0000-00005D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006" name="Text Box 3094">
          <a:extLst>
            <a:ext uri="{FF2B5EF4-FFF2-40B4-BE49-F238E27FC236}">
              <a16:creationId xmlns:a16="http://schemas.microsoft.com/office/drawing/2014/main" xmlns="" id="{00000000-0008-0000-0000-00005E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007" name="Text Box 3095">
          <a:extLst>
            <a:ext uri="{FF2B5EF4-FFF2-40B4-BE49-F238E27FC236}">
              <a16:creationId xmlns:a16="http://schemas.microsoft.com/office/drawing/2014/main" xmlns="" id="{00000000-0008-0000-0000-00005F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008" name="Text Box 3096">
          <a:extLst>
            <a:ext uri="{FF2B5EF4-FFF2-40B4-BE49-F238E27FC236}">
              <a16:creationId xmlns:a16="http://schemas.microsoft.com/office/drawing/2014/main" xmlns="" id="{00000000-0008-0000-0000-000060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009" name="Text Box 3097">
          <a:extLst>
            <a:ext uri="{FF2B5EF4-FFF2-40B4-BE49-F238E27FC236}">
              <a16:creationId xmlns:a16="http://schemas.microsoft.com/office/drawing/2014/main" xmlns="" id="{00000000-0008-0000-0000-000061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010" name="Text Box 3098">
          <a:extLst>
            <a:ext uri="{FF2B5EF4-FFF2-40B4-BE49-F238E27FC236}">
              <a16:creationId xmlns:a16="http://schemas.microsoft.com/office/drawing/2014/main" xmlns="" id="{00000000-0008-0000-0000-000062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011" name="Text Box 3099">
          <a:extLst>
            <a:ext uri="{FF2B5EF4-FFF2-40B4-BE49-F238E27FC236}">
              <a16:creationId xmlns:a16="http://schemas.microsoft.com/office/drawing/2014/main" xmlns="" id="{00000000-0008-0000-0000-000063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012" name="Text Box 3100">
          <a:extLst>
            <a:ext uri="{FF2B5EF4-FFF2-40B4-BE49-F238E27FC236}">
              <a16:creationId xmlns:a16="http://schemas.microsoft.com/office/drawing/2014/main" xmlns="" id="{00000000-0008-0000-0000-000064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013" name="Text Box 3101">
          <a:extLst>
            <a:ext uri="{FF2B5EF4-FFF2-40B4-BE49-F238E27FC236}">
              <a16:creationId xmlns:a16="http://schemas.microsoft.com/office/drawing/2014/main" xmlns="" id="{00000000-0008-0000-0000-000065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7014" name="Text Box 3102">
          <a:extLst>
            <a:ext uri="{FF2B5EF4-FFF2-40B4-BE49-F238E27FC236}">
              <a16:creationId xmlns:a16="http://schemas.microsoft.com/office/drawing/2014/main" xmlns="" id="{00000000-0008-0000-0000-000066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015" name="Text Box 59">
          <a:extLst>
            <a:ext uri="{FF2B5EF4-FFF2-40B4-BE49-F238E27FC236}">
              <a16:creationId xmlns:a16="http://schemas.microsoft.com/office/drawing/2014/main" xmlns="" id="{00000000-0008-0000-0000-000067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016" name="Text Box 60">
          <a:extLst>
            <a:ext uri="{FF2B5EF4-FFF2-40B4-BE49-F238E27FC236}">
              <a16:creationId xmlns:a16="http://schemas.microsoft.com/office/drawing/2014/main" xmlns="" id="{00000000-0008-0000-0000-000068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017" name="Text Box 61">
          <a:extLst>
            <a:ext uri="{FF2B5EF4-FFF2-40B4-BE49-F238E27FC236}">
              <a16:creationId xmlns:a16="http://schemas.microsoft.com/office/drawing/2014/main" xmlns="" id="{00000000-0008-0000-0000-000069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018" name="Text Box 62">
          <a:extLst>
            <a:ext uri="{FF2B5EF4-FFF2-40B4-BE49-F238E27FC236}">
              <a16:creationId xmlns:a16="http://schemas.microsoft.com/office/drawing/2014/main" xmlns="" id="{00000000-0008-0000-0000-00006A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019" name="Text Box 63">
          <a:extLst>
            <a:ext uri="{FF2B5EF4-FFF2-40B4-BE49-F238E27FC236}">
              <a16:creationId xmlns:a16="http://schemas.microsoft.com/office/drawing/2014/main" xmlns="" id="{00000000-0008-0000-0000-00006B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020" name="Text Box 64">
          <a:extLst>
            <a:ext uri="{FF2B5EF4-FFF2-40B4-BE49-F238E27FC236}">
              <a16:creationId xmlns:a16="http://schemas.microsoft.com/office/drawing/2014/main" xmlns="" id="{00000000-0008-0000-0000-00006C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021" name="Text Box 65">
          <a:extLst>
            <a:ext uri="{FF2B5EF4-FFF2-40B4-BE49-F238E27FC236}">
              <a16:creationId xmlns:a16="http://schemas.microsoft.com/office/drawing/2014/main" xmlns="" id="{00000000-0008-0000-0000-00006D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022" name="Text Box 66">
          <a:extLst>
            <a:ext uri="{FF2B5EF4-FFF2-40B4-BE49-F238E27FC236}">
              <a16:creationId xmlns:a16="http://schemas.microsoft.com/office/drawing/2014/main" xmlns="" id="{00000000-0008-0000-0000-00006E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023" name="Text Box 67">
          <a:extLst>
            <a:ext uri="{FF2B5EF4-FFF2-40B4-BE49-F238E27FC236}">
              <a16:creationId xmlns:a16="http://schemas.microsoft.com/office/drawing/2014/main" xmlns="" id="{00000000-0008-0000-0000-00006F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024" name="Text Box 68">
          <a:extLst>
            <a:ext uri="{FF2B5EF4-FFF2-40B4-BE49-F238E27FC236}">
              <a16:creationId xmlns:a16="http://schemas.microsoft.com/office/drawing/2014/main" xmlns="" id="{00000000-0008-0000-0000-000070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025" name="Text Box 69">
          <a:extLst>
            <a:ext uri="{FF2B5EF4-FFF2-40B4-BE49-F238E27FC236}">
              <a16:creationId xmlns:a16="http://schemas.microsoft.com/office/drawing/2014/main" xmlns="" id="{00000000-0008-0000-0000-000071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026" name="Text Box 70">
          <a:extLst>
            <a:ext uri="{FF2B5EF4-FFF2-40B4-BE49-F238E27FC236}">
              <a16:creationId xmlns:a16="http://schemas.microsoft.com/office/drawing/2014/main" xmlns="" id="{00000000-0008-0000-0000-000072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027" name="Text Box 71">
          <a:extLst>
            <a:ext uri="{FF2B5EF4-FFF2-40B4-BE49-F238E27FC236}">
              <a16:creationId xmlns:a16="http://schemas.microsoft.com/office/drawing/2014/main" xmlns="" id="{00000000-0008-0000-0000-000073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028" name="Text Box 72">
          <a:extLst>
            <a:ext uri="{FF2B5EF4-FFF2-40B4-BE49-F238E27FC236}">
              <a16:creationId xmlns:a16="http://schemas.microsoft.com/office/drawing/2014/main" xmlns="" id="{00000000-0008-0000-0000-000074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029" name="Text Box 73">
          <a:extLst>
            <a:ext uri="{FF2B5EF4-FFF2-40B4-BE49-F238E27FC236}">
              <a16:creationId xmlns:a16="http://schemas.microsoft.com/office/drawing/2014/main" xmlns="" id="{00000000-0008-0000-0000-000075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030" name="Text Box 74">
          <a:extLst>
            <a:ext uri="{FF2B5EF4-FFF2-40B4-BE49-F238E27FC236}">
              <a16:creationId xmlns:a16="http://schemas.microsoft.com/office/drawing/2014/main" xmlns="" id="{00000000-0008-0000-0000-000076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031" name="Text Box 75">
          <a:extLst>
            <a:ext uri="{FF2B5EF4-FFF2-40B4-BE49-F238E27FC236}">
              <a16:creationId xmlns:a16="http://schemas.microsoft.com/office/drawing/2014/main" xmlns="" id="{00000000-0008-0000-0000-000077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032" name="Text Box 76">
          <a:extLst>
            <a:ext uri="{FF2B5EF4-FFF2-40B4-BE49-F238E27FC236}">
              <a16:creationId xmlns:a16="http://schemas.microsoft.com/office/drawing/2014/main" xmlns="" id="{00000000-0008-0000-0000-000078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033" name="Text Box 77">
          <a:extLst>
            <a:ext uri="{FF2B5EF4-FFF2-40B4-BE49-F238E27FC236}">
              <a16:creationId xmlns:a16="http://schemas.microsoft.com/office/drawing/2014/main" xmlns="" id="{00000000-0008-0000-0000-000079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034" name="Text Box 78">
          <a:extLst>
            <a:ext uri="{FF2B5EF4-FFF2-40B4-BE49-F238E27FC236}">
              <a16:creationId xmlns:a16="http://schemas.microsoft.com/office/drawing/2014/main" xmlns="" id="{00000000-0008-0000-0000-00007A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035" name="Text Box 79">
          <a:extLst>
            <a:ext uri="{FF2B5EF4-FFF2-40B4-BE49-F238E27FC236}">
              <a16:creationId xmlns:a16="http://schemas.microsoft.com/office/drawing/2014/main" xmlns="" id="{00000000-0008-0000-0000-00007B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036" name="Text Box 80">
          <a:extLst>
            <a:ext uri="{FF2B5EF4-FFF2-40B4-BE49-F238E27FC236}">
              <a16:creationId xmlns:a16="http://schemas.microsoft.com/office/drawing/2014/main" xmlns="" id="{00000000-0008-0000-0000-00007C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037" name="Text Box 81">
          <a:extLst>
            <a:ext uri="{FF2B5EF4-FFF2-40B4-BE49-F238E27FC236}">
              <a16:creationId xmlns:a16="http://schemas.microsoft.com/office/drawing/2014/main" xmlns="" id="{00000000-0008-0000-0000-00007D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47625"/>
    <xdr:sp macro="" textlink="">
      <xdr:nvSpPr>
        <xdr:cNvPr id="7038" name="Text Box 82">
          <a:extLst>
            <a:ext uri="{FF2B5EF4-FFF2-40B4-BE49-F238E27FC236}">
              <a16:creationId xmlns:a16="http://schemas.microsoft.com/office/drawing/2014/main" xmlns="" id="{00000000-0008-0000-0000-00007E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039" name="Text Box 3079">
          <a:extLst>
            <a:ext uri="{FF2B5EF4-FFF2-40B4-BE49-F238E27FC236}">
              <a16:creationId xmlns:a16="http://schemas.microsoft.com/office/drawing/2014/main" xmlns="" id="{00000000-0008-0000-0000-00007F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040" name="Text Box 3080">
          <a:extLst>
            <a:ext uri="{FF2B5EF4-FFF2-40B4-BE49-F238E27FC236}">
              <a16:creationId xmlns:a16="http://schemas.microsoft.com/office/drawing/2014/main" xmlns="" id="{00000000-0008-0000-0000-000080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041" name="Text Box 3081">
          <a:extLst>
            <a:ext uri="{FF2B5EF4-FFF2-40B4-BE49-F238E27FC236}">
              <a16:creationId xmlns:a16="http://schemas.microsoft.com/office/drawing/2014/main" xmlns="" id="{00000000-0008-0000-0000-000081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042" name="Text Box 3082">
          <a:extLst>
            <a:ext uri="{FF2B5EF4-FFF2-40B4-BE49-F238E27FC236}">
              <a16:creationId xmlns:a16="http://schemas.microsoft.com/office/drawing/2014/main" xmlns="" id="{00000000-0008-0000-0000-000082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043" name="Text Box 3083">
          <a:extLst>
            <a:ext uri="{FF2B5EF4-FFF2-40B4-BE49-F238E27FC236}">
              <a16:creationId xmlns:a16="http://schemas.microsoft.com/office/drawing/2014/main" xmlns="" id="{00000000-0008-0000-0000-000083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044" name="Text Box 3084">
          <a:extLst>
            <a:ext uri="{FF2B5EF4-FFF2-40B4-BE49-F238E27FC236}">
              <a16:creationId xmlns:a16="http://schemas.microsoft.com/office/drawing/2014/main" xmlns="" id="{00000000-0008-0000-0000-000084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045" name="Text Box 3085">
          <a:extLst>
            <a:ext uri="{FF2B5EF4-FFF2-40B4-BE49-F238E27FC236}">
              <a16:creationId xmlns:a16="http://schemas.microsoft.com/office/drawing/2014/main" xmlns="" id="{00000000-0008-0000-0000-000085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046" name="Text Box 3086">
          <a:extLst>
            <a:ext uri="{FF2B5EF4-FFF2-40B4-BE49-F238E27FC236}">
              <a16:creationId xmlns:a16="http://schemas.microsoft.com/office/drawing/2014/main" xmlns="" id="{00000000-0008-0000-0000-000086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047" name="Text Box 3087">
          <a:extLst>
            <a:ext uri="{FF2B5EF4-FFF2-40B4-BE49-F238E27FC236}">
              <a16:creationId xmlns:a16="http://schemas.microsoft.com/office/drawing/2014/main" xmlns="" id="{00000000-0008-0000-0000-000087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048" name="Text Box 3088">
          <a:extLst>
            <a:ext uri="{FF2B5EF4-FFF2-40B4-BE49-F238E27FC236}">
              <a16:creationId xmlns:a16="http://schemas.microsoft.com/office/drawing/2014/main" xmlns="" id="{00000000-0008-0000-0000-000088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049" name="Text Box 3089">
          <a:extLst>
            <a:ext uri="{FF2B5EF4-FFF2-40B4-BE49-F238E27FC236}">
              <a16:creationId xmlns:a16="http://schemas.microsoft.com/office/drawing/2014/main" xmlns="" id="{00000000-0008-0000-0000-000089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050" name="Text Box 3090">
          <a:extLst>
            <a:ext uri="{FF2B5EF4-FFF2-40B4-BE49-F238E27FC236}">
              <a16:creationId xmlns:a16="http://schemas.microsoft.com/office/drawing/2014/main" xmlns="" id="{00000000-0008-0000-0000-00008A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051" name="Text Box 3091">
          <a:extLst>
            <a:ext uri="{FF2B5EF4-FFF2-40B4-BE49-F238E27FC236}">
              <a16:creationId xmlns:a16="http://schemas.microsoft.com/office/drawing/2014/main" xmlns="" id="{00000000-0008-0000-0000-00008B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052" name="Text Box 3092">
          <a:extLst>
            <a:ext uri="{FF2B5EF4-FFF2-40B4-BE49-F238E27FC236}">
              <a16:creationId xmlns:a16="http://schemas.microsoft.com/office/drawing/2014/main" xmlns="" id="{00000000-0008-0000-0000-00008C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053" name="Text Box 3093">
          <a:extLst>
            <a:ext uri="{FF2B5EF4-FFF2-40B4-BE49-F238E27FC236}">
              <a16:creationId xmlns:a16="http://schemas.microsoft.com/office/drawing/2014/main" xmlns="" id="{00000000-0008-0000-0000-00008D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054" name="Text Box 3094">
          <a:extLst>
            <a:ext uri="{FF2B5EF4-FFF2-40B4-BE49-F238E27FC236}">
              <a16:creationId xmlns:a16="http://schemas.microsoft.com/office/drawing/2014/main" xmlns="" id="{00000000-0008-0000-0000-00008E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055" name="Text Box 3095">
          <a:extLst>
            <a:ext uri="{FF2B5EF4-FFF2-40B4-BE49-F238E27FC236}">
              <a16:creationId xmlns:a16="http://schemas.microsoft.com/office/drawing/2014/main" xmlns="" id="{00000000-0008-0000-0000-00008F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056" name="Text Box 3096">
          <a:extLst>
            <a:ext uri="{FF2B5EF4-FFF2-40B4-BE49-F238E27FC236}">
              <a16:creationId xmlns:a16="http://schemas.microsoft.com/office/drawing/2014/main" xmlns="" id="{00000000-0008-0000-0000-000090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057" name="Text Box 3097">
          <a:extLst>
            <a:ext uri="{FF2B5EF4-FFF2-40B4-BE49-F238E27FC236}">
              <a16:creationId xmlns:a16="http://schemas.microsoft.com/office/drawing/2014/main" xmlns="" id="{00000000-0008-0000-0000-000091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058" name="Text Box 3098">
          <a:extLst>
            <a:ext uri="{FF2B5EF4-FFF2-40B4-BE49-F238E27FC236}">
              <a16:creationId xmlns:a16="http://schemas.microsoft.com/office/drawing/2014/main" xmlns="" id="{00000000-0008-0000-0000-000092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059" name="Text Box 3099">
          <a:extLst>
            <a:ext uri="{FF2B5EF4-FFF2-40B4-BE49-F238E27FC236}">
              <a16:creationId xmlns:a16="http://schemas.microsoft.com/office/drawing/2014/main" xmlns="" id="{00000000-0008-0000-0000-000093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060" name="Text Box 3100">
          <a:extLst>
            <a:ext uri="{FF2B5EF4-FFF2-40B4-BE49-F238E27FC236}">
              <a16:creationId xmlns:a16="http://schemas.microsoft.com/office/drawing/2014/main" xmlns="" id="{00000000-0008-0000-0000-000094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061" name="Text Box 3101">
          <a:extLst>
            <a:ext uri="{FF2B5EF4-FFF2-40B4-BE49-F238E27FC236}">
              <a16:creationId xmlns:a16="http://schemas.microsoft.com/office/drawing/2014/main" xmlns="" id="{00000000-0008-0000-0000-000095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7062" name="Text Box 3102">
          <a:extLst>
            <a:ext uri="{FF2B5EF4-FFF2-40B4-BE49-F238E27FC236}">
              <a16:creationId xmlns:a16="http://schemas.microsoft.com/office/drawing/2014/main" xmlns="" id="{00000000-0008-0000-0000-000096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063" name="Text Box 59">
          <a:extLst>
            <a:ext uri="{FF2B5EF4-FFF2-40B4-BE49-F238E27FC236}">
              <a16:creationId xmlns:a16="http://schemas.microsoft.com/office/drawing/2014/main" xmlns="" id="{00000000-0008-0000-0000-000097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064" name="Text Box 60">
          <a:extLst>
            <a:ext uri="{FF2B5EF4-FFF2-40B4-BE49-F238E27FC236}">
              <a16:creationId xmlns:a16="http://schemas.microsoft.com/office/drawing/2014/main" xmlns="" id="{00000000-0008-0000-0000-000098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065" name="Text Box 61">
          <a:extLst>
            <a:ext uri="{FF2B5EF4-FFF2-40B4-BE49-F238E27FC236}">
              <a16:creationId xmlns:a16="http://schemas.microsoft.com/office/drawing/2014/main" xmlns="" id="{00000000-0008-0000-0000-000099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066" name="Text Box 62">
          <a:extLst>
            <a:ext uri="{FF2B5EF4-FFF2-40B4-BE49-F238E27FC236}">
              <a16:creationId xmlns:a16="http://schemas.microsoft.com/office/drawing/2014/main" xmlns="" id="{00000000-0008-0000-0000-00009A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067" name="Text Box 63">
          <a:extLst>
            <a:ext uri="{FF2B5EF4-FFF2-40B4-BE49-F238E27FC236}">
              <a16:creationId xmlns:a16="http://schemas.microsoft.com/office/drawing/2014/main" xmlns="" id="{00000000-0008-0000-0000-00009B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068" name="Text Box 64">
          <a:extLst>
            <a:ext uri="{FF2B5EF4-FFF2-40B4-BE49-F238E27FC236}">
              <a16:creationId xmlns:a16="http://schemas.microsoft.com/office/drawing/2014/main" xmlns="" id="{00000000-0008-0000-0000-00009C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069" name="Text Box 65">
          <a:extLst>
            <a:ext uri="{FF2B5EF4-FFF2-40B4-BE49-F238E27FC236}">
              <a16:creationId xmlns:a16="http://schemas.microsoft.com/office/drawing/2014/main" xmlns="" id="{00000000-0008-0000-0000-00009D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070" name="Text Box 66">
          <a:extLst>
            <a:ext uri="{FF2B5EF4-FFF2-40B4-BE49-F238E27FC236}">
              <a16:creationId xmlns:a16="http://schemas.microsoft.com/office/drawing/2014/main" xmlns="" id="{00000000-0008-0000-0000-00009E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071" name="Text Box 67">
          <a:extLst>
            <a:ext uri="{FF2B5EF4-FFF2-40B4-BE49-F238E27FC236}">
              <a16:creationId xmlns:a16="http://schemas.microsoft.com/office/drawing/2014/main" xmlns="" id="{00000000-0008-0000-0000-00009F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072" name="Text Box 68">
          <a:extLst>
            <a:ext uri="{FF2B5EF4-FFF2-40B4-BE49-F238E27FC236}">
              <a16:creationId xmlns:a16="http://schemas.microsoft.com/office/drawing/2014/main" xmlns="" id="{00000000-0008-0000-0000-0000A0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073" name="Text Box 69">
          <a:extLst>
            <a:ext uri="{FF2B5EF4-FFF2-40B4-BE49-F238E27FC236}">
              <a16:creationId xmlns:a16="http://schemas.microsoft.com/office/drawing/2014/main" xmlns="" id="{00000000-0008-0000-0000-0000A1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074" name="Text Box 70">
          <a:extLst>
            <a:ext uri="{FF2B5EF4-FFF2-40B4-BE49-F238E27FC236}">
              <a16:creationId xmlns:a16="http://schemas.microsoft.com/office/drawing/2014/main" xmlns="" id="{00000000-0008-0000-0000-0000A2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075" name="Text Box 71">
          <a:extLst>
            <a:ext uri="{FF2B5EF4-FFF2-40B4-BE49-F238E27FC236}">
              <a16:creationId xmlns:a16="http://schemas.microsoft.com/office/drawing/2014/main" xmlns="" id="{00000000-0008-0000-0000-0000A3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076" name="Text Box 72">
          <a:extLst>
            <a:ext uri="{FF2B5EF4-FFF2-40B4-BE49-F238E27FC236}">
              <a16:creationId xmlns:a16="http://schemas.microsoft.com/office/drawing/2014/main" xmlns="" id="{00000000-0008-0000-0000-0000A4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077" name="Text Box 73">
          <a:extLst>
            <a:ext uri="{FF2B5EF4-FFF2-40B4-BE49-F238E27FC236}">
              <a16:creationId xmlns:a16="http://schemas.microsoft.com/office/drawing/2014/main" xmlns="" id="{00000000-0008-0000-0000-0000A5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078" name="Text Box 74">
          <a:extLst>
            <a:ext uri="{FF2B5EF4-FFF2-40B4-BE49-F238E27FC236}">
              <a16:creationId xmlns:a16="http://schemas.microsoft.com/office/drawing/2014/main" xmlns="" id="{00000000-0008-0000-0000-0000A6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079" name="Text Box 75">
          <a:extLst>
            <a:ext uri="{FF2B5EF4-FFF2-40B4-BE49-F238E27FC236}">
              <a16:creationId xmlns:a16="http://schemas.microsoft.com/office/drawing/2014/main" xmlns="" id="{00000000-0008-0000-0000-0000A7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080" name="Text Box 76">
          <a:extLst>
            <a:ext uri="{FF2B5EF4-FFF2-40B4-BE49-F238E27FC236}">
              <a16:creationId xmlns:a16="http://schemas.microsoft.com/office/drawing/2014/main" xmlns="" id="{00000000-0008-0000-0000-0000A8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081" name="Text Box 77">
          <a:extLst>
            <a:ext uri="{FF2B5EF4-FFF2-40B4-BE49-F238E27FC236}">
              <a16:creationId xmlns:a16="http://schemas.microsoft.com/office/drawing/2014/main" xmlns="" id="{00000000-0008-0000-0000-0000A9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082" name="Text Box 78">
          <a:extLst>
            <a:ext uri="{FF2B5EF4-FFF2-40B4-BE49-F238E27FC236}">
              <a16:creationId xmlns:a16="http://schemas.microsoft.com/office/drawing/2014/main" xmlns="" id="{00000000-0008-0000-0000-0000AA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083" name="Text Box 79">
          <a:extLst>
            <a:ext uri="{FF2B5EF4-FFF2-40B4-BE49-F238E27FC236}">
              <a16:creationId xmlns:a16="http://schemas.microsoft.com/office/drawing/2014/main" xmlns="" id="{00000000-0008-0000-0000-0000AB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084" name="Text Box 80">
          <a:extLst>
            <a:ext uri="{FF2B5EF4-FFF2-40B4-BE49-F238E27FC236}">
              <a16:creationId xmlns:a16="http://schemas.microsoft.com/office/drawing/2014/main" xmlns="" id="{00000000-0008-0000-0000-0000AC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085" name="Text Box 81">
          <a:extLst>
            <a:ext uri="{FF2B5EF4-FFF2-40B4-BE49-F238E27FC236}">
              <a16:creationId xmlns:a16="http://schemas.microsoft.com/office/drawing/2014/main" xmlns="" id="{00000000-0008-0000-0000-0000AD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086" name="Text Box 3079">
          <a:extLst>
            <a:ext uri="{FF2B5EF4-FFF2-40B4-BE49-F238E27FC236}">
              <a16:creationId xmlns:a16="http://schemas.microsoft.com/office/drawing/2014/main" xmlns="" id="{00000000-0008-0000-0000-0000AE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087" name="Text Box 3080">
          <a:extLst>
            <a:ext uri="{FF2B5EF4-FFF2-40B4-BE49-F238E27FC236}">
              <a16:creationId xmlns:a16="http://schemas.microsoft.com/office/drawing/2014/main" xmlns="" id="{00000000-0008-0000-0000-0000AF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088" name="Text Box 3081">
          <a:extLst>
            <a:ext uri="{FF2B5EF4-FFF2-40B4-BE49-F238E27FC236}">
              <a16:creationId xmlns:a16="http://schemas.microsoft.com/office/drawing/2014/main" xmlns="" id="{00000000-0008-0000-0000-0000B0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089" name="Text Box 3082">
          <a:extLst>
            <a:ext uri="{FF2B5EF4-FFF2-40B4-BE49-F238E27FC236}">
              <a16:creationId xmlns:a16="http://schemas.microsoft.com/office/drawing/2014/main" xmlns="" id="{00000000-0008-0000-0000-0000B1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090" name="Text Box 3083">
          <a:extLst>
            <a:ext uri="{FF2B5EF4-FFF2-40B4-BE49-F238E27FC236}">
              <a16:creationId xmlns:a16="http://schemas.microsoft.com/office/drawing/2014/main" xmlns="" id="{00000000-0008-0000-0000-0000B2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091" name="Text Box 3084">
          <a:extLst>
            <a:ext uri="{FF2B5EF4-FFF2-40B4-BE49-F238E27FC236}">
              <a16:creationId xmlns:a16="http://schemas.microsoft.com/office/drawing/2014/main" xmlns="" id="{00000000-0008-0000-0000-0000B3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092" name="Text Box 3085">
          <a:extLst>
            <a:ext uri="{FF2B5EF4-FFF2-40B4-BE49-F238E27FC236}">
              <a16:creationId xmlns:a16="http://schemas.microsoft.com/office/drawing/2014/main" xmlns="" id="{00000000-0008-0000-0000-0000B4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093" name="Text Box 3086">
          <a:extLst>
            <a:ext uri="{FF2B5EF4-FFF2-40B4-BE49-F238E27FC236}">
              <a16:creationId xmlns:a16="http://schemas.microsoft.com/office/drawing/2014/main" xmlns="" id="{00000000-0008-0000-0000-0000B5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094" name="Text Box 3087">
          <a:extLst>
            <a:ext uri="{FF2B5EF4-FFF2-40B4-BE49-F238E27FC236}">
              <a16:creationId xmlns:a16="http://schemas.microsoft.com/office/drawing/2014/main" xmlns="" id="{00000000-0008-0000-0000-0000B6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095" name="Text Box 3088">
          <a:extLst>
            <a:ext uri="{FF2B5EF4-FFF2-40B4-BE49-F238E27FC236}">
              <a16:creationId xmlns:a16="http://schemas.microsoft.com/office/drawing/2014/main" xmlns="" id="{00000000-0008-0000-0000-0000B7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096" name="Text Box 3089">
          <a:extLst>
            <a:ext uri="{FF2B5EF4-FFF2-40B4-BE49-F238E27FC236}">
              <a16:creationId xmlns:a16="http://schemas.microsoft.com/office/drawing/2014/main" xmlns="" id="{00000000-0008-0000-0000-0000B8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097" name="Text Box 3090">
          <a:extLst>
            <a:ext uri="{FF2B5EF4-FFF2-40B4-BE49-F238E27FC236}">
              <a16:creationId xmlns:a16="http://schemas.microsoft.com/office/drawing/2014/main" xmlns="" id="{00000000-0008-0000-0000-0000B9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098" name="Text Box 3091">
          <a:extLst>
            <a:ext uri="{FF2B5EF4-FFF2-40B4-BE49-F238E27FC236}">
              <a16:creationId xmlns:a16="http://schemas.microsoft.com/office/drawing/2014/main" xmlns="" id="{00000000-0008-0000-0000-0000BA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099" name="Text Box 3092">
          <a:extLst>
            <a:ext uri="{FF2B5EF4-FFF2-40B4-BE49-F238E27FC236}">
              <a16:creationId xmlns:a16="http://schemas.microsoft.com/office/drawing/2014/main" xmlns="" id="{00000000-0008-0000-0000-0000BB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100" name="Text Box 3093">
          <a:extLst>
            <a:ext uri="{FF2B5EF4-FFF2-40B4-BE49-F238E27FC236}">
              <a16:creationId xmlns:a16="http://schemas.microsoft.com/office/drawing/2014/main" xmlns="" id="{00000000-0008-0000-0000-0000BC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101" name="Text Box 3094">
          <a:extLst>
            <a:ext uri="{FF2B5EF4-FFF2-40B4-BE49-F238E27FC236}">
              <a16:creationId xmlns:a16="http://schemas.microsoft.com/office/drawing/2014/main" xmlns="" id="{00000000-0008-0000-0000-0000BD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102" name="Text Box 3095">
          <a:extLst>
            <a:ext uri="{FF2B5EF4-FFF2-40B4-BE49-F238E27FC236}">
              <a16:creationId xmlns:a16="http://schemas.microsoft.com/office/drawing/2014/main" xmlns="" id="{00000000-0008-0000-0000-0000BE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103" name="Text Box 3096">
          <a:extLst>
            <a:ext uri="{FF2B5EF4-FFF2-40B4-BE49-F238E27FC236}">
              <a16:creationId xmlns:a16="http://schemas.microsoft.com/office/drawing/2014/main" xmlns="" id="{00000000-0008-0000-0000-0000BF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104" name="Text Box 3097">
          <a:extLst>
            <a:ext uri="{FF2B5EF4-FFF2-40B4-BE49-F238E27FC236}">
              <a16:creationId xmlns:a16="http://schemas.microsoft.com/office/drawing/2014/main" xmlns="" id="{00000000-0008-0000-0000-0000C0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105" name="Text Box 3098">
          <a:extLst>
            <a:ext uri="{FF2B5EF4-FFF2-40B4-BE49-F238E27FC236}">
              <a16:creationId xmlns:a16="http://schemas.microsoft.com/office/drawing/2014/main" xmlns="" id="{00000000-0008-0000-0000-0000C1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106" name="Text Box 3099">
          <a:extLst>
            <a:ext uri="{FF2B5EF4-FFF2-40B4-BE49-F238E27FC236}">
              <a16:creationId xmlns:a16="http://schemas.microsoft.com/office/drawing/2014/main" xmlns="" id="{00000000-0008-0000-0000-0000C2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107" name="Text Box 3100">
          <a:extLst>
            <a:ext uri="{FF2B5EF4-FFF2-40B4-BE49-F238E27FC236}">
              <a16:creationId xmlns:a16="http://schemas.microsoft.com/office/drawing/2014/main" xmlns="" id="{00000000-0008-0000-0000-0000C3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108" name="Text Box 3101">
          <a:extLst>
            <a:ext uri="{FF2B5EF4-FFF2-40B4-BE49-F238E27FC236}">
              <a16:creationId xmlns:a16="http://schemas.microsoft.com/office/drawing/2014/main" xmlns="" id="{00000000-0008-0000-0000-0000C4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7109" name="Text Box 3102">
          <a:extLst>
            <a:ext uri="{FF2B5EF4-FFF2-40B4-BE49-F238E27FC236}">
              <a16:creationId xmlns:a16="http://schemas.microsoft.com/office/drawing/2014/main" xmlns="" id="{00000000-0008-0000-0000-0000C5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110" name="Text Box 59">
          <a:extLst>
            <a:ext uri="{FF2B5EF4-FFF2-40B4-BE49-F238E27FC236}">
              <a16:creationId xmlns:a16="http://schemas.microsoft.com/office/drawing/2014/main" xmlns="" id="{00000000-0008-0000-0000-0000C6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111" name="Text Box 60">
          <a:extLst>
            <a:ext uri="{FF2B5EF4-FFF2-40B4-BE49-F238E27FC236}">
              <a16:creationId xmlns:a16="http://schemas.microsoft.com/office/drawing/2014/main" xmlns="" id="{00000000-0008-0000-0000-0000C7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112" name="Text Box 61">
          <a:extLst>
            <a:ext uri="{FF2B5EF4-FFF2-40B4-BE49-F238E27FC236}">
              <a16:creationId xmlns:a16="http://schemas.microsoft.com/office/drawing/2014/main" xmlns="" id="{00000000-0008-0000-0000-0000C8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113" name="Text Box 62">
          <a:extLst>
            <a:ext uri="{FF2B5EF4-FFF2-40B4-BE49-F238E27FC236}">
              <a16:creationId xmlns:a16="http://schemas.microsoft.com/office/drawing/2014/main" xmlns="" id="{00000000-0008-0000-0000-0000C9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114" name="Text Box 63">
          <a:extLst>
            <a:ext uri="{FF2B5EF4-FFF2-40B4-BE49-F238E27FC236}">
              <a16:creationId xmlns:a16="http://schemas.microsoft.com/office/drawing/2014/main" xmlns="" id="{00000000-0008-0000-0000-0000CA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115" name="Text Box 64">
          <a:extLst>
            <a:ext uri="{FF2B5EF4-FFF2-40B4-BE49-F238E27FC236}">
              <a16:creationId xmlns:a16="http://schemas.microsoft.com/office/drawing/2014/main" xmlns="" id="{00000000-0008-0000-0000-0000CB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116" name="Text Box 65">
          <a:extLst>
            <a:ext uri="{FF2B5EF4-FFF2-40B4-BE49-F238E27FC236}">
              <a16:creationId xmlns:a16="http://schemas.microsoft.com/office/drawing/2014/main" xmlns="" id="{00000000-0008-0000-0000-0000CC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117" name="Text Box 66">
          <a:extLst>
            <a:ext uri="{FF2B5EF4-FFF2-40B4-BE49-F238E27FC236}">
              <a16:creationId xmlns:a16="http://schemas.microsoft.com/office/drawing/2014/main" xmlns="" id="{00000000-0008-0000-0000-0000CD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118" name="Text Box 67">
          <a:extLst>
            <a:ext uri="{FF2B5EF4-FFF2-40B4-BE49-F238E27FC236}">
              <a16:creationId xmlns:a16="http://schemas.microsoft.com/office/drawing/2014/main" xmlns="" id="{00000000-0008-0000-0000-0000CE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119" name="Text Box 68">
          <a:extLst>
            <a:ext uri="{FF2B5EF4-FFF2-40B4-BE49-F238E27FC236}">
              <a16:creationId xmlns:a16="http://schemas.microsoft.com/office/drawing/2014/main" xmlns="" id="{00000000-0008-0000-0000-0000CF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120" name="Text Box 69">
          <a:extLst>
            <a:ext uri="{FF2B5EF4-FFF2-40B4-BE49-F238E27FC236}">
              <a16:creationId xmlns:a16="http://schemas.microsoft.com/office/drawing/2014/main" xmlns="" id="{00000000-0008-0000-0000-0000D0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121" name="Text Box 70">
          <a:extLst>
            <a:ext uri="{FF2B5EF4-FFF2-40B4-BE49-F238E27FC236}">
              <a16:creationId xmlns:a16="http://schemas.microsoft.com/office/drawing/2014/main" xmlns="" id="{00000000-0008-0000-0000-0000D1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122" name="Text Box 71">
          <a:extLst>
            <a:ext uri="{FF2B5EF4-FFF2-40B4-BE49-F238E27FC236}">
              <a16:creationId xmlns:a16="http://schemas.microsoft.com/office/drawing/2014/main" xmlns="" id="{00000000-0008-0000-0000-0000D2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123" name="Text Box 72">
          <a:extLst>
            <a:ext uri="{FF2B5EF4-FFF2-40B4-BE49-F238E27FC236}">
              <a16:creationId xmlns:a16="http://schemas.microsoft.com/office/drawing/2014/main" xmlns="" id="{00000000-0008-0000-0000-0000D3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124" name="Text Box 73">
          <a:extLst>
            <a:ext uri="{FF2B5EF4-FFF2-40B4-BE49-F238E27FC236}">
              <a16:creationId xmlns:a16="http://schemas.microsoft.com/office/drawing/2014/main" xmlns="" id="{00000000-0008-0000-0000-0000D4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125" name="Text Box 74">
          <a:extLst>
            <a:ext uri="{FF2B5EF4-FFF2-40B4-BE49-F238E27FC236}">
              <a16:creationId xmlns:a16="http://schemas.microsoft.com/office/drawing/2014/main" xmlns="" id="{00000000-0008-0000-0000-0000D5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126" name="Text Box 75">
          <a:extLst>
            <a:ext uri="{FF2B5EF4-FFF2-40B4-BE49-F238E27FC236}">
              <a16:creationId xmlns:a16="http://schemas.microsoft.com/office/drawing/2014/main" xmlns="" id="{00000000-0008-0000-0000-0000D6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127" name="Text Box 76">
          <a:extLst>
            <a:ext uri="{FF2B5EF4-FFF2-40B4-BE49-F238E27FC236}">
              <a16:creationId xmlns:a16="http://schemas.microsoft.com/office/drawing/2014/main" xmlns="" id="{00000000-0008-0000-0000-0000D7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128" name="Text Box 77">
          <a:extLst>
            <a:ext uri="{FF2B5EF4-FFF2-40B4-BE49-F238E27FC236}">
              <a16:creationId xmlns:a16="http://schemas.microsoft.com/office/drawing/2014/main" xmlns="" id="{00000000-0008-0000-0000-0000D8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129" name="Text Box 78">
          <a:extLst>
            <a:ext uri="{FF2B5EF4-FFF2-40B4-BE49-F238E27FC236}">
              <a16:creationId xmlns:a16="http://schemas.microsoft.com/office/drawing/2014/main" xmlns="" id="{00000000-0008-0000-0000-0000D9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130" name="Text Box 79">
          <a:extLst>
            <a:ext uri="{FF2B5EF4-FFF2-40B4-BE49-F238E27FC236}">
              <a16:creationId xmlns:a16="http://schemas.microsoft.com/office/drawing/2014/main" xmlns="" id="{00000000-0008-0000-0000-0000DA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131" name="Text Box 80">
          <a:extLst>
            <a:ext uri="{FF2B5EF4-FFF2-40B4-BE49-F238E27FC236}">
              <a16:creationId xmlns:a16="http://schemas.microsoft.com/office/drawing/2014/main" xmlns="" id="{00000000-0008-0000-0000-0000DB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132" name="Text Box 81">
          <a:extLst>
            <a:ext uri="{FF2B5EF4-FFF2-40B4-BE49-F238E27FC236}">
              <a16:creationId xmlns:a16="http://schemas.microsoft.com/office/drawing/2014/main" xmlns="" id="{00000000-0008-0000-0000-0000DC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47625"/>
    <xdr:sp macro="" textlink="">
      <xdr:nvSpPr>
        <xdr:cNvPr id="7133" name="Text Box 82">
          <a:extLst>
            <a:ext uri="{FF2B5EF4-FFF2-40B4-BE49-F238E27FC236}">
              <a16:creationId xmlns:a16="http://schemas.microsoft.com/office/drawing/2014/main" xmlns="" id="{00000000-0008-0000-0000-0000DD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134" name="Text Box 3079">
          <a:extLst>
            <a:ext uri="{FF2B5EF4-FFF2-40B4-BE49-F238E27FC236}">
              <a16:creationId xmlns:a16="http://schemas.microsoft.com/office/drawing/2014/main" xmlns="" id="{00000000-0008-0000-0000-0000DE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135" name="Text Box 3080">
          <a:extLst>
            <a:ext uri="{FF2B5EF4-FFF2-40B4-BE49-F238E27FC236}">
              <a16:creationId xmlns:a16="http://schemas.microsoft.com/office/drawing/2014/main" xmlns="" id="{00000000-0008-0000-0000-0000DF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136" name="Text Box 3081">
          <a:extLst>
            <a:ext uri="{FF2B5EF4-FFF2-40B4-BE49-F238E27FC236}">
              <a16:creationId xmlns:a16="http://schemas.microsoft.com/office/drawing/2014/main" xmlns="" id="{00000000-0008-0000-0000-0000E0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137" name="Text Box 3082">
          <a:extLst>
            <a:ext uri="{FF2B5EF4-FFF2-40B4-BE49-F238E27FC236}">
              <a16:creationId xmlns:a16="http://schemas.microsoft.com/office/drawing/2014/main" xmlns="" id="{00000000-0008-0000-0000-0000E1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138" name="Text Box 3083">
          <a:extLst>
            <a:ext uri="{FF2B5EF4-FFF2-40B4-BE49-F238E27FC236}">
              <a16:creationId xmlns:a16="http://schemas.microsoft.com/office/drawing/2014/main" xmlns="" id="{00000000-0008-0000-0000-0000E2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139" name="Text Box 3084">
          <a:extLst>
            <a:ext uri="{FF2B5EF4-FFF2-40B4-BE49-F238E27FC236}">
              <a16:creationId xmlns:a16="http://schemas.microsoft.com/office/drawing/2014/main" xmlns="" id="{00000000-0008-0000-0000-0000E3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140" name="Text Box 3085">
          <a:extLst>
            <a:ext uri="{FF2B5EF4-FFF2-40B4-BE49-F238E27FC236}">
              <a16:creationId xmlns:a16="http://schemas.microsoft.com/office/drawing/2014/main" xmlns="" id="{00000000-0008-0000-0000-0000E4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141" name="Text Box 3086">
          <a:extLst>
            <a:ext uri="{FF2B5EF4-FFF2-40B4-BE49-F238E27FC236}">
              <a16:creationId xmlns:a16="http://schemas.microsoft.com/office/drawing/2014/main" xmlns="" id="{00000000-0008-0000-0000-0000E5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142" name="Text Box 3087">
          <a:extLst>
            <a:ext uri="{FF2B5EF4-FFF2-40B4-BE49-F238E27FC236}">
              <a16:creationId xmlns:a16="http://schemas.microsoft.com/office/drawing/2014/main" xmlns="" id="{00000000-0008-0000-0000-0000E6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143" name="Text Box 3088">
          <a:extLst>
            <a:ext uri="{FF2B5EF4-FFF2-40B4-BE49-F238E27FC236}">
              <a16:creationId xmlns:a16="http://schemas.microsoft.com/office/drawing/2014/main" xmlns="" id="{00000000-0008-0000-0000-0000E7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144" name="Text Box 3089">
          <a:extLst>
            <a:ext uri="{FF2B5EF4-FFF2-40B4-BE49-F238E27FC236}">
              <a16:creationId xmlns:a16="http://schemas.microsoft.com/office/drawing/2014/main" xmlns="" id="{00000000-0008-0000-0000-0000E8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145" name="Text Box 3090">
          <a:extLst>
            <a:ext uri="{FF2B5EF4-FFF2-40B4-BE49-F238E27FC236}">
              <a16:creationId xmlns:a16="http://schemas.microsoft.com/office/drawing/2014/main" xmlns="" id="{00000000-0008-0000-0000-0000E9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146" name="Text Box 3091">
          <a:extLst>
            <a:ext uri="{FF2B5EF4-FFF2-40B4-BE49-F238E27FC236}">
              <a16:creationId xmlns:a16="http://schemas.microsoft.com/office/drawing/2014/main" xmlns="" id="{00000000-0008-0000-0000-0000EA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147" name="Text Box 3092">
          <a:extLst>
            <a:ext uri="{FF2B5EF4-FFF2-40B4-BE49-F238E27FC236}">
              <a16:creationId xmlns:a16="http://schemas.microsoft.com/office/drawing/2014/main" xmlns="" id="{00000000-0008-0000-0000-0000EB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148" name="Text Box 3093">
          <a:extLst>
            <a:ext uri="{FF2B5EF4-FFF2-40B4-BE49-F238E27FC236}">
              <a16:creationId xmlns:a16="http://schemas.microsoft.com/office/drawing/2014/main" xmlns="" id="{00000000-0008-0000-0000-0000EC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149" name="Text Box 3094">
          <a:extLst>
            <a:ext uri="{FF2B5EF4-FFF2-40B4-BE49-F238E27FC236}">
              <a16:creationId xmlns:a16="http://schemas.microsoft.com/office/drawing/2014/main" xmlns="" id="{00000000-0008-0000-0000-0000ED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150" name="Text Box 3095">
          <a:extLst>
            <a:ext uri="{FF2B5EF4-FFF2-40B4-BE49-F238E27FC236}">
              <a16:creationId xmlns:a16="http://schemas.microsoft.com/office/drawing/2014/main" xmlns="" id="{00000000-0008-0000-0000-0000EE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151" name="Text Box 3096">
          <a:extLst>
            <a:ext uri="{FF2B5EF4-FFF2-40B4-BE49-F238E27FC236}">
              <a16:creationId xmlns:a16="http://schemas.microsoft.com/office/drawing/2014/main" xmlns="" id="{00000000-0008-0000-0000-0000EF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152" name="Text Box 3097">
          <a:extLst>
            <a:ext uri="{FF2B5EF4-FFF2-40B4-BE49-F238E27FC236}">
              <a16:creationId xmlns:a16="http://schemas.microsoft.com/office/drawing/2014/main" xmlns="" id="{00000000-0008-0000-0000-0000F0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153" name="Text Box 3098">
          <a:extLst>
            <a:ext uri="{FF2B5EF4-FFF2-40B4-BE49-F238E27FC236}">
              <a16:creationId xmlns:a16="http://schemas.microsoft.com/office/drawing/2014/main" xmlns="" id="{00000000-0008-0000-0000-0000F1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154" name="Text Box 3099">
          <a:extLst>
            <a:ext uri="{FF2B5EF4-FFF2-40B4-BE49-F238E27FC236}">
              <a16:creationId xmlns:a16="http://schemas.microsoft.com/office/drawing/2014/main" xmlns="" id="{00000000-0008-0000-0000-0000F2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155" name="Text Box 3100">
          <a:extLst>
            <a:ext uri="{FF2B5EF4-FFF2-40B4-BE49-F238E27FC236}">
              <a16:creationId xmlns:a16="http://schemas.microsoft.com/office/drawing/2014/main" xmlns="" id="{00000000-0008-0000-0000-0000F3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156" name="Text Box 3101">
          <a:extLst>
            <a:ext uri="{FF2B5EF4-FFF2-40B4-BE49-F238E27FC236}">
              <a16:creationId xmlns:a16="http://schemas.microsoft.com/office/drawing/2014/main" xmlns="" id="{00000000-0008-0000-0000-0000F4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7157" name="Text Box 3102">
          <a:extLst>
            <a:ext uri="{FF2B5EF4-FFF2-40B4-BE49-F238E27FC236}">
              <a16:creationId xmlns:a16="http://schemas.microsoft.com/office/drawing/2014/main" xmlns="" id="{00000000-0008-0000-0000-0000F5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158" name="Text Box 59">
          <a:extLst>
            <a:ext uri="{FF2B5EF4-FFF2-40B4-BE49-F238E27FC236}">
              <a16:creationId xmlns:a16="http://schemas.microsoft.com/office/drawing/2014/main" xmlns="" id="{00000000-0008-0000-0000-0000F6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159" name="Text Box 60">
          <a:extLst>
            <a:ext uri="{FF2B5EF4-FFF2-40B4-BE49-F238E27FC236}">
              <a16:creationId xmlns:a16="http://schemas.microsoft.com/office/drawing/2014/main" xmlns="" id="{00000000-0008-0000-0000-0000F7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160" name="Text Box 61">
          <a:extLst>
            <a:ext uri="{FF2B5EF4-FFF2-40B4-BE49-F238E27FC236}">
              <a16:creationId xmlns:a16="http://schemas.microsoft.com/office/drawing/2014/main" xmlns="" id="{00000000-0008-0000-0000-0000F8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161" name="Text Box 62">
          <a:extLst>
            <a:ext uri="{FF2B5EF4-FFF2-40B4-BE49-F238E27FC236}">
              <a16:creationId xmlns:a16="http://schemas.microsoft.com/office/drawing/2014/main" xmlns="" id="{00000000-0008-0000-0000-0000F9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162" name="Text Box 63">
          <a:extLst>
            <a:ext uri="{FF2B5EF4-FFF2-40B4-BE49-F238E27FC236}">
              <a16:creationId xmlns:a16="http://schemas.microsoft.com/office/drawing/2014/main" xmlns="" id="{00000000-0008-0000-0000-0000FA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163" name="Text Box 64">
          <a:extLst>
            <a:ext uri="{FF2B5EF4-FFF2-40B4-BE49-F238E27FC236}">
              <a16:creationId xmlns:a16="http://schemas.microsoft.com/office/drawing/2014/main" xmlns="" id="{00000000-0008-0000-0000-0000FB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164" name="Text Box 65">
          <a:extLst>
            <a:ext uri="{FF2B5EF4-FFF2-40B4-BE49-F238E27FC236}">
              <a16:creationId xmlns:a16="http://schemas.microsoft.com/office/drawing/2014/main" xmlns="" id="{00000000-0008-0000-0000-0000FC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165" name="Text Box 66">
          <a:extLst>
            <a:ext uri="{FF2B5EF4-FFF2-40B4-BE49-F238E27FC236}">
              <a16:creationId xmlns:a16="http://schemas.microsoft.com/office/drawing/2014/main" xmlns="" id="{00000000-0008-0000-0000-0000FD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166" name="Text Box 67">
          <a:extLst>
            <a:ext uri="{FF2B5EF4-FFF2-40B4-BE49-F238E27FC236}">
              <a16:creationId xmlns:a16="http://schemas.microsoft.com/office/drawing/2014/main" xmlns="" id="{00000000-0008-0000-0000-0000FE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167" name="Text Box 68">
          <a:extLst>
            <a:ext uri="{FF2B5EF4-FFF2-40B4-BE49-F238E27FC236}">
              <a16:creationId xmlns:a16="http://schemas.microsoft.com/office/drawing/2014/main" xmlns="" id="{00000000-0008-0000-0000-0000FF1B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168" name="Text Box 69">
          <a:extLst>
            <a:ext uri="{FF2B5EF4-FFF2-40B4-BE49-F238E27FC236}">
              <a16:creationId xmlns:a16="http://schemas.microsoft.com/office/drawing/2014/main" xmlns="" id="{00000000-0008-0000-0000-000000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169" name="Text Box 70">
          <a:extLst>
            <a:ext uri="{FF2B5EF4-FFF2-40B4-BE49-F238E27FC236}">
              <a16:creationId xmlns:a16="http://schemas.microsoft.com/office/drawing/2014/main" xmlns="" id="{00000000-0008-0000-0000-000001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170" name="Text Box 71">
          <a:extLst>
            <a:ext uri="{FF2B5EF4-FFF2-40B4-BE49-F238E27FC236}">
              <a16:creationId xmlns:a16="http://schemas.microsoft.com/office/drawing/2014/main" xmlns="" id="{00000000-0008-0000-0000-000002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171" name="Text Box 72">
          <a:extLst>
            <a:ext uri="{FF2B5EF4-FFF2-40B4-BE49-F238E27FC236}">
              <a16:creationId xmlns:a16="http://schemas.microsoft.com/office/drawing/2014/main" xmlns="" id="{00000000-0008-0000-0000-000003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172" name="Text Box 73">
          <a:extLst>
            <a:ext uri="{FF2B5EF4-FFF2-40B4-BE49-F238E27FC236}">
              <a16:creationId xmlns:a16="http://schemas.microsoft.com/office/drawing/2014/main" xmlns="" id="{00000000-0008-0000-0000-000004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173" name="Text Box 74">
          <a:extLst>
            <a:ext uri="{FF2B5EF4-FFF2-40B4-BE49-F238E27FC236}">
              <a16:creationId xmlns:a16="http://schemas.microsoft.com/office/drawing/2014/main" xmlns="" id="{00000000-0008-0000-0000-000005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174" name="Text Box 75">
          <a:extLst>
            <a:ext uri="{FF2B5EF4-FFF2-40B4-BE49-F238E27FC236}">
              <a16:creationId xmlns:a16="http://schemas.microsoft.com/office/drawing/2014/main" xmlns="" id="{00000000-0008-0000-0000-000006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175" name="Text Box 76">
          <a:extLst>
            <a:ext uri="{FF2B5EF4-FFF2-40B4-BE49-F238E27FC236}">
              <a16:creationId xmlns:a16="http://schemas.microsoft.com/office/drawing/2014/main" xmlns="" id="{00000000-0008-0000-0000-000007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176" name="Text Box 77">
          <a:extLst>
            <a:ext uri="{FF2B5EF4-FFF2-40B4-BE49-F238E27FC236}">
              <a16:creationId xmlns:a16="http://schemas.microsoft.com/office/drawing/2014/main" xmlns="" id="{00000000-0008-0000-0000-000008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177" name="Text Box 78">
          <a:extLst>
            <a:ext uri="{FF2B5EF4-FFF2-40B4-BE49-F238E27FC236}">
              <a16:creationId xmlns:a16="http://schemas.microsoft.com/office/drawing/2014/main" xmlns="" id="{00000000-0008-0000-0000-000009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178" name="Text Box 79">
          <a:extLst>
            <a:ext uri="{FF2B5EF4-FFF2-40B4-BE49-F238E27FC236}">
              <a16:creationId xmlns:a16="http://schemas.microsoft.com/office/drawing/2014/main" xmlns="" id="{00000000-0008-0000-0000-00000A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179" name="Text Box 80">
          <a:extLst>
            <a:ext uri="{FF2B5EF4-FFF2-40B4-BE49-F238E27FC236}">
              <a16:creationId xmlns:a16="http://schemas.microsoft.com/office/drawing/2014/main" xmlns="" id="{00000000-0008-0000-0000-00000B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180" name="Text Box 81">
          <a:extLst>
            <a:ext uri="{FF2B5EF4-FFF2-40B4-BE49-F238E27FC236}">
              <a16:creationId xmlns:a16="http://schemas.microsoft.com/office/drawing/2014/main" xmlns="" id="{00000000-0008-0000-0000-00000C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181" name="Text Box 3079">
          <a:extLst>
            <a:ext uri="{FF2B5EF4-FFF2-40B4-BE49-F238E27FC236}">
              <a16:creationId xmlns:a16="http://schemas.microsoft.com/office/drawing/2014/main" xmlns="" id="{00000000-0008-0000-0000-00000D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182" name="Text Box 3080">
          <a:extLst>
            <a:ext uri="{FF2B5EF4-FFF2-40B4-BE49-F238E27FC236}">
              <a16:creationId xmlns:a16="http://schemas.microsoft.com/office/drawing/2014/main" xmlns="" id="{00000000-0008-0000-0000-00000E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183" name="Text Box 3081">
          <a:extLst>
            <a:ext uri="{FF2B5EF4-FFF2-40B4-BE49-F238E27FC236}">
              <a16:creationId xmlns:a16="http://schemas.microsoft.com/office/drawing/2014/main" xmlns="" id="{00000000-0008-0000-0000-00000F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184" name="Text Box 3082">
          <a:extLst>
            <a:ext uri="{FF2B5EF4-FFF2-40B4-BE49-F238E27FC236}">
              <a16:creationId xmlns:a16="http://schemas.microsoft.com/office/drawing/2014/main" xmlns="" id="{00000000-0008-0000-0000-000010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185" name="Text Box 3083">
          <a:extLst>
            <a:ext uri="{FF2B5EF4-FFF2-40B4-BE49-F238E27FC236}">
              <a16:creationId xmlns:a16="http://schemas.microsoft.com/office/drawing/2014/main" xmlns="" id="{00000000-0008-0000-0000-000011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186" name="Text Box 3084">
          <a:extLst>
            <a:ext uri="{FF2B5EF4-FFF2-40B4-BE49-F238E27FC236}">
              <a16:creationId xmlns:a16="http://schemas.microsoft.com/office/drawing/2014/main" xmlns="" id="{00000000-0008-0000-0000-000012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187" name="Text Box 3085">
          <a:extLst>
            <a:ext uri="{FF2B5EF4-FFF2-40B4-BE49-F238E27FC236}">
              <a16:creationId xmlns:a16="http://schemas.microsoft.com/office/drawing/2014/main" xmlns="" id="{00000000-0008-0000-0000-000013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188" name="Text Box 3086">
          <a:extLst>
            <a:ext uri="{FF2B5EF4-FFF2-40B4-BE49-F238E27FC236}">
              <a16:creationId xmlns:a16="http://schemas.microsoft.com/office/drawing/2014/main" xmlns="" id="{00000000-0008-0000-0000-000014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189" name="Text Box 3087">
          <a:extLst>
            <a:ext uri="{FF2B5EF4-FFF2-40B4-BE49-F238E27FC236}">
              <a16:creationId xmlns:a16="http://schemas.microsoft.com/office/drawing/2014/main" xmlns="" id="{00000000-0008-0000-0000-000015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190" name="Text Box 3088">
          <a:extLst>
            <a:ext uri="{FF2B5EF4-FFF2-40B4-BE49-F238E27FC236}">
              <a16:creationId xmlns:a16="http://schemas.microsoft.com/office/drawing/2014/main" xmlns="" id="{00000000-0008-0000-0000-000016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191" name="Text Box 3089">
          <a:extLst>
            <a:ext uri="{FF2B5EF4-FFF2-40B4-BE49-F238E27FC236}">
              <a16:creationId xmlns:a16="http://schemas.microsoft.com/office/drawing/2014/main" xmlns="" id="{00000000-0008-0000-0000-000017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192" name="Text Box 3090">
          <a:extLst>
            <a:ext uri="{FF2B5EF4-FFF2-40B4-BE49-F238E27FC236}">
              <a16:creationId xmlns:a16="http://schemas.microsoft.com/office/drawing/2014/main" xmlns="" id="{00000000-0008-0000-0000-000018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193" name="Text Box 3091">
          <a:extLst>
            <a:ext uri="{FF2B5EF4-FFF2-40B4-BE49-F238E27FC236}">
              <a16:creationId xmlns:a16="http://schemas.microsoft.com/office/drawing/2014/main" xmlns="" id="{00000000-0008-0000-0000-000019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194" name="Text Box 3092">
          <a:extLst>
            <a:ext uri="{FF2B5EF4-FFF2-40B4-BE49-F238E27FC236}">
              <a16:creationId xmlns:a16="http://schemas.microsoft.com/office/drawing/2014/main" xmlns="" id="{00000000-0008-0000-0000-00001A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195" name="Text Box 3093">
          <a:extLst>
            <a:ext uri="{FF2B5EF4-FFF2-40B4-BE49-F238E27FC236}">
              <a16:creationId xmlns:a16="http://schemas.microsoft.com/office/drawing/2014/main" xmlns="" id="{00000000-0008-0000-0000-00001B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196" name="Text Box 3094">
          <a:extLst>
            <a:ext uri="{FF2B5EF4-FFF2-40B4-BE49-F238E27FC236}">
              <a16:creationId xmlns:a16="http://schemas.microsoft.com/office/drawing/2014/main" xmlns="" id="{00000000-0008-0000-0000-00001C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197" name="Text Box 3095">
          <a:extLst>
            <a:ext uri="{FF2B5EF4-FFF2-40B4-BE49-F238E27FC236}">
              <a16:creationId xmlns:a16="http://schemas.microsoft.com/office/drawing/2014/main" xmlns="" id="{00000000-0008-0000-0000-00001D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198" name="Text Box 3096">
          <a:extLst>
            <a:ext uri="{FF2B5EF4-FFF2-40B4-BE49-F238E27FC236}">
              <a16:creationId xmlns:a16="http://schemas.microsoft.com/office/drawing/2014/main" xmlns="" id="{00000000-0008-0000-0000-00001E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199" name="Text Box 3097">
          <a:extLst>
            <a:ext uri="{FF2B5EF4-FFF2-40B4-BE49-F238E27FC236}">
              <a16:creationId xmlns:a16="http://schemas.microsoft.com/office/drawing/2014/main" xmlns="" id="{00000000-0008-0000-0000-00001F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200" name="Text Box 3098">
          <a:extLst>
            <a:ext uri="{FF2B5EF4-FFF2-40B4-BE49-F238E27FC236}">
              <a16:creationId xmlns:a16="http://schemas.microsoft.com/office/drawing/2014/main" xmlns="" id="{00000000-0008-0000-0000-000020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201" name="Text Box 3099">
          <a:extLst>
            <a:ext uri="{FF2B5EF4-FFF2-40B4-BE49-F238E27FC236}">
              <a16:creationId xmlns:a16="http://schemas.microsoft.com/office/drawing/2014/main" xmlns="" id="{00000000-0008-0000-0000-000021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202" name="Text Box 3100">
          <a:extLst>
            <a:ext uri="{FF2B5EF4-FFF2-40B4-BE49-F238E27FC236}">
              <a16:creationId xmlns:a16="http://schemas.microsoft.com/office/drawing/2014/main" xmlns="" id="{00000000-0008-0000-0000-000022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203" name="Text Box 3101">
          <a:extLst>
            <a:ext uri="{FF2B5EF4-FFF2-40B4-BE49-F238E27FC236}">
              <a16:creationId xmlns:a16="http://schemas.microsoft.com/office/drawing/2014/main" xmlns="" id="{00000000-0008-0000-0000-000023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7204" name="Text Box 3102">
          <a:extLst>
            <a:ext uri="{FF2B5EF4-FFF2-40B4-BE49-F238E27FC236}">
              <a16:creationId xmlns:a16="http://schemas.microsoft.com/office/drawing/2014/main" xmlns="" id="{00000000-0008-0000-0000-000024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205" name="Text Box 59">
          <a:extLst>
            <a:ext uri="{FF2B5EF4-FFF2-40B4-BE49-F238E27FC236}">
              <a16:creationId xmlns:a16="http://schemas.microsoft.com/office/drawing/2014/main" xmlns="" id="{00000000-0008-0000-0000-000025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206" name="Text Box 60">
          <a:extLst>
            <a:ext uri="{FF2B5EF4-FFF2-40B4-BE49-F238E27FC236}">
              <a16:creationId xmlns:a16="http://schemas.microsoft.com/office/drawing/2014/main" xmlns="" id="{00000000-0008-0000-0000-000026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207" name="Text Box 61">
          <a:extLst>
            <a:ext uri="{FF2B5EF4-FFF2-40B4-BE49-F238E27FC236}">
              <a16:creationId xmlns:a16="http://schemas.microsoft.com/office/drawing/2014/main" xmlns="" id="{00000000-0008-0000-0000-000027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208" name="Text Box 62">
          <a:extLst>
            <a:ext uri="{FF2B5EF4-FFF2-40B4-BE49-F238E27FC236}">
              <a16:creationId xmlns:a16="http://schemas.microsoft.com/office/drawing/2014/main" xmlns="" id="{00000000-0008-0000-0000-000028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209" name="Text Box 63">
          <a:extLst>
            <a:ext uri="{FF2B5EF4-FFF2-40B4-BE49-F238E27FC236}">
              <a16:creationId xmlns:a16="http://schemas.microsoft.com/office/drawing/2014/main" xmlns="" id="{00000000-0008-0000-0000-000029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210" name="Text Box 64">
          <a:extLst>
            <a:ext uri="{FF2B5EF4-FFF2-40B4-BE49-F238E27FC236}">
              <a16:creationId xmlns:a16="http://schemas.microsoft.com/office/drawing/2014/main" xmlns="" id="{00000000-0008-0000-0000-00002A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211" name="Text Box 65">
          <a:extLst>
            <a:ext uri="{FF2B5EF4-FFF2-40B4-BE49-F238E27FC236}">
              <a16:creationId xmlns:a16="http://schemas.microsoft.com/office/drawing/2014/main" xmlns="" id="{00000000-0008-0000-0000-00002B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212" name="Text Box 66">
          <a:extLst>
            <a:ext uri="{FF2B5EF4-FFF2-40B4-BE49-F238E27FC236}">
              <a16:creationId xmlns:a16="http://schemas.microsoft.com/office/drawing/2014/main" xmlns="" id="{00000000-0008-0000-0000-00002C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213" name="Text Box 67">
          <a:extLst>
            <a:ext uri="{FF2B5EF4-FFF2-40B4-BE49-F238E27FC236}">
              <a16:creationId xmlns:a16="http://schemas.microsoft.com/office/drawing/2014/main" xmlns="" id="{00000000-0008-0000-0000-00002D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214" name="Text Box 68">
          <a:extLst>
            <a:ext uri="{FF2B5EF4-FFF2-40B4-BE49-F238E27FC236}">
              <a16:creationId xmlns:a16="http://schemas.microsoft.com/office/drawing/2014/main" xmlns="" id="{00000000-0008-0000-0000-00002E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215" name="Text Box 69">
          <a:extLst>
            <a:ext uri="{FF2B5EF4-FFF2-40B4-BE49-F238E27FC236}">
              <a16:creationId xmlns:a16="http://schemas.microsoft.com/office/drawing/2014/main" xmlns="" id="{00000000-0008-0000-0000-00002F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216" name="Text Box 70">
          <a:extLst>
            <a:ext uri="{FF2B5EF4-FFF2-40B4-BE49-F238E27FC236}">
              <a16:creationId xmlns:a16="http://schemas.microsoft.com/office/drawing/2014/main" xmlns="" id="{00000000-0008-0000-0000-000030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217" name="Text Box 71">
          <a:extLst>
            <a:ext uri="{FF2B5EF4-FFF2-40B4-BE49-F238E27FC236}">
              <a16:creationId xmlns:a16="http://schemas.microsoft.com/office/drawing/2014/main" xmlns="" id="{00000000-0008-0000-0000-000031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218" name="Text Box 72">
          <a:extLst>
            <a:ext uri="{FF2B5EF4-FFF2-40B4-BE49-F238E27FC236}">
              <a16:creationId xmlns:a16="http://schemas.microsoft.com/office/drawing/2014/main" xmlns="" id="{00000000-0008-0000-0000-000032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219" name="Text Box 73">
          <a:extLst>
            <a:ext uri="{FF2B5EF4-FFF2-40B4-BE49-F238E27FC236}">
              <a16:creationId xmlns:a16="http://schemas.microsoft.com/office/drawing/2014/main" xmlns="" id="{00000000-0008-0000-0000-000033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220" name="Text Box 74">
          <a:extLst>
            <a:ext uri="{FF2B5EF4-FFF2-40B4-BE49-F238E27FC236}">
              <a16:creationId xmlns:a16="http://schemas.microsoft.com/office/drawing/2014/main" xmlns="" id="{00000000-0008-0000-0000-000034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221" name="Text Box 75">
          <a:extLst>
            <a:ext uri="{FF2B5EF4-FFF2-40B4-BE49-F238E27FC236}">
              <a16:creationId xmlns:a16="http://schemas.microsoft.com/office/drawing/2014/main" xmlns="" id="{00000000-0008-0000-0000-000035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222" name="Text Box 76">
          <a:extLst>
            <a:ext uri="{FF2B5EF4-FFF2-40B4-BE49-F238E27FC236}">
              <a16:creationId xmlns:a16="http://schemas.microsoft.com/office/drawing/2014/main" xmlns="" id="{00000000-0008-0000-0000-000036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223" name="Text Box 77">
          <a:extLst>
            <a:ext uri="{FF2B5EF4-FFF2-40B4-BE49-F238E27FC236}">
              <a16:creationId xmlns:a16="http://schemas.microsoft.com/office/drawing/2014/main" xmlns="" id="{00000000-0008-0000-0000-000037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224" name="Text Box 78">
          <a:extLst>
            <a:ext uri="{FF2B5EF4-FFF2-40B4-BE49-F238E27FC236}">
              <a16:creationId xmlns:a16="http://schemas.microsoft.com/office/drawing/2014/main" xmlns="" id="{00000000-0008-0000-0000-000038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225" name="Text Box 79">
          <a:extLst>
            <a:ext uri="{FF2B5EF4-FFF2-40B4-BE49-F238E27FC236}">
              <a16:creationId xmlns:a16="http://schemas.microsoft.com/office/drawing/2014/main" xmlns="" id="{00000000-0008-0000-0000-000039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226" name="Text Box 80">
          <a:extLst>
            <a:ext uri="{FF2B5EF4-FFF2-40B4-BE49-F238E27FC236}">
              <a16:creationId xmlns:a16="http://schemas.microsoft.com/office/drawing/2014/main" xmlns="" id="{00000000-0008-0000-0000-00003A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227" name="Text Box 81">
          <a:extLst>
            <a:ext uri="{FF2B5EF4-FFF2-40B4-BE49-F238E27FC236}">
              <a16:creationId xmlns:a16="http://schemas.microsoft.com/office/drawing/2014/main" xmlns="" id="{00000000-0008-0000-0000-00003B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47625"/>
    <xdr:sp macro="" textlink="">
      <xdr:nvSpPr>
        <xdr:cNvPr id="7228" name="Text Box 82">
          <a:extLst>
            <a:ext uri="{FF2B5EF4-FFF2-40B4-BE49-F238E27FC236}">
              <a16:creationId xmlns:a16="http://schemas.microsoft.com/office/drawing/2014/main" xmlns="" id="{00000000-0008-0000-0000-00003C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229" name="Text Box 3079">
          <a:extLst>
            <a:ext uri="{FF2B5EF4-FFF2-40B4-BE49-F238E27FC236}">
              <a16:creationId xmlns:a16="http://schemas.microsoft.com/office/drawing/2014/main" xmlns="" id="{00000000-0008-0000-0000-00003D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230" name="Text Box 3080">
          <a:extLst>
            <a:ext uri="{FF2B5EF4-FFF2-40B4-BE49-F238E27FC236}">
              <a16:creationId xmlns:a16="http://schemas.microsoft.com/office/drawing/2014/main" xmlns="" id="{00000000-0008-0000-0000-00003E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231" name="Text Box 3081">
          <a:extLst>
            <a:ext uri="{FF2B5EF4-FFF2-40B4-BE49-F238E27FC236}">
              <a16:creationId xmlns:a16="http://schemas.microsoft.com/office/drawing/2014/main" xmlns="" id="{00000000-0008-0000-0000-00003F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232" name="Text Box 3082">
          <a:extLst>
            <a:ext uri="{FF2B5EF4-FFF2-40B4-BE49-F238E27FC236}">
              <a16:creationId xmlns:a16="http://schemas.microsoft.com/office/drawing/2014/main" xmlns="" id="{00000000-0008-0000-0000-000040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233" name="Text Box 3083">
          <a:extLst>
            <a:ext uri="{FF2B5EF4-FFF2-40B4-BE49-F238E27FC236}">
              <a16:creationId xmlns:a16="http://schemas.microsoft.com/office/drawing/2014/main" xmlns="" id="{00000000-0008-0000-0000-000041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234" name="Text Box 3084">
          <a:extLst>
            <a:ext uri="{FF2B5EF4-FFF2-40B4-BE49-F238E27FC236}">
              <a16:creationId xmlns:a16="http://schemas.microsoft.com/office/drawing/2014/main" xmlns="" id="{00000000-0008-0000-0000-000042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235" name="Text Box 3085">
          <a:extLst>
            <a:ext uri="{FF2B5EF4-FFF2-40B4-BE49-F238E27FC236}">
              <a16:creationId xmlns:a16="http://schemas.microsoft.com/office/drawing/2014/main" xmlns="" id="{00000000-0008-0000-0000-000043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236" name="Text Box 3086">
          <a:extLst>
            <a:ext uri="{FF2B5EF4-FFF2-40B4-BE49-F238E27FC236}">
              <a16:creationId xmlns:a16="http://schemas.microsoft.com/office/drawing/2014/main" xmlns="" id="{00000000-0008-0000-0000-000044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237" name="Text Box 3087">
          <a:extLst>
            <a:ext uri="{FF2B5EF4-FFF2-40B4-BE49-F238E27FC236}">
              <a16:creationId xmlns:a16="http://schemas.microsoft.com/office/drawing/2014/main" xmlns="" id="{00000000-0008-0000-0000-000045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238" name="Text Box 3088">
          <a:extLst>
            <a:ext uri="{FF2B5EF4-FFF2-40B4-BE49-F238E27FC236}">
              <a16:creationId xmlns:a16="http://schemas.microsoft.com/office/drawing/2014/main" xmlns="" id="{00000000-0008-0000-0000-000046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239" name="Text Box 3089">
          <a:extLst>
            <a:ext uri="{FF2B5EF4-FFF2-40B4-BE49-F238E27FC236}">
              <a16:creationId xmlns:a16="http://schemas.microsoft.com/office/drawing/2014/main" xmlns="" id="{00000000-0008-0000-0000-000047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240" name="Text Box 3090">
          <a:extLst>
            <a:ext uri="{FF2B5EF4-FFF2-40B4-BE49-F238E27FC236}">
              <a16:creationId xmlns:a16="http://schemas.microsoft.com/office/drawing/2014/main" xmlns="" id="{00000000-0008-0000-0000-000048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241" name="Text Box 3091">
          <a:extLst>
            <a:ext uri="{FF2B5EF4-FFF2-40B4-BE49-F238E27FC236}">
              <a16:creationId xmlns:a16="http://schemas.microsoft.com/office/drawing/2014/main" xmlns="" id="{00000000-0008-0000-0000-000049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242" name="Text Box 3092">
          <a:extLst>
            <a:ext uri="{FF2B5EF4-FFF2-40B4-BE49-F238E27FC236}">
              <a16:creationId xmlns:a16="http://schemas.microsoft.com/office/drawing/2014/main" xmlns="" id="{00000000-0008-0000-0000-00004A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243" name="Text Box 3093">
          <a:extLst>
            <a:ext uri="{FF2B5EF4-FFF2-40B4-BE49-F238E27FC236}">
              <a16:creationId xmlns:a16="http://schemas.microsoft.com/office/drawing/2014/main" xmlns="" id="{00000000-0008-0000-0000-00004B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244" name="Text Box 3094">
          <a:extLst>
            <a:ext uri="{FF2B5EF4-FFF2-40B4-BE49-F238E27FC236}">
              <a16:creationId xmlns:a16="http://schemas.microsoft.com/office/drawing/2014/main" xmlns="" id="{00000000-0008-0000-0000-00004C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245" name="Text Box 3095">
          <a:extLst>
            <a:ext uri="{FF2B5EF4-FFF2-40B4-BE49-F238E27FC236}">
              <a16:creationId xmlns:a16="http://schemas.microsoft.com/office/drawing/2014/main" xmlns="" id="{00000000-0008-0000-0000-00004D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246" name="Text Box 3096">
          <a:extLst>
            <a:ext uri="{FF2B5EF4-FFF2-40B4-BE49-F238E27FC236}">
              <a16:creationId xmlns:a16="http://schemas.microsoft.com/office/drawing/2014/main" xmlns="" id="{00000000-0008-0000-0000-00004E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247" name="Text Box 3097">
          <a:extLst>
            <a:ext uri="{FF2B5EF4-FFF2-40B4-BE49-F238E27FC236}">
              <a16:creationId xmlns:a16="http://schemas.microsoft.com/office/drawing/2014/main" xmlns="" id="{00000000-0008-0000-0000-00004F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248" name="Text Box 3098">
          <a:extLst>
            <a:ext uri="{FF2B5EF4-FFF2-40B4-BE49-F238E27FC236}">
              <a16:creationId xmlns:a16="http://schemas.microsoft.com/office/drawing/2014/main" xmlns="" id="{00000000-0008-0000-0000-000050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249" name="Text Box 3099">
          <a:extLst>
            <a:ext uri="{FF2B5EF4-FFF2-40B4-BE49-F238E27FC236}">
              <a16:creationId xmlns:a16="http://schemas.microsoft.com/office/drawing/2014/main" xmlns="" id="{00000000-0008-0000-0000-000051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250" name="Text Box 3100">
          <a:extLst>
            <a:ext uri="{FF2B5EF4-FFF2-40B4-BE49-F238E27FC236}">
              <a16:creationId xmlns:a16="http://schemas.microsoft.com/office/drawing/2014/main" xmlns="" id="{00000000-0008-0000-0000-000052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251" name="Text Box 3101">
          <a:extLst>
            <a:ext uri="{FF2B5EF4-FFF2-40B4-BE49-F238E27FC236}">
              <a16:creationId xmlns:a16="http://schemas.microsoft.com/office/drawing/2014/main" xmlns="" id="{00000000-0008-0000-0000-000053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7252" name="Text Box 3102">
          <a:extLst>
            <a:ext uri="{FF2B5EF4-FFF2-40B4-BE49-F238E27FC236}">
              <a16:creationId xmlns:a16="http://schemas.microsoft.com/office/drawing/2014/main" xmlns="" id="{00000000-0008-0000-0000-000054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253" name="Text Box 59">
          <a:extLst>
            <a:ext uri="{FF2B5EF4-FFF2-40B4-BE49-F238E27FC236}">
              <a16:creationId xmlns:a16="http://schemas.microsoft.com/office/drawing/2014/main" xmlns="" id="{00000000-0008-0000-0000-000055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254" name="Text Box 60">
          <a:extLst>
            <a:ext uri="{FF2B5EF4-FFF2-40B4-BE49-F238E27FC236}">
              <a16:creationId xmlns:a16="http://schemas.microsoft.com/office/drawing/2014/main" xmlns="" id="{00000000-0008-0000-0000-000056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255" name="Text Box 61">
          <a:extLst>
            <a:ext uri="{FF2B5EF4-FFF2-40B4-BE49-F238E27FC236}">
              <a16:creationId xmlns:a16="http://schemas.microsoft.com/office/drawing/2014/main" xmlns="" id="{00000000-0008-0000-0000-000057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256" name="Text Box 62">
          <a:extLst>
            <a:ext uri="{FF2B5EF4-FFF2-40B4-BE49-F238E27FC236}">
              <a16:creationId xmlns:a16="http://schemas.microsoft.com/office/drawing/2014/main" xmlns="" id="{00000000-0008-0000-0000-000058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257" name="Text Box 63">
          <a:extLst>
            <a:ext uri="{FF2B5EF4-FFF2-40B4-BE49-F238E27FC236}">
              <a16:creationId xmlns:a16="http://schemas.microsoft.com/office/drawing/2014/main" xmlns="" id="{00000000-0008-0000-0000-000059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258" name="Text Box 64">
          <a:extLst>
            <a:ext uri="{FF2B5EF4-FFF2-40B4-BE49-F238E27FC236}">
              <a16:creationId xmlns:a16="http://schemas.microsoft.com/office/drawing/2014/main" xmlns="" id="{00000000-0008-0000-0000-00005A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259" name="Text Box 65">
          <a:extLst>
            <a:ext uri="{FF2B5EF4-FFF2-40B4-BE49-F238E27FC236}">
              <a16:creationId xmlns:a16="http://schemas.microsoft.com/office/drawing/2014/main" xmlns="" id="{00000000-0008-0000-0000-00005B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260" name="Text Box 66">
          <a:extLst>
            <a:ext uri="{FF2B5EF4-FFF2-40B4-BE49-F238E27FC236}">
              <a16:creationId xmlns:a16="http://schemas.microsoft.com/office/drawing/2014/main" xmlns="" id="{00000000-0008-0000-0000-00005C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261" name="Text Box 67">
          <a:extLst>
            <a:ext uri="{FF2B5EF4-FFF2-40B4-BE49-F238E27FC236}">
              <a16:creationId xmlns:a16="http://schemas.microsoft.com/office/drawing/2014/main" xmlns="" id="{00000000-0008-0000-0000-00005D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262" name="Text Box 68">
          <a:extLst>
            <a:ext uri="{FF2B5EF4-FFF2-40B4-BE49-F238E27FC236}">
              <a16:creationId xmlns:a16="http://schemas.microsoft.com/office/drawing/2014/main" xmlns="" id="{00000000-0008-0000-0000-00005E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263" name="Text Box 69">
          <a:extLst>
            <a:ext uri="{FF2B5EF4-FFF2-40B4-BE49-F238E27FC236}">
              <a16:creationId xmlns:a16="http://schemas.microsoft.com/office/drawing/2014/main" xmlns="" id="{00000000-0008-0000-0000-00005F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264" name="Text Box 70">
          <a:extLst>
            <a:ext uri="{FF2B5EF4-FFF2-40B4-BE49-F238E27FC236}">
              <a16:creationId xmlns:a16="http://schemas.microsoft.com/office/drawing/2014/main" xmlns="" id="{00000000-0008-0000-0000-000060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265" name="Text Box 71">
          <a:extLst>
            <a:ext uri="{FF2B5EF4-FFF2-40B4-BE49-F238E27FC236}">
              <a16:creationId xmlns:a16="http://schemas.microsoft.com/office/drawing/2014/main" xmlns="" id="{00000000-0008-0000-0000-000061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266" name="Text Box 72">
          <a:extLst>
            <a:ext uri="{FF2B5EF4-FFF2-40B4-BE49-F238E27FC236}">
              <a16:creationId xmlns:a16="http://schemas.microsoft.com/office/drawing/2014/main" xmlns="" id="{00000000-0008-0000-0000-000062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267" name="Text Box 73">
          <a:extLst>
            <a:ext uri="{FF2B5EF4-FFF2-40B4-BE49-F238E27FC236}">
              <a16:creationId xmlns:a16="http://schemas.microsoft.com/office/drawing/2014/main" xmlns="" id="{00000000-0008-0000-0000-000063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268" name="Text Box 74">
          <a:extLst>
            <a:ext uri="{FF2B5EF4-FFF2-40B4-BE49-F238E27FC236}">
              <a16:creationId xmlns:a16="http://schemas.microsoft.com/office/drawing/2014/main" xmlns="" id="{00000000-0008-0000-0000-000064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269" name="Text Box 75">
          <a:extLst>
            <a:ext uri="{FF2B5EF4-FFF2-40B4-BE49-F238E27FC236}">
              <a16:creationId xmlns:a16="http://schemas.microsoft.com/office/drawing/2014/main" xmlns="" id="{00000000-0008-0000-0000-000065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270" name="Text Box 76">
          <a:extLst>
            <a:ext uri="{FF2B5EF4-FFF2-40B4-BE49-F238E27FC236}">
              <a16:creationId xmlns:a16="http://schemas.microsoft.com/office/drawing/2014/main" xmlns="" id="{00000000-0008-0000-0000-000066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271" name="Text Box 77">
          <a:extLst>
            <a:ext uri="{FF2B5EF4-FFF2-40B4-BE49-F238E27FC236}">
              <a16:creationId xmlns:a16="http://schemas.microsoft.com/office/drawing/2014/main" xmlns="" id="{00000000-0008-0000-0000-000067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272" name="Text Box 78">
          <a:extLst>
            <a:ext uri="{FF2B5EF4-FFF2-40B4-BE49-F238E27FC236}">
              <a16:creationId xmlns:a16="http://schemas.microsoft.com/office/drawing/2014/main" xmlns="" id="{00000000-0008-0000-0000-000068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273" name="Text Box 79">
          <a:extLst>
            <a:ext uri="{FF2B5EF4-FFF2-40B4-BE49-F238E27FC236}">
              <a16:creationId xmlns:a16="http://schemas.microsoft.com/office/drawing/2014/main" xmlns="" id="{00000000-0008-0000-0000-000069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274" name="Text Box 80">
          <a:extLst>
            <a:ext uri="{FF2B5EF4-FFF2-40B4-BE49-F238E27FC236}">
              <a16:creationId xmlns:a16="http://schemas.microsoft.com/office/drawing/2014/main" xmlns="" id="{00000000-0008-0000-0000-00006A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275" name="Text Box 81">
          <a:extLst>
            <a:ext uri="{FF2B5EF4-FFF2-40B4-BE49-F238E27FC236}">
              <a16:creationId xmlns:a16="http://schemas.microsoft.com/office/drawing/2014/main" xmlns="" id="{00000000-0008-0000-0000-00006B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276" name="Text Box 3079">
          <a:extLst>
            <a:ext uri="{FF2B5EF4-FFF2-40B4-BE49-F238E27FC236}">
              <a16:creationId xmlns:a16="http://schemas.microsoft.com/office/drawing/2014/main" xmlns="" id="{00000000-0008-0000-0000-00006C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277" name="Text Box 3080">
          <a:extLst>
            <a:ext uri="{FF2B5EF4-FFF2-40B4-BE49-F238E27FC236}">
              <a16:creationId xmlns:a16="http://schemas.microsoft.com/office/drawing/2014/main" xmlns="" id="{00000000-0008-0000-0000-00006D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278" name="Text Box 3081">
          <a:extLst>
            <a:ext uri="{FF2B5EF4-FFF2-40B4-BE49-F238E27FC236}">
              <a16:creationId xmlns:a16="http://schemas.microsoft.com/office/drawing/2014/main" xmlns="" id="{00000000-0008-0000-0000-00006E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279" name="Text Box 3082">
          <a:extLst>
            <a:ext uri="{FF2B5EF4-FFF2-40B4-BE49-F238E27FC236}">
              <a16:creationId xmlns:a16="http://schemas.microsoft.com/office/drawing/2014/main" xmlns="" id="{00000000-0008-0000-0000-00006F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280" name="Text Box 3083">
          <a:extLst>
            <a:ext uri="{FF2B5EF4-FFF2-40B4-BE49-F238E27FC236}">
              <a16:creationId xmlns:a16="http://schemas.microsoft.com/office/drawing/2014/main" xmlns="" id="{00000000-0008-0000-0000-000070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281" name="Text Box 3084">
          <a:extLst>
            <a:ext uri="{FF2B5EF4-FFF2-40B4-BE49-F238E27FC236}">
              <a16:creationId xmlns:a16="http://schemas.microsoft.com/office/drawing/2014/main" xmlns="" id="{00000000-0008-0000-0000-000071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282" name="Text Box 3085">
          <a:extLst>
            <a:ext uri="{FF2B5EF4-FFF2-40B4-BE49-F238E27FC236}">
              <a16:creationId xmlns:a16="http://schemas.microsoft.com/office/drawing/2014/main" xmlns="" id="{00000000-0008-0000-0000-000072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283" name="Text Box 3086">
          <a:extLst>
            <a:ext uri="{FF2B5EF4-FFF2-40B4-BE49-F238E27FC236}">
              <a16:creationId xmlns:a16="http://schemas.microsoft.com/office/drawing/2014/main" xmlns="" id="{00000000-0008-0000-0000-000073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284" name="Text Box 3087">
          <a:extLst>
            <a:ext uri="{FF2B5EF4-FFF2-40B4-BE49-F238E27FC236}">
              <a16:creationId xmlns:a16="http://schemas.microsoft.com/office/drawing/2014/main" xmlns="" id="{00000000-0008-0000-0000-000074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285" name="Text Box 3088">
          <a:extLst>
            <a:ext uri="{FF2B5EF4-FFF2-40B4-BE49-F238E27FC236}">
              <a16:creationId xmlns:a16="http://schemas.microsoft.com/office/drawing/2014/main" xmlns="" id="{00000000-0008-0000-0000-000075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286" name="Text Box 3089">
          <a:extLst>
            <a:ext uri="{FF2B5EF4-FFF2-40B4-BE49-F238E27FC236}">
              <a16:creationId xmlns:a16="http://schemas.microsoft.com/office/drawing/2014/main" xmlns="" id="{00000000-0008-0000-0000-000076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287" name="Text Box 3090">
          <a:extLst>
            <a:ext uri="{FF2B5EF4-FFF2-40B4-BE49-F238E27FC236}">
              <a16:creationId xmlns:a16="http://schemas.microsoft.com/office/drawing/2014/main" xmlns="" id="{00000000-0008-0000-0000-000077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288" name="Text Box 3091">
          <a:extLst>
            <a:ext uri="{FF2B5EF4-FFF2-40B4-BE49-F238E27FC236}">
              <a16:creationId xmlns:a16="http://schemas.microsoft.com/office/drawing/2014/main" xmlns="" id="{00000000-0008-0000-0000-000078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289" name="Text Box 3092">
          <a:extLst>
            <a:ext uri="{FF2B5EF4-FFF2-40B4-BE49-F238E27FC236}">
              <a16:creationId xmlns:a16="http://schemas.microsoft.com/office/drawing/2014/main" xmlns="" id="{00000000-0008-0000-0000-000079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290" name="Text Box 3093">
          <a:extLst>
            <a:ext uri="{FF2B5EF4-FFF2-40B4-BE49-F238E27FC236}">
              <a16:creationId xmlns:a16="http://schemas.microsoft.com/office/drawing/2014/main" xmlns="" id="{00000000-0008-0000-0000-00007A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291" name="Text Box 3094">
          <a:extLst>
            <a:ext uri="{FF2B5EF4-FFF2-40B4-BE49-F238E27FC236}">
              <a16:creationId xmlns:a16="http://schemas.microsoft.com/office/drawing/2014/main" xmlns="" id="{00000000-0008-0000-0000-00007B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292" name="Text Box 3095">
          <a:extLst>
            <a:ext uri="{FF2B5EF4-FFF2-40B4-BE49-F238E27FC236}">
              <a16:creationId xmlns:a16="http://schemas.microsoft.com/office/drawing/2014/main" xmlns="" id="{00000000-0008-0000-0000-00007C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293" name="Text Box 3096">
          <a:extLst>
            <a:ext uri="{FF2B5EF4-FFF2-40B4-BE49-F238E27FC236}">
              <a16:creationId xmlns:a16="http://schemas.microsoft.com/office/drawing/2014/main" xmlns="" id="{00000000-0008-0000-0000-00007D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294" name="Text Box 3097">
          <a:extLst>
            <a:ext uri="{FF2B5EF4-FFF2-40B4-BE49-F238E27FC236}">
              <a16:creationId xmlns:a16="http://schemas.microsoft.com/office/drawing/2014/main" xmlns="" id="{00000000-0008-0000-0000-00007E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295" name="Text Box 3098">
          <a:extLst>
            <a:ext uri="{FF2B5EF4-FFF2-40B4-BE49-F238E27FC236}">
              <a16:creationId xmlns:a16="http://schemas.microsoft.com/office/drawing/2014/main" xmlns="" id="{00000000-0008-0000-0000-00007F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296" name="Text Box 3099">
          <a:extLst>
            <a:ext uri="{FF2B5EF4-FFF2-40B4-BE49-F238E27FC236}">
              <a16:creationId xmlns:a16="http://schemas.microsoft.com/office/drawing/2014/main" xmlns="" id="{00000000-0008-0000-0000-000080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297" name="Text Box 3100">
          <a:extLst>
            <a:ext uri="{FF2B5EF4-FFF2-40B4-BE49-F238E27FC236}">
              <a16:creationId xmlns:a16="http://schemas.microsoft.com/office/drawing/2014/main" xmlns="" id="{00000000-0008-0000-0000-000081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298" name="Text Box 3101">
          <a:extLst>
            <a:ext uri="{FF2B5EF4-FFF2-40B4-BE49-F238E27FC236}">
              <a16:creationId xmlns:a16="http://schemas.microsoft.com/office/drawing/2014/main" xmlns="" id="{00000000-0008-0000-0000-000082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7299" name="Text Box 3102">
          <a:extLst>
            <a:ext uri="{FF2B5EF4-FFF2-40B4-BE49-F238E27FC236}">
              <a16:creationId xmlns:a16="http://schemas.microsoft.com/office/drawing/2014/main" xmlns="" id="{00000000-0008-0000-0000-000083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300" name="Text Box 59">
          <a:extLst>
            <a:ext uri="{FF2B5EF4-FFF2-40B4-BE49-F238E27FC236}">
              <a16:creationId xmlns:a16="http://schemas.microsoft.com/office/drawing/2014/main" xmlns="" id="{00000000-0008-0000-0000-000084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301" name="Text Box 60">
          <a:extLst>
            <a:ext uri="{FF2B5EF4-FFF2-40B4-BE49-F238E27FC236}">
              <a16:creationId xmlns:a16="http://schemas.microsoft.com/office/drawing/2014/main" xmlns="" id="{00000000-0008-0000-0000-000085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302" name="Text Box 61">
          <a:extLst>
            <a:ext uri="{FF2B5EF4-FFF2-40B4-BE49-F238E27FC236}">
              <a16:creationId xmlns:a16="http://schemas.microsoft.com/office/drawing/2014/main" xmlns="" id="{00000000-0008-0000-0000-000086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303" name="Text Box 62">
          <a:extLst>
            <a:ext uri="{FF2B5EF4-FFF2-40B4-BE49-F238E27FC236}">
              <a16:creationId xmlns:a16="http://schemas.microsoft.com/office/drawing/2014/main" xmlns="" id="{00000000-0008-0000-0000-000087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304" name="Text Box 63">
          <a:extLst>
            <a:ext uri="{FF2B5EF4-FFF2-40B4-BE49-F238E27FC236}">
              <a16:creationId xmlns:a16="http://schemas.microsoft.com/office/drawing/2014/main" xmlns="" id="{00000000-0008-0000-0000-000088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305" name="Text Box 64">
          <a:extLst>
            <a:ext uri="{FF2B5EF4-FFF2-40B4-BE49-F238E27FC236}">
              <a16:creationId xmlns:a16="http://schemas.microsoft.com/office/drawing/2014/main" xmlns="" id="{00000000-0008-0000-0000-000089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306" name="Text Box 65">
          <a:extLst>
            <a:ext uri="{FF2B5EF4-FFF2-40B4-BE49-F238E27FC236}">
              <a16:creationId xmlns:a16="http://schemas.microsoft.com/office/drawing/2014/main" xmlns="" id="{00000000-0008-0000-0000-00008A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307" name="Text Box 66">
          <a:extLst>
            <a:ext uri="{FF2B5EF4-FFF2-40B4-BE49-F238E27FC236}">
              <a16:creationId xmlns:a16="http://schemas.microsoft.com/office/drawing/2014/main" xmlns="" id="{00000000-0008-0000-0000-00008B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308" name="Text Box 67">
          <a:extLst>
            <a:ext uri="{FF2B5EF4-FFF2-40B4-BE49-F238E27FC236}">
              <a16:creationId xmlns:a16="http://schemas.microsoft.com/office/drawing/2014/main" xmlns="" id="{00000000-0008-0000-0000-00008C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309" name="Text Box 68">
          <a:extLst>
            <a:ext uri="{FF2B5EF4-FFF2-40B4-BE49-F238E27FC236}">
              <a16:creationId xmlns:a16="http://schemas.microsoft.com/office/drawing/2014/main" xmlns="" id="{00000000-0008-0000-0000-00008D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310" name="Text Box 69">
          <a:extLst>
            <a:ext uri="{FF2B5EF4-FFF2-40B4-BE49-F238E27FC236}">
              <a16:creationId xmlns:a16="http://schemas.microsoft.com/office/drawing/2014/main" xmlns="" id="{00000000-0008-0000-0000-00008E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311" name="Text Box 70">
          <a:extLst>
            <a:ext uri="{FF2B5EF4-FFF2-40B4-BE49-F238E27FC236}">
              <a16:creationId xmlns:a16="http://schemas.microsoft.com/office/drawing/2014/main" xmlns="" id="{00000000-0008-0000-0000-00008F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312" name="Text Box 71">
          <a:extLst>
            <a:ext uri="{FF2B5EF4-FFF2-40B4-BE49-F238E27FC236}">
              <a16:creationId xmlns:a16="http://schemas.microsoft.com/office/drawing/2014/main" xmlns="" id="{00000000-0008-0000-0000-000090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313" name="Text Box 72">
          <a:extLst>
            <a:ext uri="{FF2B5EF4-FFF2-40B4-BE49-F238E27FC236}">
              <a16:creationId xmlns:a16="http://schemas.microsoft.com/office/drawing/2014/main" xmlns="" id="{00000000-0008-0000-0000-000091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314" name="Text Box 73">
          <a:extLst>
            <a:ext uri="{FF2B5EF4-FFF2-40B4-BE49-F238E27FC236}">
              <a16:creationId xmlns:a16="http://schemas.microsoft.com/office/drawing/2014/main" xmlns="" id="{00000000-0008-0000-0000-000092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315" name="Text Box 74">
          <a:extLst>
            <a:ext uri="{FF2B5EF4-FFF2-40B4-BE49-F238E27FC236}">
              <a16:creationId xmlns:a16="http://schemas.microsoft.com/office/drawing/2014/main" xmlns="" id="{00000000-0008-0000-0000-000093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316" name="Text Box 75">
          <a:extLst>
            <a:ext uri="{FF2B5EF4-FFF2-40B4-BE49-F238E27FC236}">
              <a16:creationId xmlns:a16="http://schemas.microsoft.com/office/drawing/2014/main" xmlns="" id="{00000000-0008-0000-0000-000094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317" name="Text Box 76">
          <a:extLst>
            <a:ext uri="{FF2B5EF4-FFF2-40B4-BE49-F238E27FC236}">
              <a16:creationId xmlns:a16="http://schemas.microsoft.com/office/drawing/2014/main" xmlns="" id="{00000000-0008-0000-0000-000095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318" name="Text Box 77">
          <a:extLst>
            <a:ext uri="{FF2B5EF4-FFF2-40B4-BE49-F238E27FC236}">
              <a16:creationId xmlns:a16="http://schemas.microsoft.com/office/drawing/2014/main" xmlns="" id="{00000000-0008-0000-0000-000096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319" name="Text Box 78">
          <a:extLst>
            <a:ext uri="{FF2B5EF4-FFF2-40B4-BE49-F238E27FC236}">
              <a16:creationId xmlns:a16="http://schemas.microsoft.com/office/drawing/2014/main" xmlns="" id="{00000000-0008-0000-0000-000097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320" name="Text Box 79">
          <a:extLst>
            <a:ext uri="{FF2B5EF4-FFF2-40B4-BE49-F238E27FC236}">
              <a16:creationId xmlns:a16="http://schemas.microsoft.com/office/drawing/2014/main" xmlns="" id="{00000000-0008-0000-0000-000098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321" name="Text Box 80">
          <a:extLst>
            <a:ext uri="{FF2B5EF4-FFF2-40B4-BE49-F238E27FC236}">
              <a16:creationId xmlns:a16="http://schemas.microsoft.com/office/drawing/2014/main" xmlns="" id="{00000000-0008-0000-0000-000099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322" name="Text Box 81">
          <a:extLst>
            <a:ext uri="{FF2B5EF4-FFF2-40B4-BE49-F238E27FC236}">
              <a16:creationId xmlns:a16="http://schemas.microsoft.com/office/drawing/2014/main" xmlns="" id="{00000000-0008-0000-0000-00009A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47625"/>
    <xdr:sp macro="" textlink="">
      <xdr:nvSpPr>
        <xdr:cNvPr id="7323" name="Text Box 82">
          <a:extLst>
            <a:ext uri="{FF2B5EF4-FFF2-40B4-BE49-F238E27FC236}">
              <a16:creationId xmlns:a16="http://schemas.microsoft.com/office/drawing/2014/main" xmlns="" id="{00000000-0008-0000-0000-00009B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324" name="Text Box 3079">
          <a:extLst>
            <a:ext uri="{FF2B5EF4-FFF2-40B4-BE49-F238E27FC236}">
              <a16:creationId xmlns:a16="http://schemas.microsoft.com/office/drawing/2014/main" xmlns="" id="{00000000-0008-0000-0000-00009C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325" name="Text Box 3080">
          <a:extLst>
            <a:ext uri="{FF2B5EF4-FFF2-40B4-BE49-F238E27FC236}">
              <a16:creationId xmlns:a16="http://schemas.microsoft.com/office/drawing/2014/main" xmlns="" id="{00000000-0008-0000-0000-00009D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326" name="Text Box 3081">
          <a:extLst>
            <a:ext uri="{FF2B5EF4-FFF2-40B4-BE49-F238E27FC236}">
              <a16:creationId xmlns:a16="http://schemas.microsoft.com/office/drawing/2014/main" xmlns="" id="{00000000-0008-0000-0000-00009E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327" name="Text Box 3082">
          <a:extLst>
            <a:ext uri="{FF2B5EF4-FFF2-40B4-BE49-F238E27FC236}">
              <a16:creationId xmlns:a16="http://schemas.microsoft.com/office/drawing/2014/main" xmlns="" id="{00000000-0008-0000-0000-00009F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328" name="Text Box 3083">
          <a:extLst>
            <a:ext uri="{FF2B5EF4-FFF2-40B4-BE49-F238E27FC236}">
              <a16:creationId xmlns:a16="http://schemas.microsoft.com/office/drawing/2014/main" xmlns="" id="{00000000-0008-0000-0000-0000A0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329" name="Text Box 3084">
          <a:extLst>
            <a:ext uri="{FF2B5EF4-FFF2-40B4-BE49-F238E27FC236}">
              <a16:creationId xmlns:a16="http://schemas.microsoft.com/office/drawing/2014/main" xmlns="" id="{00000000-0008-0000-0000-0000A1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330" name="Text Box 3085">
          <a:extLst>
            <a:ext uri="{FF2B5EF4-FFF2-40B4-BE49-F238E27FC236}">
              <a16:creationId xmlns:a16="http://schemas.microsoft.com/office/drawing/2014/main" xmlns="" id="{00000000-0008-0000-0000-0000A2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331" name="Text Box 3086">
          <a:extLst>
            <a:ext uri="{FF2B5EF4-FFF2-40B4-BE49-F238E27FC236}">
              <a16:creationId xmlns:a16="http://schemas.microsoft.com/office/drawing/2014/main" xmlns="" id="{00000000-0008-0000-0000-0000A3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332" name="Text Box 3087">
          <a:extLst>
            <a:ext uri="{FF2B5EF4-FFF2-40B4-BE49-F238E27FC236}">
              <a16:creationId xmlns:a16="http://schemas.microsoft.com/office/drawing/2014/main" xmlns="" id="{00000000-0008-0000-0000-0000A4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333" name="Text Box 3088">
          <a:extLst>
            <a:ext uri="{FF2B5EF4-FFF2-40B4-BE49-F238E27FC236}">
              <a16:creationId xmlns:a16="http://schemas.microsoft.com/office/drawing/2014/main" xmlns="" id="{00000000-0008-0000-0000-0000A5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334" name="Text Box 3089">
          <a:extLst>
            <a:ext uri="{FF2B5EF4-FFF2-40B4-BE49-F238E27FC236}">
              <a16:creationId xmlns:a16="http://schemas.microsoft.com/office/drawing/2014/main" xmlns="" id="{00000000-0008-0000-0000-0000A6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335" name="Text Box 3090">
          <a:extLst>
            <a:ext uri="{FF2B5EF4-FFF2-40B4-BE49-F238E27FC236}">
              <a16:creationId xmlns:a16="http://schemas.microsoft.com/office/drawing/2014/main" xmlns="" id="{00000000-0008-0000-0000-0000A7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336" name="Text Box 3091">
          <a:extLst>
            <a:ext uri="{FF2B5EF4-FFF2-40B4-BE49-F238E27FC236}">
              <a16:creationId xmlns:a16="http://schemas.microsoft.com/office/drawing/2014/main" xmlns="" id="{00000000-0008-0000-0000-0000A8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337" name="Text Box 3092">
          <a:extLst>
            <a:ext uri="{FF2B5EF4-FFF2-40B4-BE49-F238E27FC236}">
              <a16:creationId xmlns:a16="http://schemas.microsoft.com/office/drawing/2014/main" xmlns="" id="{00000000-0008-0000-0000-0000A9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338" name="Text Box 3093">
          <a:extLst>
            <a:ext uri="{FF2B5EF4-FFF2-40B4-BE49-F238E27FC236}">
              <a16:creationId xmlns:a16="http://schemas.microsoft.com/office/drawing/2014/main" xmlns="" id="{00000000-0008-0000-0000-0000AA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339" name="Text Box 3094">
          <a:extLst>
            <a:ext uri="{FF2B5EF4-FFF2-40B4-BE49-F238E27FC236}">
              <a16:creationId xmlns:a16="http://schemas.microsoft.com/office/drawing/2014/main" xmlns="" id="{00000000-0008-0000-0000-0000AB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340" name="Text Box 3095">
          <a:extLst>
            <a:ext uri="{FF2B5EF4-FFF2-40B4-BE49-F238E27FC236}">
              <a16:creationId xmlns:a16="http://schemas.microsoft.com/office/drawing/2014/main" xmlns="" id="{00000000-0008-0000-0000-0000AC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341" name="Text Box 3096">
          <a:extLst>
            <a:ext uri="{FF2B5EF4-FFF2-40B4-BE49-F238E27FC236}">
              <a16:creationId xmlns:a16="http://schemas.microsoft.com/office/drawing/2014/main" xmlns="" id="{00000000-0008-0000-0000-0000AD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342" name="Text Box 3097">
          <a:extLst>
            <a:ext uri="{FF2B5EF4-FFF2-40B4-BE49-F238E27FC236}">
              <a16:creationId xmlns:a16="http://schemas.microsoft.com/office/drawing/2014/main" xmlns="" id="{00000000-0008-0000-0000-0000AE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343" name="Text Box 3098">
          <a:extLst>
            <a:ext uri="{FF2B5EF4-FFF2-40B4-BE49-F238E27FC236}">
              <a16:creationId xmlns:a16="http://schemas.microsoft.com/office/drawing/2014/main" xmlns="" id="{00000000-0008-0000-0000-0000AF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344" name="Text Box 3099">
          <a:extLst>
            <a:ext uri="{FF2B5EF4-FFF2-40B4-BE49-F238E27FC236}">
              <a16:creationId xmlns:a16="http://schemas.microsoft.com/office/drawing/2014/main" xmlns="" id="{00000000-0008-0000-0000-0000B0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345" name="Text Box 3100">
          <a:extLst>
            <a:ext uri="{FF2B5EF4-FFF2-40B4-BE49-F238E27FC236}">
              <a16:creationId xmlns:a16="http://schemas.microsoft.com/office/drawing/2014/main" xmlns="" id="{00000000-0008-0000-0000-0000B1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346" name="Text Box 3101">
          <a:extLst>
            <a:ext uri="{FF2B5EF4-FFF2-40B4-BE49-F238E27FC236}">
              <a16:creationId xmlns:a16="http://schemas.microsoft.com/office/drawing/2014/main" xmlns="" id="{00000000-0008-0000-0000-0000B2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7347" name="Text Box 3102">
          <a:extLst>
            <a:ext uri="{FF2B5EF4-FFF2-40B4-BE49-F238E27FC236}">
              <a16:creationId xmlns:a16="http://schemas.microsoft.com/office/drawing/2014/main" xmlns="" id="{00000000-0008-0000-0000-0000B3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348" name="Text Box 59">
          <a:extLst>
            <a:ext uri="{FF2B5EF4-FFF2-40B4-BE49-F238E27FC236}">
              <a16:creationId xmlns:a16="http://schemas.microsoft.com/office/drawing/2014/main" xmlns="" id="{00000000-0008-0000-0000-0000B4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349" name="Text Box 60">
          <a:extLst>
            <a:ext uri="{FF2B5EF4-FFF2-40B4-BE49-F238E27FC236}">
              <a16:creationId xmlns:a16="http://schemas.microsoft.com/office/drawing/2014/main" xmlns="" id="{00000000-0008-0000-0000-0000B5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350" name="Text Box 61">
          <a:extLst>
            <a:ext uri="{FF2B5EF4-FFF2-40B4-BE49-F238E27FC236}">
              <a16:creationId xmlns:a16="http://schemas.microsoft.com/office/drawing/2014/main" xmlns="" id="{00000000-0008-0000-0000-0000B6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351" name="Text Box 62">
          <a:extLst>
            <a:ext uri="{FF2B5EF4-FFF2-40B4-BE49-F238E27FC236}">
              <a16:creationId xmlns:a16="http://schemas.microsoft.com/office/drawing/2014/main" xmlns="" id="{00000000-0008-0000-0000-0000B7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352" name="Text Box 63">
          <a:extLst>
            <a:ext uri="{FF2B5EF4-FFF2-40B4-BE49-F238E27FC236}">
              <a16:creationId xmlns:a16="http://schemas.microsoft.com/office/drawing/2014/main" xmlns="" id="{00000000-0008-0000-0000-0000B8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353" name="Text Box 64">
          <a:extLst>
            <a:ext uri="{FF2B5EF4-FFF2-40B4-BE49-F238E27FC236}">
              <a16:creationId xmlns:a16="http://schemas.microsoft.com/office/drawing/2014/main" xmlns="" id="{00000000-0008-0000-0000-0000B9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354" name="Text Box 65">
          <a:extLst>
            <a:ext uri="{FF2B5EF4-FFF2-40B4-BE49-F238E27FC236}">
              <a16:creationId xmlns:a16="http://schemas.microsoft.com/office/drawing/2014/main" xmlns="" id="{00000000-0008-0000-0000-0000BA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355" name="Text Box 66">
          <a:extLst>
            <a:ext uri="{FF2B5EF4-FFF2-40B4-BE49-F238E27FC236}">
              <a16:creationId xmlns:a16="http://schemas.microsoft.com/office/drawing/2014/main" xmlns="" id="{00000000-0008-0000-0000-0000BB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356" name="Text Box 67">
          <a:extLst>
            <a:ext uri="{FF2B5EF4-FFF2-40B4-BE49-F238E27FC236}">
              <a16:creationId xmlns:a16="http://schemas.microsoft.com/office/drawing/2014/main" xmlns="" id="{00000000-0008-0000-0000-0000BC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357" name="Text Box 68">
          <a:extLst>
            <a:ext uri="{FF2B5EF4-FFF2-40B4-BE49-F238E27FC236}">
              <a16:creationId xmlns:a16="http://schemas.microsoft.com/office/drawing/2014/main" xmlns="" id="{00000000-0008-0000-0000-0000BD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358" name="Text Box 69">
          <a:extLst>
            <a:ext uri="{FF2B5EF4-FFF2-40B4-BE49-F238E27FC236}">
              <a16:creationId xmlns:a16="http://schemas.microsoft.com/office/drawing/2014/main" xmlns="" id="{00000000-0008-0000-0000-0000BE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359" name="Text Box 70">
          <a:extLst>
            <a:ext uri="{FF2B5EF4-FFF2-40B4-BE49-F238E27FC236}">
              <a16:creationId xmlns:a16="http://schemas.microsoft.com/office/drawing/2014/main" xmlns="" id="{00000000-0008-0000-0000-0000BF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360" name="Text Box 71">
          <a:extLst>
            <a:ext uri="{FF2B5EF4-FFF2-40B4-BE49-F238E27FC236}">
              <a16:creationId xmlns:a16="http://schemas.microsoft.com/office/drawing/2014/main" xmlns="" id="{00000000-0008-0000-0000-0000C0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361" name="Text Box 72">
          <a:extLst>
            <a:ext uri="{FF2B5EF4-FFF2-40B4-BE49-F238E27FC236}">
              <a16:creationId xmlns:a16="http://schemas.microsoft.com/office/drawing/2014/main" xmlns="" id="{00000000-0008-0000-0000-0000C1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362" name="Text Box 73">
          <a:extLst>
            <a:ext uri="{FF2B5EF4-FFF2-40B4-BE49-F238E27FC236}">
              <a16:creationId xmlns:a16="http://schemas.microsoft.com/office/drawing/2014/main" xmlns="" id="{00000000-0008-0000-0000-0000C2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363" name="Text Box 74">
          <a:extLst>
            <a:ext uri="{FF2B5EF4-FFF2-40B4-BE49-F238E27FC236}">
              <a16:creationId xmlns:a16="http://schemas.microsoft.com/office/drawing/2014/main" xmlns="" id="{00000000-0008-0000-0000-0000C3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364" name="Text Box 75">
          <a:extLst>
            <a:ext uri="{FF2B5EF4-FFF2-40B4-BE49-F238E27FC236}">
              <a16:creationId xmlns:a16="http://schemas.microsoft.com/office/drawing/2014/main" xmlns="" id="{00000000-0008-0000-0000-0000C4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365" name="Text Box 76">
          <a:extLst>
            <a:ext uri="{FF2B5EF4-FFF2-40B4-BE49-F238E27FC236}">
              <a16:creationId xmlns:a16="http://schemas.microsoft.com/office/drawing/2014/main" xmlns="" id="{00000000-0008-0000-0000-0000C5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366" name="Text Box 77">
          <a:extLst>
            <a:ext uri="{FF2B5EF4-FFF2-40B4-BE49-F238E27FC236}">
              <a16:creationId xmlns:a16="http://schemas.microsoft.com/office/drawing/2014/main" xmlns="" id="{00000000-0008-0000-0000-0000C6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367" name="Text Box 78">
          <a:extLst>
            <a:ext uri="{FF2B5EF4-FFF2-40B4-BE49-F238E27FC236}">
              <a16:creationId xmlns:a16="http://schemas.microsoft.com/office/drawing/2014/main" xmlns="" id="{00000000-0008-0000-0000-0000C7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368" name="Text Box 79">
          <a:extLst>
            <a:ext uri="{FF2B5EF4-FFF2-40B4-BE49-F238E27FC236}">
              <a16:creationId xmlns:a16="http://schemas.microsoft.com/office/drawing/2014/main" xmlns="" id="{00000000-0008-0000-0000-0000C8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369" name="Text Box 80">
          <a:extLst>
            <a:ext uri="{FF2B5EF4-FFF2-40B4-BE49-F238E27FC236}">
              <a16:creationId xmlns:a16="http://schemas.microsoft.com/office/drawing/2014/main" xmlns="" id="{00000000-0008-0000-0000-0000C9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370" name="Text Box 81">
          <a:extLst>
            <a:ext uri="{FF2B5EF4-FFF2-40B4-BE49-F238E27FC236}">
              <a16:creationId xmlns:a16="http://schemas.microsoft.com/office/drawing/2014/main" xmlns="" id="{00000000-0008-0000-0000-0000CA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371" name="Text Box 3079">
          <a:extLst>
            <a:ext uri="{FF2B5EF4-FFF2-40B4-BE49-F238E27FC236}">
              <a16:creationId xmlns:a16="http://schemas.microsoft.com/office/drawing/2014/main" xmlns="" id="{00000000-0008-0000-0000-0000CB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372" name="Text Box 3080">
          <a:extLst>
            <a:ext uri="{FF2B5EF4-FFF2-40B4-BE49-F238E27FC236}">
              <a16:creationId xmlns:a16="http://schemas.microsoft.com/office/drawing/2014/main" xmlns="" id="{00000000-0008-0000-0000-0000CC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373" name="Text Box 3081">
          <a:extLst>
            <a:ext uri="{FF2B5EF4-FFF2-40B4-BE49-F238E27FC236}">
              <a16:creationId xmlns:a16="http://schemas.microsoft.com/office/drawing/2014/main" xmlns="" id="{00000000-0008-0000-0000-0000CD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374" name="Text Box 3082">
          <a:extLst>
            <a:ext uri="{FF2B5EF4-FFF2-40B4-BE49-F238E27FC236}">
              <a16:creationId xmlns:a16="http://schemas.microsoft.com/office/drawing/2014/main" xmlns="" id="{00000000-0008-0000-0000-0000CE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375" name="Text Box 3083">
          <a:extLst>
            <a:ext uri="{FF2B5EF4-FFF2-40B4-BE49-F238E27FC236}">
              <a16:creationId xmlns:a16="http://schemas.microsoft.com/office/drawing/2014/main" xmlns="" id="{00000000-0008-0000-0000-0000CF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376" name="Text Box 3084">
          <a:extLst>
            <a:ext uri="{FF2B5EF4-FFF2-40B4-BE49-F238E27FC236}">
              <a16:creationId xmlns:a16="http://schemas.microsoft.com/office/drawing/2014/main" xmlns="" id="{00000000-0008-0000-0000-0000D0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377" name="Text Box 3085">
          <a:extLst>
            <a:ext uri="{FF2B5EF4-FFF2-40B4-BE49-F238E27FC236}">
              <a16:creationId xmlns:a16="http://schemas.microsoft.com/office/drawing/2014/main" xmlns="" id="{00000000-0008-0000-0000-0000D1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378" name="Text Box 3086">
          <a:extLst>
            <a:ext uri="{FF2B5EF4-FFF2-40B4-BE49-F238E27FC236}">
              <a16:creationId xmlns:a16="http://schemas.microsoft.com/office/drawing/2014/main" xmlns="" id="{00000000-0008-0000-0000-0000D2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379" name="Text Box 3087">
          <a:extLst>
            <a:ext uri="{FF2B5EF4-FFF2-40B4-BE49-F238E27FC236}">
              <a16:creationId xmlns:a16="http://schemas.microsoft.com/office/drawing/2014/main" xmlns="" id="{00000000-0008-0000-0000-0000D3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380" name="Text Box 3088">
          <a:extLst>
            <a:ext uri="{FF2B5EF4-FFF2-40B4-BE49-F238E27FC236}">
              <a16:creationId xmlns:a16="http://schemas.microsoft.com/office/drawing/2014/main" xmlns="" id="{00000000-0008-0000-0000-0000D4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381" name="Text Box 3089">
          <a:extLst>
            <a:ext uri="{FF2B5EF4-FFF2-40B4-BE49-F238E27FC236}">
              <a16:creationId xmlns:a16="http://schemas.microsoft.com/office/drawing/2014/main" xmlns="" id="{00000000-0008-0000-0000-0000D5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382" name="Text Box 3090">
          <a:extLst>
            <a:ext uri="{FF2B5EF4-FFF2-40B4-BE49-F238E27FC236}">
              <a16:creationId xmlns:a16="http://schemas.microsoft.com/office/drawing/2014/main" xmlns="" id="{00000000-0008-0000-0000-0000D6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383" name="Text Box 3091">
          <a:extLst>
            <a:ext uri="{FF2B5EF4-FFF2-40B4-BE49-F238E27FC236}">
              <a16:creationId xmlns:a16="http://schemas.microsoft.com/office/drawing/2014/main" xmlns="" id="{00000000-0008-0000-0000-0000D7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384" name="Text Box 3092">
          <a:extLst>
            <a:ext uri="{FF2B5EF4-FFF2-40B4-BE49-F238E27FC236}">
              <a16:creationId xmlns:a16="http://schemas.microsoft.com/office/drawing/2014/main" xmlns="" id="{00000000-0008-0000-0000-0000D8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385" name="Text Box 3093">
          <a:extLst>
            <a:ext uri="{FF2B5EF4-FFF2-40B4-BE49-F238E27FC236}">
              <a16:creationId xmlns:a16="http://schemas.microsoft.com/office/drawing/2014/main" xmlns="" id="{00000000-0008-0000-0000-0000D9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386" name="Text Box 3094">
          <a:extLst>
            <a:ext uri="{FF2B5EF4-FFF2-40B4-BE49-F238E27FC236}">
              <a16:creationId xmlns:a16="http://schemas.microsoft.com/office/drawing/2014/main" xmlns="" id="{00000000-0008-0000-0000-0000DA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387" name="Text Box 3095">
          <a:extLst>
            <a:ext uri="{FF2B5EF4-FFF2-40B4-BE49-F238E27FC236}">
              <a16:creationId xmlns:a16="http://schemas.microsoft.com/office/drawing/2014/main" xmlns="" id="{00000000-0008-0000-0000-0000DB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388" name="Text Box 3096">
          <a:extLst>
            <a:ext uri="{FF2B5EF4-FFF2-40B4-BE49-F238E27FC236}">
              <a16:creationId xmlns:a16="http://schemas.microsoft.com/office/drawing/2014/main" xmlns="" id="{00000000-0008-0000-0000-0000DC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389" name="Text Box 3097">
          <a:extLst>
            <a:ext uri="{FF2B5EF4-FFF2-40B4-BE49-F238E27FC236}">
              <a16:creationId xmlns:a16="http://schemas.microsoft.com/office/drawing/2014/main" xmlns="" id="{00000000-0008-0000-0000-0000DD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390" name="Text Box 3098">
          <a:extLst>
            <a:ext uri="{FF2B5EF4-FFF2-40B4-BE49-F238E27FC236}">
              <a16:creationId xmlns:a16="http://schemas.microsoft.com/office/drawing/2014/main" xmlns="" id="{00000000-0008-0000-0000-0000DE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391" name="Text Box 3099">
          <a:extLst>
            <a:ext uri="{FF2B5EF4-FFF2-40B4-BE49-F238E27FC236}">
              <a16:creationId xmlns:a16="http://schemas.microsoft.com/office/drawing/2014/main" xmlns="" id="{00000000-0008-0000-0000-0000DF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392" name="Text Box 3100">
          <a:extLst>
            <a:ext uri="{FF2B5EF4-FFF2-40B4-BE49-F238E27FC236}">
              <a16:creationId xmlns:a16="http://schemas.microsoft.com/office/drawing/2014/main" xmlns="" id="{00000000-0008-0000-0000-0000E0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393" name="Text Box 3101">
          <a:extLst>
            <a:ext uri="{FF2B5EF4-FFF2-40B4-BE49-F238E27FC236}">
              <a16:creationId xmlns:a16="http://schemas.microsoft.com/office/drawing/2014/main" xmlns="" id="{00000000-0008-0000-0000-0000E1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7394" name="Text Box 3102">
          <a:extLst>
            <a:ext uri="{FF2B5EF4-FFF2-40B4-BE49-F238E27FC236}">
              <a16:creationId xmlns:a16="http://schemas.microsoft.com/office/drawing/2014/main" xmlns="" id="{00000000-0008-0000-0000-0000E2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395" name="Text Box 59">
          <a:extLst>
            <a:ext uri="{FF2B5EF4-FFF2-40B4-BE49-F238E27FC236}">
              <a16:creationId xmlns:a16="http://schemas.microsoft.com/office/drawing/2014/main" xmlns="" id="{00000000-0008-0000-0000-0000E3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396" name="Text Box 60">
          <a:extLst>
            <a:ext uri="{FF2B5EF4-FFF2-40B4-BE49-F238E27FC236}">
              <a16:creationId xmlns:a16="http://schemas.microsoft.com/office/drawing/2014/main" xmlns="" id="{00000000-0008-0000-0000-0000E4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397" name="Text Box 61">
          <a:extLst>
            <a:ext uri="{FF2B5EF4-FFF2-40B4-BE49-F238E27FC236}">
              <a16:creationId xmlns:a16="http://schemas.microsoft.com/office/drawing/2014/main" xmlns="" id="{00000000-0008-0000-0000-0000E5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398" name="Text Box 62">
          <a:extLst>
            <a:ext uri="{FF2B5EF4-FFF2-40B4-BE49-F238E27FC236}">
              <a16:creationId xmlns:a16="http://schemas.microsoft.com/office/drawing/2014/main" xmlns="" id="{00000000-0008-0000-0000-0000E6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399" name="Text Box 63">
          <a:extLst>
            <a:ext uri="{FF2B5EF4-FFF2-40B4-BE49-F238E27FC236}">
              <a16:creationId xmlns:a16="http://schemas.microsoft.com/office/drawing/2014/main" xmlns="" id="{00000000-0008-0000-0000-0000E7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400" name="Text Box 64">
          <a:extLst>
            <a:ext uri="{FF2B5EF4-FFF2-40B4-BE49-F238E27FC236}">
              <a16:creationId xmlns:a16="http://schemas.microsoft.com/office/drawing/2014/main" xmlns="" id="{00000000-0008-0000-0000-0000E8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401" name="Text Box 65">
          <a:extLst>
            <a:ext uri="{FF2B5EF4-FFF2-40B4-BE49-F238E27FC236}">
              <a16:creationId xmlns:a16="http://schemas.microsoft.com/office/drawing/2014/main" xmlns="" id="{00000000-0008-0000-0000-0000E9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402" name="Text Box 66">
          <a:extLst>
            <a:ext uri="{FF2B5EF4-FFF2-40B4-BE49-F238E27FC236}">
              <a16:creationId xmlns:a16="http://schemas.microsoft.com/office/drawing/2014/main" xmlns="" id="{00000000-0008-0000-0000-0000EA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403" name="Text Box 67">
          <a:extLst>
            <a:ext uri="{FF2B5EF4-FFF2-40B4-BE49-F238E27FC236}">
              <a16:creationId xmlns:a16="http://schemas.microsoft.com/office/drawing/2014/main" xmlns="" id="{00000000-0008-0000-0000-0000EB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404" name="Text Box 68">
          <a:extLst>
            <a:ext uri="{FF2B5EF4-FFF2-40B4-BE49-F238E27FC236}">
              <a16:creationId xmlns:a16="http://schemas.microsoft.com/office/drawing/2014/main" xmlns="" id="{00000000-0008-0000-0000-0000EC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405" name="Text Box 69">
          <a:extLst>
            <a:ext uri="{FF2B5EF4-FFF2-40B4-BE49-F238E27FC236}">
              <a16:creationId xmlns:a16="http://schemas.microsoft.com/office/drawing/2014/main" xmlns="" id="{00000000-0008-0000-0000-0000ED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406" name="Text Box 70">
          <a:extLst>
            <a:ext uri="{FF2B5EF4-FFF2-40B4-BE49-F238E27FC236}">
              <a16:creationId xmlns:a16="http://schemas.microsoft.com/office/drawing/2014/main" xmlns="" id="{00000000-0008-0000-0000-0000EE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407" name="Text Box 71">
          <a:extLst>
            <a:ext uri="{FF2B5EF4-FFF2-40B4-BE49-F238E27FC236}">
              <a16:creationId xmlns:a16="http://schemas.microsoft.com/office/drawing/2014/main" xmlns="" id="{00000000-0008-0000-0000-0000EF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408" name="Text Box 72">
          <a:extLst>
            <a:ext uri="{FF2B5EF4-FFF2-40B4-BE49-F238E27FC236}">
              <a16:creationId xmlns:a16="http://schemas.microsoft.com/office/drawing/2014/main" xmlns="" id="{00000000-0008-0000-0000-0000F0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409" name="Text Box 73">
          <a:extLst>
            <a:ext uri="{FF2B5EF4-FFF2-40B4-BE49-F238E27FC236}">
              <a16:creationId xmlns:a16="http://schemas.microsoft.com/office/drawing/2014/main" xmlns="" id="{00000000-0008-0000-0000-0000F1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410" name="Text Box 74">
          <a:extLst>
            <a:ext uri="{FF2B5EF4-FFF2-40B4-BE49-F238E27FC236}">
              <a16:creationId xmlns:a16="http://schemas.microsoft.com/office/drawing/2014/main" xmlns="" id="{00000000-0008-0000-0000-0000F2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411" name="Text Box 75">
          <a:extLst>
            <a:ext uri="{FF2B5EF4-FFF2-40B4-BE49-F238E27FC236}">
              <a16:creationId xmlns:a16="http://schemas.microsoft.com/office/drawing/2014/main" xmlns="" id="{00000000-0008-0000-0000-0000F3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412" name="Text Box 76">
          <a:extLst>
            <a:ext uri="{FF2B5EF4-FFF2-40B4-BE49-F238E27FC236}">
              <a16:creationId xmlns:a16="http://schemas.microsoft.com/office/drawing/2014/main" xmlns="" id="{00000000-0008-0000-0000-0000F4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413" name="Text Box 77">
          <a:extLst>
            <a:ext uri="{FF2B5EF4-FFF2-40B4-BE49-F238E27FC236}">
              <a16:creationId xmlns:a16="http://schemas.microsoft.com/office/drawing/2014/main" xmlns="" id="{00000000-0008-0000-0000-0000F5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414" name="Text Box 78">
          <a:extLst>
            <a:ext uri="{FF2B5EF4-FFF2-40B4-BE49-F238E27FC236}">
              <a16:creationId xmlns:a16="http://schemas.microsoft.com/office/drawing/2014/main" xmlns="" id="{00000000-0008-0000-0000-0000F6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415" name="Text Box 79">
          <a:extLst>
            <a:ext uri="{FF2B5EF4-FFF2-40B4-BE49-F238E27FC236}">
              <a16:creationId xmlns:a16="http://schemas.microsoft.com/office/drawing/2014/main" xmlns="" id="{00000000-0008-0000-0000-0000F7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416" name="Text Box 80">
          <a:extLst>
            <a:ext uri="{FF2B5EF4-FFF2-40B4-BE49-F238E27FC236}">
              <a16:creationId xmlns:a16="http://schemas.microsoft.com/office/drawing/2014/main" xmlns="" id="{00000000-0008-0000-0000-0000F8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417" name="Text Box 81">
          <a:extLst>
            <a:ext uri="{FF2B5EF4-FFF2-40B4-BE49-F238E27FC236}">
              <a16:creationId xmlns:a16="http://schemas.microsoft.com/office/drawing/2014/main" xmlns="" id="{00000000-0008-0000-0000-0000F9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47625"/>
    <xdr:sp macro="" textlink="">
      <xdr:nvSpPr>
        <xdr:cNvPr id="7418" name="Text Box 82">
          <a:extLst>
            <a:ext uri="{FF2B5EF4-FFF2-40B4-BE49-F238E27FC236}">
              <a16:creationId xmlns:a16="http://schemas.microsoft.com/office/drawing/2014/main" xmlns="" id="{00000000-0008-0000-0000-0000FA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419" name="Text Box 3079">
          <a:extLst>
            <a:ext uri="{FF2B5EF4-FFF2-40B4-BE49-F238E27FC236}">
              <a16:creationId xmlns:a16="http://schemas.microsoft.com/office/drawing/2014/main" xmlns="" id="{00000000-0008-0000-0000-0000FB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420" name="Text Box 3080">
          <a:extLst>
            <a:ext uri="{FF2B5EF4-FFF2-40B4-BE49-F238E27FC236}">
              <a16:creationId xmlns:a16="http://schemas.microsoft.com/office/drawing/2014/main" xmlns="" id="{00000000-0008-0000-0000-0000FC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421" name="Text Box 3081">
          <a:extLst>
            <a:ext uri="{FF2B5EF4-FFF2-40B4-BE49-F238E27FC236}">
              <a16:creationId xmlns:a16="http://schemas.microsoft.com/office/drawing/2014/main" xmlns="" id="{00000000-0008-0000-0000-0000FD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422" name="Text Box 3082">
          <a:extLst>
            <a:ext uri="{FF2B5EF4-FFF2-40B4-BE49-F238E27FC236}">
              <a16:creationId xmlns:a16="http://schemas.microsoft.com/office/drawing/2014/main" xmlns="" id="{00000000-0008-0000-0000-0000FE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423" name="Text Box 3083">
          <a:extLst>
            <a:ext uri="{FF2B5EF4-FFF2-40B4-BE49-F238E27FC236}">
              <a16:creationId xmlns:a16="http://schemas.microsoft.com/office/drawing/2014/main" xmlns="" id="{00000000-0008-0000-0000-0000FF1C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424" name="Text Box 3084">
          <a:extLst>
            <a:ext uri="{FF2B5EF4-FFF2-40B4-BE49-F238E27FC236}">
              <a16:creationId xmlns:a16="http://schemas.microsoft.com/office/drawing/2014/main" xmlns="" id="{00000000-0008-0000-0000-000000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425" name="Text Box 3085">
          <a:extLst>
            <a:ext uri="{FF2B5EF4-FFF2-40B4-BE49-F238E27FC236}">
              <a16:creationId xmlns:a16="http://schemas.microsoft.com/office/drawing/2014/main" xmlns="" id="{00000000-0008-0000-0000-000001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426" name="Text Box 3086">
          <a:extLst>
            <a:ext uri="{FF2B5EF4-FFF2-40B4-BE49-F238E27FC236}">
              <a16:creationId xmlns:a16="http://schemas.microsoft.com/office/drawing/2014/main" xmlns="" id="{00000000-0008-0000-0000-000002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427" name="Text Box 3087">
          <a:extLst>
            <a:ext uri="{FF2B5EF4-FFF2-40B4-BE49-F238E27FC236}">
              <a16:creationId xmlns:a16="http://schemas.microsoft.com/office/drawing/2014/main" xmlns="" id="{00000000-0008-0000-0000-000003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428" name="Text Box 3088">
          <a:extLst>
            <a:ext uri="{FF2B5EF4-FFF2-40B4-BE49-F238E27FC236}">
              <a16:creationId xmlns:a16="http://schemas.microsoft.com/office/drawing/2014/main" xmlns="" id="{00000000-0008-0000-0000-000004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429" name="Text Box 3089">
          <a:extLst>
            <a:ext uri="{FF2B5EF4-FFF2-40B4-BE49-F238E27FC236}">
              <a16:creationId xmlns:a16="http://schemas.microsoft.com/office/drawing/2014/main" xmlns="" id="{00000000-0008-0000-0000-000005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430" name="Text Box 3090">
          <a:extLst>
            <a:ext uri="{FF2B5EF4-FFF2-40B4-BE49-F238E27FC236}">
              <a16:creationId xmlns:a16="http://schemas.microsoft.com/office/drawing/2014/main" xmlns="" id="{00000000-0008-0000-0000-000006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431" name="Text Box 3091">
          <a:extLst>
            <a:ext uri="{FF2B5EF4-FFF2-40B4-BE49-F238E27FC236}">
              <a16:creationId xmlns:a16="http://schemas.microsoft.com/office/drawing/2014/main" xmlns="" id="{00000000-0008-0000-0000-000007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432" name="Text Box 3092">
          <a:extLst>
            <a:ext uri="{FF2B5EF4-FFF2-40B4-BE49-F238E27FC236}">
              <a16:creationId xmlns:a16="http://schemas.microsoft.com/office/drawing/2014/main" xmlns="" id="{00000000-0008-0000-0000-000008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433" name="Text Box 3093">
          <a:extLst>
            <a:ext uri="{FF2B5EF4-FFF2-40B4-BE49-F238E27FC236}">
              <a16:creationId xmlns:a16="http://schemas.microsoft.com/office/drawing/2014/main" xmlns="" id="{00000000-0008-0000-0000-000009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434" name="Text Box 3094">
          <a:extLst>
            <a:ext uri="{FF2B5EF4-FFF2-40B4-BE49-F238E27FC236}">
              <a16:creationId xmlns:a16="http://schemas.microsoft.com/office/drawing/2014/main" xmlns="" id="{00000000-0008-0000-0000-00000A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435" name="Text Box 3095">
          <a:extLst>
            <a:ext uri="{FF2B5EF4-FFF2-40B4-BE49-F238E27FC236}">
              <a16:creationId xmlns:a16="http://schemas.microsoft.com/office/drawing/2014/main" xmlns="" id="{00000000-0008-0000-0000-00000B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436" name="Text Box 3096">
          <a:extLst>
            <a:ext uri="{FF2B5EF4-FFF2-40B4-BE49-F238E27FC236}">
              <a16:creationId xmlns:a16="http://schemas.microsoft.com/office/drawing/2014/main" xmlns="" id="{00000000-0008-0000-0000-00000C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437" name="Text Box 3097">
          <a:extLst>
            <a:ext uri="{FF2B5EF4-FFF2-40B4-BE49-F238E27FC236}">
              <a16:creationId xmlns:a16="http://schemas.microsoft.com/office/drawing/2014/main" xmlns="" id="{00000000-0008-0000-0000-00000D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438" name="Text Box 3098">
          <a:extLst>
            <a:ext uri="{FF2B5EF4-FFF2-40B4-BE49-F238E27FC236}">
              <a16:creationId xmlns:a16="http://schemas.microsoft.com/office/drawing/2014/main" xmlns="" id="{00000000-0008-0000-0000-00000E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439" name="Text Box 3099">
          <a:extLst>
            <a:ext uri="{FF2B5EF4-FFF2-40B4-BE49-F238E27FC236}">
              <a16:creationId xmlns:a16="http://schemas.microsoft.com/office/drawing/2014/main" xmlns="" id="{00000000-0008-0000-0000-00000F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440" name="Text Box 3100">
          <a:extLst>
            <a:ext uri="{FF2B5EF4-FFF2-40B4-BE49-F238E27FC236}">
              <a16:creationId xmlns:a16="http://schemas.microsoft.com/office/drawing/2014/main" xmlns="" id="{00000000-0008-0000-0000-000010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441" name="Text Box 3101">
          <a:extLst>
            <a:ext uri="{FF2B5EF4-FFF2-40B4-BE49-F238E27FC236}">
              <a16:creationId xmlns:a16="http://schemas.microsoft.com/office/drawing/2014/main" xmlns="" id="{00000000-0008-0000-0000-000011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7442" name="Text Box 3102">
          <a:extLst>
            <a:ext uri="{FF2B5EF4-FFF2-40B4-BE49-F238E27FC236}">
              <a16:creationId xmlns:a16="http://schemas.microsoft.com/office/drawing/2014/main" xmlns="" id="{00000000-0008-0000-0000-000012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443" name="Text Box 59">
          <a:extLst>
            <a:ext uri="{FF2B5EF4-FFF2-40B4-BE49-F238E27FC236}">
              <a16:creationId xmlns:a16="http://schemas.microsoft.com/office/drawing/2014/main" xmlns="" id="{00000000-0008-0000-0000-000013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444" name="Text Box 60">
          <a:extLst>
            <a:ext uri="{FF2B5EF4-FFF2-40B4-BE49-F238E27FC236}">
              <a16:creationId xmlns:a16="http://schemas.microsoft.com/office/drawing/2014/main" xmlns="" id="{00000000-0008-0000-0000-000014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445" name="Text Box 61">
          <a:extLst>
            <a:ext uri="{FF2B5EF4-FFF2-40B4-BE49-F238E27FC236}">
              <a16:creationId xmlns:a16="http://schemas.microsoft.com/office/drawing/2014/main" xmlns="" id="{00000000-0008-0000-0000-000015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446" name="Text Box 62">
          <a:extLst>
            <a:ext uri="{FF2B5EF4-FFF2-40B4-BE49-F238E27FC236}">
              <a16:creationId xmlns:a16="http://schemas.microsoft.com/office/drawing/2014/main" xmlns="" id="{00000000-0008-0000-0000-000016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447" name="Text Box 63">
          <a:extLst>
            <a:ext uri="{FF2B5EF4-FFF2-40B4-BE49-F238E27FC236}">
              <a16:creationId xmlns:a16="http://schemas.microsoft.com/office/drawing/2014/main" xmlns="" id="{00000000-0008-0000-0000-000017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448" name="Text Box 64">
          <a:extLst>
            <a:ext uri="{FF2B5EF4-FFF2-40B4-BE49-F238E27FC236}">
              <a16:creationId xmlns:a16="http://schemas.microsoft.com/office/drawing/2014/main" xmlns="" id="{00000000-0008-0000-0000-000018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449" name="Text Box 65">
          <a:extLst>
            <a:ext uri="{FF2B5EF4-FFF2-40B4-BE49-F238E27FC236}">
              <a16:creationId xmlns:a16="http://schemas.microsoft.com/office/drawing/2014/main" xmlns="" id="{00000000-0008-0000-0000-000019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450" name="Text Box 66">
          <a:extLst>
            <a:ext uri="{FF2B5EF4-FFF2-40B4-BE49-F238E27FC236}">
              <a16:creationId xmlns:a16="http://schemas.microsoft.com/office/drawing/2014/main" xmlns="" id="{00000000-0008-0000-0000-00001A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451" name="Text Box 67">
          <a:extLst>
            <a:ext uri="{FF2B5EF4-FFF2-40B4-BE49-F238E27FC236}">
              <a16:creationId xmlns:a16="http://schemas.microsoft.com/office/drawing/2014/main" xmlns="" id="{00000000-0008-0000-0000-00001B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452" name="Text Box 68">
          <a:extLst>
            <a:ext uri="{FF2B5EF4-FFF2-40B4-BE49-F238E27FC236}">
              <a16:creationId xmlns:a16="http://schemas.microsoft.com/office/drawing/2014/main" xmlns="" id="{00000000-0008-0000-0000-00001C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453" name="Text Box 69">
          <a:extLst>
            <a:ext uri="{FF2B5EF4-FFF2-40B4-BE49-F238E27FC236}">
              <a16:creationId xmlns:a16="http://schemas.microsoft.com/office/drawing/2014/main" xmlns="" id="{00000000-0008-0000-0000-00001D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454" name="Text Box 70">
          <a:extLst>
            <a:ext uri="{FF2B5EF4-FFF2-40B4-BE49-F238E27FC236}">
              <a16:creationId xmlns:a16="http://schemas.microsoft.com/office/drawing/2014/main" xmlns="" id="{00000000-0008-0000-0000-00001E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455" name="Text Box 71">
          <a:extLst>
            <a:ext uri="{FF2B5EF4-FFF2-40B4-BE49-F238E27FC236}">
              <a16:creationId xmlns:a16="http://schemas.microsoft.com/office/drawing/2014/main" xmlns="" id="{00000000-0008-0000-0000-00001F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456" name="Text Box 72">
          <a:extLst>
            <a:ext uri="{FF2B5EF4-FFF2-40B4-BE49-F238E27FC236}">
              <a16:creationId xmlns:a16="http://schemas.microsoft.com/office/drawing/2014/main" xmlns="" id="{00000000-0008-0000-0000-000020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457" name="Text Box 73">
          <a:extLst>
            <a:ext uri="{FF2B5EF4-FFF2-40B4-BE49-F238E27FC236}">
              <a16:creationId xmlns:a16="http://schemas.microsoft.com/office/drawing/2014/main" xmlns="" id="{00000000-0008-0000-0000-000021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458" name="Text Box 74">
          <a:extLst>
            <a:ext uri="{FF2B5EF4-FFF2-40B4-BE49-F238E27FC236}">
              <a16:creationId xmlns:a16="http://schemas.microsoft.com/office/drawing/2014/main" xmlns="" id="{00000000-0008-0000-0000-000022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459" name="Text Box 75">
          <a:extLst>
            <a:ext uri="{FF2B5EF4-FFF2-40B4-BE49-F238E27FC236}">
              <a16:creationId xmlns:a16="http://schemas.microsoft.com/office/drawing/2014/main" xmlns="" id="{00000000-0008-0000-0000-000023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460" name="Text Box 76">
          <a:extLst>
            <a:ext uri="{FF2B5EF4-FFF2-40B4-BE49-F238E27FC236}">
              <a16:creationId xmlns:a16="http://schemas.microsoft.com/office/drawing/2014/main" xmlns="" id="{00000000-0008-0000-0000-000024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461" name="Text Box 77">
          <a:extLst>
            <a:ext uri="{FF2B5EF4-FFF2-40B4-BE49-F238E27FC236}">
              <a16:creationId xmlns:a16="http://schemas.microsoft.com/office/drawing/2014/main" xmlns="" id="{00000000-0008-0000-0000-000025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462" name="Text Box 78">
          <a:extLst>
            <a:ext uri="{FF2B5EF4-FFF2-40B4-BE49-F238E27FC236}">
              <a16:creationId xmlns:a16="http://schemas.microsoft.com/office/drawing/2014/main" xmlns="" id="{00000000-0008-0000-0000-000026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463" name="Text Box 79">
          <a:extLst>
            <a:ext uri="{FF2B5EF4-FFF2-40B4-BE49-F238E27FC236}">
              <a16:creationId xmlns:a16="http://schemas.microsoft.com/office/drawing/2014/main" xmlns="" id="{00000000-0008-0000-0000-000027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464" name="Text Box 80">
          <a:extLst>
            <a:ext uri="{FF2B5EF4-FFF2-40B4-BE49-F238E27FC236}">
              <a16:creationId xmlns:a16="http://schemas.microsoft.com/office/drawing/2014/main" xmlns="" id="{00000000-0008-0000-0000-000028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465" name="Text Box 81">
          <a:extLst>
            <a:ext uri="{FF2B5EF4-FFF2-40B4-BE49-F238E27FC236}">
              <a16:creationId xmlns:a16="http://schemas.microsoft.com/office/drawing/2014/main" xmlns="" id="{00000000-0008-0000-0000-000029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466" name="Text Box 3079">
          <a:extLst>
            <a:ext uri="{FF2B5EF4-FFF2-40B4-BE49-F238E27FC236}">
              <a16:creationId xmlns:a16="http://schemas.microsoft.com/office/drawing/2014/main" xmlns="" id="{00000000-0008-0000-0000-00002A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467" name="Text Box 3080">
          <a:extLst>
            <a:ext uri="{FF2B5EF4-FFF2-40B4-BE49-F238E27FC236}">
              <a16:creationId xmlns:a16="http://schemas.microsoft.com/office/drawing/2014/main" xmlns="" id="{00000000-0008-0000-0000-00002B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468" name="Text Box 3081">
          <a:extLst>
            <a:ext uri="{FF2B5EF4-FFF2-40B4-BE49-F238E27FC236}">
              <a16:creationId xmlns:a16="http://schemas.microsoft.com/office/drawing/2014/main" xmlns="" id="{00000000-0008-0000-0000-00002C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469" name="Text Box 3082">
          <a:extLst>
            <a:ext uri="{FF2B5EF4-FFF2-40B4-BE49-F238E27FC236}">
              <a16:creationId xmlns:a16="http://schemas.microsoft.com/office/drawing/2014/main" xmlns="" id="{00000000-0008-0000-0000-00002D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470" name="Text Box 3083">
          <a:extLst>
            <a:ext uri="{FF2B5EF4-FFF2-40B4-BE49-F238E27FC236}">
              <a16:creationId xmlns:a16="http://schemas.microsoft.com/office/drawing/2014/main" xmlns="" id="{00000000-0008-0000-0000-00002E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471" name="Text Box 3084">
          <a:extLst>
            <a:ext uri="{FF2B5EF4-FFF2-40B4-BE49-F238E27FC236}">
              <a16:creationId xmlns:a16="http://schemas.microsoft.com/office/drawing/2014/main" xmlns="" id="{00000000-0008-0000-0000-00002F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472" name="Text Box 3085">
          <a:extLst>
            <a:ext uri="{FF2B5EF4-FFF2-40B4-BE49-F238E27FC236}">
              <a16:creationId xmlns:a16="http://schemas.microsoft.com/office/drawing/2014/main" xmlns="" id="{00000000-0008-0000-0000-000030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473" name="Text Box 3086">
          <a:extLst>
            <a:ext uri="{FF2B5EF4-FFF2-40B4-BE49-F238E27FC236}">
              <a16:creationId xmlns:a16="http://schemas.microsoft.com/office/drawing/2014/main" xmlns="" id="{00000000-0008-0000-0000-000031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474" name="Text Box 3087">
          <a:extLst>
            <a:ext uri="{FF2B5EF4-FFF2-40B4-BE49-F238E27FC236}">
              <a16:creationId xmlns:a16="http://schemas.microsoft.com/office/drawing/2014/main" xmlns="" id="{00000000-0008-0000-0000-000032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475" name="Text Box 3088">
          <a:extLst>
            <a:ext uri="{FF2B5EF4-FFF2-40B4-BE49-F238E27FC236}">
              <a16:creationId xmlns:a16="http://schemas.microsoft.com/office/drawing/2014/main" xmlns="" id="{00000000-0008-0000-0000-000033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476" name="Text Box 3089">
          <a:extLst>
            <a:ext uri="{FF2B5EF4-FFF2-40B4-BE49-F238E27FC236}">
              <a16:creationId xmlns:a16="http://schemas.microsoft.com/office/drawing/2014/main" xmlns="" id="{00000000-0008-0000-0000-000034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477" name="Text Box 3090">
          <a:extLst>
            <a:ext uri="{FF2B5EF4-FFF2-40B4-BE49-F238E27FC236}">
              <a16:creationId xmlns:a16="http://schemas.microsoft.com/office/drawing/2014/main" xmlns="" id="{00000000-0008-0000-0000-000035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478" name="Text Box 3091">
          <a:extLst>
            <a:ext uri="{FF2B5EF4-FFF2-40B4-BE49-F238E27FC236}">
              <a16:creationId xmlns:a16="http://schemas.microsoft.com/office/drawing/2014/main" xmlns="" id="{00000000-0008-0000-0000-000036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479" name="Text Box 3092">
          <a:extLst>
            <a:ext uri="{FF2B5EF4-FFF2-40B4-BE49-F238E27FC236}">
              <a16:creationId xmlns:a16="http://schemas.microsoft.com/office/drawing/2014/main" xmlns="" id="{00000000-0008-0000-0000-000037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480" name="Text Box 3093">
          <a:extLst>
            <a:ext uri="{FF2B5EF4-FFF2-40B4-BE49-F238E27FC236}">
              <a16:creationId xmlns:a16="http://schemas.microsoft.com/office/drawing/2014/main" xmlns="" id="{00000000-0008-0000-0000-000038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481" name="Text Box 3094">
          <a:extLst>
            <a:ext uri="{FF2B5EF4-FFF2-40B4-BE49-F238E27FC236}">
              <a16:creationId xmlns:a16="http://schemas.microsoft.com/office/drawing/2014/main" xmlns="" id="{00000000-0008-0000-0000-000039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482" name="Text Box 3095">
          <a:extLst>
            <a:ext uri="{FF2B5EF4-FFF2-40B4-BE49-F238E27FC236}">
              <a16:creationId xmlns:a16="http://schemas.microsoft.com/office/drawing/2014/main" xmlns="" id="{00000000-0008-0000-0000-00003A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483" name="Text Box 3096">
          <a:extLst>
            <a:ext uri="{FF2B5EF4-FFF2-40B4-BE49-F238E27FC236}">
              <a16:creationId xmlns:a16="http://schemas.microsoft.com/office/drawing/2014/main" xmlns="" id="{00000000-0008-0000-0000-00003B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484" name="Text Box 3097">
          <a:extLst>
            <a:ext uri="{FF2B5EF4-FFF2-40B4-BE49-F238E27FC236}">
              <a16:creationId xmlns:a16="http://schemas.microsoft.com/office/drawing/2014/main" xmlns="" id="{00000000-0008-0000-0000-00003C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485" name="Text Box 3098">
          <a:extLst>
            <a:ext uri="{FF2B5EF4-FFF2-40B4-BE49-F238E27FC236}">
              <a16:creationId xmlns:a16="http://schemas.microsoft.com/office/drawing/2014/main" xmlns="" id="{00000000-0008-0000-0000-00003D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486" name="Text Box 3099">
          <a:extLst>
            <a:ext uri="{FF2B5EF4-FFF2-40B4-BE49-F238E27FC236}">
              <a16:creationId xmlns:a16="http://schemas.microsoft.com/office/drawing/2014/main" xmlns="" id="{00000000-0008-0000-0000-00003E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487" name="Text Box 3100">
          <a:extLst>
            <a:ext uri="{FF2B5EF4-FFF2-40B4-BE49-F238E27FC236}">
              <a16:creationId xmlns:a16="http://schemas.microsoft.com/office/drawing/2014/main" xmlns="" id="{00000000-0008-0000-0000-00003F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488" name="Text Box 3101">
          <a:extLst>
            <a:ext uri="{FF2B5EF4-FFF2-40B4-BE49-F238E27FC236}">
              <a16:creationId xmlns:a16="http://schemas.microsoft.com/office/drawing/2014/main" xmlns="" id="{00000000-0008-0000-0000-000040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7489" name="Text Box 3102">
          <a:extLst>
            <a:ext uri="{FF2B5EF4-FFF2-40B4-BE49-F238E27FC236}">
              <a16:creationId xmlns:a16="http://schemas.microsoft.com/office/drawing/2014/main" xmlns="" id="{00000000-0008-0000-0000-000041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490" name="Text Box 59">
          <a:extLst>
            <a:ext uri="{FF2B5EF4-FFF2-40B4-BE49-F238E27FC236}">
              <a16:creationId xmlns:a16="http://schemas.microsoft.com/office/drawing/2014/main" xmlns="" id="{00000000-0008-0000-0000-000042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491" name="Text Box 60">
          <a:extLst>
            <a:ext uri="{FF2B5EF4-FFF2-40B4-BE49-F238E27FC236}">
              <a16:creationId xmlns:a16="http://schemas.microsoft.com/office/drawing/2014/main" xmlns="" id="{00000000-0008-0000-0000-000043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492" name="Text Box 61">
          <a:extLst>
            <a:ext uri="{FF2B5EF4-FFF2-40B4-BE49-F238E27FC236}">
              <a16:creationId xmlns:a16="http://schemas.microsoft.com/office/drawing/2014/main" xmlns="" id="{00000000-0008-0000-0000-000044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493" name="Text Box 62">
          <a:extLst>
            <a:ext uri="{FF2B5EF4-FFF2-40B4-BE49-F238E27FC236}">
              <a16:creationId xmlns:a16="http://schemas.microsoft.com/office/drawing/2014/main" xmlns="" id="{00000000-0008-0000-0000-000045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494" name="Text Box 63">
          <a:extLst>
            <a:ext uri="{FF2B5EF4-FFF2-40B4-BE49-F238E27FC236}">
              <a16:creationId xmlns:a16="http://schemas.microsoft.com/office/drawing/2014/main" xmlns="" id="{00000000-0008-0000-0000-000046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495" name="Text Box 64">
          <a:extLst>
            <a:ext uri="{FF2B5EF4-FFF2-40B4-BE49-F238E27FC236}">
              <a16:creationId xmlns:a16="http://schemas.microsoft.com/office/drawing/2014/main" xmlns="" id="{00000000-0008-0000-0000-000047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496" name="Text Box 65">
          <a:extLst>
            <a:ext uri="{FF2B5EF4-FFF2-40B4-BE49-F238E27FC236}">
              <a16:creationId xmlns:a16="http://schemas.microsoft.com/office/drawing/2014/main" xmlns="" id="{00000000-0008-0000-0000-000048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497" name="Text Box 66">
          <a:extLst>
            <a:ext uri="{FF2B5EF4-FFF2-40B4-BE49-F238E27FC236}">
              <a16:creationId xmlns:a16="http://schemas.microsoft.com/office/drawing/2014/main" xmlns="" id="{00000000-0008-0000-0000-000049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498" name="Text Box 67">
          <a:extLst>
            <a:ext uri="{FF2B5EF4-FFF2-40B4-BE49-F238E27FC236}">
              <a16:creationId xmlns:a16="http://schemas.microsoft.com/office/drawing/2014/main" xmlns="" id="{00000000-0008-0000-0000-00004A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499" name="Text Box 68">
          <a:extLst>
            <a:ext uri="{FF2B5EF4-FFF2-40B4-BE49-F238E27FC236}">
              <a16:creationId xmlns:a16="http://schemas.microsoft.com/office/drawing/2014/main" xmlns="" id="{00000000-0008-0000-0000-00004B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500" name="Text Box 69">
          <a:extLst>
            <a:ext uri="{FF2B5EF4-FFF2-40B4-BE49-F238E27FC236}">
              <a16:creationId xmlns:a16="http://schemas.microsoft.com/office/drawing/2014/main" xmlns="" id="{00000000-0008-0000-0000-00004C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501" name="Text Box 70">
          <a:extLst>
            <a:ext uri="{FF2B5EF4-FFF2-40B4-BE49-F238E27FC236}">
              <a16:creationId xmlns:a16="http://schemas.microsoft.com/office/drawing/2014/main" xmlns="" id="{00000000-0008-0000-0000-00004D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502" name="Text Box 71">
          <a:extLst>
            <a:ext uri="{FF2B5EF4-FFF2-40B4-BE49-F238E27FC236}">
              <a16:creationId xmlns:a16="http://schemas.microsoft.com/office/drawing/2014/main" xmlns="" id="{00000000-0008-0000-0000-00004E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503" name="Text Box 72">
          <a:extLst>
            <a:ext uri="{FF2B5EF4-FFF2-40B4-BE49-F238E27FC236}">
              <a16:creationId xmlns:a16="http://schemas.microsoft.com/office/drawing/2014/main" xmlns="" id="{00000000-0008-0000-0000-00004F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504" name="Text Box 73">
          <a:extLst>
            <a:ext uri="{FF2B5EF4-FFF2-40B4-BE49-F238E27FC236}">
              <a16:creationId xmlns:a16="http://schemas.microsoft.com/office/drawing/2014/main" xmlns="" id="{00000000-0008-0000-0000-000050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505" name="Text Box 74">
          <a:extLst>
            <a:ext uri="{FF2B5EF4-FFF2-40B4-BE49-F238E27FC236}">
              <a16:creationId xmlns:a16="http://schemas.microsoft.com/office/drawing/2014/main" xmlns="" id="{00000000-0008-0000-0000-000051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506" name="Text Box 75">
          <a:extLst>
            <a:ext uri="{FF2B5EF4-FFF2-40B4-BE49-F238E27FC236}">
              <a16:creationId xmlns:a16="http://schemas.microsoft.com/office/drawing/2014/main" xmlns="" id="{00000000-0008-0000-0000-000052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507" name="Text Box 76">
          <a:extLst>
            <a:ext uri="{FF2B5EF4-FFF2-40B4-BE49-F238E27FC236}">
              <a16:creationId xmlns:a16="http://schemas.microsoft.com/office/drawing/2014/main" xmlns="" id="{00000000-0008-0000-0000-000053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508" name="Text Box 77">
          <a:extLst>
            <a:ext uri="{FF2B5EF4-FFF2-40B4-BE49-F238E27FC236}">
              <a16:creationId xmlns:a16="http://schemas.microsoft.com/office/drawing/2014/main" xmlns="" id="{00000000-0008-0000-0000-000054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509" name="Text Box 78">
          <a:extLst>
            <a:ext uri="{FF2B5EF4-FFF2-40B4-BE49-F238E27FC236}">
              <a16:creationId xmlns:a16="http://schemas.microsoft.com/office/drawing/2014/main" xmlns="" id="{00000000-0008-0000-0000-000055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510" name="Text Box 79">
          <a:extLst>
            <a:ext uri="{FF2B5EF4-FFF2-40B4-BE49-F238E27FC236}">
              <a16:creationId xmlns:a16="http://schemas.microsoft.com/office/drawing/2014/main" xmlns="" id="{00000000-0008-0000-0000-000056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511" name="Text Box 80">
          <a:extLst>
            <a:ext uri="{FF2B5EF4-FFF2-40B4-BE49-F238E27FC236}">
              <a16:creationId xmlns:a16="http://schemas.microsoft.com/office/drawing/2014/main" xmlns="" id="{00000000-0008-0000-0000-000057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512" name="Text Box 81">
          <a:extLst>
            <a:ext uri="{FF2B5EF4-FFF2-40B4-BE49-F238E27FC236}">
              <a16:creationId xmlns:a16="http://schemas.microsoft.com/office/drawing/2014/main" xmlns="" id="{00000000-0008-0000-0000-000058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47625"/>
    <xdr:sp macro="" textlink="">
      <xdr:nvSpPr>
        <xdr:cNvPr id="7513" name="Text Box 82">
          <a:extLst>
            <a:ext uri="{FF2B5EF4-FFF2-40B4-BE49-F238E27FC236}">
              <a16:creationId xmlns:a16="http://schemas.microsoft.com/office/drawing/2014/main" xmlns="" id="{00000000-0008-0000-0000-000059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514" name="Text Box 3079">
          <a:extLst>
            <a:ext uri="{FF2B5EF4-FFF2-40B4-BE49-F238E27FC236}">
              <a16:creationId xmlns:a16="http://schemas.microsoft.com/office/drawing/2014/main" xmlns="" id="{00000000-0008-0000-0000-00005A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515" name="Text Box 3080">
          <a:extLst>
            <a:ext uri="{FF2B5EF4-FFF2-40B4-BE49-F238E27FC236}">
              <a16:creationId xmlns:a16="http://schemas.microsoft.com/office/drawing/2014/main" xmlns="" id="{00000000-0008-0000-0000-00005B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516" name="Text Box 3081">
          <a:extLst>
            <a:ext uri="{FF2B5EF4-FFF2-40B4-BE49-F238E27FC236}">
              <a16:creationId xmlns:a16="http://schemas.microsoft.com/office/drawing/2014/main" xmlns="" id="{00000000-0008-0000-0000-00005C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517" name="Text Box 3082">
          <a:extLst>
            <a:ext uri="{FF2B5EF4-FFF2-40B4-BE49-F238E27FC236}">
              <a16:creationId xmlns:a16="http://schemas.microsoft.com/office/drawing/2014/main" xmlns="" id="{00000000-0008-0000-0000-00005D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518" name="Text Box 3083">
          <a:extLst>
            <a:ext uri="{FF2B5EF4-FFF2-40B4-BE49-F238E27FC236}">
              <a16:creationId xmlns:a16="http://schemas.microsoft.com/office/drawing/2014/main" xmlns="" id="{00000000-0008-0000-0000-00005E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519" name="Text Box 3084">
          <a:extLst>
            <a:ext uri="{FF2B5EF4-FFF2-40B4-BE49-F238E27FC236}">
              <a16:creationId xmlns:a16="http://schemas.microsoft.com/office/drawing/2014/main" xmlns="" id="{00000000-0008-0000-0000-00005F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520" name="Text Box 3085">
          <a:extLst>
            <a:ext uri="{FF2B5EF4-FFF2-40B4-BE49-F238E27FC236}">
              <a16:creationId xmlns:a16="http://schemas.microsoft.com/office/drawing/2014/main" xmlns="" id="{00000000-0008-0000-0000-000060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521" name="Text Box 3086">
          <a:extLst>
            <a:ext uri="{FF2B5EF4-FFF2-40B4-BE49-F238E27FC236}">
              <a16:creationId xmlns:a16="http://schemas.microsoft.com/office/drawing/2014/main" xmlns="" id="{00000000-0008-0000-0000-000061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522" name="Text Box 3087">
          <a:extLst>
            <a:ext uri="{FF2B5EF4-FFF2-40B4-BE49-F238E27FC236}">
              <a16:creationId xmlns:a16="http://schemas.microsoft.com/office/drawing/2014/main" xmlns="" id="{00000000-0008-0000-0000-000062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523" name="Text Box 3088">
          <a:extLst>
            <a:ext uri="{FF2B5EF4-FFF2-40B4-BE49-F238E27FC236}">
              <a16:creationId xmlns:a16="http://schemas.microsoft.com/office/drawing/2014/main" xmlns="" id="{00000000-0008-0000-0000-000063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524" name="Text Box 3089">
          <a:extLst>
            <a:ext uri="{FF2B5EF4-FFF2-40B4-BE49-F238E27FC236}">
              <a16:creationId xmlns:a16="http://schemas.microsoft.com/office/drawing/2014/main" xmlns="" id="{00000000-0008-0000-0000-000064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525" name="Text Box 3090">
          <a:extLst>
            <a:ext uri="{FF2B5EF4-FFF2-40B4-BE49-F238E27FC236}">
              <a16:creationId xmlns:a16="http://schemas.microsoft.com/office/drawing/2014/main" xmlns="" id="{00000000-0008-0000-0000-000065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526" name="Text Box 3091">
          <a:extLst>
            <a:ext uri="{FF2B5EF4-FFF2-40B4-BE49-F238E27FC236}">
              <a16:creationId xmlns:a16="http://schemas.microsoft.com/office/drawing/2014/main" xmlns="" id="{00000000-0008-0000-0000-000066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527" name="Text Box 3092">
          <a:extLst>
            <a:ext uri="{FF2B5EF4-FFF2-40B4-BE49-F238E27FC236}">
              <a16:creationId xmlns:a16="http://schemas.microsoft.com/office/drawing/2014/main" xmlns="" id="{00000000-0008-0000-0000-000067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528" name="Text Box 3093">
          <a:extLst>
            <a:ext uri="{FF2B5EF4-FFF2-40B4-BE49-F238E27FC236}">
              <a16:creationId xmlns:a16="http://schemas.microsoft.com/office/drawing/2014/main" xmlns="" id="{00000000-0008-0000-0000-000068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529" name="Text Box 3094">
          <a:extLst>
            <a:ext uri="{FF2B5EF4-FFF2-40B4-BE49-F238E27FC236}">
              <a16:creationId xmlns:a16="http://schemas.microsoft.com/office/drawing/2014/main" xmlns="" id="{00000000-0008-0000-0000-000069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530" name="Text Box 3095">
          <a:extLst>
            <a:ext uri="{FF2B5EF4-FFF2-40B4-BE49-F238E27FC236}">
              <a16:creationId xmlns:a16="http://schemas.microsoft.com/office/drawing/2014/main" xmlns="" id="{00000000-0008-0000-0000-00006A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531" name="Text Box 3096">
          <a:extLst>
            <a:ext uri="{FF2B5EF4-FFF2-40B4-BE49-F238E27FC236}">
              <a16:creationId xmlns:a16="http://schemas.microsoft.com/office/drawing/2014/main" xmlns="" id="{00000000-0008-0000-0000-00006B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532" name="Text Box 3097">
          <a:extLst>
            <a:ext uri="{FF2B5EF4-FFF2-40B4-BE49-F238E27FC236}">
              <a16:creationId xmlns:a16="http://schemas.microsoft.com/office/drawing/2014/main" xmlns="" id="{00000000-0008-0000-0000-00006C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533" name="Text Box 3098">
          <a:extLst>
            <a:ext uri="{FF2B5EF4-FFF2-40B4-BE49-F238E27FC236}">
              <a16:creationId xmlns:a16="http://schemas.microsoft.com/office/drawing/2014/main" xmlns="" id="{00000000-0008-0000-0000-00006D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534" name="Text Box 3099">
          <a:extLst>
            <a:ext uri="{FF2B5EF4-FFF2-40B4-BE49-F238E27FC236}">
              <a16:creationId xmlns:a16="http://schemas.microsoft.com/office/drawing/2014/main" xmlns="" id="{00000000-0008-0000-0000-00006E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535" name="Text Box 3100">
          <a:extLst>
            <a:ext uri="{FF2B5EF4-FFF2-40B4-BE49-F238E27FC236}">
              <a16:creationId xmlns:a16="http://schemas.microsoft.com/office/drawing/2014/main" xmlns="" id="{00000000-0008-0000-0000-00006F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536" name="Text Box 3101">
          <a:extLst>
            <a:ext uri="{FF2B5EF4-FFF2-40B4-BE49-F238E27FC236}">
              <a16:creationId xmlns:a16="http://schemas.microsoft.com/office/drawing/2014/main" xmlns="" id="{00000000-0008-0000-0000-000070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7537" name="Text Box 3102">
          <a:extLst>
            <a:ext uri="{FF2B5EF4-FFF2-40B4-BE49-F238E27FC236}">
              <a16:creationId xmlns:a16="http://schemas.microsoft.com/office/drawing/2014/main" xmlns="" id="{00000000-0008-0000-0000-000071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538" name="Text Box 59">
          <a:extLst>
            <a:ext uri="{FF2B5EF4-FFF2-40B4-BE49-F238E27FC236}">
              <a16:creationId xmlns:a16="http://schemas.microsoft.com/office/drawing/2014/main" xmlns="" id="{00000000-0008-0000-0000-000072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539" name="Text Box 60">
          <a:extLst>
            <a:ext uri="{FF2B5EF4-FFF2-40B4-BE49-F238E27FC236}">
              <a16:creationId xmlns:a16="http://schemas.microsoft.com/office/drawing/2014/main" xmlns="" id="{00000000-0008-0000-0000-000073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540" name="Text Box 61">
          <a:extLst>
            <a:ext uri="{FF2B5EF4-FFF2-40B4-BE49-F238E27FC236}">
              <a16:creationId xmlns:a16="http://schemas.microsoft.com/office/drawing/2014/main" xmlns="" id="{00000000-0008-0000-0000-000074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541" name="Text Box 62">
          <a:extLst>
            <a:ext uri="{FF2B5EF4-FFF2-40B4-BE49-F238E27FC236}">
              <a16:creationId xmlns:a16="http://schemas.microsoft.com/office/drawing/2014/main" xmlns="" id="{00000000-0008-0000-0000-000075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542" name="Text Box 63">
          <a:extLst>
            <a:ext uri="{FF2B5EF4-FFF2-40B4-BE49-F238E27FC236}">
              <a16:creationId xmlns:a16="http://schemas.microsoft.com/office/drawing/2014/main" xmlns="" id="{00000000-0008-0000-0000-000076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543" name="Text Box 64">
          <a:extLst>
            <a:ext uri="{FF2B5EF4-FFF2-40B4-BE49-F238E27FC236}">
              <a16:creationId xmlns:a16="http://schemas.microsoft.com/office/drawing/2014/main" xmlns="" id="{00000000-0008-0000-0000-000077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544" name="Text Box 65">
          <a:extLst>
            <a:ext uri="{FF2B5EF4-FFF2-40B4-BE49-F238E27FC236}">
              <a16:creationId xmlns:a16="http://schemas.microsoft.com/office/drawing/2014/main" xmlns="" id="{00000000-0008-0000-0000-000078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545" name="Text Box 66">
          <a:extLst>
            <a:ext uri="{FF2B5EF4-FFF2-40B4-BE49-F238E27FC236}">
              <a16:creationId xmlns:a16="http://schemas.microsoft.com/office/drawing/2014/main" xmlns="" id="{00000000-0008-0000-0000-000079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546" name="Text Box 67">
          <a:extLst>
            <a:ext uri="{FF2B5EF4-FFF2-40B4-BE49-F238E27FC236}">
              <a16:creationId xmlns:a16="http://schemas.microsoft.com/office/drawing/2014/main" xmlns="" id="{00000000-0008-0000-0000-00007A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547" name="Text Box 68">
          <a:extLst>
            <a:ext uri="{FF2B5EF4-FFF2-40B4-BE49-F238E27FC236}">
              <a16:creationId xmlns:a16="http://schemas.microsoft.com/office/drawing/2014/main" xmlns="" id="{00000000-0008-0000-0000-00007B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548" name="Text Box 69">
          <a:extLst>
            <a:ext uri="{FF2B5EF4-FFF2-40B4-BE49-F238E27FC236}">
              <a16:creationId xmlns:a16="http://schemas.microsoft.com/office/drawing/2014/main" xmlns="" id="{00000000-0008-0000-0000-00007C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549" name="Text Box 70">
          <a:extLst>
            <a:ext uri="{FF2B5EF4-FFF2-40B4-BE49-F238E27FC236}">
              <a16:creationId xmlns:a16="http://schemas.microsoft.com/office/drawing/2014/main" xmlns="" id="{00000000-0008-0000-0000-00007D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550" name="Text Box 71">
          <a:extLst>
            <a:ext uri="{FF2B5EF4-FFF2-40B4-BE49-F238E27FC236}">
              <a16:creationId xmlns:a16="http://schemas.microsoft.com/office/drawing/2014/main" xmlns="" id="{00000000-0008-0000-0000-00007E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551" name="Text Box 72">
          <a:extLst>
            <a:ext uri="{FF2B5EF4-FFF2-40B4-BE49-F238E27FC236}">
              <a16:creationId xmlns:a16="http://schemas.microsoft.com/office/drawing/2014/main" xmlns="" id="{00000000-0008-0000-0000-00007F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552" name="Text Box 73">
          <a:extLst>
            <a:ext uri="{FF2B5EF4-FFF2-40B4-BE49-F238E27FC236}">
              <a16:creationId xmlns:a16="http://schemas.microsoft.com/office/drawing/2014/main" xmlns="" id="{00000000-0008-0000-0000-000080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553" name="Text Box 74">
          <a:extLst>
            <a:ext uri="{FF2B5EF4-FFF2-40B4-BE49-F238E27FC236}">
              <a16:creationId xmlns:a16="http://schemas.microsoft.com/office/drawing/2014/main" xmlns="" id="{00000000-0008-0000-0000-000081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554" name="Text Box 75">
          <a:extLst>
            <a:ext uri="{FF2B5EF4-FFF2-40B4-BE49-F238E27FC236}">
              <a16:creationId xmlns:a16="http://schemas.microsoft.com/office/drawing/2014/main" xmlns="" id="{00000000-0008-0000-0000-000082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555" name="Text Box 76">
          <a:extLst>
            <a:ext uri="{FF2B5EF4-FFF2-40B4-BE49-F238E27FC236}">
              <a16:creationId xmlns:a16="http://schemas.microsoft.com/office/drawing/2014/main" xmlns="" id="{00000000-0008-0000-0000-000083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556" name="Text Box 77">
          <a:extLst>
            <a:ext uri="{FF2B5EF4-FFF2-40B4-BE49-F238E27FC236}">
              <a16:creationId xmlns:a16="http://schemas.microsoft.com/office/drawing/2014/main" xmlns="" id="{00000000-0008-0000-0000-000084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557" name="Text Box 78">
          <a:extLst>
            <a:ext uri="{FF2B5EF4-FFF2-40B4-BE49-F238E27FC236}">
              <a16:creationId xmlns:a16="http://schemas.microsoft.com/office/drawing/2014/main" xmlns="" id="{00000000-0008-0000-0000-000085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558" name="Text Box 79">
          <a:extLst>
            <a:ext uri="{FF2B5EF4-FFF2-40B4-BE49-F238E27FC236}">
              <a16:creationId xmlns:a16="http://schemas.microsoft.com/office/drawing/2014/main" xmlns="" id="{00000000-0008-0000-0000-000086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559" name="Text Box 80">
          <a:extLst>
            <a:ext uri="{FF2B5EF4-FFF2-40B4-BE49-F238E27FC236}">
              <a16:creationId xmlns:a16="http://schemas.microsoft.com/office/drawing/2014/main" xmlns="" id="{00000000-0008-0000-0000-000087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560" name="Text Box 81">
          <a:extLst>
            <a:ext uri="{FF2B5EF4-FFF2-40B4-BE49-F238E27FC236}">
              <a16:creationId xmlns:a16="http://schemas.microsoft.com/office/drawing/2014/main" xmlns="" id="{00000000-0008-0000-0000-000088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561" name="Text Box 3079">
          <a:extLst>
            <a:ext uri="{FF2B5EF4-FFF2-40B4-BE49-F238E27FC236}">
              <a16:creationId xmlns:a16="http://schemas.microsoft.com/office/drawing/2014/main" xmlns="" id="{00000000-0008-0000-0000-000089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562" name="Text Box 3080">
          <a:extLst>
            <a:ext uri="{FF2B5EF4-FFF2-40B4-BE49-F238E27FC236}">
              <a16:creationId xmlns:a16="http://schemas.microsoft.com/office/drawing/2014/main" xmlns="" id="{00000000-0008-0000-0000-00008A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563" name="Text Box 3081">
          <a:extLst>
            <a:ext uri="{FF2B5EF4-FFF2-40B4-BE49-F238E27FC236}">
              <a16:creationId xmlns:a16="http://schemas.microsoft.com/office/drawing/2014/main" xmlns="" id="{00000000-0008-0000-0000-00008B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564" name="Text Box 3082">
          <a:extLst>
            <a:ext uri="{FF2B5EF4-FFF2-40B4-BE49-F238E27FC236}">
              <a16:creationId xmlns:a16="http://schemas.microsoft.com/office/drawing/2014/main" xmlns="" id="{00000000-0008-0000-0000-00008C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565" name="Text Box 3083">
          <a:extLst>
            <a:ext uri="{FF2B5EF4-FFF2-40B4-BE49-F238E27FC236}">
              <a16:creationId xmlns:a16="http://schemas.microsoft.com/office/drawing/2014/main" xmlns="" id="{00000000-0008-0000-0000-00008D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566" name="Text Box 3084">
          <a:extLst>
            <a:ext uri="{FF2B5EF4-FFF2-40B4-BE49-F238E27FC236}">
              <a16:creationId xmlns:a16="http://schemas.microsoft.com/office/drawing/2014/main" xmlns="" id="{00000000-0008-0000-0000-00008E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567" name="Text Box 3085">
          <a:extLst>
            <a:ext uri="{FF2B5EF4-FFF2-40B4-BE49-F238E27FC236}">
              <a16:creationId xmlns:a16="http://schemas.microsoft.com/office/drawing/2014/main" xmlns="" id="{00000000-0008-0000-0000-00008F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568" name="Text Box 3086">
          <a:extLst>
            <a:ext uri="{FF2B5EF4-FFF2-40B4-BE49-F238E27FC236}">
              <a16:creationId xmlns:a16="http://schemas.microsoft.com/office/drawing/2014/main" xmlns="" id="{00000000-0008-0000-0000-000090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569" name="Text Box 3087">
          <a:extLst>
            <a:ext uri="{FF2B5EF4-FFF2-40B4-BE49-F238E27FC236}">
              <a16:creationId xmlns:a16="http://schemas.microsoft.com/office/drawing/2014/main" xmlns="" id="{00000000-0008-0000-0000-000091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570" name="Text Box 3088">
          <a:extLst>
            <a:ext uri="{FF2B5EF4-FFF2-40B4-BE49-F238E27FC236}">
              <a16:creationId xmlns:a16="http://schemas.microsoft.com/office/drawing/2014/main" xmlns="" id="{00000000-0008-0000-0000-000092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571" name="Text Box 3089">
          <a:extLst>
            <a:ext uri="{FF2B5EF4-FFF2-40B4-BE49-F238E27FC236}">
              <a16:creationId xmlns:a16="http://schemas.microsoft.com/office/drawing/2014/main" xmlns="" id="{00000000-0008-0000-0000-000093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572" name="Text Box 3090">
          <a:extLst>
            <a:ext uri="{FF2B5EF4-FFF2-40B4-BE49-F238E27FC236}">
              <a16:creationId xmlns:a16="http://schemas.microsoft.com/office/drawing/2014/main" xmlns="" id="{00000000-0008-0000-0000-000094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573" name="Text Box 3091">
          <a:extLst>
            <a:ext uri="{FF2B5EF4-FFF2-40B4-BE49-F238E27FC236}">
              <a16:creationId xmlns:a16="http://schemas.microsoft.com/office/drawing/2014/main" xmlns="" id="{00000000-0008-0000-0000-000095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574" name="Text Box 3092">
          <a:extLst>
            <a:ext uri="{FF2B5EF4-FFF2-40B4-BE49-F238E27FC236}">
              <a16:creationId xmlns:a16="http://schemas.microsoft.com/office/drawing/2014/main" xmlns="" id="{00000000-0008-0000-0000-000096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575" name="Text Box 3093">
          <a:extLst>
            <a:ext uri="{FF2B5EF4-FFF2-40B4-BE49-F238E27FC236}">
              <a16:creationId xmlns:a16="http://schemas.microsoft.com/office/drawing/2014/main" xmlns="" id="{00000000-0008-0000-0000-000097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576" name="Text Box 3094">
          <a:extLst>
            <a:ext uri="{FF2B5EF4-FFF2-40B4-BE49-F238E27FC236}">
              <a16:creationId xmlns:a16="http://schemas.microsoft.com/office/drawing/2014/main" xmlns="" id="{00000000-0008-0000-0000-000098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577" name="Text Box 3095">
          <a:extLst>
            <a:ext uri="{FF2B5EF4-FFF2-40B4-BE49-F238E27FC236}">
              <a16:creationId xmlns:a16="http://schemas.microsoft.com/office/drawing/2014/main" xmlns="" id="{00000000-0008-0000-0000-000099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578" name="Text Box 3096">
          <a:extLst>
            <a:ext uri="{FF2B5EF4-FFF2-40B4-BE49-F238E27FC236}">
              <a16:creationId xmlns:a16="http://schemas.microsoft.com/office/drawing/2014/main" xmlns="" id="{00000000-0008-0000-0000-00009A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579" name="Text Box 3097">
          <a:extLst>
            <a:ext uri="{FF2B5EF4-FFF2-40B4-BE49-F238E27FC236}">
              <a16:creationId xmlns:a16="http://schemas.microsoft.com/office/drawing/2014/main" xmlns="" id="{00000000-0008-0000-0000-00009B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580" name="Text Box 3098">
          <a:extLst>
            <a:ext uri="{FF2B5EF4-FFF2-40B4-BE49-F238E27FC236}">
              <a16:creationId xmlns:a16="http://schemas.microsoft.com/office/drawing/2014/main" xmlns="" id="{00000000-0008-0000-0000-00009C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581" name="Text Box 3099">
          <a:extLst>
            <a:ext uri="{FF2B5EF4-FFF2-40B4-BE49-F238E27FC236}">
              <a16:creationId xmlns:a16="http://schemas.microsoft.com/office/drawing/2014/main" xmlns="" id="{00000000-0008-0000-0000-00009D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582" name="Text Box 3100">
          <a:extLst>
            <a:ext uri="{FF2B5EF4-FFF2-40B4-BE49-F238E27FC236}">
              <a16:creationId xmlns:a16="http://schemas.microsoft.com/office/drawing/2014/main" xmlns="" id="{00000000-0008-0000-0000-00009E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583" name="Text Box 3101">
          <a:extLst>
            <a:ext uri="{FF2B5EF4-FFF2-40B4-BE49-F238E27FC236}">
              <a16:creationId xmlns:a16="http://schemas.microsoft.com/office/drawing/2014/main" xmlns="" id="{00000000-0008-0000-0000-00009F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7584" name="Text Box 3102">
          <a:extLst>
            <a:ext uri="{FF2B5EF4-FFF2-40B4-BE49-F238E27FC236}">
              <a16:creationId xmlns:a16="http://schemas.microsoft.com/office/drawing/2014/main" xmlns="" id="{00000000-0008-0000-0000-0000A0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585" name="Text Box 59">
          <a:extLst>
            <a:ext uri="{FF2B5EF4-FFF2-40B4-BE49-F238E27FC236}">
              <a16:creationId xmlns:a16="http://schemas.microsoft.com/office/drawing/2014/main" xmlns="" id="{00000000-0008-0000-0000-0000A1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586" name="Text Box 60">
          <a:extLst>
            <a:ext uri="{FF2B5EF4-FFF2-40B4-BE49-F238E27FC236}">
              <a16:creationId xmlns:a16="http://schemas.microsoft.com/office/drawing/2014/main" xmlns="" id="{00000000-0008-0000-0000-0000A2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587" name="Text Box 61">
          <a:extLst>
            <a:ext uri="{FF2B5EF4-FFF2-40B4-BE49-F238E27FC236}">
              <a16:creationId xmlns:a16="http://schemas.microsoft.com/office/drawing/2014/main" xmlns="" id="{00000000-0008-0000-0000-0000A3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588" name="Text Box 62">
          <a:extLst>
            <a:ext uri="{FF2B5EF4-FFF2-40B4-BE49-F238E27FC236}">
              <a16:creationId xmlns:a16="http://schemas.microsoft.com/office/drawing/2014/main" xmlns="" id="{00000000-0008-0000-0000-0000A4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589" name="Text Box 63">
          <a:extLst>
            <a:ext uri="{FF2B5EF4-FFF2-40B4-BE49-F238E27FC236}">
              <a16:creationId xmlns:a16="http://schemas.microsoft.com/office/drawing/2014/main" xmlns="" id="{00000000-0008-0000-0000-0000A5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590" name="Text Box 64">
          <a:extLst>
            <a:ext uri="{FF2B5EF4-FFF2-40B4-BE49-F238E27FC236}">
              <a16:creationId xmlns:a16="http://schemas.microsoft.com/office/drawing/2014/main" xmlns="" id="{00000000-0008-0000-0000-0000A6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591" name="Text Box 65">
          <a:extLst>
            <a:ext uri="{FF2B5EF4-FFF2-40B4-BE49-F238E27FC236}">
              <a16:creationId xmlns:a16="http://schemas.microsoft.com/office/drawing/2014/main" xmlns="" id="{00000000-0008-0000-0000-0000A7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592" name="Text Box 66">
          <a:extLst>
            <a:ext uri="{FF2B5EF4-FFF2-40B4-BE49-F238E27FC236}">
              <a16:creationId xmlns:a16="http://schemas.microsoft.com/office/drawing/2014/main" xmlns="" id="{00000000-0008-0000-0000-0000A8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593" name="Text Box 67">
          <a:extLst>
            <a:ext uri="{FF2B5EF4-FFF2-40B4-BE49-F238E27FC236}">
              <a16:creationId xmlns:a16="http://schemas.microsoft.com/office/drawing/2014/main" xmlns="" id="{00000000-0008-0000-0000-0000A9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594" name="Text Box 68">
          <a:extLst>
            <a:ext uri="{FF2B5EF4-FFF2-40B4-BE49-F238E27FC236}">
              <a16:creationId xmlns:a16="http://schemas.microsoft.com/office/drawing/2014/main" xmlns="" id="{00000000-0008-0000-0000-0000AA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595" name="Text Box 69">
          <a:extLst>
            <a:ext uri="{FF2B5EF4-FFF2-40B4-BE49-F238E27FC236}">
              <a16:creationId xmlns:a16="http://schemas.microsoft.com/office/drawing/2014/main" xmlns="" id="{00000000-0008-0000-0000-0000AB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596" name="Text Box 70">
          <a:extLst>
            <a:ext uri="{FF2B5EF4-FFF2-40B4-BE49-F238E27FC236}">
              <a16:creationId xmlns:a16="http://schemas.microsoft.com/office/drawing/2014/main" xmlns="" id="{00000000-0008-0000-0000-0000AC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597" name="Text Box 71">
          <a:extLst>
            <a:ext uri="{FF2B5EF4-FFF2-40B4-BE49-F238E27FC236}">
              <a16:creationId xmlns:a16="http://schemas.microsoft.com/office/drawing/2014/main" xmlns="" id="{00000000-0008-0000-0000-0000AD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598" name="Text Box 72">
          <a:extLst>
            <a:ext uri="{FF2B5EF4-FFF2-40B4-BE49-F238E27FC236}">
              <a16:creationId xmlns:a16="http://schemas.microsoft.com/office/drawing/2014/main" xmlns="" id="{00000000-0008-0000-0000-0000AE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599" name="Text Box 73">
          <a:extLst>
            <a:ext uri="{FF2B5EF4-FFF2-40B4-BE49-F238E27FC236}">
              <a16:creationId xmlns:a16="http://schemas.microsoft.com/office/drawing/2014/main" xmlns="" id="{00000000-0008-0000-0000-0000AF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600" name="Text Box 74">
          <a:extLst>
            <a:ext uri="{FF2B5EF4-FFF2-40B4-BE49-F238E27FC236}">
              <a16:creationId xmlns:a16="http://schemas.microsoft.com/office/drawing/2014/main" xmlns="" id="{00000000-0008-0000-0000-0000B0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601" name="Text Box 75">
          <a:extLst>
            <a:ext uri="{FF2B5EF4-FFF2-40B4-BE49-F238E27FC236}">
              <a16:creationId xmlns:a16="http://schemas.microsoft.com/office/drawing/2014/main" xmlns="" id="{00000000-0008-0000-0000-0000B1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602" name="Text Box 76">
          <a:extLst>
            <a:ext uri="{FF2B5EF4-FFF2-40B4-BE49-F238E27FC236}">
              <a16:creationId xmlns:a16="http://schemas.microsoft.com/office/drawing/2014/main" xmlns="" id="{00000000-0008-0000-0000-0000B2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603" name="Text Box 77">
          <a:extLst>
            <a:ext uri="{FF2B5EF4-FFF2-40B4-BE49-F238E27FC236}">
              <a16:creationId xmlns:a16="http://schemas.microsoft.com/office/drawing/2014/main" xmlns="" id="{00000000-0008-0000-0000-0000B3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604" name="Text Box 78">
          <a:extLst>
            <a:ext uri="{FF2B5EF4-FFF2-40B4-BE49-F238E27FC236}">
              <a16:creationId xmlns:a16="http://schemas.microsoft.com/office/drawing/2014/main" xmlns="" id="{00000000-0008-0000-0000-0000B4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605" name="Text Box 79">
          <a:extLst>
            <a:ext uri="{FF2B5EF4-FFF2-40B4-BE49-F238E27FC236}">
              <a16:creationId xmlns:a16="http://schemas.microsoft.com/office/drawing/2014/main" xmlns="" id="{00000000-0008-0000-0000-0000B5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606" name="Text Box 80">
          <a:extLst>
            <a:ext uri="{FF2B5EF4-FFF2-40B4-BE49-F238E27FC236}">
              <a16:creationId xmlns:a16="http://schemas.microsoft.com/office/drawing/2014/main" xmlns="" id="{00000000-0008-0000-0000-0000B6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607" name="Text Box 81">
          <a:extLst>
            <a:ext uri="{FF2B5EF4-FFF2-40B4-BE49-F238E27FC236}">
              <a16:creationId xmlns:a16="http://schemas.microsoft.com/office/drawing/2014/main" xmlns="" id="{00000000-0008-0000-0000-0000B7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47625"/>
    <xdr:sp macro="" textlink="">
      <xdr:nvSpPr>
        <xdr:cNvPr id="7608" name="Text Box 82">
          <a:extLst>
            <a:ext uri="{FF2B5EF4-FFF2-40B4-BE49-F238E27FC236}">
              <a16:creationId xmlns:a16="http://schemas.microsoft.com/office/drawing/2014/main" xmlns="" id="{00000000-0008-0000-0000-0000B8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609" name="Text Box 3079">
          <a:extLst>
            <a:ext uri="{FF2B5EF4-FFF2-40B4-BE49-F238E27FC236}">
              <a16:creationId xmlns:a16="http://schemas.microsoft.com/office/drawing/2014/main" xmlns="" id="{00000000-0008-0000-0000-0000B9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610" name="Text Box 3080">
          <a:extLst>
            <a:ext uri="{FF2B5EF4-FFF2-40B4-BE49-F238E27FC236}">
              <a16:creationId xmlns:a16="http://schemas.microsoft.com/office/drawing/2014/main" xmlns="" id="{00000000-0008-0000-0000-0000BA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611" name="Text Box 3081">
          <a:extLst>
            <a:ext uri="{FF2B5EF4-FFF2-40B4-BE49-F238E27FC236}">
              <a16:creationId xmlns:a16="http://schemas.microsoft.com/office/drawing/2014/main" xmlns="" id="{00000000-0008-0000-0000-0000BB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612" name="Text Box 3082">
          <a:extLst>
            <a:ext uri="{FF2B5EF4-FFF2-40B4-BE49-F238E27FC236}">
              <a16:creationId xmlns:a16="http://schemas.microsoft.com/office/drawing/2014/main" xmlns="" id="{00000000-0008-0000-0000-0000BC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613" name="Text Box 3083">
          <a:extLst>
            <a:ext uri="{FF2B5EF4-FFF2-40B4-BE49-F238E27FC236}">
              <a16:creationId xmlns:a16="http://schemas.microsoft.com/office/drawing/2014/main" xmlns="" id="{00000000-0008-0000-0000-0000BD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614" name="Text Box 3084">
          <a:extLst>
            <a:ext uri="{FF2B5EF4-FFF2-40B4-BE49-F238E27FC236}">
              <a16:creationId xmlns:a16="http://schemas.microsoft.com/office/drawing/2014/main" xmlns="" id="{00000000-0008-0000-0000-0000BE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615" name="Text Box 3085">
          <a:extLst>
            <a:ext uri="{FF2B5EF4-FFF2-40B4-BE49-F238E27FC236}">
              <a16:creationId xmlns:a16="http://schemas.microsoft.com/office/drawing/2014/main" xmlns="" id="{00000000-0008-0000-0000-0000BF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616" name="Text Box 3086">
          <a:extLst>
            <a:ext uri="{FF2B5EF4-FFF2-40B4-BE49-F238E27FC236}">
              <a16:creationId xmlns:a16="http://schemas.microsoft.com/office/drawing/2014/main" xmlns="" id="{00000000-0008-0000-0000-0000C0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617" name="Text Box 3087">
          <a:extLst>
            <a:ext uri="{FF2B5EF4-FFF2-40B4-BE49-F238E27FC236}">
              <a16:creationId xmlns:a16="http://schemas.microsoft.com/office/drawing/2014/main" xmlns="" id="{00000000-0008-0000-0000-0000C1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618" name="Text Box 3088">
          <a:extLst>
            <a:ext uri="{FF2B5EF4-FFF2-40B4-BE49-F238E27FC236}">
              <a16:creationId xmlns:a16="http://schemas.microsoft.com/office/drawing/2014/main" xmlns="" id="{00000000-0008-0000-0000-0000C2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619" name="Text Box 3089">
          <a:extLst>
            <a:ext uri="{FF2B5EF4-FFF2-40B4-BE49-F238E27FC236}">
              <a16:creationId xmlns:a16="http://schemas.microsoft.com/office/drawing/2014/main" xmlns="" id="{00000000-0008-0000-0000-0000C3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620" name="Text Box 3090">
          <a:extLst>
            <a:ext uri="{FF2B5EF4-FFF2-40B4-BE49-F238E27FC236}">
              <a16:creationId xmlns:a16="http://schemas.microsoft.com/office/drawing/2014/main" xmlns="" id="{00000000-0008-0000-0000-0000C4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621" name="Text Box 3091">
          <a:extLst>
            <a:ext uri="{FF2B5EF4-FFF2-40B4-BE49-F238E27FC236}">
              <a16:creationId xmlns:a16="http://schemas.microsoft.com/office/drawing/2014/main" xmlns="" id="{00000000-0008-0000-0000-0000C5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622" name="Text Box 3092">
          <a:extLst>
            <a:ext uri="{FF2B5EF4-FFF2-40B4-BE49-F238E27FC236}">
              <a16:creationId xmlns:a16="http://schemas.microsoft.com/office/drawing/2014/main" xmlns="" id="{00000000-0008-0000-0000-0000C6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623" name="Text Box 3093">
          <a:extLst>
            <a:ext uri="{FF2B5EF4-FFF2-40B4-BE49-F238E27FC236}">
              <a16:creationId xmlns:a16="http://schemas.microsoft.com/office/drawing/2014/main" xmlns="" id="{00000000-0008-0000-0000-0000C7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624" name="Text Box 3094">
          <a:extLst>
            <a:ext uri="{FF2B5EF4-FFF2-40B4-BE49-F238E27FC236}">
              <a16:creationId xmlns:a16="http://schemas.microsoft.com/office/drawing/2014/main" xmlns="" id="{00000000-0008-0000-0000-0000C8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625" name="Text Box 3095">
          <a:extLst>
            <a:ext uri="{FF2B5EF4-FFF2-40B4-BE49-F238E27FC236}">
              <a16:creationId xmlns:a16="http://schemas.microsoft.com/office/drawing/2014/main" xmlns="" id="{00000000-0008-0000-0000-0000C9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626" name="Text Box 3096">
          <a:extLst>
            <a:ext uri="{FF2B5EF4-FFF2-40B4-BE49-F238E27FC236}">
              <a16:creationId xmlns:a16="http://schemas.microsoft.com/office/drawing/2014/main" xmlns="" id="{00000000-0008-0000-0000-0000CA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627" name="Text Box 3097">
          <a:extLst>
            <a:ext uri="{FF2B5EF4-FFF2-40B4-BE49-F238E27FC236}">
              <a16:creationId xmlns:a16="http://schemas.microsoft.com/office/drawing/2014/main" xmlns="" id="{00000000-0008-0000-0000-0000CB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628" name="Text Box 3098">
          <a:extLst>
            <a:ext uri="{FF2B5EF4-FFF2-40B4-BE49-F238E27FC236}">
              <a16:creationId xmlns:a16="http://schemas.microsoft.com/office/drawing/2014/main" xmlns="" id="{00000000-0008-0000-0000-0000CC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629" name="Text Box 3099">
          <a:extLst>
            <a:ext uri="{FF2B5EF4-FFF2-40B4-BE49-F238E27FC236}">
              <a16:creationId xmlns:a16="http://schemas.microsoft.com/office/drawing/2014/main" xmlns="" id="{00000000-0008-0000-0000-0000CD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630" name="Text Box 3100">
          <a:extLst>
            <a:ext uri="{FF2B5EF4-FFF2-40B4-BE49-F238E27FC236}">
              <a16:creationId xmlns:a16="http://schemas.microsoft.com/office/drawing/2014/main" xmlns="" id="{00000000-0008-0000-0000-0000CE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631" name="Text Box 3101">
          <a:extLst>
            <a:ext uri="{FF2B5EF4-FFF2-40B4-BE49-F238E27FC236}">
              <a16:creationId xmlns:a16="http://schemas.microsoft.com/office/drawing/2014/main" xmlns="" id="{00000000-0008-0000-0000-0000CF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7632" name="Text Box 3102">
          <a:extLst>
            <a:ext uri="{FF2B5EF4-FFF2-40B4-BE49-F238E27FC236}">
              <a16:creationId xmlns:a16="http://schemas.microsoft.com/office/drawing/2014/main" xmlns="" id="{00000000-0008-0000-0000-0000D0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633" name="Text Box 59">
          <a:extLst>
            <a:ext uri="{FF2B5EF4-FFF2-40B4-BE49-F238E27FC236}">
              <a16:creationId xmlns:a16="http://schemas.microsoft.com/office/drawing/2014/main" xmlns="" id="{00000000-0008-0000-0000-0000D1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634" name="Text Box 60">
          <a:extLst>
            <a:ext uri="{FF2B5EF4-FFF2-40B4-BE49-F238E27FC236}">
              <a16:creationId xmlns:a16="http://schemas.microsoft.com/office/drawing/2014/main" xmlns="" id="{00000000-0008-0000-0000-0000D2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635" name="Text Box 61">
          <a:extLst>
            <a:ext uri="{FF2B5EF4-FFF2-40B4-BE49-F238E27FC236}">
              <a16:creationId xmlns:a16="http://schemas.microsoft.com/office/drawing/2014/main" xmlns="" id="{00000000-0008-0000-0000-0000D3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636" name="Text Box 62">
          <a:extLst>
            <a:ext uri="{FF2B5EF4-FFF2-40B4-BE49-F238E27FC236}">
              <a16:creationId xmlns:a16="http://schemas.microsoft.com/office/drawing/2014/main" xmlns="" id="{00000000-0008-0000-0000-0000D4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637" name="Text Box 63">
          <a:extLst>
            <a:ext uri="{FF2B5EF4-FFF2-40B4-BE49-F238E27FC236}">
              <a16:creationId xmlns:a16="http://schemas.microsoft.com/office/drawing/2014/main" xmlns="" id="{00000000-0008-0000-0000-0000D5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638" name="Text Box 64">
          <a:extLst>
            <a:ext uri="{FF2B5EF4-FFF2-40B4-BE49-F238E27FC236}">
              <a16:creationId xmlns:a16="http://schemas.microsoft.com/office/drawing/2014/main" xmlns="" id="{00000000-0008-0000-0000-0000D6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639" name="Text Box 65">
          <a:extLst>
            <a:ext uri="{FF2B5EF4-FFF2-40B4-BE49-F238E27FC236}">
              <a16:creationId xmlns:a16="http://schemas.microsoft.com/office/drawing/2014/main" xmlns="" id="{00000000-0008-0000-0000-0000D7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640" name="Text Box 66">
          <a:extLst>
            <a:ext uri="{FF2B5EF4-FFF2-40B4-BE49-F238E27FC236}">
              <a16:creationId xmlns:a16="http://schemas.microsoft.com/office/drawing/2014/main" xmlns="" id="{00000000-0008-0000-0000-0000D8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641" name="Text Box 67">
          <a:extLst>
            <a:ext uri="{FF2B5EF4-FFF2-40B4-BE49-F238E27FC236}">
              <a16:creationId xmlns:a16="http://schemas.microsoft.com/office/drawing/2014/main" xmlns="" id="{00000000-0008-0000-0000-0000D9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642" name="Text Box 68">
          <a:extLst>
            <a:ext uri="{FF2B5EF4-FFF2-40B4-BE49-F238E27FC236}">
              <a16:creationId xmlns:a16="http://schemas.microsoft.com/office/drawing/2014/main" xmlns="" id="{00000000-0008-0000-0000-0000DA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643" name="Text Box 69">
          <a:extLst>
            <a:ext uri="{FF2B5EF4-FFF2-40B4-BE49-F238E27FC236}">
              <a16:creationId xmlns:a16="http://schemas.microsoft.com/office/drawing/2014/main" xmlns="" id="{00000000-0008-0000-0000-0000DB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644" name="Text Box 70">
          <a:extLst>
            <a:ext uri="{FF2B5EF4-FFF2-40B4-BE49-F238E27FC236}">
              <a16:creationId xmlns:a16="http://schemas.microsoft.com/office/drawing/2014/main" xmlns="" id="{00000000-0008-0000-0000-0000DC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645" name="Text Box 71">
          <a:extLst>
            <a:ext uri="{FF2B5EF4-FFF2-40B4-BE49-F238E27FC236}">
              <a16:creationId xmlns:a16="http://schemas.microsoft.com/office/drawing/2014/main" xmlns="" id="{00000000-0008-0000-0000-0000DD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646" name="Text Box 72">
          <a:extLst>
            <a:ext uri="{FF2B5EF4-FFF2-40B4-BE49-F238E27FC236}">
              <a16:creationId xmlns:a16="http://schemas.microsoft.com/office/drawing/2014/main" xmlns="" id="{00000000-0008-0000-0000-0000DE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647" name="Text Box 73">
          <a:extLst>
            <a:ext uri="{FF2B5EF4-FFF2-40B4-BE49-F238E27FC236}">
              <a16:creationId xmlns:a16="http://schemas.microsoft.com/office/drawing/2014/main" xmlns="" id="{00000000-0008-0000-0000-0000DF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648" name="Text Box 74">
          <a:extLst>
            <a:ext uri="{FF2B5EF4-FFF2-40B4-BE49-F238E27FC236}">
              <a16:creationId xmlns:a16="http://schemas.microsoft.com/office/drawing/2014/main" xmlns="" id="{00000000-0008-0000-0000-0000E0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649" name="Text Box 75">
          <a:extLst>
            <a:ext uri="{FF2B5EF4-FFF2-40B4-BE49-F238E27FC236}">
              <a16:creationId xmlns:a16="http://schemas.microsoft.com/office/drawing/2014/main" xmlns="" id="{00000000-0008-0000-0000-0000E1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650" name="Text Box 76">
          <a:extLst>
            <a:ext uri="{FF2B5EF4-FFF2-40B4-BE49-F238E27FC236}">
              <a16:creationId xmlns:a16="http://schemas.microsoft.com/office/drawing/2014/main" xmlns="" id="{00000000-0008-0000-0000-0000E2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651" name="Text Box 77">
          <a:extLst>
            <a:ext uri="{FF2B5EF4-FFF2-40B4-BE49-F238E27FC236}">
              <a16:creationId xmlns:a16="http://schemas.microsoft.com/office/drawing/2014/main" xmlns="" id="{00000000-0008-0000-0000-0000E3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652" name="Text Box 78">
          <a:extLst>
            <a:ext uri="{FF2B5EF4-FFF2-40B4-BE49-F238E27FC236}">
              <a16:creationId xmlns:a16="http://schemas.microsoft.com/office/drawing/2014/main" xmlns="" id="{00000000-0008-0000-0000-0000E4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653" name="Text Box 79">
          <a:extLst>
            <a:ext uri="{FF2B5EF4-FFF2-40B4-BE49-F238E27FC236}">
              <a16:creationId xmlns:a16="http://schemas.microsoft.com/office/drawing/2014/main" xmlns="" id="{00000000-0008-0000-0000-0000E5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654" name="Text Box 80">
          <a:extLst>
            <a:ext uri="{FF2B5EF4-FFF2-40B4-BE49-F238E27FC236}">
              <a16:creationId xmlns:a16="http://schemas.microsoft.com/office/drawing/2014/main" xmlns="" id="{00000000-0008-0000-0000-0000E6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655" name="Text Box 81">
          <a:extLst>
            <a:ext uri="{FF2B5EF4-FFF2-40B4-BE49-F238E27FC236}">
              <a16:creationId xmlns:a16="http://schemas.microsoft.com/office/drawing/2014/main" xmlns="" id="{00000000-0008-0000-0000-0000E7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656" name="Text Box 3079">
          <a:extLst>
            <a:ext uri="{FF2B5EF4-FFF2-40B4-BE49-F238E27FC236}">
              <a16:creationId xmlns:a16="http://schemas.microsoft.com/office/drawing/2014/main" xmlns="" id="{00000000-0008-0000-0000-0000E8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657" name="Text Box 3080">
          <a:extLst>
            <a:ext uri="{FF2B5EF4-FFF2-40B4-BE49-F238E27FC236}">
              <a16:creationId xmlns:a16="http://schemas.microsoft.com/office/drawing/2014/main" xmlns="" id="{00000000-0008-0000-0000-0000E9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658" name="Text Box 3081">
          <a:extLst>
            <a:ext uri="{FF2B5EF4-FFF2-40B4-BE49-F238E27FC236}">
              <a16:creationId xmlns:a16="http://schemas.microsoft.com/office/drawing/2014/main" xmlns="" id="{00000000-0008-0000-0000-0000EA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659" name="Text Box 3082">
          <a:extLst>
            <a:ext uri="{FF2B5EF4-FFF2-40B4-BE49-F238E27FC236}">
              <a16:creationId xmlns:a16="http://schemas.microsoft.com/office/drawing/2014/main" xmlns="" id="{00000000-0008-0000-0000-0000EB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660" name="Text Box 3083">
          <a:extLst>
            <a:ext uri="{FF2B5EF4-FFF2-40B4-BE49-F238E27FC236}">
              <a16:creationId xmlns:a16="http://schemas.microsoft.com/office/drawing/2014/main" xmlns="" id="{00000000-0008-0000-0000-0000EC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661" name="Text Box 3084">
          <a:extLst>
            <a:ext uri="{FF2B5EF4-FFF2-40B4-BE49-F238E27FC236}">
              <a16:creationId xmlns:a16="http://schemas.microsoft.com/office/drawing/2014/main" xmlns="" id="{00000000-0008-0000-0000-0000ED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662" name="Text Box 3085">
          <a:extLst>
            <a:ext uri="{FF2B5EF4-FFF2-40B4-BE49-F238E27FC236}">
              <a16:creationId xmlns:a16="http://schemas.microsoft.com/office/drawing/2014/main" xmlns="" id="{00000000-0008-0000-0000-0000EE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663" name="Text Box 3086">
          <a:extLst>
            <a:ext uri="{FF2B5EF4-FFF2-40B4-BE49-F238E27FC236}">
              <a16:creationId xmlns:a16="http://schemas.microsoft.com/office/drawing/2014/main" xmlns="" id="{00000000-0008-0000-0000-0000EF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664" name="Text Box 3087">
          <a:extLst>
            <a:ext uri="{FF2B5EF4-FFF2-40B4-BE49-F238E27FC236}">
              <a16:creationId xmlns:a16="http://schemas.microsoft.com/office/drawing/2014/main" xmlns="" id="{00000000-0008-0000-0000-0000F0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665" name="Text Box 3088">
          <a:extLst>
            <a:ext uri="{FF2B5EF4-FFF2-40B4-BE49-F238E27FC236}">
              <a16:creationId xmlns:a16="http://schemas.microsoft.com/office/drawing/2014/main" xmlns="" id="{00000000-0008-0000-0000-0000F1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666" name="Text Box 3089">
          <a:extLst>
            <a:ext uri="{FF2B5EF4-FFF2-40B4-BE49-F238E27FC236}">
              <a16:creationId xmlns:a16="http://schemas.microsoft.com/office/drawing/2014/main" xmlns="" id="{00000000-0008-0000-0000-0000F2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667" name="Text Box 3090">
          <a:extLst>
            <a:ext uri="{FF2B5EF4-FFF2-40B4-BE49-F238E27FC236}">
              <a16:creationId xmlns:a16="http://schemas.microsoft.com/office/drawing/2014/main" xmlns="" id="{00000000-0008-0000-0000-0000F3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668" name="Text Box 3091">
          <a:extLst>
            <a:ext uri="{FF2B5EF4-FFF2-40B4-BE49-F238E27FC236}">
              <a16:creationId xmlns:a16="http://schemas.microsoft.com/office/drawing/2014/main" xmlns="" id="{00000000-0008-0000-0000-0000F4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669" name="Text Box 3092">
          <a:extLst>
            <a:ext uri="{FF2B5EF4-FFF2-40B4-BE49-F238E27FC236}">
              <a16:creationId xmlns:a16="http://schemas.microsoft.com/office/drawing/2014/main" xmlns="" id="{00000000-0008-0000-0000-0000F5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670" name="Text Box 3093">
          <a:extLst>
            <a:ext uri="{FF2B5EF4-FFF2-40B4-BE49-F238E27FC236}">
              <a16:creationId xmlns:a16="http://schemas.microsoft.com/office/drawing/2014/main" xmlns="" id="{00000000-0008-0000-0000-0000F6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671" name="Text Box 3094">
          <a:extLst>
            <a:ext uri="{FF2B5EF4-FFF2-40B4-BE49-F238E27FC236}">
              <a16:creationId xmlns:a16="http://schemas.microsoft.com/office/drawing/2014/main" xmlns="" id="{00000000-0008-0000-0000-0000F7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672" name="Text Box 3095">
          <a:extLst>
            <a:ext uri="{FF2B5EF4-FFF2-40B4-BE49-F238E27FC236}">
              <a16:creationId xmlns:a16="http://schemas.microsoft.com/office/drawing/2014/main" xmlns="" id="{00000000-0008-0000-0000-0000F8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673" name="Text Box 3096">
          <a:extLst>
            <a:ext uri="{FF2B5EF4-FFF2-40B4-BE49-F238E27FC236}">
              <a16:creationId xmlns:a16="http://schemas.microsoft.com/office/drawing/2014/main" xmlns="" id="{00000000-0008-0000-0000-0000F9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674" name="Text Box 3097">
          <a:extLst>
            <a:ext uri="{FF2B5EF4-FFF2-40B4-BE49-F238E27FC236}">
              <a16:creationId xmlns:a16="http://schemas.microsoft.com/office/drawing/2014/main" xmlns="" id="{00000000-0008-0000-0000-0000FA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675" name="Text Box 3098">
          <a:extLst>
            <a:ext uri="{FF2B5EF4-FFF2-40B4-BE49-F238E27FC236}">
              <a16:creationId xmlns:a16="http://schemas.microsoft.com/office/drawing/2014/main" xmlns="" id="{00000000-0008-0000-0000-0000FB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676" name="Text Box 3099">
          <a:extLst>
            <a:ext uri="{FF2B5EF4-FFF2-40B4-BE49-F238E27FC236}">
              <a16:creationId xmlns:a16="http://schemas.microsoft.com/office/drawing/2014/main" xmlns="" id="{00000000-0008-0000-0000-0000FC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677" name="Text Box 3100">
          <a:extLst>
            <a:ext uri="{FF2B5EF4-FFF2-40B4-BE49-F238E27FC236}">
              <a16:creationId xmlns:a16="http://schemas.microsoft.com/office/drawing/2014/main" xmlns="" id="{00000000-0008-0000-0000-0000FD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678" name="Text Box 3101">
          <a:extLst>
            <a:ext uri="{FF2B5EF4-FFF2-40B4-BE49-F238E27FC236}">
              <a16:creationId xmlns:a16="http://schemas.microsoft.com/office/drawing/2014/main" xmlns="" id="{00000000-0008-0000-0000-0000FE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7679" name="Text Box 3102">
          <a:extLst>
            <a:ext uri="{FF2B5EF4-FFF2-40B4-BE49-F238E27FC236}">
              <a16:creationId xmlns:a16="http://schemas.microsoft.com/office/drawing/2014/main" xmlns="" id="{00000000-0008-0000-0000-0000FF1D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680" name="Text Box 59">
          <a:extLst>
            <a:ext uri="{FF2B5EF4-FFF2-40B4-BE49-F238E27FC236}">
              <a16:creationId xmlns:a16="http://schemas.microsoft.com/office/drawing/2014/main" xmlns="" id="{00000000-0008-0000-0000-000000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681" name="Text Box 60">
          <a:extLst>
            <a:ext uri="{FF2B5EF4-FFF2-40B4-BE49-F238E27FC236}">
              <a16:creationId xmlns:a16="http://schemas.microsoft.com/office/drawing/2014/main" xmlns="" id="{00000000-0008-0000-0000-000001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682" name="Text Box 61">
          <a:extLst>
            <a:ext uri="{FF2B5EF4-FFF2-40B4-BE49-F238E27FC236}">
              <a16:creationId xmlns:a16="http://schemas.microsoft.com/office/drawing/2014/main" xmlns="" id="{00000000-0008-0000-0000-000002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683" name="Text Box 62">
          <a:extLst>
            <a:ext uri="{FF2B5EF4-FFF2-40B4-BE49-F238E27FC236}">
              <a16:creationId xmlns:a16="http://schemas.microsoft.com/office/drawing/2014/main" xmlns="" id="{00000000-0008-0000-0000-000003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684" name="Text Box 63">
          <a:extLst>
            <a:ext uri="{FF2B5EF4-FFF2-40B4-BE49-F238E27FC236}">
              <a16:creationId xmlns:a16="http://schemas.microsoft.com/office/drawing/2014/main" xmlns="" id="{00000000-0008-0000-0000-000004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685" name="Text Box 64">
          <a:extLst>
            <a:ext uri="{FF2B5EF4-FFF2-40B4-BE49-F238E27FC236}">
              <a16:creationId xmlns:a16="http://schemas.microsoft.com/office/drawing/2014/main" xmlns="" id="{00000000-0008-0000-0000-000005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686" name="Text Box 65">
          <a:extLst>
            <a:ext uri="{FF2B5EF4-FFF2-40B4-BE49-F238E27FC236}">
              <a16:creationId xmlns:a16="http://schemas.microsoft.com/office/drawing/2014/main" xmlns="" id="{00000000-0008-0000-0000-000006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687" name="Text Box 66">
          <a:extLst>
            <a:ext uri="{FF2B5EF4-FFF2-40B4-BE49-F238E27FC236}">
              <a16:creationId xmlns:a16="http://schemas.microsoft.com/office/drawing/2014/main" xmlns="" id="{00000000-0008-0000-0000-000007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688" name="Text Box 67">
          <a:extLst>
            <a:ext uri="{FF2B5EF4-FFF2-40B4-BE49-F238E27FC236}">
              <a16:creationId xmlns:a16="http://schemas.microsoft.com/office/drawing/2014/main" xmlns="" id="{00000000-0008-0000-0000-000008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689" name="Text Box 68">
          <a:extLst>
            <a:ext uri="{FF2B5EF4-FFF2-40B4-BE49-F238E27FC236}">
              <a16:creationId xmlns:a16="http://schemas.microsoft.com/office/drawing/2014/main" xmlns="" id="{00000000-0008-0000-0000-000009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690" name="Text Box 69">
          <a:extLst>
            <a:ext uri="{FF2B5EF4-FFF2-40B4-BE49-F238E27FC236}">
              <a16:creationId xmlns:a16="http://schemas.microsoft.com/office/drawing/2014/main" xmlns="" id="{00000000-0008-0000-0000-00000A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691" name="Text Box 70">
          <a:extLst>
            <a:ext uri="{FF2B5EF4-FFF2-40B4-BE49-F238E27FC236}">
              <a16:creationId xmlns:a16="http://schemas.microsoft.com/office/drawing/2014/main" xmlns="" id="{00000000-0008-0000-0000-00000B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692" name="Text Box 71">
          <a:extLst>
            <a:ext uri="{FF2B5EF4-FFF2-40B4-BE49-F238E27FC236}">
              <a16:creationId xmlns:a16="http://schemas.microsoft.com/office/drawing/2014/main" xmlns="" id="{00000000-0008-0000-0000-00000C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693" name="Text Box 72">
          <a:extLst>
            <a:ext uri="{FF2B5EF4-FFF2-40B4-BE49-F238E27FC236}">
              <a16:creationId xmlns:a16="http://schemas.microsoft.com/office/drawing/2014/main" xmlns="" id="{00000000-0008-0000-0000-00000D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694" name="Text Box 73">
          <a:extLst>
            <a:ext uri="{FF2B5EF4-FFF2-40B4-BE49-F238E27FC236}">
              <a16:creationId xmlns:a16="http://schemas.microsoft.com/office/drawing/2014/main" xmlns="" id="{00000000-0008-0000-0000-00000E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695" name="Text Box 74">
          <a:extLst>
            <a:ext uri="{FF2B5EF4-FFF2-40B4-BE49-F238E27FC236}">
              <a16:creationId xmlns:a16="http://schemas.microsoft.com/office/drawing/2014/main" xmlns="" id="{00000000-0008-0000-0000-00000F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696" name="Text Box 75">
          <a:extLst>
            <a:ext uri="{FF2B5EF4-FFF2-40B4-BE49-F238E27FC236}">
              <a16:creationId xmlns:a16="http://schemas.microsoft.com/office/drawing/2014/main" xmlns="" id="{00000000-0008-0000-0000-000010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697" name="Text Box 76">
          <a:extLst>
            <a:ext uri="{FF2B5EF4-FFF2-40B4-BE49-F238E27FC236}">
              <a16:creationId xmlns:a16="http://schemas.microsoft.com/office/drawing/2014/main" xmlns="" id="{00000000-0008-0000-0000-000011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698" name="Text Box 77">
          <a:extLst>
            <a:ext uri="{FF2B5EF4-FFF2-40B4-BE49-F238E27FC236}">
              <a16:creationId xmlns:a16="http://schemas.microsoft.com/office/drawing/2014/main" xmlns="" id="{00000000-0008-0000-0000-000012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699" name="Text Box 78">
          <a:extLst>
            <a:ext uri="{FF2B5EF4-FFF2-40B4-BE49-F238E27FC236}">
              <a16:creationId xmlns:a16="http://schemas.microsoft.com/office/drawing/2014/main" xmlns="" id="{00000000-0008-0000-0000-000013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700" name="Text Box 79">
          <a:extLst>
            <a:ext uri="{FF2B5EF4-FFF2-40B4-BE49-F238E27FC236}">
              <a16:creationId xmlns:a16="http://schemas.microsoft.com/office/drawing/2014/main" xmlns="" id="{00000000-0008-0000-0000-000014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701" name="Text Box 80">
          <a:extLst>
            <a:ext uri="{FF2B5EF4-FFF2-40B4-BE49-F238E27FC236}">
              <a16:creationId xmlns:a16="http://schemas.microsoft.com/office/drawing/2014/main" xmlns="" id="{00000000-0008-0000-0000-000015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702" name="Text Box 81">
          <a:extLst>
            <a:ext uri="{FF2B5EF4-FFF2-40B4-BE49-F238E27FC236}">
              <a16:creationId xmlns:a16="http://schemas.microsoft.com/office/drawing/2014/main" xmlns="" id="{00000000-0008-0000-0000-000016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47625"/>
    <xdr:sp macro="" textlink="">
      <xdr:nvSpPr>
        <xdr:cNvPr id="7703" name="Text Box 82">
          <a:extLst>
            <a:ext uri="{FF2B5EF4-FFF2-40B4-BE49-F238E27FC236}">
              <a16:creationId xmlns:a16="http://schemas.microsoft.com/office/drawing/2014/main" xmlns="" id="{00000000-0008-0000-0000-000017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704" name="Text Box 3079">
          <a:extLst>
            <a:ext uri="{FF2B5EF4-FFF2-40B4-BE49-F238E27FC236}">
              <a16:creationId xmlns:a16="http://schemas.microsoft.com/office/drawing/2014/main" xmlns="" id="{00000000-0008-0000-0000-000018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705" name="Text Box 3080">
          <a:extLst>
            <a:ext uri="{FF2B5EF4-FFF2-40B4-BE49-F238E27FC236}">
              <a16:creationId xmlns:a16="http://schemas.microsoft.com/office/drawing/2014/main" xmlns="" id="{00000000-0008-0000-0000-000019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706" name="Text Box 3081">
          <a:extLst>
            <a:ext uri="{FF2B5EF4-FFF2-40B4-BE49-F238E27FC236}">
              <a16:creationId xmlns:a16="http://schemas.microsoft.com/office/drawing/2014/main" xmlns="" id="{00000000-0008-0000-0000-00001A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707" name="Text Box 3082">
          <a:extLst>
            <a:ext uri="{FF2B5EF4-FFF2-40B4-BE49-F238E27FC236}">
              <a16:creationId xmlns:a16="http://schemas.microsoft.com/office/drawing/2014/main" xmlns="" id="{00000000-0008-0000-0000-00001B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708" name="Text Box 3083">
          <a:extLst>
            <a:ext uri="{FF2B5EF4-FFF2-40B4-BE49-F238E27FC236}">
              <a16:creationId xmlns:a16="http://schemas.microsoft.com/office/drawing/2014/main" xmlns="" id="{00000000-0008-0000-0000-00001C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709" name="Text Box 3084">
          <a:extLst>
            <a:ext uri="{FF2B5EF4-FFF2-40B4-BE49-F238E27FC236}">
              <a16:creationId xmlns:a16="http://schemas.microsoft.com/office/drawing/2014/main" xmlns="" id="{00000000-0008-0000-0000-00001D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710" name="Text Box 3085">
          <a:extLst>
            <a:ext uri="{FF2B5EF4-FFF2-40B4-BE49-F238E27FC236}">
              <a16:creationId xmlns:a16="http://schemas.microsoft.com/office/drawing/2014/main" xmlns="" id="{00000000-0008-0000-0000-00001E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711" name="Text Box 3086">
          <a:extLst>
            <a:ext uri="{FF2B5EF4-FFF2-40B4-BE49-F238E27FC236}">
              <a16:creationId xmlns:a16="http://schemas.microsoft.com/office/drawing/2014/main" xmlns="" id="{00000000-0008-0000-0000-00001F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712" name="Text Box 3087">
          <a:extLst>
            <a:ext uri="{FF2B5EF4-FFF2-40B4-BE49-F238E27FC236}">
              <a16:creationId xmlns:a16="http://schemas.microsoft.com/office/drawing/2014/main" xmlns="" id="{00000000-0008-0000-0000-000020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713" name="Text Box 3088">
          <a:extLst>
            <a:ext uri="{FF2B5EF4-FFF2-40B4-BE49-F238E27FC236}">
              <a16:creationId xmlns:a16="http://schemas.microsoft.com/office/drawing/2014/main" xmlns="" id="{00000000-0008-0000-0000-000021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714" name="Text Box 3089">
          <a:extLst>
            <a:ext uri="{FF2B5EF4-FFF2-40B4-BE49-F238E27FC236}">
              <a16:creationId xmlns:a16="http://schemas.microsoft.com/office/drawing/2014/main" xmlns="" id="{00000000-0008-0000-0000-000022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715" name="Text Box 3090">
          <a:extLst>
            <a:ext uri="{FF2B5EF4-FFF2-40B4-BE49-F238E27FC236}">
              <a16:creationId xmlns:a16="http://schemas.microsoft.com/office/drawing/2014/main" xmlns="" id="{00000000-0008-0000-0000-000023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716" name="Text Box 3091">
          <a:extLst>
            <a:ext uri="{FF2B5EF4-FFF2-40B4-BE49-F238E27FC236}">
              <a16:creationId xmlns:a16="http://schemas.microsoft.com/office/drawing/2014/main" xmlns="" id="{00000000-0008-0000-0000-000024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717" name="Text Box 3092">
          <a:extLst>
            <a:ext uri="{FF2B5EF4-FFF2-40B4-BE49-F238E27FC236}">
              <a16:creationId xmlns:a16="http://schemas.microsoft.com/office/drawing/2014/main" xmlns="" id="{00000000-0008-0000-0000-000025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718" name="Text Box 3093">
          <a:extLst>
            <a:ext uri="{FF2B5EF4-FFF2-40B4-BE49-F238E27FC236}">
              <a16:creationId xmlns:a16="http://schemas.microsoft.com/office/drawing/2014/main" xmlns="" id="{00000000-0008-0000-0000-000026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719" name="Text Box 3094">
          <a:extLst>
            <a:ext uri="{FF2B5EF4-FFF2-40B4-BE49-F238E27FC236}">
              <a16:creationId xmlns:a16="http://schemas.microsoft.com/office/drawing/2014/main" xmlns="" id="{00000000-0008-0000-0000-000027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720" name="Text Box 3095">
          <a:extLst>
            <a:ext uri="{FF2B5EF4-FFF2-40B4-BE49-F238E27FC236}">
              <a16:creationId xmlns:a16="http://schemas.microsoft.com/office/drawing/2014/main" xmlns="" id="{00000000-0008-0000-0000-000028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721" name="Text Box 3096">
          <a:extLst>
            <a:ext uri="{FF2B5EF4-FFF2-40B4-BE49-F238E27FC236}">
              <a16:creationId xmlns:a16="http://schemas.microsoft.com/office/drawing/2014/main" xmlns="" id="{00000000-0008-0000-0000-000029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722" name="Text Box 3097">
          <a:extLst>
            <a:ext uri="{FF2B5EF4-FFF2-40B4-BE49-F238E27FC236}">
              <a16:creationId xmlns:a16="http://schemas.microsoft.com/office/drawing/2014/main" xmlns="" id="{00000000-0008-0000-0000-00002A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723" name="Text Box 3098">
          <a:extLst>
            <a:ext uri="{FF2B5EF4-FFF2-40B4-BE49-F238E27FC236}">
              <a16:creationId xmlns:a16="http://schemas.microsoft.com/office/drawing/2014/main" xmlns="" id="{00000000-0008-0000-0000-00002B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724" name="Text Box 3099">
          <a:extLst>
            <a:ext uri="{FF2B5EF4-FFF2-40B4-BE49-F238E27FC236}">
              <a16:creationId xmlns:a16="http://schemas.microsoft.com/office/drawing/2014/main" xmlns="" id="{00000000-0008-0000-0000-00002C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725" name="Text Box 3100">
          <a:extLst>
            <a:ext uri="{FF2B5EF4-FFF2-40B4-BE49-F238E27FC236}">
              <a16:creationId xmlns:a16="http://schemas.microsoft.com/office/drawing/2014/main" xmlns="" id="{00000000-0008-0000-0000-00002D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726" name="Text Box 3101">
          <a:extLst>
            <a:ext uri="{FF2B5EF4-FFF2-40B4-BE49-F238E27FC236}">
              <a16:creationId xmlns:a16="http://schemas.microsoft.com/office/drawing/2014/main" xmlns="" id="{00000000-0008-0000-0000-00002E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7727" name="Text Box 3102">
          <a:extLst>
            <a:ext uri="{FF2B5EF4-FFF2-40B4-BE49-F238E27FC236}">
              <a16:creationId xmlns:a16="http://schemas.microsoft.com/office/drawing/2014/main" xmlns="" id="{00000000-0008-0000-0000-00002F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728" name="Text Box 59">
          <a:extLst>
            <a:ext uri="{FF2B5EF4-FFF2-40B4-BE49-F238E27FC236}">
              <a16:creationId xmlns:a16="http://schemas.microsoft.com/office/drawing/2014/main" xmlns="" id="{00000000-0008-0000-0000-000030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729" name="Text Box 60">
          <a:extLst>
            <a:ext uri="{FF2B5EF4-FFF2-40B4-BE49-F238E27FC236}">
              <a16:creationId xmlns:a16="http://schemas.microsoft.com/office/drawing/2014/main" xmlns="" id="{00000000-0008-0000-0000-000031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730" name="Text Box 61">
          <a:extLst>
            <a:ext uri="{FF2B5EF4-FFF2-40B4-BE49-F238E27FC236}">
              <a16:creationId xmlns:a16="http://schemas.microsoft.com/office/drawing/2014/main" xmlns="" id="{00000000-0008-0000-0000-000032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731" name="Text Box 62">
          <a:extLst>
            <a:ext uri="{FF2B5EF4-FFF2-40B4-BE49-F238E27FC236}">
              <a16:creationId xmlns:a16="http://schemas.microsoft.com/office/drawing/2014/main" xmlns="" id="{00000000-0008-0000-0000-000033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732" name="Text Box 63">
          <a:extLst>
            <a:ext uri="{FF2B5EF4-FFF2-40B4-BE49-F238E27FC236}">
              <a16:creationId xmlns:a16="http://schemas.microsoft.com/office/drawing/2014/main" xmlns="" id="{00000000-0008-0000-0000-000034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733" name="Text Box 64">
          <a:extLst>
            <a:ext uri="{FF2B5EF4-FFF2-40B4-BE49-F238E27FC236}">
              <a16:creationId xmlns:a16="http://schemas.microsoft.com/office/drawing/2014/main" xmlns="" id="{00000000-0008-0000-0000-000035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734" name="Text Box 65">
          <a:extLst>
            <a:ext uri="{FF2B5EF4-FFF2-40B4-BE49-F238E27FC236}">
              <a16:creationId xmlns:a16="http://schemas.microsoft.com/office/drawing/2014/main" xmlns="" id="{00000000-0008-0000-0000-000036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735" name="Text Box 66">
          <a:extLst>
            <a:ext uri="{FF2B5EF4-FFF2-40B4-BE49-F238E27FC236}">
              <a16:creationId xmlns:a16="http://schemas.microsoft.com/office/drawing/2014/main" xmlns="" id="{00000000-0008-0000-0000-000037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736" name="Text Box 67">
          <a:extLst>
            <a:ext uri="{FF2B5EF4-FFF2-40B4-BE49-F238E27FC236}">
              <a16:creationId xmlns:a16="http://schemas.microsoft.com/office/drawing/2014/main" xmlns="" id="{00000000-0008-0000-0000-000038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737" name="Text Box 68">
          <a:extLst>
            <a:ext uri="{FF2B5EF4-FFF2-40B4-BE49-F238E27FC236}">
              <a16:creationId xmlns:a16="http://schemas.microsoft.com/office/drawing/2014/main" xmlns="" id="{00000000-0008-0000-0000-000039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738" name="Text Box 69">
          <a:extLst>
            <a:ext uri="{FF2B5EF4-FFF2-40B4-BE49-F238E27FC236}">
              <a16:creationId xmlns:a16="http://schemas.microsoft.com/office/drawing/2014/main" xmlns="" id="{00000000-0008-0000-0000-00003A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739" name="Text Box 70">
          <a:extLst>
            <a:ext uri="{FF2B5EF4-FFF2-40B4-BE49-F238E27FC236}">
              <a16:creationId xmlns:a16="http://schemas.microsoft.com/office/drawing/2014/main" xmlns="" id="{00000000-0008-0000-0000-00003B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740" name="Text Box 71">
          <a:extLst>
            <a:ext uri="{FF2B5EF4-FFF2-40B4-BE49-F238E27FC236}">
              <a16:creationId xmlns:a16="http://schemas.microsoft.com/office/drawing/2014/main" xmlns="" id="{00000000-0008-0000-0000-00003C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741" name="Text Box 72">
          <a:extLst>
            <a:ext uri="{FF2B5EF4-FFF2-40B4-BE49-F238E27FC236}">
              <a16:creationId xmlns:a16="http://schemas.microsoft.com/office/drawing/2014/main" xmlns="" id="{00000000-0008-0000-0000-00003D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742" name="Text Box 73">
          <a:extLst>
            <a:ext uri="{FF2B5EF4-FFF2-40B4-BE49-F238E27FC236}">
              <a16:creationId xmlns:a16="http://schemas.microsoft.com/office/drawing/2014/main" xmlns="" id="{00000000-0008-0000-0000-00003E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743" name="Text Box 74">
          <a:extLst>
            <a:ext uri="{FF2B5EF4-FFF2-40B4-BE49-F238E27FC236}">
              <a16:creationId xmlns:a16="http://schemas.microsoft.com/office/drawing/2014/main" xmlns="" id="{00000000-0008-0000-0000-00003F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744" name="Text Box 75">
          <a:extLst>
            <a:ext uri="{FF2B5EF4-FFF2-40B4-BE49-F238E27FC236}">
              <a16:creationId xmlns:a16="http://schemas.microsoft.com/office/drawing/2014/main" xmlns="" id="{00000000-0008-0000-0000-000040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745" name="Text Box 76">
          <a:extLst>
            <a:ext uri="{FF2B5EF4-FFF2-40B4-BE49-F238E27FC236}">
              <a16:creationId xmlns:a16="http://schemas.microsoft.com/office/drawing/2014/main" xmlns="" id="{00000000-0008-0000-0000-000041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746" name="Text Box 77">
          <a:extLst>
            <a:ext uri="{FF2B5EF4-FFF2-40B4-BE49-F238E27FC236}">
              <a16:creationId xmlns:a16="http://schemas.microsoft.com/office/drawing/2014/main" xmlns="" id="{00000000-0008-0000-0000-000042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747" name="Text Box 78">
          <a:extLst>
            <a:ext uri="{FF2B5EF4-FFF2-40B4-BE49-F238E27FC236}">
              <a16:creationId xmlns:a16="http://schemas.microsoft.com/office/drawing/2014/main" xmlns="" id="{00000000-0008-0000-0000-000043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748" name="Text Box 79">
          <a:extLst>
            <a:ext uri="{FF2B5EF4-FFF2-40B4-BE49-F238E27FC236}">
              <a16:creationId xmlns:a16="http://schemas.microsoft.com/office/drawing/2014/main" xmlns="" id="{00000000-0008-0000-0000-000044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749" name="Text Box 80">
          <a:extLst>
            <a:ext uri="{FF2B5EF4-FFF2-40B4-BE49-F238E27FC236}">
              <a16:creationId xmlns:a16="http://schemas.microsoft.com/office/drawing/2014/main" xmlns="" id="{00000000-0008-0000-0000-000045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750" name="Text Box 81">
          <a:extLst>
            <a:ext uri="{FF2B5EF4-FFF2-40B4-BE49-F238E27FC236}">
              <a16:creationId xmlns:a16="http://schemas.microsoft.com/office/drawing/2014/main" xmlns="" id="{00000000-0008-0000-0000-000046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751" name="Text Box 3079">
          <a:extLst>
            <a:ext uri="{FF2B5EF4-FFF2-40B4-BE49-F238E27FC236}">
              <a16:creationId xmlns:a16="http://schemas.microsoft.com/office/drawing/2014/main" xmlns="" id="{00000000-0008-0000-0000-000047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752" name="Text Box 3080">
          <a:extLst>
            <a:ext uri="{FF2B5EF4-FFF2-40B4-BE49-F238E27FC236}">
              <a16:creationId xmlns:a16="http://schemas.microsoft.com/office/drawing/2014/main" xmlns="" id="{00000000-0008-0000-0000-000048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753" name="Text Box 3081">
          <a:extLst>
            <a:ext uri="{FF2B5EF4-FFF2-40B4-BE49-F238E27FC236}">
              <a16:creationId xmlns:a16="http://schemas.microsoft.com/office/drawing/2014/main" xmlns="" id="{00000000-0008-0000-0000-000049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754" name="Text Box 3082">
          <a:extLst>
            <a:ext uri="{FF2B5EF4-FFF2-40B4-BE49-F238E27FC236}">
              <a16:creationId xmlns:a16="http://schemas.microsoft.com/office/drawing/2014/main" xmlns="" id="{00000000-0008-0000-0000-00004A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755" name="Text Box 3083">
          <a:extLst>
            <a:ext uri="{FF2B5EF4-FFF2-40B4-BE49-F238E27FC236}">
              <a16:creationId xmlns:a16="http://schemas.microsoft.com/office/drawing/2014/main" xmlns="" id="{00000000-0008-0000-0000-00004B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756" name="Text Box 3084">
          <a:extLst>
            <a:ext uri="{FF2B5EF4-FFF2-40B4-BE49-F238E27FC236}">
              <a16:creationId xmlns:a16="http://schemas.microsoft.com/office/drawing/2014/main" xmlns="" id="{00000000-0008-0000-0000-00004C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757" name="Text Box 3085">
          <a:extLst>
            <a:ext uri="{FF2B5EF4-FFF2-40B4-BE49-F238E27FC236}">
              <a16:creationId xmlns:a16="http://schemas.microsoft.com/office/drawing/2014/main" xmlns="" id="{00000000-0008-0000-0000-00004D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758" name="Text Box 3086">
          <a:extLst>
            <a:ext uri="{FF2B5EF4-FFF2-40B4-BE49-F238E27FC236}">
              <a16:creationId xmlns:a16="http://schemas.microsoft.com/office/drawing/2014/main" xmlns="" id="{00000000-0008-0000-0000-00004E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759" name="Text Box 3087">
          <a:extLst>
            <a:ext uri="{FF2B5EF4-FFF2-40B4-BE49-F238E27FC236}">
              <a16:creationId xmlns:a16="http://schemas.microsoft.com/office/drawing/2014/main" xmlns="" id="{00000000-0008-0000-0000-00004F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760" name="Text Box 3088">
          <a:extLst>
            <a:ext uri="{FF2B5EF4-FFF2-40B4-BE49-F238E27FC236}">
              <a16:creationId xmlns:a16="http://schemas.microsoft.com/office/drawing/2014/main" xmlns="" id="{00000000-0008-0000-0000-000050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761" name="Text Box 3089">
          <a:extLst>
            <a:ext uri="{FF2B5EF4-FFF2-40B4-BE49-F238E27FC236}">
              <a16:creationId xmlns:a16="http://schemas.microsoft.com/office/drawing/2014/main" xmlns="" id="{00000000-0008-0000-0000-000051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762" name="Text Box 3090">
          <a:extLst>
            <a:ext uri="{FF2B5EF4-FFF2-40B4-BE49-F238E27FC236}">
              <a16:creationId xmlns:a16="http://schemas.microsoft.com/office/drawing/2014/main" xmlns="" id="{00000000-0008-0000-0000-000052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763" name="Text Box 3091">
          <a:extLst>
            <a:ext uri="{FF2B5EF4-FFF2-40B4-BE49-F238E27FC236}">
              <a16:creationId xmlns:a16="http://schemas.microsoft.com/office/drawing/2014/main" xmlns="" id="{00000000-0008-0000-0000-000053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764" name="Text Box 3092">
          <a:extLst>
            <a:ext uri="{FF2B5EF4-FFF2-40B4-BE49-F238E27FC236}">
              <a16:creationId xmlns:a16="http://schemas.microsoft.com/office/drawing/2014/main" xmlns="" id="{00000000-0008-0000-0000-000054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765" name="Text Box 3093">
          <a:extLst>
            <a:ext uri="{FF2B5EF4-FFF2-40B4-BE49-F238E27FC236}">
              <a16:creationId xmlns:a16="http://schemas.microsoft.com/office/drawing/2014/main" xmlns="" id="{00000000-0008-0000-0000-000055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766" name="Text Box 3094">
          <a:extLst>
            <a:ext uri="{FF2B5EF4-FFF2-40B4-BE49-F238E27FC236}">
              <a16:creationId xmlns:a16="http://schemas.microsoft.com/office/drawing/2014/main" xmlns="" id="{00000000-0008-0000-0000-000056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767" name="Text Box 3095">
          <a:extLst>
            <a:ext uri="{FF2B5EF4-FFF2-40B4-BE49-F238E27FC236}">
              <a16:creationId xmlns:a16="http://schemas.microsoft.com/office/drawing/2014/main" xmlns="" id="{00000000-0008-0000-0000-000057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768" name="Text Box 3096">
          <a:extLst>
            <a:ext uri="{FF2B5EF4-FFF2-40B4-BE49-F238E27FC236}">
              <a16:creationId xmlns:a16="http://schemas.microsoft.com/office/drawing/2014/main" xmlns="" id="{00000000-0008-0000-0000-000058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769" name="Text Box 3097">
          <a:extLst>
            <a:ext uri="{FF2B5EF4-FFF2-40B4-BE49-F238E27FC236}">
              <a16:creationId xmlns:a16="http://schemas.microsoft.com/office/drawing/2014/main" xmlns="" id="{00000000-0008-0000-0000-000059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770" name="Text Box 3098">
          <a:extLst>
            <a:ext uri="{FF2B5EF4-FFF2-40B4-BE49-F238E27FC236}">
              <a16:creationId xmlns:a16="http://schemas.microsoft.com/office/drawing/2014/main" xmlns="" id="{00000000-0008-0000-0000-00005A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771" name="Text Box 3099">
          <a:extLst>
            <a:ext uri="{FF2B5EF4-FFF2-40B4-BE49-F238E27FC236}">
              <a16:creationId xmlns:a16="http://schemas.microsoft.com/office/drawing/2014/main" xmlns="" id="{00000000-0008-0000-0000-00005B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772" name="Text Box 3100">
          <a:extLst>
            <a:ext uri="{FF2B5EF4-FFF2-40B4-BE49-F238E27FC236}">
              <a16:creationId xmlns:a16="http://schemas.microsoft.com/office/drawing/2014/main" xmlns="" id="{00000000-0008-0000-0000-00005C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773" name="Text Box 3101">
          <a:extLst>
            <a:ext uri="{FF2B5EF4-FFF2-40B4-BE49-F238E27FC236}">
              <a16:creationId xmlns:a16="http://schemas.microsoft.com/office/drawing/2014/main" xmlns="" id="{00000000-0008-0000-0000-00005D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7774" name="Text Box 3102">
          <a:extLst>
            <a:ext uri="{FF2B5EF4-FFF2-40B4-BE49-F238E27FC236}">
              <a16:creationId xmlns:a16="http://schemas.microsoft.com/office/drawing/2014/main" xmlns="" id="{00000000-0008-0000-0000-00005E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775" name="Text Box 59">
          <a:extLst>
            <a:ext uri="{FF2B5EF4-FFF2-40B4-BE49-F238E27FC236}">
              <a16:creationId xmlns:a16="http://schemas.microsoft.com/office/drawing/2014/main" xmlns="" id="{00000000-0008-0000-0000-00005F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776" name="Text Box 60">
          <a:extLst>
            <a:ext uri="{FF2B5EF4-FFF2-40B4-BE49-F238E27FC236}">
              <a16:creationId xmlns:a16="http://schemas.microsoft.com/office/drawing/2014/main" xmlns="" id="{00000000-0008-0000-0000-000060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777" name="Text Box 61">
          <a:extLst>
            <a:ext uri="{FF2B5EF4-FFF2-40B4-BE49-F238E27FC236}">
              <a16:creationId xmlns:a16="http://schemas.microsoft.com/office/drawing/2014/main" xmlns="" id="{00000000-0008-0000-0000-000061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778" name="Text Box 62">
          <a:extLst>
            <a:ext uri="{FF2B5EF4-FFF2-40B4-BE49-F238E27FC236}">
              <a16:creationId xmlns:a16="http://schemas.microsoft.com/office/drawing/2014/main" xmlns="" id="{00000000-0008-0000-0000-000062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779" name="Text Box 63">
          <a:extLst>
            <a:ext uri="{FF2B5EF4-FFF2-40B4-BE49-F238E27FC236}">
              <a16:creationId xmlns:a16="http://schemas.microsoft.com/office/drawing/2014/main" xmlns="" id="{00000000-0008-0000-0000-000063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780" name="Text Box 64">
          <a:extLst>
            <a:ext uri="{FF2B5EF4-FFF2-40B4-BE49-F238E27FC236}">
              <a16:creationId xmlns:a16="http://schemas.microsoft.com/office/drawing/2014/main" xmlns="" id="{00000000-0008-0000-0000-000064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781" name="Text Box 65">
          <a:extLst>
            <a:ext uri="{FF2B5EF4-FFF2-40B4-BE49-F238E27FC236}">
              <a16:creationId xmlns:a16="http://schemas.microsoft.com/office/drawing/2014/main" xmlns="" id="{00000000-0008-0000-0000-000065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782" name="Text Box 66">
          <a:extLst>
            <a:ext uri="{FF2B5EF4-FFF2-40B4-BE49-F238E27FC236}">
              <a16:creationId xmlns:a16="http://schemas.microsoft.com/office/drawing/2014/main" xmlns="" id="{00000000-0008-0000-0000-000066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783" name="Text Box 67">
          <a:extLst>
            <a:ext uri="{FF2B5EF4-FFF2-40B4-BE49-F238E27FC236}">
              <a16:creationId xmlns:a16="http://schemas.microsoft.com/office/drawing/2014/main" xmlns="" id="{00000000-0008-0000-0000-000067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784" name="Text Box 68">
          <a:extLst>
            <a:ext uri="{FF2B5EF4-FFF2-40B4-BE49-F238E27FC236}">
              <a16:creationId xmlns:a16="http://schemas.microsoft.com/office/drawing/2014/main" xmlns="" id="{00000000-0008-0000-0000-000068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785" name="Text Box 69">
          <a:extLst>
            <a:ext uri="{FF2B5EF4-FFF2-40B4-BE49-F238E27FC236}">
              <a16:creationId xmlns:a16="http://schemas.microsoft.com/office/drawing/2014/main" xmlns="" id="{00000000-0008-0000-0000-000069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786" name="Text Box 70">
          <a:extLst>
            <a:ext uri="{FF2B5EF4-FFF2-40B4-BE49-F238E27FC236}">
              <a16:creationId xmlns:a16="http://schemas.microsoft.com/office/drawing/2014/main" xmlns="" id="{00000000-0008-0000-0000-00006A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787" name="Text Box 71">
          <a:extLst>
            <a:ext uri="{FF2B5EF4-FFF2-40B4-BE49-F238E27FC236}">
              <a16:creationId xmlns:a16="http://schemas.microsoft.com/office/drawing/2014/main" xmlns="" id="{00000000-0008-0000-0000-00006B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788" name="Text Box 72">
          <a:extLst>
            <a:ext uri="{FF2B5EF4-FFF2-40B4-BE49-F238E27FC236}">
              <a16:creationId xmlns:a16="http://schemas.microsoft.com/office/drawing/2014/main" xmlns="" id="{00000000-0008-0000-0000-00006C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789" name="Text Box 73">
          <a:extLst>
            <a:ext uri="{FF2B5EF4-FFF2-40B4-BE49-F238E27FC236}">
              <a16:creationId xmlns:a16="http://schemas.microsoft.com/office/drawing/2014/main" xmlns="" id="{00000000-0008-0000-0000-00006D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790" name="Text Box 74">
          <a:extLst>
            <a:ext uri="{FF2B5EF4-FFF2-40B4-BE49-F238E27FC236}">
              <a16:creationId xmlns:a16="http://schemas.microsoft.com/office/drawing/2014/main" xmlns="" id="{00000000-0008-0000-0000-00006E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791" name="Text Box 75">
          <a:extLst>
            <a:ext uri="{FF2B5EF4-FFF2-40B4-BE49-F238E27FC236}">
              <a16:creationId xmlns:a16="http://schemas.microsoft.com/office/drawing/2014/main" xmlns="" id="{00000000-0008-0000-0000-00006F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792" name="Text Box 76">
          <a:extLst>
            <a:ext uri="{FF2B5EF4-FFF2-40B4-BE49-F238E27FC236}">
              <a16:creationId xmlns:a16="http://schemas.microsoft.com/office/drawing/2014/main" xmlns="" id="{00000000-0008-0000-0000-000070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793" name="Text Box 77">
          <a:extLst>
            <a:ext uri="{FF2B5EF4-FFF2-40B4-BE49-F238E27FC236}">
              <a16:creationId xmlns:a16="http://schemas.microsoft.com/office/drawing/2014/main" xmlns="" id="{00000000-0008-0000-0000-000071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794" name="Text Box 78">
          <a:extLst>
            <a:ext uri="{FF2B5EF4-FFF2-40B4-BE49-F238E27FC236}">
              <a16:creationId xmlns:a16="http://schemas.microsoft.com/office/drawing/2014/main" xmlns="" id="{00000000-0008-0000-0000-000072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795" name="Text Box 79">
          <a:extLst>
            <a:ext uri="{FF2B5EF4-FFF2-40B4-BE49-F238E27FC236}">
              <a16:creationId xmlns:a16="http://schemas.microsoft.com/office/drawing/2014/main" xmlns="" id="{00000000-0008-0000-0000-000073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796" name="Text Box 80">
          <a:extLst>
            <a:ext uri="{FF2B5EF4-FFF2-40B4-BE49-F238E27FC236}">
              <a16:creationId xmlns:a16="http://schemas.microsoft.com/office/drawing/2014/main" xmlns="" id="{00000000-0008-0000-0000-000074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797" name="Text Box 81">
          <a:extLst>
            <a:ext uri="{FF2B5EF4-FFF2-40B4-BE49-F238E27FC236}">
              <a16:creationId xmlns:a16="http://schemas.microsoft.com/office/drawing/2014/main" xmlns="" id="{00000000-0008-0000-0000-000075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47625"/>
    <xdr:sp macro="" textlink="">
      <xdr:nvSpPr>
        <xdr:cNvPr id="7798" name="Text Box 82">
          <a:extLst>
            <a:ext uri="{FF2B5EF4-FFF2-40B4-BE49-F238E27FC236}">
              <a16:creationId xmlns:a16="http://schemas.microsoft.com/office/drawing/2014/main" xmlns="" id="{00000000-0008-0000-0000-000076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799" name="Text Box 3079">
          <a:extLst>
            <a:ext uri="{FF2B5EF4-FFF2-40B4-BE49-F238E27FC236}">
              <a16:creationId xmlns:a16="http://schemas.microsoft.com/office/drawing/2014/main" xmlns="" id="{00000000-0008-0000-0000-000077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800" name="Text Box 3080">
          <a:extLst>
            <a:ext uri="{FF2B5EF4-FFF2-40B4-BE49-F238E27FC236}">
              <a16:creationId xmlns:a16="http://schemas.microsoft.com/office/drawing/2014/main" xmlns="" id="{00000000-0008-0000-0000-000078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801" name="Text Box 3081">
          <a:extLst>
            <a:ext uri="{FF2B5EF4-FFF2-40B4-BE49-F238E27FC236}">
              <a16:creationId xmlns:a16="http://schemas.microsoft.com/office/drawing/2014/main" xmlns="" id="{00000000-0008-0000-0000-000079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802" name="Text Box 3082">
          <a:extLst>
            <a:ext uri="{FF2B5EF4-FFF2-40B4-BE49-F238E27FC236}">
              <a16:creationId xmlns:a16="http://schemas.microsoft.com/office/drawing/2014/main" xmlns="" id="{00000000-0008-0000-0000-00007A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803" name="Text Box 3083">
          <a:extLst>
            <a:ext uri="{FF2B5EF4-FFF2-40B4-BE49-F238E27FC236}">
              <a16:creationId xmlns:a16="http://schemas.microsoft.com/office/drawing/2014/main" xmlns="" id="{00000000-0008-0000-0000-00007B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804" name="Text Box 3084">
          <a:extLst>
            <a:ext uri="{FF2B5EF4-FFF2-40B4-BE49-F238E27FC236}">
              <a16:creationId xmlns:a16="http://schemas.microsoft.com/office/drawing/2014/main" xmlns="" id="{00000000-0008-0000-0000-00007C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805" name="Text Box 3085">
          <a:extLst>
            <a:ext uri="{FF2B5EF4-FFF2-40B4-BE49-F238E27FC236}">
              <a16:creationId xmlns:a16="http://schemas.microsoft.com/office/drawing/2014/main" xmlns="" id="{00000000-0008-0000-0000-00007D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806" name="Text Box 3086">
          <a:extLst>
            <a:ext uri="{FF2B5EF4-FFF2-40B4-BE49-F238E27FC236}">
              <a16:creationId xmlns:a16="http://schemas.microsoft.com/office/drawing/2014/main" xmlns="" id="{00000000-0008-0000-0000-00007E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807" name="Text Box 3087">
          <a:extLst>
            <a:ext uri="{FF2B5EF4-FFF2-40B4-BE49-F238E27FC236}">
              <a16:creationId xmlns:a16="http://schemas.microsoft.com/office/drawing/2014/main" xmlns="" id="{00000000-0008-0000-0000-00007F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808" name="Text Box 3088">
          <a:extLst>
            <a:ext uri="{FF2B5EF4-FFF2-40B4-BE49-F238E27FC236}">
              <a16:creationId xmlns:a16="http://schemas.microsoft.com/office/drawing/2014/main" xmlns="" id="{00000000-0008-0000-0000-000080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809" name="Text Box 3089">
          <a:extLst>
            <a:ext uri="{FF2B5EF4-FFF2-40B4-BE49-F238E27FC236}">
              <a16:creationId xmlns:a16="http://schemas.microsoft.com/office/drawing/2014/main" xmlns="" id="{00000000-0008-0000-0000-000081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810" name="Text Box 3090">
          <a:extLst>
            <a:ext uri="{FF2B5EF4-FFF2-40B4-BE49-F238E27FC236}">
              <a16:creationId xmlns:a16="http://schemas.microsoft.com/office/drawing/2014/main" xmlns="" id="{00000000-0008-0000-0000-000082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811" name="Text Box 3091">
          <a:extLst>
            <a:ext uri="{FF2B5EF4-FFF2-40B4-BE49-F238E27FC236}">
              <a16:creationId xmlns:a16="http://schemas.microsoft.com/office/drawing/2014/main" xmlns="" id="{00000000-0008-0000-0000-000083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812" name="Text Box 3092">
          <a:extLst>
            <a:ext uri="{FF2B5EF4-FFF2-40B4-BE49-F238E27FC236}">
              <a16:creationId xmlns:a16="http://schemas.microsoft.com/office/drawing/2014/main" xmlns="" id="{00000000-0008-0000-0000-000084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813" name="Text Box 3093">
          <a:extLst>
            <a:ext uri="{FF2B5EF4-FFF2-40B4-BE49-F238E27FC236}">
              <a16:creationId xmlns:a16="http://schemas.microsoft.com/office/drawing/2014/main" xmlns="" id="{00000000-0008-0000-0000-000085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814" name="Text Box 3094">
          <a:extLst>
            <a:ext uri="{FF2B5EF4-FFF2-40B4-BE49-F238E27FC236}">
              <a16:creationId xmlns:a16="http://schemas.microsoft.com/office/drawing/2014/main" xmlns="" id="{00000000-0008-0000-0000-000086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815" name="Text Box 3095">
          <a:extLst>
            <a:ext uri="{FF2B5EF4-FFF2-40B4-BE49-F238E27FC236}">
              <a16:creationId xmlns:a16="http://schemas.microsoft.com/office/drawing/2014/main" xmlns="" id="{00000000-0008-0000-0000-000087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816" name="Text Box 3096">
          <a:extLst>
            <a:ext uri="{FF2B5EF4-FFF2-40B4-BE49-F238E27FC236}">
              <a16:creationId xmlns:a16="http://schemas.microsoft.com/office/drawing/2014/main" xmlns="" id="{00000000-0008-0000-0000-000088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817" name="Text Box 3097">
          <a:extLst>
            <a:ext uri="{FF2B5EF4-FFF2-40B4-BE49-F238E27FC236}">
              <a16:creationId xmlns:a16="http://schemas.microsoft.com/office/drawing/2014/main" xmlns="" id="{00000000-0008-0000-0000-000089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818" name="Text Box 3098">
          <a:extLst>
            <a:ext uri="{FF2B5EF4-FFF2-40B4-BE49-F238E27FC236}">
              <a16:creationId xmlns:a16="http://schemas.microsoft.com/office/drawing/2014/main" xmlns="" id="{00000000-0008-0000-0000-00008A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819" name="Text Box 3099">
          <a:extLst>
            <a:ext uri="{FF2B5EF4-FFF2-40B4-BE49-F238E27FC236}">
              <a16:creationId xmlns:a16="http://schemas.microsoft.com/office/drawing/2014/main" xmlns="" id="{00000000-0008-0000-0000-00008B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820" name="Text Box 3100">
          <a:extLst>
            <a:ext uri="{FF2B5EF4-FFF2-40B4-BE49-F238E27FC236}">
              <a16:creationId xmlns:a16="http://schemas.microsoft.com/office/drawing/2014/main" xmlns="" id="{00000000-0008-0000-0000-00008C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821" name="Text Box 3101">
          <a:extLst>
            <a:ext uri="{FF2B5EF4-FFF2-40B4-BE49-F238E27FC236}">
              <a16:creationId xmlns:a16="http://schemas.microsoft.com/office/drawing/2014/main" xmlns="" id="{00000000-0008-0000-0000-00008D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7822" name="Text Box 3102">
          <a:extLst>
            <a:ext uri="{FF2B5EF4-FFF2-40B4-BE49-F238E27FC236}">
              <a16:creationId xmlns:a16="http://schemas.microsoft.com/office/drawing/2014/main" xmlns="" id="{00000000-0008-0000-0000-00008E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823" name="Text Box 59">
          <a:extLst>
            <a:ext uri="{FF2B5EF4-FFF2-40B4-BE49-F238E27FC236}">
              <a16:creationId xmlns:a16="http://schemas.microsoft.com/office/drawing/2014/main" xmlns="" id="{00000000-0008-0000-0000-00008F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824" name="Text Box 60">
          <a:extLst>
            <a:ext uri="{FF2B5EF4-FFF2-40B4-BE49-F238E27FC236}">
              <a16:creationId xmlns:a16="http://schemas.microsoft.com/office/drawing/2014/main" xmlns="" id="{00000000-0008-0000-0000-000090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825" name="Text Box 61">
          <a:extLst>
            <a:ext uri="{FF2B5EF4-FFF2-40B4-BE49-F238E27FC236}">
              <a16:creationId xmlns:a16="http://schemas.microsoft.com/office/drawing/2014/main" xmlns="" id="{00000000-0008-0000-0000-000091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826" name="Text Box 62">
          <a:extLst>
            <a:ext uri="{FF2B5EF4-FFF2-40B4-BE49-F238E27FC236}">
              <a16:creationId xmlns:a16="http://schemas.microsoft.com/office/drawing/2014/main" xmlns="" id="{00000000-0008-0000-0000-000092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827" name="Text Box 63">
          <a:extLst>
            <a:ext uri="{FF2B5EF4-FFF2-40B4-BE49-F238E27FC236}">
              <a16:creationId xmlns:a16="http://schemas.microsoft.com/office/drawing/2014/main" xmlns="" id="{00000000-0008-0000-0000-000093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828" name="Text Box 64">
          <a:extLst>
            <a:ext uri="{FF2B5EF4-FFF2-40B4-BE49-F238E27FC236}">
              <a16:creationId xmlns:a16="http://schemas.microsoft.com/office/drawing/2014/main" xmlns="" id="{00000000-0008-0000-0000-000094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829" name="Text Box 65">
          <a:extLst>
            <a:ext uri="{FF2B5EF4-FFF2-40B4-BE49-F238E27FC236}">
              <a16:creationId xmlns:a16="http://schemas.microsoft.com/office/drawing/2014/main" xmlns="" id="{00000000-0008-0000-0000-000095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830" name="Text Box 66">
          <a:extLst>
            <a:ext uri="{FF2B5EF4-FFF2-40B4-BE49-F238E27FC236}">
              <a16:creationId xmlns:a16="http://schemas.microsoft.com/office/drawing/2014/main" xmlns="" id="{00000000-0008-0000-0000-000096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831" name="Text Box 67">
          <a:extLst>
            <a:ext uri="{FF2B5EF4-FFF2-40B4-BE49-F238E27FC236}">
              <a16:creationId xmlns:a16="http://schemas.microsoft.com/office/drawing/2014/main" xmlns="" id="{00000000-0008-0000-0000-000097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832" name="Text Box 68">
          <a:extLst>
            <a:ext uri="{FF2B5EF4-FFF2-40B4-BE49-F238E27FC236}">
              <a16:creationId xmlns:a16="http://schemas.microsoft.com/office/drawing/2014/main" xmlns="" id="{00000000-0008-0000-0000-000098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833" name="Text Box 69">
          <a:extLst>
            <a:ext uri="{FF2B5EF4-FFF2-40B4-BE49-F238E27FC236}">
              <a16:creationId xmlns:a16="http://schemas.microsoft.com/office/drawing/2014/main" xmlns="" id="{00000000-0008-0000-0000-000099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834" name="Text Box 70">
          <a:extLst>
            <a:ext uri="{FF2B5EF4-FFF2-40B4-BE49-F238E27FC236}">
              <a16:creationId xmlns:a16="http://schemas.microsoft.com/office/drawing/2014/main" xmlns="" id="{00000000-0008-0000-0000-00009A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835" name="Text Box 71">
          <a:extLst>
            <a:ext uri="{FF2B5EF4-FFF2-40B4-BE49-F238E27FC236}">
              <a16:creationId xmlns:a16="http://schemas.microsoft.com/office/drawing/2014/main" xmlns="" id="{00000000-0008-0000-0000-00009B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836" name="Text Box 72">
          <a:extLst>
            <a:ext uri="{FF2B5EF4-FFF2-40B4-BE49-F238E27FC236}">
              <a16:creationId xmlns:a16="http://schemas.microsoft.com/office/drawing/2014/main" xmlns="" id="{00000000-0008-0000-0000-00009C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837" name="Text Box 73">
          <a:extLst>
            <a:ext uri="{FF2B5EF4-FFF2-40B4-BE49-F238E27FC236}">
              <a16:creationId xmlns:a16="http://schemas.microsoft.com/office/drawing/2014/main" xmlns="" id="{00000000-0008-0000-0000-00009D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838" name="Text Box 74">
          <a:extLst>
            <a:ext uri="{FF2B5EF4-FFF2-40B4-BE49-F238E27FC236}">
              <a16:creationId xmlns:a16="http://schemas.microsoft.com/office/drawing/2014/main" xmlns="" id="{00000000-0008-0000-0000-00009E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839" name="Text Box 75">
          <a:extLst>
            <a:ext uri="{FF2B5EF4-FFF2-40B4-BE49-F238E27FC236}">
              <a16:creationId xmlns:a16="http://schemas.microsoft.com/office/drawing/2014/main" xmlns="" id="{00000000-0008-0000-0000-00009F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840" name="Text Box 76">
          <a:extLst>
            <a:ext uri="{FF2B5EF4-FFF2-40B4-BE49-F238E27FC236}">
              <a16:creationId xmlns:a16="http://schemas.microsoft.com/office/drawing/2014/main" xmlns="" id="{00000000-0008-0000-0000-0000A0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841" name="Text Box 77">
          <a:extLst>
            <a:ext uri="{FF2B5EF4-FFF2-40B4-BE49-F238E27FC236}">
              <a16:creationId xmlns:a16="http://schemas.microsoft.com/office/drawing/2014/main" xmlns="" id="{00000000-0008-0000-0000-0000A1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842" name="Text Box 78">
          <a:extLst>
            <a:ext uri="{FF2B5EF4-FFF2-40B4-BE49-F238E27FC236}">
              <a16:creationId xmlns:a16="http://schemas.microsoft.com/office/drawing/2014/main" xmlns="" id="{00000000-0008-0000-0000-0000A2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843" name="Text Box 79">
          <a:extLst>
            <a:ext uri="{FF2B5EF4-FFF2-40B4-BE49-F238E27FC236}">
              <a16:creationId xmlns:a16="http://schemas.microsoft.com/office/drawing/2014/main" xmlns="" id="{00000000-0008-0000-0000-0000A3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844" name="Text Box 80">
          <a:extLst>
            <a:ext uri="{FF2B5EF4-FFF2-40B4-BE49-F238E27FC236}">
              <a16:creationId xmlns:a16="http://schemas.microsoft.com/office/drawing/2014/main" xmlns="" id="{00000000-0008-0000-0000-0000A4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845" name="Text Box 81">
          <a:extLst>
            <a:ext uri="{FF2B5EF4-FFF2-40B4-BE49-F238E27FC236}">
              <a16:creationId xmlns:a16="http://schemas.microsoft.com/office/drawing/2014/main" xmlns="" id="{00000000-0008-0000-0000-0000A5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846" name="Text Box 3079">
          <a:extLst>
            <a:ext uri="{FF2B5EF4-FFF2-40B4-BE49-F238E27FC236}">
              <a16:creationId xmlns:a16="http://schemas.microsoft.com/office/drawing/2014/main" xmlns="" id="{00000000-0008-0000-0000-0000A6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847" name="Text Box 3080">
          <a:extLst>
            <a:ext uri="{FF2B5EF4-FFF2-40B4-BE49-F238E27FC236}">
              <a16:creationId xmlns:a16="http://schemas.microsoft.com/office/drawing/2014/main" xmlns="" id="{00000000-0008-0000-0000-0000A7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848" name="Text Box 3081">
          <a:extLst>
            <a:ext uri="{FF2B5EF4-FFF2-40B4-BE49-F238E27FC236}">
              <a16:creationId xmlns:a16="http://schemas.microsoft.com/office/drawing/2014/main" xmlns="" id="{00000000-0008-0000-0000-0000A8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849" name="Text Box 3082">
          <a:extLst>
            <a:ext uri="{FF2B5EF4-FFF2-40B4-BE49-F238E27FC236}">
              <a16:creationId xmlns:a16="http://schemas.microsoft.com/office/drawing/2014/main" xmlns="" id="{00000000-0008-0000-0000-0000A9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850" name="Text Box 3083">
          <a:extLst>
            <a:ext uri="{FF2B5EF4-FFF2-40B4-BE49-F238E27FC236}">
              <a16:creationId xmlns:a16="http://schemas.microsoft.com/office/drawing/2014/main" xmlns="" id="{00000000-0008-0000-0000-0000AA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851" name="Text Box 3084">
          <a:extLst>
            <a:ext uri="{FF2B5EF4-FFF2-40B4-BE49-F238E27FC236}">
              <a16:creationId xmlns:a16="http://schemas.microsoft.com/office/drawing/2014/main" xmlns="" id="{00000000-0008-0000-0000-0000AB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852" name="Text Box 3085">
          <a:extLst>
            <a:ext uri="{FF2B5EF4-FFF2-40B4-BE49-F238E27FC236}">
              <a16:creationId xmlns:a16="http://schemas.microsoft.com/office/drawing/2014/main" xmlns="" id="{00000000-0008-0000-0000-0000AC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853" name="Text Box 3086">
          <a:extLst>
            <a:ext uri="{FF2B5EF4-FFF2-40B4-BE49-F238E27FC236}">
              <a16:creationId xmlns:a16="http://schemas.microsoft.com/office/drawing/2014/main" xmlns="" id="{00000000-0008-0000-0000-0000AD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854" name="Text Box 3087">
          <a:extLst>
            <a:ext uri="{FF2B5EF4-FFF2-40B4-BE49-F238E27FC236}">
              <a16:creationId xmlns:a16="http://schemas.microsoft.com/office/drawing/2014/main" xmlns="" id="{00000000-0008-0000-0000-0000AE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855" name="Text Box 3088">
          <a:extLst>
            <a:ext uri="{FF2B5EF4-FFF2-40B4-BE49-F238E27FC236}">
              <a16:creationId xmlns:a16="http://schemas.microsoft.com/office/drawing/2014/main" xmlns="" id="{00000000-0008-0000-0000-0000AF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856" name="Text Box 3089">
          <a:extLst>
            <a:ext uri="{FF2B5EF4-FFF2-40B4-BE49-F238E27FC236}">
              <a16:creationId xmlns:a16="http://schemas.microsoft.com/office/drawing/2014/main" xmlns="" id="{00000000-0008-0000-0000-0000B0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857" name="Text Box 3090">
          <a:extLst>
            <a:ext uri="{FF2B5EF4-FFF2-40B4-BE49-F238E27FC236}">
              <a16:creationId xmlns:a16="http://schemas.microsoft.com/office/drawing/2014/main" xmlns="" id="{00000000-0008-0000-0000-0000B1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858" name="Text Box 3091">
          <a:extLst>
            <a:ext uri="{FF2B5EF4-FFF2-40B4-BE49-F238E27FC236}">
              <a16:creationId xmlns:a16="http://schemas.microsoft.com/office/drawing/2014/main" xmlns="" id="{00000000-0008-0000-0000-0000B2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859" name="Text Box 3092">
          <a:extLst>
            <a:ext uri="{FF2B5EF4-FFF2-40B4-BE49-F238E27FC236}">
              <a16:creationId xmlns:a16="http://schemas.microsoft.com/office/drawing/2014/main" xmlns="" id="{00000000-0008-0000-0000-0000B3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860" name="Text Box 3093">
          <a:extLst>
            <a:ext uri="{FF2B5EF4-FFF2-40B4-BE49-F238E27FC236}">
              <a16:creationId xmlns:a16="http://schemas.microsoft.com/office/drawing/2014/main" xmlns="" id="{00000000-0008-0000-0000-0000B4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861" name="Text Box 3094">
          <a:extLst>
            <a:ext uri="{FF2B5EF4-FFF2-40B4-BE49-F238E27FC236}">
              <a16:creationId xmlns:a16="http://schemas.microsoft.com/office/drawing/2014/main" xmlns="" id="{00000000-0008-0000-0000-0000B5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862" name="Text Box 3095">
          <a:extLst>
            <a:ext uri="{FF2B5EF4-FFF2-40B4-BE49-F238E27FC236}">
              <a16:creationId xmlns:a16="http://schemas.microsoft.com/office/drawing/2014/main" xmlns="" id="{00000000-0008-0000-0000-0000B6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863" name="Text Box 3096">
          <a:extLst>
            <a:ext uri="{FF2B5EF4-FFF2-40B4-BE49-F238E27FC236}">
              <a16:creationId xmlns:a16="http://schemas.microsoft.com/office/drawing/2014/main" xmlns="" id="{00000000-0008-0000-0000-0000B7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864" name="Text Box 3097">
          <a:extLst>
            <a:ext uri="{FF2B5EF4-FFF2-40B4-BE49-F238E27FC236}">
              <a16:creationId xmlns:a16="http://schemas.microsoft.com/office/drawing/2014/main" xmlns="" id="{00000000-0008-0000-0000-0000B8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865" name="Text Box 3098">
          <a:extLst>
            <a:ext uri="{FF2B5EF4-FFF2-40B4-BE49-F238E27FC236}">
              <a16:creationId xmlns:a16="http://schemas.microsoft.com/office/drawing/2014/main" xmlns="" id="{00000000-0008-0000-0000-0000B9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866" name="Text Box 3099">
          <a:extLst>
            <a:ext uri="{FF2B5EF4-FFF2-40B4-BE49-F238E27FC236}">
              <a16:creationId xmlns:a16="http://schemas.microsoft.com/office/drawing/2014/main" xmlns="" id="{00000000-0008-0000-0000-0000BA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867" name="Text Box 3100">
          <a:extLst>
            <a:ext uri="{FF2B5EF4-FFF2-40B4-BE49-F238E27FC236}">
              <a16:creationId xmlns:a16="http://schemas.microsoft.com/office/drawing/2014/main" xmlns="" id="{00000000-0008-0000-0000-0000BB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868" name="Text Box 3101">
          <a:extLst>
            <a:ext uri="{FF2B5EF4-FFF2-40B4-BE49-F238E27FC236}">
              <a16:creationId xmlns:a16="http://schemas.microsoft.com/office/drawing/2014/main" xmlns="" id="{00000000-0008-0000-0000-0000BC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7869" name="Text Box 3102">
          <a:extLst>
            <a:ext uri="{FF2B5EF4-FFF2-40B4-BE49-F238E27FC236}">
              <a16:creationId xmlns:a16="http://schemas.microsoft.com/office/drawing/2014/main" xmlns="" id="{00000000-0008-0000-0000-0000BD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870" name="Text Box 59">
          <a:extLst>
            <a:ext uri="{FF2B5EF4-FFF2-40B4-BE49-F238E27FC236}">
              <a16:creationId xmlns:a16="http://schemas.microsoft.com/office/drawing/2014/main" xmlns="" id="{00000000-0008-0000-0000-0000BE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871" name="Text Box 60">
          <a:extLst>
            <a:ext uri="{FF2B5EF4-FFF2-40B4-BE49-F238E27FC236}">
              <a16:creationId xmlns:a16="http://schemas.microsoft.com/office/drawing/2014/main" xmlns="" id="{00000000-0008-0000-0000-0000BF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872" name="Text Box 61">
          <a:extLst>
            <a:ext uri="{FF2B5EF4-FFF2-40B4-BE49-F238E27FC236}">
              <a16:creationId xmlns:a16="http://schemas.microsoft.com/office/drawing/2014/main" xmlns="" id="{00000000-0008-0000-0000-0000C0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873" name="Text Box 62">
          <a:extLst>
            <a:ext uri="{FF2B5EF4-FFF2-40B4-BE49-F238E27FC236}">
              <a16:creationId xmlns:a16="http://schemas.microsoft.com/office/drawing/2014/main" xmlns="" id="{00000000-0008-0000-0000-0000C1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874" name="Text Box 63">
          <a:extLst>
            <a:ext uri="{FF2B5EF4-FFF2-40B4-BE49-F238E27FC236}">
              <a16:creationId xmlns:a16="http://schemas.microsoft.com/office/drawing/2014/main" xmlns="" id="{00000000-0008-0000-0000-0000C2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875" name="Text Box 64">
          <a:extLst>
            <a:ext uri="{FF2B5EF4-FFF2-40B4-BE49-F238E27FC236}">
              <a16:creationId xmlns:a16="http://schemas.microsoft.com/office/drawing/2014/main" xmlns="" id="{00000000-0008-0000-0000-0000C3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876" name="Text Box 65">
          <a:extLst>
            <a:ext uri="{FF2B5EF4-FFF2-40B4-BE49-F238E27FC236}">
              <a16:creationId xmlns:a16="http://schemas.microsoft.com/office/drawing/2014/main" xmlns="" id="{00000000-0008-0000-0000-0000C4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877" name="Text Box 66">
          <a:extLst>
            <a:ext uri="{FF2B5EF4-FFF2-40B4-BE49-F238E27FC236}">
              <a16:creationId xmlns:a16="http://schemas.microsoft.com/office/drawing/2014/main" xmlns="" id="{00000000-0008-0000-0000-0000C5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878" name="Text Box 67">
          <a:extLst>
            <a:ext uri="{FF2B5EF4-FFF2-40B4-BE49-F238E27FC236}">
              <a16:creationId xmlns:a16="http://schemas.microsoft.com/office/drawing/2014/main" xmlns="" id="{00000000-0008-0000-0000-0000C6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879" name="Text Box 68">
          <a:extLst>
            <a:ext uri="{FF2B5EF4-FFF2-40B4-BE49-F238E27FC236}">
              <a16:creationId xmlns:a16="http://schemas.microsoft.com/office/drawing/2014/main" xmlns="" id="{00000000-0008-0000-0000-0000C7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880" name="Text Box 69">
          <a:extLst>
            <a:ext uri="{FF2B5EF4-FFF2-40B4-BE49-F238E27FC236}">
              <a16:creationId xmlns:a16="http://schemas.microsoft.com/office/drawing/2014/main" xmlns="" id="{00000000-0008-0000-0000-0000C8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881" name="Text Box 70">
          <a:extLst>
            <a:ext uri="{FF2B5EF4-FFF2-40B4-BE49-F238E27FC236}">
              <a16:creationId xmlns:a16="http://schemas.microsoft.com/office/drawing/2014/main" xmlns="" id="{00000000-0008-0000-0000-0000C9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882" name="Text Box 71">
          <a:extLst>
            <a:ext uri="{FF2B5EF4-FFF2-40B4-BE49-F238E27FC236}">
              <a16:creationId xmlns:a16="http://schemas.microsoft.com/office/drawing/2014/main" xmlns="" id="{00000000-0008-0000-0000-0000CA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883" name="Text Box 72">
          <a:extLst>
            <a:ext uri="{FF2B5EF4-FFF2-40B4-BE49-F238E27FC236}">
              <a16:creationId xmlns:a16="http://schemas.microsoft.com/office/drawing/2014/main" xmlns="" id="{00000000-0008-0000-0000-0000CB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884" name="Text Box 73">
          <a:extLst>
            <a:ext uri="{FF2B5EF4-FFF2-40B4-BE49-F238E27FC236}">
              <a16:creationId xmlns:a16="http://schemas.microsoft.com/office/drawing/2014/main" xmlns="" id="{00000000-0008-0000-0000-0000CC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885" name="Text Box 74">
          <a:extLst>
            <a:ext uri="{FF2B5EF4-FFF2-40B4-BE49-F238E27FC236}">
              <a16:creationId xmlns:a16="http://schemas.microsoft.com/office/drawing/2014/main" xmlns="" id="{00000000-0008-0000-0000-0000CD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886" name="Text Box 75">
          <a:extLst>
            <a:ext uri="{FF2B5EF4-FFF2-40B4-BE49-F238E27FC236}">
              <a16:creationId xmlns:a16="http://schemas.microsoft.com/office/drawing/2014/main" xmlns="" id="{00000000-0008-0000-0000-0000CE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887" name="Text Box 76">
          <a:extLst>
            <a:ext uri="{FF2B5EF4-FFF2-40B4-BE49-F238E27FC236}">
              <a16:creationId xmlns:a16="http://schemas.microsoft.com/office/drawing/2014/main" xmlns="" id="{00000000-0008-0000-0000-0000CF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888" name="Text Box 77">
          <a:extLst>
            <a:ext uri="{FF2B5EF4-FFF2-40B4-BE49-F238E27FC236}">
              <a16:creationId xmlns:a16="http://schemas.microsoft.com/office/drawing/2014/main" xmlns="" id="{00000000-0008-0000-0000-0000D0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889" name="Text Box 78">
          <a:extLst>
            <a:ext uri="{FF2B5EF4-FFF2-40B4-BE49-F238E27FC236}">
              <a16:creationId xmlns:a16="http://schemas.microsoft.com/office/drawing/2014/main" xmlns="" id="{00000000-0008-0000-0000-0000D1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890" name="Text Box 79">
          <a:extLst>
            <a:ext uri="{FF2B5EF4-FFF2-40B4-BE49-F238E27FC236}">
              <a16:creationId xmlns:a16="http://schemas.microsoft.com/office/drawing/2014/main" xmlns="" id="{00000000-0008-0000-0000-0000D2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891" name="Text Box 80">
          <a:extLst>
            <a:ext uri="{FF2B5EF4-FFF2-40B4-BE49-F238E27FC236}">
              <a16:creationId xmlns:a16="http://schemas.microsoft.com/office/drawing/2014/main" xmlns="" id="{00000000-0008-0000-0000-0000D3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892" name="Text Box 81">
          <a:extLst>
            <a:ext uri="{FF2B5EF4-FFF2-40B4-BE49-F238E27FC236}">
              <a16:creationId xmlns:a16="http://schemas.microsoft.com/office/drawing/2014/main" xmlns="" id="{00000000-0008-0000-0000-0000D4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47625"/>
    <xdr:sp macro="" textlink="">
      <xdr:nvSpPr>
        <xdr:cNvPr id="7893" name="Text Box 82">
          <a:extLst>
            <a:ext uri="{FF2B5EF4-FFF2-40B4-BE49-F238E27FC236}">
              <a16:creationId xmlns:a16="http://schemas.microsoft.com/office/drawing/2014/main" xmlns="" id="{00000000-0008-0000-0000-0000D5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894" name="Text Box 3079">
          <a:extLst>
            <a:ext uri="{FF2B5EF4-FFF2-40B4-BE49-F238E27FC236}">
              <a16:creationId xmlns:a16="http://schemas.microsoft.com/office/drawing/2014/main" xmlns="" id="{00000000-0008-0000-0000-0000D6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895" name="Text Box 3080">
          <a:extLst>
            <a:ext uri="{FF2B5EF4-FFF2-40B4-BE49-F238E27FC236}">
              <a16:creationId xmlns:a16="http://schemas.microsoft.com/office/drawing/2014/main" xmlns="" id="{00000000-0008-0000-0000-0000D7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896" name="Text Box 3081">
          <a:extLst>
            <a:ext uri="{FF2B5EF4-FFF2-40B4-BE49-F238E27FC236}">
              <a16:creationId xmlns:a16="http://schemas.microsoft.com/office/drawing/2014/main" xmlns="" id="{00000000-0008-0000-0000-0000D8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897" name="Text Box 3082">
          <a:extLst>
            <a:ext uri="{FF2B5EF4-FFF2-40B4-BE49-F238E27FC236}">
              <a16:creationId xmlns:a16="http://schemas.microsoft.com/office/drawing/2014/main" xmlns="" id="{00000000-0008-0000-0000-0000D9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898" name="Text Box 3083">
          <a:extLst>
            <a:ext uri="{FF2B5EF4-FFF2-40B4-BE49-F238E27FC236}">
              <a16:creationId xmlns:a16="http://schemas.microsoft.com/office/drawing/2014/main" xmlns="" id="{00000000-0008-0000-0000-0000DA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899" name="Text Box 3084">
          <a:extLst>
            <a:ext uri="{FF2B5EF4-FFF2-40B4-BE49-F238E27FC236}">
              <a16:creationId xmlns:a16="http://schemas.microsoft.com/office/drawing/2014/main" xmlns="" id="{00000000-0008-0000-0000-0000DB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900" name="Text Box 3085">
          <a:extLst>
            <a:ext uri="{FF2B5EF4-FFF2-40B4-BE49-F238E27FC236}">
              <a16:creationId xmlns:a16="http://schemas.microsoft.com/office/drawing/2014/main" xmlns="" id="{00000000-0008-0000-0000-0000DC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901" name="Text Box 3086">
          <a:extLst>
            <a:ext uri="{FF2B5EF4-FFF2-40B4-BE49-F238E27FC236}">
              <a16:creationId xmlns:a16="http://schemas.microsoft.com/office/drawing/2014/main" xmlns="" id="{00000000-0008-0000-0000-0000DD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902" name="Text Box 3087">
          <a:extLst>
            <a:ext uri="{FF2B5EF4-FFF2-40B4-BE49-F238E27FC236}">
              <a16:creationId xmlns:a16="http://schemas.microsoft.com/office/drawing/2014/main" xmlns="" id="{00000000-0008-0000-0000-0000DE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903" name="Text Box 3088">
          <a:extLst>
            <a:ext uri="{FF2B5EF4-FFF2-40B4-BE49-F238E27FC236}">
              <a16:creationId xmlns:a16="http://schemas.microsoft.com/office/drawing/2014/main" xmlns="" id="{00000000-0008-0000-0000-0000DF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904" name="Text Box 3089">
          <a:extLst>
            <a:ext uri="{FF2B5EF4-FFF2-40B4-BE49-F238E27FC236}">
              <a16:creationId xmlns:a16="http://schemas.microsoft.com/office/drawing/2014/main" xmlns="" id="{00000000-0008-0000-0000-0000E0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905" name="Text Box 3090">
          <a:extLst>
            <a:ext uri="{FF2B5EF4-FFF2-40B4-BE49-F238E27FC236}">
              <a16:creationId xmlns:a16="http://schemas.microsoft.com/office/drawing/2014/main" xmlns="" id="{00000000-0008-0000-0000-0000E1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906" name="Text Box 3091">
          <a:extLst>
            <a:ext uri="{FF2B5EF4-FFF2-40B4-BE49-F238E27FC236}">
              <a16:creationId xmlns:a16="http://schemas.microsoft.com/office/drawing/2014/main" xmlns="" id="{00000000-0008-0000-0000-0000E2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907" name="Text Box 3092">
          <a:extLst>
            <a:ext uri="{FF2B5EF4-FFF2-40B4-BE49-F238E27FC236}">
              <a16:creationId xmlns:a16="http://schemas.microsoft.com/office/drawing/2014/main" xmlns="" id="{00000000-0008-0000-0000-0000E3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908" name="Text Box 3093">
          <a:extLst>
            <a:ext uri="{FF2B5EF4-FFF2-40B4-BE49-F238E27FC236}">
              <a16:creationId xmlns:a16="http://schemas.microsoft.com/office/drawing/2014/main" xmlns="" id="{00000000-0008-0000-0000-0000E4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909" name="Text Box 3094">
          <a:extLst>
            <a:ext uri="{FF2B5EF4-FFF2-40B4-BE49-F238E27FC236}">
              <a16:creationId xmlns:a16="http://schemas.microsoft.com/office/drawing/2014/main" xmlns="" id="{00000000-0008-0000-0000-0000E5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910" name="Text Box 3095">
          <a:extLst>
            <a:ext uri="{FF2B5EF4-FFF2-40B4-BE49-F238E27FC236}">
              <a16:creationId xmlns:a16="http://schemas.microsoft.com/office/drawing/2014/main" xmlns="" id="{00000000-0008-0000-0000-0000E6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911" name="Text Box 3096">
          <a:extLst>
            <a:ext uri="{FF2B5EF4-FFF2-40B4-BE49-F238E27FC236}">
              <a16:creationId xmlns:a16="http://schemas.microsoft.com/office/drawing/2014/main" xmlns="" id="{00000000-0008-0000-0000-0000E7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912" name="Text Box 3097">
          <a:extLst>
            <a:ext uri="{FF2B5EF4-FFF2-40B4-BE49-F238E27FC236}">
              <a16:creationId xmlns:a16="http://schemas.microsoft.com/office/drawing/2014/main" xmlns="" id="{00000000-0008-0000-0000-0000E8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913" name="Text Box 3098">
          <a:extLst>
            <a:ext uri="{FF2B5EF4-FFF2-40B4-BE49-F238E27FC236}">
              <a16:creationId xmlns:a16="http://schemas.microsoft.com/office/drawing/2014/main" xmlns="" id="{00000000-0008-0000-0000-0000E9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914" name="Text Box 3099">
          <a:extLst>
            <a:ext uri="{FF2B5EF4-FFF2-40B4-BE49-F238E27FC236}">
              <a16:creationId xmlns:a16="http://schemas.microsoft.com/office/drawing/2014/main" xmlns="" id="{00000000-0008-0000-0000-0000EA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915" name="Text Box 3100">
          <a:extLst>
            <a:ext uri="{FF2B5EF4-FFF2-40B4-BE49-F238E27FC236}">
              <a16:creationId xmlns:a16="http://schemas.microsoft.com/office/drawing/2014/main" xmlns="" id="{00000000-0008-0000-0000-0000EB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916" name="Text Box 3101">
          <a:extLst>
            <a:ext uri="{FF2B5EF4-FFF2-40B4-BE49-F238E27FC236}">
              <a16:creationId xmlns:a16="http://schemas.microsoft.com/office/drawing/2014/main" xmlns="" id="{00000000-0008-0000-0000-0000EC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7917" name="Text Box 3102">
          <a:extLst>
            <a:ext uri="{FF2B5EF4-FFF2-40B4-BE49-F238E27FC236}">
              <a16:creationId xmlns:a16="http://schemas.microsoft.com/office/drawing/2014/main" xmlns="" id="{00000000-0008-0000-0000-0000ED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918" name="Text Box 59">
          <a:extLst>
            <a:ext uri="{FF2B5EF4-FFF2-40B4-BE49-F238E27FC236}">
              <a16:creationId xmlns:a16="http://schemas.microsoft.com/office/drawing/2014/main" xmlns="" id="{00000000-0008-0000-0000-0000EE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919" name="Text Box 60">
          <a:extLst>
            <a:ext uri="{FF2B5EF4-FFF2-40B4-BE49-F238E27FC236}">
              <a16:creationId xmlns:a16="http://schemas.microsoft.com/office/drawing/2014/main" xmlns="" id="{00000000-0008-0000-0000-0000EF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920" name="Text Box 61">
          <a:extLst>
            <a:ext uri="{FF2B5EF4-FFF2-40B4-BE49-F238E27FC236}">
              <a16:creationId xmlns:a16="http://schemas.microsoft.com/office/drawing/2014/main" xmlns="" id="{00000000-0008-0000-0000-0000F0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921" name="Text Box 62">
          <a:extLst>
            <a:ext uri="{FF2B5EF4-FFF2-40B4-BE49-F238E27FC236}">
              <a16:creationId xmlns:a16="http://schemas.microsoft.com/office/drawing/2014/main" xmlns="" id="{00000000-0008-0000-0000-0000F1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922" name="Text Box 63">
          <a:extLst>
            <a:ext uri="{FF2B5EF4-FFF2-40B4-BE49-F238E27FC236}">
              <a16:creationId xmlns:a16="http://schemas.microsoft.com/office/drawing/2014/main" xmlns="" id="{00000000-0008-0000-0000-0000F2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923" name="Text Box 64">
          <a:extLst>
            <a:ext uri="{FF2B5EF4-FFF2-40B4-BE49-F238E27FC236}">
              <a16:creationId xmlns:a16="http://schemas.microsoft.com/office/drawing/2014/main" xmlns="" id="{00000000-0008-0000-0000-0000F3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924" name="Text Box 65">
          <a:extLst>
            <a:ext uri="{FF2B5EF4-FFF2-40B4-BE49-F238E27FC236}">
              <a16:creationId xmlns:a16="http://schemas.microsoft.com/office/drawing/2014/main" xmlns="" id="{00000000-0008-0000-0000-0000F4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925" name="Text Box 66">
          <a:extLst>
            <a:ext uri="{FF2B5EF4-FFF2-40B4-BE49-F238E27FC236}">
              <a16:creationId xmlns:a16="http://schemas.microsoft.com/office/drawing/2014/main" xmlns="" id="{00000000-0008-0000-0000-0000F5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926" name="Text Box 67">
          <a:extLst>
            <a:ext uri="{FF2B5EF4-FFF2-40B4-BE49-F238E27FC236}">
              <a16:creationId xmlns:a16="http://schemas.microsoft.com/office/drawing/2014/main" xmlns="" id="{00000000-0008-0000-0000-0000F6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927" name="Text Box 68">
          <a:extLst>
            <a:ext uri="{FF2B5EF4-FFF2-40B4-BE49-F238E27FC236}">
              <a16:creationId xmlns:a16="http://schemas.microsoft.com/office/drawing/2014/main" xmlns="" id="{00000000-0008-0000-0000-0000F7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928" name="Text Box 69">
          <a:extLst>
            <a:ext uri="{FF2B5EF4-FFF2-40B4-BE49-F238E27FC236}">
              <a16:creationId xmlns:a16="http://schemas.microsoft.com/office/drawing/2014/main" xmlns="" id="{00000000-0008-0000-0000-0000F8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929" name="Text Box 70">
          <a:extLst>
            <a:ext uri="{FF2B5EF4-FFF2-40B4-BE49-F238E27FC236}">
              <a16:creationId xmlns:a16="http://schemas.microsoft.com/office/drawing/2014/main" xmlns="" id="{00000000-0008-0000-0000-0000F9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930" name="Text Box 71">
          <a:extLst>
            <a:ext uri="{FF2B5EF4-FFF2-40B4-BE49-F238E27FC236}">
              <a16:creationId xmlns:a16="http://schemas.microsoft.com/office/drawing/2014/main" xmlns="" id="{00000000-0008-0000-0000-0000FA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931" name="Text Box 72">
          <a:extLst>
            <a:ext uri="{FF2B5EF4-FFF2-40B4-BE49-F238E27FC236}">
              <a16:creationId xmlns:a16="http://schemas.microsoft.com/office/drawing/2014/main" xmlns="" id="{00000000-0008-0000-0000-0000FB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932" name="Text Box 73">
          <a:extLst>
            <a:ext uri="{FF2B5EF4-FFF2-40B4-BE49-F238E27FC236}">
              <a16:creationId xmlns:a16="http://schemas.microsoft.com/office/drawing/2014/main" xmlns="" id="{00000000-0008-0000-0000-0000FC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933" name="Text Box 74">
          <a:extLst>
            <a:ext uri="{FF2B5EF4-FFF2-40B4-BE49-F238E27FC236}">
              <a16:creationId xmlns:a16="http://schemas.microsoft.com/office/drawing/2014/main" xmlns="" id="{00000000-0008-0000-0000-0000FD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934" name="Text Box 75">
          <a:extLst>
            <a:ext uri="{FF2B5EF4-FFF2-40B4-BE49-F238E27FC236}">
              <a16:creationId xmlns:a16="http://schemas.microsoft.com/office/drawing/2014/main" xmlns="" id="{00000000-0008-0000-0000-0000FE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935" name="Text Box 76">
          <a:extLst>
            <a:ext uri="{FF2B5EF4-FFF2-40B4-BE49-F238E27FC236}">
              <a16:creationId xmlns:a16="http://schemas.microsoft.com/office/drawing/2014/main" xmlns="" id="{00000000-0008-0000-0000-0000FF1E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936" name="Text Box 77">
          <a:extLst>
            <a:ext uri="{FF2B5EF4-FFF2-40B4-BE49-F238E27FC236}">
              <a16:creationId xmlns:a16="http://schemas.microsoft.com/office/drawing/2014/main" xmlns="" id="{00000000-0008-0000-0000-000000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937" name="Text Box 78">
          <a:extLst>
            <a:ext uri="{FF2B5EF4-FFF2-40B4-BE49-F238E27FC236}">
              <a16:creationId xmlns:a16="http://schemas.microsoft.com/office/drawing/2014/main" xmlns="" id="{00000000-0008-0000-0000-000001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938" name="Text Box 79">
          <a:extLst>
            <a:ext uri="{FF2B5EF4-FFF2-40B4-BE49-F238E27FC236}">
              <a16:creationId xmlns:a16="http://schemas.microsoft.com/office/drawing/2014/main" xmlns="" id="{00000000-0008-0000-0000-000002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939" name="Text Box 80">
          <a:extLst>
            <a:ext uri="{FF2B5EF4-FFF2-40B4-BE49-F238E27FC236}">
              <a16:creationId xmlns:a16="http://schemas.microsoft.com/office/drawing/2014/main" xmlns="" id="{00000000-0008-0000-0000-000003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940" name="Text Box 81">
          <a:extLst>
            <a:ext uri="{FF2B5EF4-FFF2-40B4-BE49-F238E27FC236}">
              <a16:creationId xmlns:a16="http://schemas.microsoft.com/office/drawing/2014/main" xmlns="" id="{00000000-0008-0000-0000-000004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941" name="Text Box 3079">
          <a:extLst>
            <a:ext uri="{FF2B5EF4-FFF2-40B4-BE49-F238E27FC236}">
              <a16:creationId xmlns:a16="http://schemas.microsoft.com/office/drawing/2014/main" xmlns="" id="{00000000-0008-0000-0000-000005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942" name="Text Box 3080">
          <a:extLst>
            <a:ext uri="{FF2B5EF4-FFF2-40B4-BE49-F238E27FC236}">
              <a16:creationId xmlns:a16="http://schemas.microsoft.com/office/drawing/2014/main" xmlns="" id="{00000000-0008-0000-0000-000006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943" name="Text Box 3081">
          <a:extLst>
            <a:ext uri="{FF2B5EF4-FFF2-40B4-BE49-F238E27FC236}">
              <a16:creationId xmlns:a16="http://schemas.microsoft.com/office/drawing/2014/main" xmlns="" id="{00000000-0008-0000-0000-000007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944" name="Text Box 3082">
          <a:extLst>
            <a:ext uri="{FF2B5EF4-FFF2-40B4-BE49-F238E27FC236}">
              <a16:creationId xmlns:a16="http://schemas.microsoft.com/office/drawing/2014/main" xmlns="" id="{00000000-0008-0000-0000-000008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945" name="Text Box 3083">
          <a:extLst>
            <a:ext uri="{FF2B5EF4-FFF2-40B4-BE49-F238E27FC236}">
              <a16:creationId xmlns:a16="http://schemas.microsoft.com/office/drawing/2014/main" xmlns="" id="{00000000-0008-0000-0000-000009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946" name="Text Box 3084">
          <a:extLst>
            <a:ext uri="{FF2B5EF4-FFF2-40B4-BE49-F238E27FC236}">
              <a16:creationId xmlns:a16="http://schemas.microsoft.com/office/drawing/2014/main" xmlns="" id="{00000000-0008-0000-0000-00000A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947" name="Text Box 3085">
          <a:extLst>
            <a:ext uri="{FF2B5EF4-FFF2-40B4-BE49-F238E27FC236}">
              <a16:creationId xmlns:a16="http://schemas.microsoft.com/office/drawing/2014/main" xmlns="" id="{00000000-0008-0000-0000-00000B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948" name="Text Box 3086">
          <a:extLst>
            <a:ext uri="{FF2B5EF4-FFF2-40B4-BE49-F238E27FC236}">
              <a16:creationId xmlns:a16="http://schemas.microsoft.com/office/drawing/2014/main" xmlns="" id="{00000000-0008-0000-0000-00000C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949" name="Text Box 3087">
          <a:extLst>
            <a:ext uri="{FF2B5EF4-FFF2-40B4-BE49-F238E27FC236}">
              <a16:creationId xmlns:a16="http://schemas.microsoft.com/office/drawing/2014/main" xmlns="" id="{00000000-0008-0000-0000-00000D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950" name="Text Box 3088">
          <a:extLst>
            <a:ext uri="{FF2B5EF4-FFF2-40B4-BE49-F238E27FC236}">
              <a16:creationId xmlns:a16="http://schemas.microsoft.com/office/drawing/2014/main" xmlns="" id="{00000000-0008-0000-0000-00000E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951" name="Text Box 3089">
          <a:extLst>
            <a:ext uri="{FF2B5EF4-FFF2-40B4-BE49-F238E27FC236}">
              <a16:creationId xmlns:a16="http://schemas.microsoft.com/office/drawing/2014/main" xmlns="" id="{00000000-0008-0000-0000-00000F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952" name="Text Box 3090">
          <a:extLst>
            <a:ext uri="{FF2B5EF4-FFF2-40B4-BE49-F238E27FC236}">
              <a16:creationId xmlns:a16="http://schemas.microsoft.com/office/drawing/2014/main" xmlns="" id="{00000000-0008-0000-0000-000010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953" name="Text Box 3091">
          <a:extLst>
            <a:ext uri="{FF2B5EF4-FFF2-40B4-BE49-F238E27FC236}">
              <a16:creationId xmlns:a16="http://schemas.microsoft.com/office/drawing/2014/main" xmlns="" id="{00000000-0008-0000-0000-000011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954" name="Text Box 3092">
          <a:extLst>
            <a:ext uri="{FF2B5EF4-FFF2-40B4-BE49-F238E27FC236}">
              <a16:creationId xmlns:a16="http://schemas.microsoft.com/office/drawing/2014/main" xmlns="" id="{00000000-0008-0000-0000-000012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955" name="Text Box 3093">
          <a:extLst>
            <a:ext uri="{FF2B5EF4-FFF2-40B4-BE49-F238E27FC236}">
              <a16:creationId xmlns:a16="http://schemas.microsoft.com/office/drawing/2014/main" xmlns="" id="{00000000-0008-0000-0000-000013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956" name="Text Box 3094">
          <a:extLst>
            <a:ext uri="{FF2B5EF4-FFF2-40B4-BE49-F238E27FC236}">
              <a16:creationId xmlns:a16="http://schemas.microsoft.com/office/drawing/2014/main" xmlns="" id="{00000000-0008-0000-0000-000014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957" name="Text Box 3095">
          <a:extLst>
            <a:ext uri="{FF2B5EF4-FFF2-40B4-BE49-F238E27FC236}">
              <a16:creationId xmlns:a16="http://schemas.microsoft.com/office/drawing/2014/main" xmlns="" id="{00000000-0008-0000-0000-000015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958" name="Text Box 3096">
          <a:extLst>
            <a:ext uri="{FF2B5EF4-FFF2-40B4-BE49-F238E27FC236}">
              <a16:creationId xmlns:a16="http://schemas.microsoft.com/office/drawing/2014/main" xmlns="" id="{00000000-0008-0000-0000-000016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959" name="Text Box 3097">
          <a:extLst>
            <a:ext uri="{FF2B5EF4-FFF2-40B4-BE49-F238E27FC236}">
              <a16:creationId xmlns:a16="http://schemas.microsoft.com/office/drawing/2014/main" xmlns="" id="{00000000-0008-0000-0000-000017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960" name="Text Box 3098">
          <a:extLst>
            <a:ext uri="{FF2B5EF4-FFF2-40B4-BE49-F238E27FC236}">
              <a16:creationId xmlns:a16="http://schemas.microsoft.com/office/drawing/2014/main" xmlns="" id="{00000000-0008-0000-0000-000018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961" name="Text Box 3099">
          <a:extLst>
            <a:ext uri="{FF2B5EF4-FFF2-40B4-BE49-F238E27FC236}">
              <a16:creationId xmlns:a16="http://schemas.microsoft.com/office/drawing/2014/main" xmlns="" id="{00000000-0008-0000-0000-000019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962" name="Text Box 3100">
          <a:extLst>
            <a:ext uri="{FF2B5EF4-FFF2-40B4-BE49-F238E27FC236}">
              <a16:creationId xmlns:a16="http://schemas.microsoft.com/office/drawing/2014/main" xmlns="" id="{00000000-0008-0000-0000-00001A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963" name="Text Box 3101">
          <a:extLst>
            <a:ext uri="{FF2B5EF4-FFF2-40B4-BE49-F238E27FC236}">
              <a16:creationId xmlns:a16="http://schemas.microsoft.com/office/drawing/2014/main" xmlns="" id="{00000000-0008-0000-0000-00001B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7964" name="Text Box 3102">
          <a:extLst>
            <a:ext uri="{FF2B5EF4-FFF2-40B4-BE49-F238E27FC236}">
              <a16:creationId xmlns:a16="http://schemas.microsoft.com/office/drawing/2014/main" xmlns="" id="{00000000-0008-0000-0000-00001C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965" name="Text Box 59">
          <a:extLst>
            <a:ext uri="{FF2B5EF4-FFF2-40B4-BE49-F238E27FC236}">
              <a16:creationId xmlns:a16="http://schemas.microsoft.com/office/drawing/2014/main" xmlns="" id="{00000000-0008-0000-0000-00001D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966" name="Text Box 60">
          <a:extLst>
            <a:ext uri="{FF2B5EF4-FFF2-40B4-BE49-F238E27FC236}">
              <a16:creationId xmlns:a16="http://schemas.microsoft.com/office/drawing/2014/main" xmlns="" id="{00000000-0008-0000-0000-00001E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967" name="Text Box 61">
          <a:extLst>
            <a:ext uri="{FF2B5EF4-FFF2-40B4-BE49-F238E27FC236}">
              <a16:creationId xmlns:a16="http://schemas.microsoft.com/office/drawing/2014/main" xmlns="" id="{00000000-0008-0000-0000-00001F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968" name="Text Box 62">
          <a:extLst>
            <a:ext uri="{FF2B5EF4-FFF2-40B4-BE49-F238E27FC236}">
              <a16:creationId xmlns:a16="http://schemas.microsoft.com/office/drawing/2014/main" xmlns="" id="{00000000-0008-0000-0000-000020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969" name="Text Box 63">
          <a:extLst>
            <a:ext uri="{FF2B5EF4-FFF2-40B4-BE49-F238E27FC236}">
              <a16:creationId xmlns:a16="http://schemas.microsoft.com/office/drawing/2014/main" xmlns="" id="{00000000-0008-0000-0000-000021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970" name="Text Box 64">
          <a:extLst>
            <a:ext uri="{FF2B5EF4-FFF2-40B4-BE49-F238E27FC236}">
              <a16:creationId xmlns:a16="http://schemas.microsoft.com/office/drawing/2014/main" xmlns="" id="{00000000-0008-0000-0000-000022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971" name="Text Box 65">
          <a:extLst>
            <a:ext uri="{FF2B5EF4-FFF2-40B4-BE49-F238E27FC236}">
              <a16:creationId xmlns:a16="http://schemas.microsoft.com/office/drawing/2014/main" xmlns="" id="{00000000-0008-0000-0000-000023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972" name="Text Box 66">
          <a:extLst>
            <a:ext uri="{FF2B5EF4-FFF2-40B4-BE49-F238E27FC236}">
              <a16:creationId xmlns:a16="http://schemas.microsoft.com/office/drawing/2014/main" xmlns="" id="{00000000-0008-0000-0000-000024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973" name="Text Box 67">
          <a:extLst>
            <a:ext uri="{FF2B5EF4-FFF2-40B4-BE49-F238E27FC236}">
              <a16:creationId xmlns:a16="http://schemas.microsoft.com/office/drawing/2014/main" xmlns="" id="{00000000-0008-0000-0000-000025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974" name="Text Box 68">
          <a:extLst>
            <a:ext uri="{FF2B5EF4-FFF2-40B4-BE49-F238E27FC236}">
              <a16:creationId xmlns:a16="http://schemas.microsoft.com/office/drawing/2014/main" xmlns="" id="{00000000-0008-0000-0000-000026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975" name="Text Box 69">
          <a:extLst>
            <a:ext uri="{FF2B5EF4-FFF2-40B4-BE49-F238E27FC236}">
              <a16:creationId xmlns:a16="http://schemas.microsoft.com/office/drawing/2014/main" xmlns="" id="{00000000-0008-0000-0000-000027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976" name="Text Box 70">
          <a:extLst>
            <a:ext uri="{FF2B5EF4-FFF2-40B4-BE49-F238E27FC236}">
              <a16:creationId xmlns:a16="http://schemas.microsoft.com/office/drawing/2014/main" xmlns="" id="{00000000-0008-0000-0000-000028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977" name="Text Box 71">
          <a:extLst>
            <a:ext uri="{FF2B5EF4-FFF2-40B4-BE49-F238E27FC236}">
              <a16:creationId xmlns:a16="http://schemas.microsoft.com/office/drawing/2014/main" xmlns="" id="{00000000-0008-0000-0000-000029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978" name="Text Box 72">
          <a:extLst>
            <a:ext uri="{FF2B5EF4-FFF2-40B4-BE49-F238E27FC236}">
              <a16:creationId xmlns:a16="http://schemas.microsoft.com/office/drawing/2014/main" xmlns="" id="{00000000-0008-0000-0000-00002A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979" name="Text Box 73">
          <a:extLst>
            <a:ext uri="{FF2B5EF4-FFF2-40B4-BE49-F238E27FC236}">
              <a16:creationId xmlns:a16="http://schemas.microsoft.com/office/drawing/2014/main" xmlns="" id="{00000000-0008-0000-0000-00002B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980" name="Text Box 74">
          <a:extLst>
            <a:ext uri="{FF2B5EF4-FFF2-40B4-BE49-F238E27FC236}">
              <a16:creationId xmlns:a16="http://schemas.microsoft.com/office/drawing/2014/main" xmlns="" id="{00000000-0008-0000-0000-00002C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981" name="Text Box 75">
          <a:extLst>
            <a:ext uri="{FF2B5EF4-FFF2-40B4-BE49-F238E27FC236}">
              <a16:creationId xmlns:a16="http://schemas.microsoft.com/office/drawing/2014/main" xmlns="" id="{00000000-0008-0000-0000-00002D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982" name="Text Box 76">
          <a:extLst>
            <a:ext uri="{FF2B5EF4-FFF2-40B4-BE49-F238E27FC236}">
              <a16:creationId xmlns:a16="http://schemas.microsoft.com/office/drawing/2014/main" xmlns="" id="{00000000-0008-0000-0000-00002E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983" name="Text Box 77">
          <a:extLst>
            <a:ext uri="{FF2B5EF4-FFF2-40B4-BE49-F238E27FC236}">
              <a16:creationId xmlns:a16="http://schemas.microsoft.com/office/drawing/2014/main" xmlns="" id="{00000000-0008-0000-0000-00002F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984" name="Text Box 78">
          <a:extLst>
            <a:ext uri="{FF2B5EF4-FFF2-40B4-BE49-F238E27FC236}">
              <a16:creationId xmlns:a16="http://schemas.microsoft.com/office/drawing/2014/main" xmlns="" id="{00000000-0008-0000-0000-000030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985" name="Text Box 79">
          <a:extLst>
            <a:ext uri="{FF2B5EF4-FFF2-40B4-BE49-F238E27FC236}">
              <a16:creationId xmlns:a16="http://schemas.microsoft.com/office/drawing/2014/main" xmlns="" id="{00000000-0008-0000-0000-000031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986" name="Text Box 80">
          <a:extLst>
            <a:ext uri="{FF2B5EF4-FFF2-40B4-BE49-F238E27FC236}">
              <a16:creationId xmlns:a16="http://schemas.microsoft.com/office/drawing/2014/main" xmlns="" id="{00000000-0008-0000-0000-000032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7987" name="Text Box 81">
          <a:extLst>
            <a:ext uri="{FF2B5EF4-FFF2-40B4-BE49-F238E27FC236}">
              <a16:creationId xmlns:a16="http://schemas.microsoft.com/office/drawing/2014/main" xmlns="" id="{00000000-0008-0000-0000-000033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47625"/>
    <xdr:sp macro="" textlink="">
      <xdr:nvSpPr>
        <xdr:cNvPr id="7988" name="Text Box 82">
          <a:extLst>
            <a:ext uri="{FF2B5EF4-FFF2-40B4-BE49-F238E27FC236}">
              <a16:creationId xmlns:a16="http://schemas.microsoft.com/office/drawing/2014/main" xmlns="" id="{00000000-0008-0000-0000-000034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989" name="Text Box 3079">
          <a:extLst>
            <a:ext uri="{FF2B5EF4-FFF2-40B4-BE49-F238E27FC236}">
              <a16:creationId xmlns:a16="http://schemas.microsoft.com/office/drawing/2014/main" xmlns="" id="{00000000-0008-0000-0000-000035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990" name="Text Box 3080">
          <a:extLst>
            <a:ext uri="{FF2B5EF4-FFF2-40B4-BE49-F238E27FC236}">
              <a16:creationId xmlns:a16="http://schemas.microsoft.com/office/drawing/2014/main" xmlns="" id="{00000000-0008-0000-0000-000036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991" name="Text Box 3081">
          <a:extLst>
            <a:ext uri="{FF2B5EF4-FFF2-40B4-BE49-F238E27FC236}">
              <a16:creationId xmlns:a16="http://schemas.microsoft.com/office/drawing/2014/main" xmlns="" id="{00000000-0008-0000-0000-000037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992" name="Text Box 3082">
          <a:extLst>
            <a:ext uri="{FF2B5EF4-FFF2-40B4-BE49-F238E27FC236}">
              <a16:creationId xmlns:a16="http://schemas.microsoft.com/office/drawing/2014/main" xmlns="" id="{00000000-0008-0000-0000-000038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993" name="Text Box 3083">
          <a:extLst>
            <a:ext uri="{FF2B5EF4-FFF2-40B4-BE49-F238E27FC236}">
              <a16:creationId xmlns:a16="http://schemas.microsoft.com/office/drawing/2014/main" xmlns="" id="{00000000-0008-0000-0000-000039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994" name="Text Box 3084">
          <a:extLst>
            <a:ext uri="{FF2B5EF4-FFF2-40B4-BE49-F238E27FC236}">
              <a16:creationId xmlns:a16="http://schemas.microsoft.com/office/drawing/2014/main" xmlns="" id="{00000000-0008-0000-0000-00003A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995" name="Text Box 3085">
          <a:extLst>
            <a:ext uri="{FF2B5EF4-FFF2-40B4-BE49-F238E27FC236}">
              <a16:creationId xmlns:a16="http://schemas.microsoft.com/office/drawing/2014/main" xmlns="" id="{00000000-0008-0000-0000-00003B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996" name="Text Box 3086">
          <a:extLst>
            <a:ext uri="{FF2B5EF4-FFF2-40B4-BE49-F238E27FC236}">
              <a16:creationId xmlns:a16="http://schemas.microsoft.com/office/drawing/2014/main" xmlns="" id="{00000000-0008-0000-0000-00003C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997" name="Text Box 3087">
          <a:extLst>
            <a:ext uri="{FF2B5EF4-FFF2-40B4-BE49-F238E27FC236}">
              <a16:creationId xmlns:a16="http://schemas.microsoft.com/office/drawing/2014/main" xmlns="" id="{00000000-0008-0000-0000-00003D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998" name="Text Box 3088">
          <a:extLst>
            <a:ext uri="{FF2B5EF4-FFF2-40B4-BE49-F238E27FC236}">
              <a16:creationId xmlns:a16="http://schemas.microsoft.com/office/drawing/2014/main" xmlns="" id="{00000000-0008-0000-0000-00003E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7999" name="Text Box 3089">
          <a:extLst>
            <a:ext uri="{FF2B5EF4-FFF2-40B4-BE49-F238E27FC236}">
              <a16:creationId xmlns:a16="http://schemas.microsoft.com/office/drawing/2014/main" xmlns="" id="{00000000-0008-0000-0000-00003F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000" name="Text Box 3090">
          <a:extLst>
            <a:ext uri="{FF2B5EF4-FFF2-40B4-BE49-F238E27FC236}">
              <a16:creationId xmlns:a16="http://schemas.microsoft.com/office/drawing/2014/main" xmlns="" id="{00000000-0008-0000-0000-000040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001" name="Text Box 3091">
          <a:extLst>
            <a:ext uri="{FF2B5EF4-FFF2-40B4-BE49-F238E27FC236}">
              <a16:creationId xmlns:a16="http://schemas.microsoft.com/office/drawing/2014/main" xmlns="" id="{00000000-0008-0000-0000-000041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002" name="Text Box 3092">
          <a:extLst>
            <a:ext uri="{FF2B5EF4-FFF2-40B4-BE49-F238E27FC236}">
              <a16:creationId xmlns:a16="http://schemas.microsoft.com/office/drawing/2014/main" xmlns="" id="{00000000-0008-0000-0000-000042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003" name="Text Box 3093">
          <a:extLst>
            <a:ext uri="{FF2B5EF4-FFF2-40B4-BE49-F238E27FC236}">
              <a16:creationId xmlns:a16="http://schemas.microsoft.com/office/drawing/2014/main" xmlns="" id="{00000000-0008-0000-0000-000043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004" name="Text Box 3094">
          <a:extLst>
            <a:ext uri="{FF2B5EF4-FFF2-40B4-BE49-F238E27FC236}">
              <a16:creationId xmlns:a16="http://schemas.microsoft.com/office/drawing/2014/main" xmlns="" id="{00000000-0008-0000-0000-000044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005" name="Text Box 3095">
          <a:extLst>
            <a:ext uri="{FF2B5EF4-FFF2-40B4-BE49-F238E27FC236}">
              <a16:creationId xmlns:a16="http://schemas.microsoft.com/office/drawing/2014/main" xmlns="" id="{00000000-0008-0000-0000-000045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006" name="Text Box 3096">
          <a:extLst>
            <a:ext uri="{FF2B5EF4-FFF2-40B4-BE49-F238E27FC236}">
              <a16:creationId xmlns:a16="http://schemas.microsoft.com/office/drawing/2014/main" xmlns="" id="{00000000-0008-0000-0000-000046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007" name="Text Box 3097">
          <a:extLst>
            <a:ext uri="{FF2B5EF4-FFF2-40B4-BE49-F238E27FC236}">
              <a16:creationId xmlns:a16="http://schemas.microsoft.com/office/drawing/2014/main" xmlns="" id="{00000000-0008-0000-0000-000047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008" name="Text Box 3098">
          <a:extLst>
            <a:ext uri="{FF2B5EF4-FFF2-40B4-BE49-F238E27FC236}">
              <a16:creationId xmlns:a16="http://schemas.microsoft.com/office/drawing/2014/main" xmlns="" id="{00000000-0008-0000-0000-000048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009" name="Text Box 3099">
          <a:extLst>
            <a:ext uri="{FF2B5EF4-FFF2-40B4-BE49-F238E27FC236}">
              <a16:creationId xmlns:a16="http://schemas.microsoft.com/office/drawing/2014/main" xmlns="" id="{00000000-0008-0000-0000-000049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010" name="Text Box 3100">
          <a:extLst>
            <a:ext uri="{FF2B5EF4-FFF2-40B4-BE49-F238E27FC236}">
              <a16:creationId xmlns:a16="http://schemas.microsoft.com/office/drawing/2014/main" xmlns="" id="{00000000-0008-0000-0000-00004A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011" name="Text Box 3101">
          <a:extLst>
            <a:ext uri="{FF2B5EF4-FFF2-40B4-BE49-F238E27FC236}">
              <a16:creationId xmlns:a16="http://schemas.microsoft.com/office/drawing/2014/main" xmlns="" id="{00000000-0008-0000-0000-00004B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8012" name="Text Box 3102">
          <a:extLst>
            <a:ext uri="{FF2B5EF4-FFF2-40B4-BE49-F238E27FC236}">
              <a16:creationId xmlns:a16="http://schemas.microsoft.com/office/drawing/2014/main" xmlns="" id="{00000000-0008-0000-0000-00004C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013" name="Text Box 59">
          <a:extLst>
            <a:ext uri="{FF2B5EF4-FFF2-40B4-BE49-F238E27FC236}">
              <a16:creationId xmlns:a16="http://schemas.microsoft.com/office/drawing/2014/main" xmlns="" id="{00000000-0008-0000-0000-00004D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014" name="Text Box 60">
          <a:extLst>
            <a:ext uri="{FF2B5EF4-FFF2-40B4-BE49-F238E27FC236}">
              <a16:creationId xmlns:a16="http://schemas.microsoft.com/office/drawing/2014/main" xmlns="" id="{00000000-0008-0000-0000-00004E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015" name="Text Box 61">
          <a:extLst>
            <a:ext uri="{FF2B5EF4-FFF2-40B4-BE49-F238E27FC236}">
              <a16:creationId xmlns:a16="http://schemas.microsoft.com/office/drawing/2014/main" xmlns="" id="{00000000-0008-0000-0000-00004F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016" name="Text Box 62">
          <a:extLst>
            <a:ext uri="{FF2B5EF4-FFF2-40B4-BE49-F238E27FC236}">
              <a16:creationId xmlns:a16="http://schemas.microsoft.com/office/drawing/2014/main" xmlns="" id="{00000000-0008-0000-0000-000050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017" name="Text Box 63">
          <a:extLst>
            <a:ext uri="{FF2B5EF4-FFF2-40B4-BE49-F238E27FC236}">
              <a16:creationId xmlns:a16="http://schemas.microsoft.com/office/drawing/2014/main" xmlns="" id="{00000000-0008-0000-0000-000051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018" name="Text Box 64">
          <a:extLst>
            <a:ext uri="{FF2B5EF4-FFF2-40B4-BE49-F238E27FC236}">
              <a16:creationId xmlns:a16="http://schemas.microsoft.com/office/drawing/2014/main" xmlns="" id="{00000000-0008-0000-0000-000052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019" name="Text Box 65">
          <a:extLst>
            <a:ext uri="{FF2B5EF4-FFF2-40B4-BE49-F238E27FC236}">
              <a16:creationId xmlns:a16="http://schemas.microsoft.com/office/drawing/2014/main" xmlns="" id="{00000000-0008-0000-0000-000053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020" name="Text Box 66">
          <a:extLst>
            <a:ext uri="{FF2B5EF4-FFF2-40B4-BE49-F238E27FC236}">
              <a16:creationId xmlns:a16="http://schemas.microsoft.com/office/drawing/2014/main" xmlns="" id="{00000000-0008-0000-0000-000054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021" name="Text Box 67">
          <a:extLst>
            <a:ext uri="{FF2B5EF4-FFF2-40B4-BE49-F238E27FC236}">
              <a16:creationId xmlns:a16="http://schemas.microsoft.com/office/drawing/2014/main" xmlns="" id="{00000000-0008-0000-0000-000055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022" name="Text Box 68">
          <a:extLst>
            <a:ext uri="{FF2B5EF4-FFF2-40B4-BE49-F238E27FC236}">
              <a16:creationId xmlns:a16="http://schemas.microsoft.com/office/drawing/2014/main" xmlns="" id="{00000000-0008-0000-0000-000056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023" name="Text Box 69">
          <a:extLst>
            <a:ext uri="{FF2B5EF4-FFF2-40B4-BE49-F238E27FC236}">
              <a16:creationId xmlns:a16="http://schemas.microsoft.com/office/drawing/2014/main" xmlns="" id="{00000000-0008-0000-0000-000057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024" name="Text Box 70">
          <a:extLst>
            <a:ext uri="{FF2B5EF4-FFF2-40B4-BE49-F238E27FC236}">
              <a16:creationId xmlns:a16="http://schemas.microsoft.com/office/drawing/2014/main" xmlns="" id="{00000000-0008-0000-0000-000058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025" name="Text Box 71">
          <a:extLst>
            <a:ext uri="{FF2B5EF4-FFF2-40B4-BE49-F238E27FC236}">
              <a16:creationId xmlns:a16="http://schemas.microsoft.com/office/drawing/2014/main" xmlns="" id="{00000000-0008-0000-0000-000059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026" name="Text Box 72">
          <a:extLst>
            <a:ext uri="{FF2B5EF4-FFF2-40B4-BE49-F238E27FC236}">
              <a16:creationId xmlns:a16="http://schemas.microsoft.com/office/drawing/2014/main" xmlns="" id="{00000000-0008-0000-0000-00005A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027" name="Text Box 73">
          <a:extLst>
            <a:ext uri="{FF2B5EF4-FFF2-40B4-BE49-F238E27FC236}">
              <a16:creationId xmlns:a16="http://schemas.microsoft.com/office/drawing/2014/main" xmlns="" id="{00000000-0008-0000-0000-00005B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028" name="Text Box 74">
          <a:extLst>
            <a:ext uri="{FF2B5EF4-FFF2-40B4-BE49-F238E27FC236}">
              <a16:creationId xmlns:a16="http://schemas.microsoft.com/office/drawing/2014/main" xmlns="" id="{00000000-0008-0000-0000-00005C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029" name="Text Box 75">
          <a:extLst>
            <a:ext uri="{FF2B5EF4-FFF2-40B4-BE49-F238E27FC236}">
              <a16:creationId xmlns:a16="http://schemas.microsoft.com/office/drawing/2014/main" xmlns="" id="{00000000-0008-0000-0000-00005D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030" name="Text Box 76">
          <a:extLst>
            <a:ext uri="{FF2B5EF4-FFF2-40B4-BE49-F238E27FC236}">
              <a16:creationId xmlns:a16="http://schemas.microsoft.com/office/drawing/2014/main" xmlns="" id="{00000000-0008-0000-0000-00005E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031" name="Text Box 77">
          <a:extLst>
            <a:ext uri="{FF2B5EF4-FFF2-40B4-BE49-F238E27FC236}">
              <a16:creationId xmlns:a16="http://schemas.microsoft.com/office/drawing/2014/main" xmlns="" id="{00000000-0008-0000-0000-00005F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032" name="Text Box 78">
          <a:extLst>
            <a:ext uri="{FF2B5EF4-FFF2-40B4-BE49-F238E27FC236}">
              <a16:creationId xmlns:a16="http://schemas.microsoft.com/office/drawing/2014/main" xmlns="" id="{00000000-0008-0000-0000-000060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033" name="Text Box 79">
          <a:extLst>
            <a:ext uri="{FF2B5EF4-FFF2-40B4-BE49-F238E27FC236}">
              <a16:creationId xmlns:a16="http://schemas.microsoft.com/office/drawing/2014/main" xmlns="" id="{00000000-0008-0000-0000-000061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034" name="Text Box 80">
          <a:extLst>
            <a:ext uri="{FF2B5EF4-FFF2-40B4-BE49-F238E27FC236}">
              <a16:creationId xmlns:a16="http://schemas.microsoft.com/office/drawing/2014/main" xmlns="" id="{00000000-0008-0000-0000-000062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035" name="Text Box 81">
          <a:extLst>
            <a:ext uri="{FF2B5EF4-FFF2-40B4-BE49-F238E27FC236}">
              <a16:creationId xmlns:a16="http://schemas.microsoft.com/office/drawing/2014/main" xmlns="" id="{00000000-0008-0000-0000-000063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036" name="Text Box 3079">
          <a:extLst>
            <a:ext uri="{FF2B5EF4-FFF2-40B4-BE49-F238E27FC236}">
              <a16:creationId xmlns:a16="http://schemas.microsoft.com/office/drawing/2014/main" xmlns="" id="{00000000-0008-0000-0000-000064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037" name="Text Box 3080">
          <a:extLst>
            <a:ext uri="{FF2B5EF4-FFF2-40B4-BE49-F238E27FC236}">
              <a16:creationId xmlns:a16="http://schemas.microsoft.com/office/drawing/2014/main" xmlns="" id="{00000000-0008-0000-0000-000065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038" name="Text Box 3081">
          <a:extLst>
            <a:ext uri="{FF2B5EF4-FFF2-40B4-BE49-F238E27FC236}">
              <a16:creationId xmlns:a16="http://schemas.microsoft.com/office/drawing/2014/main" xmlns="" id="{00000000-0008-0000-0000-000066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039" name="Text Box 3082">
          <a:extLst>
            <a:ext uri="{FF2B5EF4-FFF2-40B4-BE49-F238E27FC236}">
              <a16:creationId xmlns:a16="http://schemas.microsoft.com/office/drawing/2014/main" xmlns="" id="{00000000-0008-0000-0000-000067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040" name="Text Box 3083">
          <a:extLst>
            <a:ext uri="{FF2B5EF4-FFF2-40B4-BE49-F238E27FC236}">
              <a16:creationId xmlns:a16="http://schemas.microsoft.com/office/drawing/2014/main" xmlns="" id="{00000000-0008-0000-0000-000068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041" name="Text Box 3084">
          <a:extLst>
            <a:ext uri="{FF2B5EF4-FFF2-40B4-BE49-F238E27FC236}">
              <a16:creationId xmlns:a16="http://schemas.microsoft.com/office/drawing/2014/main" xmlns="" id="{00000000-0008-0000-0000-000069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042" name="Text Box 3085">
          <a:extLst>
            <a:ext uri="{FF2B5EF4-FFF2-40B4-BE49-F238E27FC236}">
              <a16:creationId xmlns:a16="http://schemas.microsoft.com/office/drawing/2014/main" xmlns="" id="{00000000-0008-0000-0000-00006A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043" name="Text Box 3086">
          <a:extLst>
            <a:ext uri="{FF2B5EF4-FFF2-40B4-BE49-F238E27FC236}">
              <a16:creationId xmlns:a16="http://schemas.microsoft.com/office/drawing/2014/main" xmlns="" id="{00000000-0008-0000-0000-00006B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044" name="Text Box 3087">
          <a:extLst>
            <a:ext uri="{FF2B5EF4-FFF2-40B4-BE49-F238E27FC236}">
              <a16:creationId xmlns:a16="http://schemas.microsoft.com/office/drawing/2014/main" xmlns="" id="{00000000-0008-0000-0000-00006C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045" name="Text Box 3088">
          <a:extLst>
            <a:ext uri="{FF2B5EF4-FFF2-40B4-BE49-F238E27FC236}">
              <a16:creationId xmlns:a16="http://schemas.microsoft.com/office/drawing/2014/main" xmlns="" id="{00000000-0008-0000-0000-00006D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046" name="Text Box 3089">
          <a:extLst>
            <a:ext uri="{FF2B5EF4-FFF2-40B4-BE49-F238E27FC236}">
              <a16:creationId xmlns:a16="http://schemas.microsoft.com/office/drawing/2014/main" xmlns="" id="{00000000-0008-0000-0000-00006E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047" name="Text Box 3090">
          <a:extLst>
            <a:ext uri="{FF2B5EF4-FFF2-40B4-BE49-F238E27FC236}">
              <a16:creationId xmlns:a16="http://schemas.microsoft.com/office/drawing/2014/main" xmlns="" id="{00000000-0008-0000-0000-00006F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048" name="Text Box 3091">
          <a:extLst>
            <a:ext uri="{FF2B5EF4-FFF2-40B4-BE49-F238E27FC236}">
              <a16:creationId xmlns:a16="http://schemas.microsoft.com/office/drawing/2014/main" xmlns="" id="{00000000-0008-0000-0000-000070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049" name="Text Box 3092">
          <a:extLst>
            <a:ext uri="{FF2B5EF4-FFF2-40B4-BE49-F238E27FC236}">
              <a16:creationId xmlns:a16="http://schemas.microsoft.com/office/drawing/2014/main" xmlns="" id="{00000000-0008-0000-0000-000071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050" name="Text Box 3093">
          <a:extLst>
            <a:ext uri="{FF2B5EF4-FFF2-40B4-BE49-F238E27FC236}">
              <a16:creationId xmlns:a16="http://schemas.microsoft.com/office/drawing/2014/main" xmlns="" id="{00000000-0008-0000-0000-000072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051" name="Text Box 3094">
          <a:extLst>
            <a:ext uri="{FF2B5EF4-FFF2-40B4-BE49-F238E27FC236}">
              <a16:creationId xmlns:a16="http://schemas.microsoft.com/office/drawing/2014/main" xmlns="" id="{00000000-0008-0000-0000-000073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052" name="Text Box 3095">
          <a:extLst>
            <a:ext uri="{FF2B5EF4-FFF2-40B4-BE49-F238E27FC236}">
              <a16:creationId xmlns:a16="http://schemas.microsoft.com/office/drawing/2014/main" xmlns="" id="{00000000-0008-0000-0000-000074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053" name="Text Box 3096">
          <a:extLst>
            <a:ext uri="{FF2B5EF4-FFF2-40B4-BE49-F238E27FC236}">
              <a16:creationId xmlns:a16="http://schemas.microsoft.com/office/drawing/2014/main" xmlns="" id="{00000000-0008-0000-0000-000075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054" name="Text Box 3097">
          <a:extLst>
            <a:ext uri="{FF2B5EF4-FFF2-40B4-BE49-F238E27FC236}">
              <a16:creationId xmlns:a16="http://schemas.microsoft.com/office/drawing/2014/main" xmlns="" id="{00000000-0008-0000-0000-000076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055" name="Text Box 3098">
          <a:extLst>
            <a:ext uri="{FF2B5EF4-FFF2-40B4-BE49-F238E27FC236}">
              <a16:creationId xmlns:a16="http://schemas.microsoft.com/office/drawing/2014/main" xmlns="" id="{00000000-0008-0000-0000-000077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056" name="Text Box 3099">
          <a:extLst>
            <a:ext uri="{FF2B5EF4-FFF2-40B4-BE49-F238E27FC236}">
              <a16:creationId xmlns:a16="http://schemas.microsoft.com/office/drawing/2014/main" xmlns="" id="{00000000-0008-0000-0000-000078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057" name="Text Box 3100">
          <a:extLst>
            <a:ext uri="{FF2B5EF4-FFF2-40B4-BE49-F238E27FC236}">
              <a16:creationId xmlns:a16="http://schemas.microsoft.com/office/drawing/2014/main" xmlns="" id="{00000000-0008-0000-0000-000079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058" name="Text Box 3101">
          <a:extLst>
            <a:ext uri="{FF2B5EF4-FFF2-40B4-BE49-F238E27FC236}">
              <a16:creationId xmlns:a16="http://schemas.microsoft.com/office/drawing/2014/main" xmlns="" id="{00000000-0008-0000-0000-00007A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8059" name="Text Box 3102">
          <a:extLst>
            <a:ext uri="{FF2B5EF4-FFF2-40B4-BE49-F238E27FC236}">
              <a16:creationId xmlns:a16="http://schemas.microsoft.com/office/drawing/2014/main" xmlns="" id="{00000000-0008-0000-0000-00007B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060" name="Text Box 59">
          <a:extLst>
            <a:ext uri="{FF2B5EF4-FFF2-40B4-BE49-F238E27FC236}">
              <a16:creationId xmlns:a16="http://schemas.microsoft.com/office/drawing/2014/main" xmlns="" id="{00000000-0008-0000-0000-00007C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061" name="Text Box 60">
          <a:extLst>
            <a:ext uri="{FF2B5EF4-FFF2-40B4-BE49-F238E27FC236}">
              <a16:creationId xmlns:a16="http://schemas.microsoft.com/office/drawing/2014/main" xmlns="" id="{00000000-0008-0000-0000-00007D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062" name="Text Box 61">
          <a:extLst>
            <a:ext uri="{FF2B5EF4-FFF2-40B4-BE49-F238E27FC236}">
              <a16:creationId xmlns:a16="http://schemas.microsoft.com/office/drawing/2014/main" xmlns="" id="{00000000-0008-0000-0000-00007E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063" name="Text Box 62">
          <a:extLst>
            <a:ext uri="{FF2B5EF4-FFF2-40B4-BE49-F238E27FC236}">
              <a16:creationId xmlns:a16="http://schemas.microsoft.com/office/drawing/2014/main" xmlns="" id="{00000000-0008-0000-0000-00007F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064" name="Text Box 63">
          <a:extLst>
            <a:ext uri="{FF2B5EF4-FFF2-40B4-BE49-F238E27FC236}">
              <a16:creationId xmlns:a16="http://schemas.microsoft.com/office/drawing/2014/main" xmlns="" id="{00000000-0008-0000-0000-000080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065" name="Text Box 64">
          <a:extLst>
            <a:ext uri="{FF2B5EF4-FFF2-40B4-BE49-F238E27FC236}">
              <a16:creationId xmlns:a16="http://schemas.microsoft.com/office/drawing/2014/main" xmlns="" id="{00000000-0008-0000-0000-000081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066" name="Text Box 65">
          <a:extLst>
            <a:ext uri="{FF2B5EF4-FFF2-40B4-BE49-F238E27FC236}">
              <a16:creationId xmlns:a16="http://schemas.microsoft.com/office/drawing/2014/main" xmlns="" id="{00000000-0008-0000-0000-000082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067" name="Text Box 66">
          <a:extLst>
            <a:ext uri="{FF2B5EF4-FFF2-40B4-BE49-F238E27FC236}">
              <a16:creationId xmlns:a16="http://schemas.microsoft.com/office/drawing/2014/main" xmlns="" id="{00000000-0008-0000-0000-000083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068" name="Text Box 67">
          <a:extLst>
            <a:ext uri="{FF2B5EF4-FFF2-40B4-BE49-F238E27FC236}">
              <a16:creationId xmlns:a16="http://schemas.microsoft.com/office/drawing/2014/main" xmlns="" id="{00000000-0008-0000-0000-000084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069" name="Text Box 68">
          <a:extLst>
            <a:ext uri="{FF2B5EF4-FFF2-40B4-BE49-F238E27FC236}">
              <a16:creationId xmlns:a16="http://schemas.microsoft.com/office/drawing/2014/main" xmlns="" id="{00000000-0008-0000-0000-000085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070" name="Text Box 69">
          <a:extLst>
            <a:ext uri="{FF2B5EF4-FFF2-40B4-BE49-F238E27FC236}">
              <a16:creationId xmlns:a16="http://schemas.microsoft.com/office/drawing/2014/main" xmlns="" id="{00000000-0008-0000-0000-000086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071" name="Text Box 70">
          <a:extLst>
            <a:ext uri="{FF2B5EF4-FFF2-40B4-BE49-F238E27FC236}">
              <a16:creationId xmlns:a16="http://schemas.microsoft.com/office/drawing/2014/main" xmlns="" id="{00000000-0008-0000-0000-000087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072" name="Text Box 71">
          <a:extLst>
            <a:ext uri="{FF2B5EF4-FFF2-40B4-BE49-F238E27FC236}">
              <a16:creationId xmlns:a16="http://schemas.microsoft.com/office/drawing/2014/main" xmlns="" id="{00000000-0008-0000-0000-000088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073" name="Text Box 72">
          <a:extLst>
            <a:ext uri="{FF2B5EF4-FFF2-40B4-BE49-F238E27FC236}">
              <a16:creationId xmlns:a16="http://schemas.microsoft.com/office/drawing/2014/main" xmlns="" id="{00000000-0008-0000-0000-000089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074" name="Text Box 73">
          <a:extLst>
            <a:ext uri="{FF2B5EF4-FFF2-40B4-BE49-F238E27FC236}">
              <a16:creationId xmlns:a16="http://schemas.microsoft.com/office/drawing/2014/main" xmlns="" id="{00000000-0008-0000-0000-00008A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075" name="Text Box 74">
          <a:extLst>
            <a:ext uri="{FF2B5EF4-FFF2-40B4-BE49-F238E27FC236}">
              <a16:creationId xmlns:a16="http://schemas.microsoft.com/office/drawing/2014/main" xmlns="" id="{00000000-0008-0000-0000-00008B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076" name="Text Box 75">
          <a:extLst>
            <a:ext uri="{FF2B5EF4-FFF2-40B4-BE49-F238E27FC236}">
              <a16:creationId xmlns:a16="http://schemas.microsoft.com/office/drawing/2014/main" xmlns="" id="{00000000-0008-0000-0000-00008C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077" name="Text Box 76">
          <a:extLst>
            <a:ext uri="{FF2B5EF4-FFF2-40B4-BE49-F238E27FC236}">
              <a16:creationId xmlns:a16="http://schemas.microsoft.com/office/drawing/2014/main" xmlns="" id="{00000000-0008-0000-0000-00008D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078" name="Text Box 77">
          <a:extLst>
            <a:ext uri="{FF2B5EF4-FFF2-40B4-BE49-F238E27FC236}">
              <a16:creationId xmlns:a16="http://schemas.microsoft.com/office/drawing/2014/main" xmlns="" id="{00000000-0008-0000-0000-00008E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079" name="Text Box 78">
          <a:extLst>
            <a:ext uri="{FF2B5EF4-FFF2-40B4-BE49-F238E27FC236}">
              <a16:creationId xmlns:a16="http://schemas.microsoft.com/office/drawing/2014/main" xmlns="" id="{00000000-0008-0000-0000-00008F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080" name="Text Box 79">
          <a:extLst>
            <a:ext uri="{FF2B5EF4-FFF2-40B4-BE49-F238E27FC236}">
              <a16:creationId xmlns:a16="http://schemas.microsoft.com/office/drawing/2014/main" xmlns="" id="{00000000-0008-0000-0000-000090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081" name="Text Box 80">
          <a:extLst>
            <a:ext uri="{FF2B5EF4-FFF2-40B4-BE49-F238E27FC236}">
              <a16:creationId xmlns:a16="http://schemas.microsoft.com/office/drawing/2014/main" xmlns="" id="{00000000-0008-0000-0000-000091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082" name="Text Box 81">
          <a:extLst>
            <a:ext uri="{FF2B5EF4-FFF2-40B4-BE49-F238E27FC236}">
              <a16:creationId xmlns:a16="http://schemas.microsoft.com/office/drawing/2014/main" xmlns="" id="{00000000-0008-0000-0000-000092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47625"/>
    <xdr:sp macro="" textlink="">
      <xdr:nvSpPr>
        <xdr:cNvPr id="8083" name="Text Box 82">
          <a:extLst>
            <a:ext uri="{FF2B5EF4-FFF2-40B4-BE49-F238E27FC236}">
              <a16:creationId xmlns:a16="http://schemas.microsoft.com/office/drawing/2014/main" xmlns="" id="{00000000-0008-0000-0000-000093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084" name="Text Box 3079">
          <a:extLst>
            <a:ext uri="{FF2B5EF4-FFF2-40B4-BE49-F238E27FC236}">
              <a16:creationId xmlns:a16="http://schemas.microsoft.com/office/drawing/2014/main" xmlns="" id="{00000000-0008-0000-0000-000094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085" name="Text Box 3080">
          <a:extLst>
            <a:ext uri="{FF2B5EF4-FFF2-40B4-BE49-F238E27FC236}">
              <a16:creationId xmlns:a16="http://schemas.microsoft.com/office/drawing/2014/main" xmlns="" id="{00000000-0008-0000-0000-000095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086" name="Text Box 3081">
          <a:extLst>
            <a:ext uri="{FF2B5EF4-FFF2-40B4-BE49-F238E27FC236}">
              <a16:creationId xmlns:a16="http://schemas.microsoft.com/office/drawing/2014/main" xmlns="" id="{00000000-0008-0000-0000-000096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087" name="Text Box 3082">
          <a:extLst>
            <a:ext uri="{FF2B5EF4-FFF2-40B4-BE49-F238E27FC236}">
              <a16:creationId xmlns:a16="http://schemas.microsoft.com/office/drawing/2014/main" xmlns="" id="{00000000-0008-0000-0000-000097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088" name="Text Box 3083">
          <a:extLst>
            <a:ext uri="{FF2B5EF4-FFF2-40B4-BE49-F238E27FC236}">
              <a16:creationId xmlns:a16="http://schemas.microsoft.com/office/drawing/2014/main" xmlns="" id="{00000000-0008-0000-0000-000098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089" name="Text Box 3084">
          <a:extLst>
            <a:ext uri="{FF2B5EF4-FFF2-40B4-BE49-F238E27FC236}">
              <a16:creationId xmlns:a16="http://schemas.microsoft.com/office/drawing/2014/main" xmlns="" id="{00000000-0008-0000-0000-000099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090" name="Text Box 3085">
          <a:extLst>
            <a:ext uri="{FF2B5EF4-FFF2-40B4-BE49-F238E27FC236}">
              <a16:creationId xmlns:a16="http://schemas.microsoft.com/office/drawing/2014/main" xmlns="" id="{00000000-0008-0000-0000-00009A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091" name="Text Box 3086">
          <a:extLst>
            <a:ext uri="{FF2B5EF4-FFF2-40B4-BE49-F238E27FC236}">
              <a16:creationId xmlns:a16="http://schemas.microsoft.com/office/drawing/2014/main" xmlns="" id="{00000000-0008-0000-0000-00009B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092" name="Text Box 3087">
          <a:extLst>
            <a:ext uri="{FF2B5EF4-FFF2-40B4-BE49-F238E27FC236}">
              <a16:creationId xmlns:a16="http://schemas.microsoft.com/office/drawing/2014/main" xmlns="" id="{00000000-0008-0000-0000-00009C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093" name="Text Box 3088">
          <a:extLst>
            <a:ext uri="{FF2B5EF4-FFF2-40B4-BE49-F238E27FC236}">
              <a16:creationId xmlns:a16="http://schemas.microsoft.com/office/drawing/2014/main" xmlns="" id="{00000000-0008-0000-0000-00009D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094" name="Text Box 3089">
          <a:extLst>
            <a:ext uri="{FF2B5EF4-FFF2-40B4-BE49-F238E27FC236}">
              <a16:creationId xmlns:a16="http://schemas.microsoft.com/office/drawing/2014/main" xmlns="" id="{00000000-0008-0000-0000-00009E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095" name="Text Box 3090">
          <a:extLst>
            <a:ext uri="{FF2B5EF4-FFF2-40B4-BE49-F238E27FC236}">
              <a16:creationId xmlns:a16="http://schemas.microsoft.com/office/drawing/2014/main" xmlns="" id="{00000000-0008-0000-0000-00009F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096" name="Text Box 3091">
          <a:extLst>
            <a:ext uri="{FF2B5EF4-FFF2-40B4-BE49-F238E27FC236}">
              <a16:creationId xmlns:a16="http://schemas.microsoft.com/office/drawing/2014/main" xmlns="" id="{00000000-0008-0000-0000-0000A0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097" name="Text Box 3092">
          <a:extLst>
            <a:ext uri="{FF2B5EF4-FFF2-40B4-BE49-F238E27FC236}">
              <a16:creationId xmlns:a16="http://schemas.microsoft.com/office/drawing/2014/main" xmlns="" id="{00000000-0008-0000-0000-0000A1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098" name="Text Box 3093">
          <a:extLst>
            <a:ext uri="{FF2B5EF4-FFF2-40B4-BE49-F238E27FC236}">
              <a16:creationId xmlns:a16="http://schemas.microsoft.com/office/drawing/2014/main" xmlns="" id="{00000000-0008-0000-0000-0000A2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099" name="Text Box 3094">
          <a:extLst>
            <a:ext uri="{FF2B5EF4-FFF2-40B4-BE49-F238E27FC236}">
              <a16:creationId xmlns:a16="http://schemas.microsoft.com/office/drawing/2014/main" xmlns="" id="{00000000-0008-0000-0000-0000A3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100" name="Text Box 3095">
          <a:extLst>
            <a:ext uri="{FF2B5EF4-FFF2-40B4-BE49-F238E27FC236}">
              <a16:creationId xmlns:a16="http://schemas.microsoft.com/office/drawing/2014/main" xmlns="" id="{00000000-0008-0000-0000-0000A4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101" name="Text Box 3096">
          <a:extLst>
            <a:ext uri="{FF2B5EF4-FFF2-40B4-BE49-F238E27FC236}">
              <a16:creationId xmlns:a16="http://schemas.microsoft.com/office/drawing/2014/main" xmlns="" id="{00000000-0008-0000-0000-0000A5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102" name="Text Box 3097">
          <a:extLst>
            <a:ext uri="{FF2B5EF4-FFF2-40B4-BE49-F238E27FC236}">
              <a16:creationId xmlns:a16="http://schemas.microsoft.com/office/drawing/2014/main" xmlns="" id="{00000000-0008-0000-0000-0000A6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103" name="Text Box 3098">
          <a:extLst>
            <a:ext uri="{FF2B5EF4-FFF2-40B4-BE49-F238E27FC236}">
              <a16:creationId xmlns:a16="http://schemas.microsoft.com/office/drawing/2014/main" xmlns="" id="{00000000-0008-0000-0000-0000A7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104" name="Text Box 3099">
          <a:extLst>
            <a:ext uri="{FF2B5EF4-FFF2-40B4-BE49-F238E27FC236}">
              <a16:creationId xmlns:a16="http://schemas.microsoft.com/office/drawing/2014/main" xmlns="" id="{00000000-0008-0000-0000-0000A8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105" name="Text Box 3100">
          <a:extLst>
            <a:ext uri="{FF2B5EF4-FFF2-40B4-BE49-F238E27FC236}">
              <a16:creationId xmlns:a16="http://schemas.microsoft.com/office/drawing/2014/main" xmlns="" id="{00000000-0008-0000-0000-0000A9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106" name="Text Box 3101">
          <a:extLst>
            <a:ext uri="{FF2B5EF4-FFF2-40B4-BE49-F238E27FC236}">
              <a16:creationId xmlns:a16="http://schemas.microsoft.com/office/drawing/2014/main" xmlns="" id="{00000000-0008-0000-0000-0000AA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8107" name="Text Box 3102">
          <a:extLst>
            <a:ext uri="{FF2B5EF4-FFF2-40B4-BE49-F238E27FC236}">
              <a16:creationId xmlns:a16="http://schemas.microsoft.com/office/drawing/2014/main" xmlns="" id="{00000000-0008-0000-0000-0000AB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108" name="Text Box 59">
          <a:extLst>
            <a:ext uri="{FF2B5EF4-FFF2-40B4-BE49-F238E27FC236}">
              <a16:creationId xmlns:a16="http://schemas.microsoft.com/office/drawing/2014/main" xmlns="" id="{00000000-0008-0000-0000-0000AC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109" name="Text Box 60">
          <a:extLst>
            <a:ext uri="{FF2B5EF4-FFF2-40B4-BE49-F238E27FC236}">
              <a16:creationId xmlns:a16="http://schemas.microsoft.com/office/drawing/2014/main" xmlns="" id="{00000000-0008-0000-0000-0000AD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110" name="Text Box 61">
          <a:extLst>
            <a:ext uri="{FF2B5EF4-FFF2-40B4-BE49-F238E27FC236}">
              <a16:creationId xmlns:a16="http://schemas.microsoft.com/office/drawing/2014/main" xmlns="" id="{00000000-0008-0000-0000-0000AE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111" name="Text Box 62">
          <a:extLst>
            <a:ext uri="{FF2B5EF4-FFF2-40B4-BE49-F238E27FC236}">
              <a16:creationId xmlns:a16="http://schemas.microsoft.com/office/drawing/2014/main" xmlns="" id="{00000000-0008-0000-0000-0000AF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112" name="Text Box 63">
          <a:extLst>
            <a:ext uri="{FF2B5EF4-FFF2-40B4-BE49-F238E27FC236}">
              <a16:creationId xmlns:a16="http://schemas.microsoft.com/office/drawing/2014/main" xmlns="" id="{00000000-0008-0000-0000-0000B0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113" name="Text Box 64">
          <a:extLst>
            <a:ext uri="{FF2B5EF4-FFF2-40B4-BE49-F238E27FC236}">
              <a16:creationId xmlns:a16="http://schemas.microsoft.com/office/drawing/2014/main" xmlns="" id="{00000000-0008-0000-0000-0000B1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114" name="Text Box 65">
          <a:extLst>
            <a:ext uri="{FF2B5EF4-FFF2-40B4-BE49-F238E27FC236}">
              <a16:creationId xmlns:a16="http://schemas.microsoft.com/office/drawing/2014/main" xmlns="" id="{00000000-0008-0000-0000-0000B2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115" name="Text Box 66">
          <a:extLst>
            <a:ext uri="{FF2B5EF4-FFF2-40B4-BE49-F238E27FC236}">
              <a16:creationId xmlns:a16="http://schemas.microsoft.com/office/drawing/2014/main" xmlns="" id="{00000000-0008-0000-0000-0000B3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116" name="Text Box 67">
          <a:extLst>
            <a:ext uri="{FF2B5EF4-FFF2-40B4-BE49-F238E27FC236}">
              <a16:creationId xmlns:a16="http://schemas.microsoft.com/office/drawing/2014/main" xmlns="" id="{00000000-0008-0000-0000-0000B4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117" name="Text Box 68">
          <a:extLst>
            <a:ext uri="{FF2B5EF4-FFF2-40B4-BE49-F238E27FC236}">
              <a16:creationId xmlns:a16="http://schemas.microsoft.com/office/drawing/2014/main" xmlns="" id="{00000000-0008-0000-0000-0000B5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118" name="Text Box 69">
          <a:extLst>
            <a:ext uri="{FF2B5EF4-FFF2-40B4-BE49-F238E27FC236}">
              <a16:creationId xmlns:a16="http://schemas.microsoft.com/office/drawing/2014/main" xmlns="" id="{00000000-0008-0000-0000-0000B6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119" name="Text Box 70">
          <a:extLst>
            <a:ext uri="{FF2B5EF4-FFF2-40B4-BE49-F238E27FC236}">
              <a16:creationId xmlns:a16="http://schemas.microsoft.com/office/drawing/2014/main" xmlns="" id="{00000000-0008-0000-0000-0000B7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120" name="Text Box 71">
          <a:extLst>
            <a:ext uri="{FF2B5EF4-FFF2-40B4-BE49-F238E27FC236}">
              <a16:creationId xmlns:a16="http://schemas.microsoft.com/office/drawing/2014/main" xmlns="" id="{00000000-0008-0000-0000-0000B8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121" name="Text Box 72">
          <a:extLst>
            <a:ext uri="{FF2B5EF4-FFF2-40B4-BE49-F238E27FC236}">
              <a16:creationId xmlns:a16="http://schemas.microsoft.com/office/drawing/2014/main" xmlns="" id="{00000000-0008-0000-0000-0000B9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122" name="Text Box 73">
          <a:extLst>
            <a:ext uri="{FF2B5EF4-FFF2-40B4-BE49-F238E27FC236}">
              <a16:creationId xmlns:a16="http://schemas.microsoft.com/office/drawing/2014/main" xmlns="" id="{00000000-0008-0000-0000-0000BA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123" name="Text Box 74">
          <a:extLst>
            <a:ext uri="{FF2B5EF4-FFF2-40B4-BE49-F238E27FC236}">
              <a16:creationId xmlns:a16="http://schemas.microsoft.com/office/drawing/2014/main" xmlns="" id="{00000000-0008-0000-0000-0000BB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124" name="Text Box 75">
          <a:extLst>
            <a:ext uri="{FF2B5EF4-FFF2-40B4-BE49-F238E27FC236}">
              <a16:creationId xmlns:a16="http://schemas.microsoft.com/office/drawing/2014/main" xmlns="" id="{00000000-0008-0000-0000-0000BC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125" name="Text Box 76">
          <a:extLst>
            <a:ext uri="{FF2B5EF4-FFF2-40B4-BE49-F238E27FC236}">
              <a16:creationId xmlns:a16="http://schemas.microsoft.com/office/drawing/2014/main" xmlns="" id="{00000000-0008-0000-0000-0000BD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126" name="Text Box 77">
          <a:extLst>
            <a:ext uri="{FF2B5EF4-FFF2-40B4-BE49-F238E27FC236}">
              <a16:creationId xmlns:a16="http://schemas.microsoft.com/office/drawing/2014/main" xmlns="" id="{00000000-0008-0000-0000-0000BE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127" name="Text Box 78">
          <a:extLst>
            <a:ext uri="{FF2B5EF4-FFF2-40B4-BE49-F238E27FC236}">
              <a16:creationId xmlns:a16="http://schemas.microsoft.com/office/drawing/2014/main" xmlns="" id="{00000000-0008-0000-0000-0000BF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128" name="Text Box 79">
          <a:extLst>
            <a:ext uri="{FF2B5EF4-FFF2-40B4-BE49-F238E27FC236}">
              <a16:creationId xmlns:a16="http://schemas.microsoft.com/office/drawing/2014/main" xmlns="" id="{00000000-0008-0000-0000-0000C0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129" name="Text Box 80">
          <a:extLst>
            <a:ext uri="{FF2B5EF4-FFF2-40B4-BE49-F238E27FC236}">
              <a16:creationId xmlns:a16="http://schemas.microsoft.com/office/drawing/2014/main" xmlns="" id="{00000000-0008-0000-0000-0000C1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130" name="Text Box 81">
          <a:extLst>
            <a:ext uri="{FF2B5EF4-FFF2-40B4-BE49-F238E27FC236}">
              <a16:creationId xmlns:a16="http://schemas.microsoft.com/office/drawing/2014/main" xmlns="" id="{00000000-0008-0000-0000-0000C2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131" name="Text Box 3079">
          <a:extLst>
            <a:ext uri="{FF2B5EF4-FFF2-40B4-BE49-F238E27FC236}">
              <a16:creationId xmlns:a16="http://schemas.microsoft.com/office/drawing/2014/main" xmlns="" id="{00000000-0008-0000-0000-0000C3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132" name="Text Box 3080">
          <a:extLst>
            <a:ext uri="{FF2B5EF4-FFF2-40B4-BE49-F238E27FC236}">
              <a16:creationId xmlns:a16="http://schemas.microsoft.com/office/drawing/2014/main" xmlns="" id="{00000000-0008-0000-0000-0000C4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133" name="Text Box 3081">
          <a:extLst>
            <a:ext uri="{FF2B5EF4-FFF2-40B4-BE49-F238E27FC236}">
              <a16:creationId xmlns:a16="http://schemas.microsoft.com/office/drawing/2014/main" xmlns="" id="{00000000-0008-0000-0000-0000C5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134" name="Text Box 3082">
          <a:extLst>
            <a:ext uri="{FF2B5EF4-FFF2-40B4-BE49-F238E27FC236}">
              <a16:creationId xmlns:a16="http://schemas.microsoft.com/office/drawing/2014/main" xmlns="" id="{00000000-0008-0000-0000-0000C6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135" name="Text Box 3083">
          <a:extLst>
            <a:ext uri="{FF2B5EF4-FFF2-40B4-BE49-F238E27FC236}">
              <a16:creationId xmlns:a16="http://schemas.microsoft.com/office/drawing/2014/main" xmlns="" id="{00000000-0008-0000-0000-0000C7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136" name="Text Box 3084">
          <a:extLst>
            <a:ext uri="{FF2B5EF4-FFF2-40B4-BE49-F238E27FC236}">
              <a16:creationId xmlns:a16="http://schemas.microsoft.com/office/drawing/2014/main" xmlns="" id="{00000000-0008-0000-0000-0000C8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137" name="Text Box 3085">
          <a:extLst>
            <a:ext uri="{FF2B5EF4-FFF2-40B4-BE49-F238E27FC236}">
              <a16:creationId xmlns:a16="http://schemas.microsoft.com/office/drawing/2014/main" xmlns="" id="{00000000-0008-0000-0000-0000C9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138" name="Text Box 3086">
          <a:extLst>
            <a:ext uri="{FF2B5EF4-FFF2-40B4-BE49-F238E27FC236}">
              <a16:creationId xmlns:a16="http://schemas.microsoft.com/office/drawing/2014/main" xmlns="" id="{00000000-0008-0000-0000-0000CA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139" name="Text Box 3087">
          <a:extLst>
            <a:ext uri="{FF2B5EF4-FFF2-40B4-BE49-F238E27FC236}">
              <a16:creationId xmlns:a16="http://schemas.microsoft.com/office/drawing/2014/main" xmlns="" id="{00000000-0008-0000-0000-0000CB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140" name="Text Box 3088">
          <a:extLst>
            <a:ext uri="{FF2B5EF4-FFF2-40B4-BE49-F238E27FC236}">
              <a16:creationId xmlns:a16="http://schemas.microsoft.com/office/drawing/2014/main" xmlns="" id="{00000000-0008-0000-0000-0000CC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141" name="Text Box 3089">
          <a:extLst>
            <a:ext uri="{FF2B5EF4-FFF2-40B4-BE49-F238E27FC236}">
              <a16:creationId xmlns:a16="http://schemas.microsoft.com/office/drawing/2014/main" xmlns="" id="{00000000-0008-0000-0000-0000CD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142" name="Text Box 3090">
          <a:extLst>
            <a:ext uri="{FF2B5EF4-FFF2-40B4-BE49-F238E27FC236}">
              <a16:creationId xmlns:a16="http://schemas.microsoft.com/office/drawing/2014/main" xmlns="" id="{00000000-0008-0000-0000-0000CE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143" name="Text Box 3091">
          <a:extLst>
            <a:ext uri="{FF2B5EF4-FFF2-40B4-BE49-F238E27FC236}">
              <a16:creationId xmlns:a16="http://schemas.microsoft.com/office/drawing/2014/main" xmlns="" id="{00000000-0008-0000-0000-0000CF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144" name="Text Box 3092">
          <a:extLst>
            <a:ext uri="{FF2B5EF4-FFF2-40B4-BE49-F238E27FC236}">
              <a16:creationId xmlns:a16="http://schemas.microsoft.com/office/drawing/2014/main" xmlns="" id="{00000000-0008-0000-0000-0000D0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145" name="Text Box 3093">
          <a:extLst>
            <a:ext uri="{FF2B5EF4-FFF2-40B4-BE49-F238E27FC236}">
              <a16:creationId xmlns:a16="http://schemas.microsoft.com/office/drawing/2014/main" xmlns="" id="{00000000-0008-0000-0000-0000D1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146" name="Text Box 3094">
          <a:extLst>
            <a:ext uri="{FF2B5EF4-FFF2-40B4-BE49-F238E27FC236}">
              <a16:creationId xmlns:a16="http://schemas.microsoft.com/office/drawing/2014/main" xmlns="" id="{00000000-0008-0000-0000-0000D2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147" name="Text Box 3095">
          <a:extLst>
            <a:ext uri="{FF2B5EF4-FFF2-40B4-BE49-F238E27FC236}">
              <a16:creationId xmlns:a16="http://schemas.microsoft.com/office/drawing/2014/main" xmlns="" id="{00000000-0008-0000-0000-0000D3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148" name="Text Box 3096">
          <a:extLst>
            <a:ext uri="{FF2B5EF4-FFF2-40B4-BE49-F238E27FC236}">
              <a16:creationId xmlns:a16="http://schemas.microsoft.com/office/drawing/2014/main" xmlns="" id="{00000000-0008-0000-0000-0000D4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149" name="Text Box 3097">
          <a:extLst>
            <a:ext uri="{FF2B5EF4-FFF2-40B4-BE49-F238E27FC236}">
              <a16:creationId xmlns:a16="http://schemas.microsoft.com/office/drawing/2014/main" xmlns="" id="{00000000-0008-0000-0000-0000D5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150" name="Text Box 3098">
          <a:extLst>
            <a:ext uri="{FF2B5EF4-FFF2-40B4-BE49-F238E27FC236}">
              <a16:creationId xmlns:a16="http://schemas.microsoft.com/office/drawing/2014/main" xmlns="" id="{00000000-0008-0000-0000-0000D6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151" name="Text Box 3099">
          <a:extLst>
            <a:ext uri="{FF2B5EF4-FFF2-40B4-BE49-F238E27FC236}">
              <a16:creationId xmlns:a16="http://schemas.microsoft.com/office/drawing/2014/main" xmlns="" id="{00000000-0008-0000-0000-0000D7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152" name="Text Box 3100">
          <a:extLst>
            <a:ext uri="{FF2B5EF4-FFF2-40B4-BE49-F238E27FC236}">
              <a16:creationId xmlns:a16="http://schemas.microsoft.com/office/drawing/2014/main" xmlns="" id="{00000000-0008-0000-0000-0000D8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153" name="Text Box 3101">
          <a:extLst>
            <a:ext uri="{FF2B5EF4-FFF2-40B4-BE49-F238E27FC236}">
              <a16:creationId xmlns:a16="http://schemas.microsoft.com/office/drawing/2014/main" xmlns="" id="{00000000-0008-0000-0000-0000D9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8154" name="Text Box 3102">
          <a:extLst>
            <a:ext uri="{FF2B5EF4-FFF2-40B4-BE49-F238E27FC236}">
              <a16:creationId xmlns:a16="http://schemas.microsoft.com/office/drawing/2014/main" xmlns="" id="{00000000-0008-0000-0000-0000DA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155" name="Text Box 59">
          <a:extLst>
            <a:ext uri="{FF2B5EF4-FFF2-40B4-BE49-F238E27FC236}">
              <a16:creationId xmlns:a16="http://schemas.microsoft.com/office/drawing/2014/main" xmlns="" id="{00000000-0008-0000-0000-0000DB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156" name="Text Box 60">
          <a:extLst>
            <a:ext uri="{FF2B5EF4-FFF2-40B4-BE49-F238E27FC236}">
              <a16:creationId xmlns:a16="http://schemas.microsoft.com/office/drawing/2014/main" xmlns="" id="{00000000-0008-0000-0000-0000DC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157" name="Text Box 61">
          <a:extLst>
            <a:ext uri="{FF2B5EF4-FFF2-40B4-BE49-F238E27FC236}">
              <a16:creationId xmlns:a16="http://schemas.microsoft.com/office/drawing/2014/main" xmlns="" id="{00000000-0008-0000-0000-0000DD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158" name="Text Box 62">
          <a:extLst>
            <a:ext uri="{FF2B5EF4-FFF2-40B4-BE49-F238E27FC236}">
              <a16:creationId xmlns:a16="http://schemas.microsoft.com/office/drawing/2014/main" xmlns="" id="{00000000-0008-0000-0000-0000DE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159" name="Text Box 63">
          <a:extLst>
            <a:ext uri="{FF2B5EF4-FFF2-40B4-BE49-F238E27FC236}">
              <a16:creationId xmlns:a16="http://schemas.microsoft.com/office/drawing/2014/main" xmlns="" id="{00000000-0008-0000-0000-0000DF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160" name="Text Box 64">
          <a:extLst>
            <a:ext uri="{FF2B5EF4-FFF2-40B4-BE49-F238E27FC236}">
              <a16:creationId xmlns:a16="http://schemas.microsoft.com/office/drawing/2014/main" xmlns="" id="{00000000-0008-0000-0000-0000E0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161" name="Text Box 65">
          <a:extLst>
            <a:ext uri="{FF2B5EF4-FFF2-40B4-BE49-F238E27FC236}">
              <a16:creationId xmlns:a16="http://schemas.microsoft.com/office/drawing/2014/main" xmlns="" id="{00000000-0008-0000-0000-0000E1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162" name="Text Box 66">
          <a:extLst>
            <a:ext uri="{FF2B5EF4-FFF2-40B4-BE49-F238E27FC236}">
              <a16:creationId xmlns:a16="http://schemas.microsoft.com/office/drawing/2014/main" xmlns="" id="{00000000-0008-0000-0000-0000E2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163" name="Text Box 67">
          <a:extLst>
            <a:ext uri="{FF2B5EF4-FFF2-40B4-BE49-F238E27FC236}">
              <a16:creationId xmlns:a16="http://schemas.microsoft.com/office/drawing/2014/main" xmlns="" id="{00000000-0008-0000-0000-0000E3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164" name="Text Box 68">
          <a:extLst>
            <a:ext uri="{FF2B5EF4-FFF2-40B4-BE49-F238E27FC236}">
              <a16:creationId xmlns:a16="http://schemas.microsoft.com/office/drawing/2014/main" xmlns="" id="{00000000-0008-0000-0000-0000E4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165" name="Text Box 69">
          <a:extLst>
            <a:ext uri="{FF2B5EF4-FFF2-40B4-BE49-F238E27FC236}">
              <a16:creationId xmlns:a16="http://schemas.microsoft.com/office/drawing/2014/main" xmlns="" id="{00000000-0008-0000-0000-0000E5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166" name="Text Box 70">
          <a:extLst>
            <a:ext uri="{FF2B5EF4-FFF2-40B4-BE49-F238E27FC236}">
              <a16:creationId xmlns:a16="http://schemas.microsoft.com/office/drawing/2014/main" xmlns="" id="{00000000-0008-0000-0000-0000E6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167" name="Text Box 71">
          <a:extLst>
            <a:ext uri="{FF2B5EF4-FFF2-40B4-BE49-F238E27FC236}">
              <a16:creationId xmlns:a16="http://schemas.microsoft.com/office/drawing/2014/main" xmlns="" id="{00000000-0008-0000-0000-0000E7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168" name="Text Box 72">
          <a:extLst>
            <a:ext uri="{FF2B5EF4-FFF2-40B4-BE49-F238E27FC236}">
              <a16:creationId xmlns:a16="http://schemas.microsoft.com/office/drawing/2014/main" xmlns="" id="{00000000-0008-0000-0000-0000E8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169" name="Text Box 73">
          <a:extLst>
            <a:ext uri="{FF2B5EF4-FFF2-40B4-BE49-F238E27FC236}">
              <a16:creationId xmlns:a16="http://schemas.microsoft.com/office/drawing/2014/main" xmlns="" id="{00000000-0008-0000-0000-0000E9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170" name="Text Box 74">
          <a:extLst>
            <a:ext uri="{FF2B5EF4-FFF2-40B4-BE49-F238E27FC236}">
              <a16:creationId xmlns:a16="http://schemas.microsoft.com/office/drawing/2014/main" xmlns="" id="{00000000-0008-0000-0000-0000EA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171" name="Text Box 75">
          <a:extLst>
            <a:ext uri="{FF2B5EF4-FFF2-40B4-BE49-F238E27FC236}">
              <a16:creationId xmlns:a16="http://schemas.microsoft.com/office/drawing/2014/main" xmlns="" id="{00000000-0008-0000-0000-0000EB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172" name="Text Box 76">
          <a:extLst>
            <a:ext uri="{FF2B5EF4-FFF2-40B4-BE49-F238E27FC236}">
              <a16:creationId xmlns:a16="http://schemas.microsoft.com/office/drawing/2014/main" xmlns="" id="{00000000-0008-0000-0000-0000EC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173" name="Text Box 77">
          <a:extLst>
            <a:ext uri="{FF2B5EF4-FFF2-40B4-BE49-F238E27FC236}">
              <a16:creationId xmlns:a16="http://schemas.microsoft.com/office/drawing/2014/main" xmlns="" id="{00000000-0008-0000-0000-0000ED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174" name="Text Box 78">
          <a:extLst>
            <a:ext uri="{FF2B5EF4-FFF2-40B4-BE49-F238E27FC236}">
              <a16:creationId xmlns:a16="http://schemas.microsoft.com/office/drawing/2014/main" xmlns="" id="{00000000-0008-0000-0000-0000EE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175" name="Text Box 79">
          <a:extLst>
            <a:ext uri="{FF2B5EF4-FFF2-40B4-BE49-F238E27FC236}">
              <a16:creationId xmlns:a16="http://schemas.microsoft.com/office/drawing/2014/main" xmlns="" id="{00000000-0008-0000-0000-0000EF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176" name="Text Box 80">
          <a:extLst>
            <a:ext uri="{FF2B5EF4-FFF2-40B4-BE49-F238E27FC236}">
              <a16:creationId xmlns:a16="http://schemas.microsoft.com/office/drawing/2014/main" xmlns="" id="{00000000-0008-0000-0000-0000F0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177" name="Text Box 81">
          <a:extLst>
            <a:ext uri="{FF2B5EF4-FFF2-40B4-BE49-F238E27FC236}">
              <a16:creationId xmlns:a16="http://schemas.microsoft.com/office/drawing/2014/main" xmlns="" id="{00000000-0008-0000-0000-0000F1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47625"/>
    <xdr:sp macro="" textlink="">
      <xdr:nvSpPr>
        <xdr:cNvPr id="8178" name="Text Box 82">
          <a:extLst>
            <a:ext uri="{FF2B5EF4-FFF2-40B4-BE49-F238E27FC236}">
              <a16:creationId xmlns:a16="http://schemas.microsoft.com/office/drawing/2014/main" xmlns="" id="{00000000-0008-0000-0000-0000F2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179" name="Text Box 3079">
          <a:extLst>
            <a:ext uri="{FF2B5EF4-FFF2-40B4-BE49-F238E27FC236}">
              <a16:creationId xmlns:a16="http://schemas.microsoft.com/office/drawing/2014/main" xmlns="" id="{00000000-0008-0000-0000-0000F3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180" name="Text Box 3080">
          <a:extLst>
            <a:ext uri="{FF2B5EF4-FFF2-40B4-BE49-F238E27FC236}">
              <a16:creationId xmlns:a16="http://schemas.microsoft.com/office/drawing/2014/main" xmlns="" id="{00000000-0008-0000-0000-0000F4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181" name="Text Box 3081">
          <a:extLst>
            <a:ext uri="{FF2B5EF4-FFF2-40B4-BE49-F238E27FC236}">
              <a16:creationId xmlns:a16="http://schemas.microsoft.com/office/drawing/2014/main" xmlns="" id="{00000000-0008-0000-0000-0000F5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182" name="Text Box 3082">
          <a:extLst>
            <a:ext uri="{FF2B5EF4-FFF2-40B4-BE49-F238E27FC236}">
              <a16:creationId xmlns:a16="http://schemas.microsoft.com/office/drawing/2014/main" xmlns="" id="{00000000-0008-0000-0000-0000F6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183" name="Text Box 3083">
          <a:extLst>
            <a:ext uri="{FF2B5EF4-FFF2-40B4-BE49-F238E27FC236}">
              <a16:creationId xmlns:a16="http://schemas.microsoft.com/office/drawing/2014/main" xmlns="" id="{00000000-0008-0000-0000-0000F7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184" name="Text Box 3084">
          <a:extLst>
            <a:ext uri="{FF2B5EF4-FFF2-40B4-BE49-F238E27FC236}">
              <a16:creationId xmlns:a16="http://schemas.microsoft.com/office/drawing/2014/main" xmlns="" id="{00000000-0008-0000-0000-0000F8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185" name="Text Box 3085">
          <a:extLst>
            <a:ext uri="{FF2B5EF4-FFF2-40B4-BE49-F238E27FC236}">
              <a16:creationId xmlns:a16="http://schemas.microsoft.com/office/drawing/2014/main" xmlns="" id="{00000000-0008-0000-0000-0000F9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186" name="Text Box 3086">
          <a:extLst>
            <a:ext uri="{FF2B5EF4-FFF2-40B4-BE49-F238E27FC236}">
              <a16:creationId xmlns:a16="http://schemas.microsoft.com/office/drawing/2014/main" xmlns="" id="{00000000-0008-0000-0000-0000FA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187" name="Text Box 3087">
          <a:extLst>
            <a:ext uri="{FF2B5EF4-FFF2-40B4-BE49-F238E27FC236}">
              <a16:creationId xmlns:a16="http://schemas.microsoft.com/office/drawing/2014/main" xmlns="" id="{00000000-0008-0000-0000-0000FB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188" name="Text Box 3088">
          <a:extLst>
            <a:ext uri="{FF2B5EF4-FFF2-40B4-BE49-F238E27FC236}">
              <a16:creationId xmlns:a16="http://schemas.microsoft.com/office/drawing/2014/main" xmlns="" id="{00000000-0008-0000-0000-0000FC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189" name="Text Box 3089">
          <a:extLst>
            <a:ext uri="{FF2B5EF4-FFF2-40B4-BE49-F238E27FC236}">
              <a16:creationId xmlns:a16="http://schemas.microsoft.com/office/drawing/2014/main" xmlns="" id="{00000000-0008-0000-0000-0000FD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190" name="Text Box 3090">
          <a:extLst>
            <a:ext uri="{FF2B5EF4-FFF2-40B4-BE49-F238E27FC236}">
              <a16:creationId xmlns:a16="http://schemas.microsoft.com/office/drawing/2014/main" xmlns="" id="{00000000-0008-0000-0000-0000FE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191" name="Text Box 3091">
          <a:extLst>
            <a:ext uri="{FF2B5EF4-FFF2-40B4-BE49-F238E27FC236}">
              <a16:creationId xmlns:a16="http://schemas.microsoft.com/office/drawing/2014/main" xmlns="" id="{00000000-0008-0000-0000-0000FF1F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192" name="Text Box 3092">
          <a:extLst>
            <a:ext uri="{FF2B5EF4-FFF2-40B4-BE49-F238E27FC236}">
              <a16:creationId xmlns:a16="http://schemas.microsoft.com/office/drawing/2014/main" xmlns="" id="{00000000-0008-0000-0000-000000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193" name="Text Box 3093">
          <a:extLst>
            <a:ext uri="{FF2B5EF4-FFF2-40B4-BE49-F238E27FC236}">
              <a16:creationId xmlns:a16="http://schemas.microsoft.com/office/drawing/2014/main" xmlns="" id="{00000000-0008-0000-0000-000001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194" name="Text Box 3094">
          <a:extLst>
            <a:ext uri="{FF2B5EF4-FFF2-40B4-BE49-F238E27FC236}">
              <a16:creationId xmlns:a16="http://schemas.microsoft.com/office/drawing/2014/main" xmlns="" id="{00000000-0008-0000-0000-000002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195" name="Text Box 3095">
          <a:extLst>
            <a:ext uri="{FF2B5EF4-FFF2-40B4-BE49-F238E27FC236}">
              <a16:creationId xmlns:a16="http://schemas.microsoft.com/office/drawing/2014/main" xmlns="" id="{00000000-0008-0000-0000-000003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196" name="Text Box 3096">
          <a:extLst>
            <a:ext uri="{FF2B5EF4-FFF2-40B4-BE49-F238E27FC236}">
              <a16:creationId xmlns:a16="http://schemas.microsoft.com/office/drawing/2014/main" xmlns="" id="{00000000-0008-0000-0000-000004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197" name="Text Box 3097">
          <a:extLst>
            <a:ext uri="{FF2B5EF4-FFF2-40B4-BE49-F238E27FC236}">
              <a16:creationId xmlns:a16="http://schemas.microsoft.com/office/drawing/2014/main" xmlns="" id="{00000000-0008-0000-0000-000005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198" name="Text Box 3098">
          <a:extLst>
            <a:ext uri="{FF2B5EF4-FFF2-40B4-BE49-F238E27FC236}">
              <a16:creationId xmlns:a16="http://schemas.microsoft.com/office/drawing/2014/main" xmlns="" id="{00000000-0008-0000-0000-000006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199" name="Text Box 3099">
          <a:extLst>
            <a:ext uri="{FF2B5EF4-FFF2-40B4-BE49-F238E27FC236}">
              <a16:creationId xmlns:a16="http://schemas.microsoft.com/office/drawing/2014/main" xmlns="" id="{00000000-0008-0000-0000-000007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200" name="Text Box 3100">
          <a:extLst>
            <a:ext uri="{FF2B5EF4-FFF2-40B4-BE49-F238E27FC236}">
              <a16:creationId xmlns:a16="http://schemas.microsoft.com/office/drawing/2014/main" xmlns="" id="{00000000-0008-0000-0000-000008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201" name="Text Box 3101">
          <a:extLst>
            <a:ext uri="{FF2B5EF4-FFF2-40B4-BE49-F238E27FC236}">
              <a16:creationId xmlns:a16="http://schemas.microsoft.com/office/drawing/2014/main" xmlns="" id="{00000000-0008-0000-0000-000009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8202" name="Text Box 3102">
          <a:extLst>
            <a:ext uri="{FF2B5EF4-FFF2-40B4-BE49-F238E27FC236}">
              <a16:creationId xmlns:a16="http://schemas.microsoft.com/office/drawing/2014/main" xmlns="" id="{00000000-0008-0000-0000-00000A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203" name="Text Box 59">
          <a:extLst>
            <a:ext uri="{FF2B5EF4-FFF2-40B4-BE49-F238E27FC236}">
              <a16:creationId xmlns:a16="http://schemas.microsoft.com/office/drawing/2014/main" xmlns="" id="{00000000-0008-0000-0000-00000B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204" name="Text Box 60">
          <a:extLst>
            <a:ext uri="{FF2B5EF4-FFF2-40B4-BE49-F238E27FC236}">
              <a16:creationId xmlns:a16="http://schemas.microsoft.com/office/drawing/2014/main" xmlns="" id="{00000000-0008-0000-0000-00000C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205" name="Text Box 61">
          <a:extLst>
            <a:ext uri="{FF2B5EF4-FFF2-40B4-BE49-F238E27FC236}">
              <a16:creationId xmlns:a16="http://schemas.microsoft.com/office/drawing/2014/main" xmlns="" id="{00000000-0008-0000-0000-00000D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206" name="Text Box 62">
          <a:extLst>
            <a:ext uri="{FF2B5EF4-FFF2-40B4-BE49-F238E27FC236}">
              <a16:creationId xmlns:a16="http://schemas.microsoft.com/office/drawing/2014/main" xmlns="" id="{00000000-0008-0000-0000-00000E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207" name="Text Box 63">
          <a:extLst>
            <a:ext uri="{FF2B5EF4-FFF2-40B4-BE49-F238E27FC236}">
              <a16:creationId xmlns:a16="http://schemas.microsoft.com/office/drawing/2014/main" xmlns="" id="{00000000-0008-0000-0000-00000F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208" name="Text Box 64">
          <a:extLst>
            <a:ext uri="{FF2B5EF4-FFF2-40B4-BE49-F238E27FC236}">
              <a16:creationId xmlns:a16="http://schemas.microsoft.com/office/drawing/2014/main" xmlns="" id="{00000000-0008-0000-0000-000010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209" name="Text Box 65">
          <a:extLst>
            <a:ext uri="{FF2B5EF4-FFF2-40B4-BE49-F238E27FC236}">
              <a16:creationId xmlns:a16="http://schemas.microsoft.com/office/drawing/2014/main" xmlns="" id="{00000000-0008-0000-0000-000011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210" name="Text Box 66">
          <a:extLst>
            <a:ext uri="{FF2B5EF4-FFF2-40B4-BE49-F238E27FC236}">
              <a16:creationId xmlns:a16="http://schemas.microsoft.com/office/drawing/2014/main" xmlns="" id="{00000000-0008-0000-0000-000012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211" name="Text Box 67">
          <a:extLst>
            <a:ext uri="{FF2B5EF4-FFF2-40B4-BE49-F238E27FC236}">
              <a16:creationId xmlns:a16="http://schemas.microsoft.com/office/drawing/2014/main" xmlns="" id="{00000000-0008-0000-0000-000013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212" name="Text Box 68">
          <a:extLst>
            <a:ext uri="{FF2B5EF4-FFF2-40B4-BE49-F238E27FC236}">
              <a16:creationId xmlns:a16="http://schemas.microsoft.com/office/drawing/2014/main" xmlns="" id="{00000000-0008-0000-0000-000014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213" name="Text Box 69">
          <a:extLst>
            <a:ext uri="{FF2B5EF4-FFF2-40B4-BE49-F238E27FC236}">
              <a16:creationId xmlns:a16="http://schemas.microsoft.com/office/drawing/2014/main" xmlns="" id="{00000000-0008-0000-0000-000015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214" name="Text Box 70">
          <a:extLst>
            <a:ext uri="{FF2B5EF4-FFF2-40B4-BE49-F238E27FC236}">
              <a16:creationId xmlns:a16="http://schemas.microsoft.com/office/drawing/2014/main" xmlns="" id="{00000000-0008-0000-0000-000016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215" name="Text Box 71">
          <a:extLst>
            <a:ext uri="{FF2B5EF4-FFF2-40B4-BE49-F238E27FC236}">
              <a16:creationId xmlns:a16="http://schemas.microsoft.com/office/drawing/2014/main" xmlns="" id="{00000000-0008-0000-0000-000017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216" name="Text Box 72">
          <a:extLst>
            <a:ext uri="{FF2B5EF4-FFF2-40B4-BE49-F238E27FC236}">
              <a16:creationId xmlns:a16="http://schemas.microsoft.com/office/drawing/2014/main" xmlns="" id="{00000000-0008-0000-0000-000018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217" name="Text Box 73">
          <a:extLst>
            <a:ext uri="{FF2B5EF4-FFF2-40B4-BE49-F238E27FC236}">
              <a16:creationId xmlns:a16="http://schemas.microsoft.com/office/drawing/2014/main" xmlns="" id="{00000000-0008-0000-0000-000019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218" name="Text Box 74">
          <a:extLst>
            <a:ext uri="{FF2B5EF4-FFF2-40B4-BE49-F238E27FC236}">
              <a16:creationId xmlns:a16="http://schemas.microsoft.com/office/drawing/2014/main" xmlns="" id="{00000000-0008-0000-0000-00001A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219" name="Text Box 75">
          <a:extLst>
            <a:ext uri="{FF2B5EF4-FFF2-40B4-BE49-F238E27FC236}">
              <a16:creationId xmlns:a16="http://schemas.microsoft.com/office/drawing/2014/main" xmlns="" id="{00000000-0008-0000-0000-00001B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220" name="Text Box 76">
          <a:extLst>
            <a:ext uri="{FF2B5EF4-FFF2-40B4-BE49-F238E27FC236}">
              <a16:creationId xmlns:a16="http://schemas.microsoft.com/office/drawing/2014/main" xmlns="" id="{00000000-0008-0000-0000-00001C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221" name="Text Box 77">
          <a:extLst>
            <a:ext uri="{FF2B5EF4-FFF2-40B4-BE49-F238E27FC236}">
              <a16:creationId xmlns:a16="http://schemas.microsoft.com/office/drawing/2014/main" xmlns="" id="{00000000-0008-0000-0000-00001D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222" name="Text Box 78">
          <a:extLst>
            <a:ext uri="{FF2B5EF4-FFF2-40B4-BE49-F238E27FC236}">
              <a16:creationId xmlns:a16="http://schemas.microsoft.com/office/drawing/2014/main" xmlns="" id="{00000000-0008-0000-0000-00001E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223" name="Text Box 79">
          <a:extLst>
            <a:ext uri="{FF2B5EF4-FFF2-40B4-BE49-F238E27FC236}">
              <a16:creationId xmlns:a16="http://schemas.microsoft.com/office/drawing/2014/main" xmlns="" id="{00000000-0008-0000-0000-00001F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224" name="Text Box 80">
          <a:extLst>
            <a:ext uri="{FF2B5EF4-FFF2-40B4-BE49-F238E27FC236}">
              <a16:creationId xmlns:a16="http://schemas.microsoft.com/office/drawing/2014/main" xmlns="" id="{00000000-0008-0000-0000-000020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225" name="Text Box 81">
          <a:extLst>
            <a:ext uri="{FF2B5EF4-FFF2-40B4-BE49-F238E27FC236}">
              <a16:creationId xmlns:a16="http://schemas.microsoft.com/office/drawing/2014/main" xmlns="" id="{00000000-0008-0000-0000-000021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226" name="Text Box 3079">
          <a:extLst>
            <a:ext uri="{FF2B5EF4-FFF2-40B4-BE49-F238E27FC236}">
              <a16:creationId xmlns:a16="http://schemas.microsoft.com/office/drawing/2014/main" xmlns="" id="{00000000-0008-0000-0000-000022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227" name="Text Box 3080">
          <a:extLst>
            <a:ext uri="{FF2B5EF4-FFF2-40B4-BE49-F238E27FC236}">
              <a16:creationId xmlns:a16="http://schemas.microsoft.com/office/drawing/2014/main" xmlns="" id="{00000000-0008-0000-0000-000023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228" name="Text Box 3081">
          <a:extLst>
            <a:ext uri="{FF2B5EF4-FFF2-40B4-BE49-F238E27FC236}">
              <a16:creationId xmlns:a16="http://schemas.microsoft.com/office/drawing/2014/main" xmlns="" id="{00000000-0008-0000-0000-000024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229" name="Text Box 3082">
          <a:extLst>
            <a:ext uri="{FF2B5EF4-FFF2-40B4-BE49-F238E27FC236}">
              <a16:creationId xmlns:a16="http://schemas.microsoft.com/office/drawing/2014/main" xmlns="" id="{00000000-0008-0000-0000-000025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230" name="Text Box 3083">
          <a:extLst>
            <a:ext uri="{FF2B5EF4-FFF2-40B4-BE49-F238E27FC236}">
              <a16:creationId xmlns:a16="http://schemas.microsoft.com/office/drawing/2014/main" xmlns="" id="{00000000-0008-0000-0000-000026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231" name="Text Box 3084">
          <a:extLst>
            <a:ext uri="{FF2B5EF4-FFF2-40B4-BE49-F238E27FC236}">
              <a16:creationId xmlns:a16="http://schemas.microsoft.com/office/drawing/2014/main" xmlns="" id="{00000000-0008-0000-0000-000027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232" name="Text Box 3085">
          <a:extLst>
            <a:ext uri="{FF2B5EF4-FFF2-40B4-BE49-F238E27FC236}">
              <a16:creationId xmlns:a16="http://schemas.microsoft.com/office/drawing/2014/main" xmlns="" id="{00000000-0008-0000-0000-000028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233" name="Text Box 3086">
          <a:extLst>
            <a:ext uri="{FF2B5EF4-FFF2-40B4-BE49-F238E27FC236}">
              <a16:creationId xmlns:a16="http://schemas.microsoft.com/office/drawing/2014/main" xmlns="" id="{00000000-0008-0000-0000-000029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234" name="Text Box 3087">
          <a:extLst>
            <a:ext uri="{FF2B5EF4-FFF2-40B4-BE49-F238E27FC236}">
              <a16:creationId xmlns:a16="http://schemas.microsoft.com/office/drawing/2014/main" xmlns="" id="{00000000-0008-0000-0000-00002A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235" name="Text Box 3088">
          <a:extLst>
            <a:ext uri="{FF2B5EF4-FFF2-40B4-BE49-F238E27FC236}">
              <a16:creationId xmlns:a16="http://schemas.microsoft.com/office/drawing/2014/main" xmlns="" id="{00000000-0008-0000-0000-00002B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236" name="Text Box 3089">
          <a:extLst>
            <a:ext uri="{FF2B5EF4-FFF2-40B4-BE49-F238E27FC236}">
              <a16:creationId xmlns:a16="http://schemas.microsoft.com/office/drawing/2014/main" xmlns="" id="{00000000-0008-0000-0000-00002C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237" name="Text Box 3090">
          <a:extLst>
            <a:ext uri="{FF2B5EF4-FFF2-40B4-BE49-F238E27FC236}">
              <a16:creationId xmlns:a16="http://schemas.microsoft.com/office/drawing/2014/main" xmlns="" id="{00000000-0008-0000-0000-00002D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238" name="Text Box 3091">
          <a:extLst>
            <a:ext uri="{FF2B5EF4-FFF2-40B4-BE49-F238E27FC236}">
              <a16:creationId xmlns:a16="http://schemas.microsoft.com/office/drawing/2014/main" xmlns="" id="{00000000-0008-0000-0000-00002E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239" name="Text Box 3092">
          <a:extLst>
            <a:ext uri="{FF2B5EF4-FFF2-40B4-BE49-F238E27FC236}">
              <a16:creationId xmlns:a16="http://schemas.microsoft.com/office/drawing/2014/main" xmlns="" id="{00000000-0008-0000-0000-00002F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240" name="Text Box 3093">
          <a:extLst>
            <a:ext uri="{FF2B5EF4-FFF2-40B4-BE49-F238E27FC236}">
              <a16:creationId xmlns:a16="http://schemas.microsoft.com/office/drawing/2014/main" xmlns="" id="{00000000-0008-0000-0000-000030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241" name="Text Box 3094">
          <a:extLst>
            <a:ext uri="{FF2B5EF4-FFF2-40B4-BE49-F238E27FC236}">
              <a16:creationId xmlns:a16="http://schemas.microsoft.com/office/drawing/2014/main" xmlns="" id="{00000000-0008-0000-0000-000031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242" name="Text Box 3095">
          <a:extLst>
            <a:ext uri="{FF2B5EF4-FFF2-40B4-BE49-F238E27FC236}">
              <a16:creationId xmlns:a16="http://schemas.microsoft.com/office/drawing/2014/main" xmlns="" id="{00000000-0008-0000-0000-000032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243" name="Text Box 3096">
          <a:extLst>
            <a:ext uri="{FF2B5EF4-FFF2-40B4-BE49-F238E27FC236}">
              <a16:creationId xmlns:a16="http://schemas.microsoft.com/office/drawing/2014/main" xmlns="" id="{00000000-0008-0000-0000-000033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244" name="Text Box 3097">
          <a:extLst>
            <a:ext uri="{FF2B5EF4-FFF2-40B4-BE49-F238E27FC236}">
              <a16:creationId xmlns:a16="http://schemas.microsoft.com/office/drawing/2014/main" xmlns="" id="{00000000-0008-0000-0000-000034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245" name="Text Box 3098">
          <a:extLst>
            <a:ext uri="{FF2B5EF4-FFF2-40B4-BE49-F238E27FC236}">
              <a16:creationId xmlns:a16="http://schemas.microsoft.com/office/drawing/2014/main" xmlns="" id="{00000000-0008-0000-0000-000035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246" name="Text Box 3099">
          <a:extLst>
            <a:ext uri="{FF2B5EF4-FFF2-40B4-BE49-F238E27FC236}">
              <a16:creationId xmlns:a16="http://schemas.microsoft.com/office/drawing/2014/main" xmlns="" id="{00000000-0008-0000-0000-000036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247" name="Text Box 3100">
          <a:extLst>
            <a:ext uri="{FF2B5EF4-FFF2-40B4-BE49-F238E27FC236}">
              <a16:creationId xmlns:a16="http://schemas.microsoft.com/office/drawing/2014/main" xmlns="" id="{00000000-0008-0000-0000-000037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248" name="Text Box 3101">
          <a:extLst>
            <a:ext uri="{FF2B5EF4-FFF2-40B4-BE49-F238E27FC236}">
              <a16:creationId xmlns:a16="http://schemas.microsoft.com/office/drawing/2014/main" xmlns="" id="{00000000-0008-0000-0000-000038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8249" name="Text Box 3102">
          <a:extLst>
            <a:ext uri="{FF2B5EF4-FFF2-40B4-BE49-F238E27FC236}">
              <a16:creationId xmlns:a16="http://schemas.microsoft.com/office/drawing/2014/main" xmlns="" id="{00000000-0008-0000-0000-000039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250" name="Text Box 59">
          <a:extLst>
            <a:ext uri="{FF2B5EF4-FFF2-40B4-BE49-F238E27FC236}">
              <a16:creationId xmlns:a16="http://schemas.microsoft.com/office/drawing/2014/main" xmlns="" id="{00000000-0008-0000-0000-00003A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251" name="Text Box 60">
          <a:extLst>
            <a:ext uri="{FF2B5EF4-FFF2-40B4-BE49-F238E27FC236}">
              <a16:creationId xmlns:a16="http://schemas.microsoft.com/office/drawing/2014/main" xmlns="" id="{00000000-0008-0000-0000-00003B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252" name="Text Box 61">
          <a:extLst>
            <a:ext uri="{FF2B5EF4-FFF2-40B4-BE49-F238E27FC236}">
              <a16:creationId xmlns:a16="http://schemas.microsoft.com/office/drawing/2014/main" xmlns="" id="{00000000-0008-0000-0000-00003C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253" name="Text Box 62">
          <a:extLst>
            <a:ext uri="{FF2B5EF4-FFF2-40B4-BE49-F238E27FC236}">
              <a16:creationId xmlns:a16="http://schemas.microsoft.com/office/drawing/2014/main" xmlns="" id="{00000000-0008-0000-0000-00003D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254" name="Text Box 63">
          <a:extLst>
            <a:ext uri="{FF2B5EF4-FFF2-40B4-BE49-F238E27FC236}">
              <a16:creationId xmlns:a16="http://schemas.microsoft.com/office/drawing/2014/main" xmlns="" id="{00000000-0008-0000-0000-00003E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255" name="Text Box 64">
          <a:extLst>
            <a:ext uri="{FF2B5EF4-FFF2-40B4-BE49-F238E27FC236}">
              <a16:creationId xmlns:a16="http://schemas.microsoft.com/office/drawing/2014/main" xmlns="" id="{00000000-0008-0000-0000-00003F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256" name="Text Box 65">
          <a:extLst>
            <a:ext uri="{FF2B5EF4-FFF2-40B4-BE49-F238E27FC236}">
              <a16:creationId xmlns:a16="http://schemas.microsoft.com/office/drawing/2014/main" xmlns="" id="{00000000-0008-0000-0000-000040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257" name="Text Box 66">
          <a:extLst>
            <a:ext uri="{FF2B5EF4-FFF2-40B4-BE49-F238E27FC236}">
              <a16:creationId xmlns:a16="http://schemas.microsoft.com/office/drawing/2014/main" xmlns="" id="{00000000-0008-0000-0000-000041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258" name="Text Box 67">
          <a:extLst>
            <a:ext uri="{FF2B5EF4-FFF2-40B4-BE49-F238E27FC236}">
              <a16:creationId xmlns:a16="http://schemas.microsoft.com/office/drawing/2014/main" xmlns="" id="{00000000-0008-0000-0000-000042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259" name="Text Box 68">
          <a:extLst>
            <a:ext uri="{FF2B5EF4-FFF2-40B4-BE49-F238E27FC236}">
              <a16:creationId xmlns:a16="http://schemas.microsoft.com/office/drawing/2014/main" xmlns="" id="{00000000-0008-0000-0000-000043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260" name="Text Box 69">
          <a:extLst>
            <a:ext uri="{FF2B5EF4-FFF2-40B4-BE49-F238E27FC236}">
              <a16:creationId xmlns:a16="http://schemas.microsoft.com/office/drawing/2014/main" xmlns="" id="{00000000-0008-0000-0000-000044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261" name="Text Box 70">
          <a:extLst>
            <a:ext uri="{FF2B5EF4-FFF2-40B4-BE49-F238E27FC236}">
              <a16:creationId xmlns:a16="http://schemas.microsoft.com/office/drawing/2014/main" xmlns="" id="{00000000-0008-0000-0000-000045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262" name="Text Box 71">
          <a:extLst>
            <a:ext uri="{FF2B5EF4-FFF2-40B4-BE49-F238E27FC236}">
              <a16:creationId xmlns:a16="http://schemas.microsoft.com/office/drawing/2014/main" xmlns="" id="{00000000-0008-0000-0000-000046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263" name="Text Box 72">
          <a:extLst>
            <a:ext uri="{FF2B5EF4-FFF2-40B4-BE49-F238E27FC236}">
              <a16:creationId xmlns:a16="http://schemas.microsoft.com/office/drawing/2014/main" xmlns="" id="{00000000-0008-0000-0000-000047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264" name="Text Box 73">
          <a:extLst>
            <a:ext uri="{FF2B5EF4-FFF2-40B4-BE49-F238E27FC236}">
              <a16:creationId xmlns:a16="http://schemas.microsoft.com/office/drawing/2014/main" xmlns="" id="{00000000-0008-0000-0000-000048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265" name="Text Box 74">
          <a:extLst>
            <a:ext uri="{FF2B5EF4-FFF2-40B4-BE49-F238E27FC236}">
              <a16:creationId xmlns:a16="http://schemas.microsoft.com/office/drawing/2014/main" xmlns="" id="{00000000-0008-0000-0000-000049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266" name="Text Box 75">
          <a:extLst>
            <a:ext uri="{FF2B5EF4-FFF2-40B4-BE49-F238E27FC236}">
              <a16:creationId xmlns:a16="http://schemas.microsoft.com/office/drawing/2014/main" xmlns="" id="{00000000-0008-0000-0000-00004A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267" name="Text Box 76">
          <a:extLst>
            <a:ext uri="{FF2B5EF4-FFF2-40B4-BE49-F238E27FC236}">
              <a16:creationId xmlns:a16="http://schemas.microsoft.com/office/drawing/2014/main" xmlns="" id="{00000000-0008-0000-0000-00004B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268" name="Text Box 77">
          <a:extLst>
            <a:ext uri="{FF2B5EF4-FFF2-40B4-BE49-F238E27FC236}">
              <a16:creationId xmlns:a16="http://schemas.microsoft.com/office/drawing/2014/main" xmlns="" id="{00000000-0008-0000-0000-00004C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269" name="Text Box 78">
          <a:extLst>
            <a:ext uri="{FF2B5EF4-FFF2-40B4-BE49-F238E27FC236}">
              <a16:creationId xmlns:a16="http://schemas.microsoft.com/office/drawing/2014/main" xmlns="" id="{00000000-0008-0000-0000-00004D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270" name="Text Box 79">
          <a:extLst>
            <a:ext uri="{FF2B5EF4-FFF2-40B4-BE49-F238E27FC236}">
              <a16:creationId xmlns:a16="http://schemas.microsoft.com/office/drawing/2014/main" xmlns="" id="{00000000-0008-0000-0000-00004E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271" name="Text Box 80">
          <a:extLst>
            <a:ext uri="{FF2B5EF4-FFF2-40B4-BE49-F238E27FC236}">
              <a16:creationId xmlns:a16="http://schemas.microsoft.com/office/drawing/2014/main" xmlns="" id="{00000000-0008-0000-0000-00004F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272" name="Text Box 81">
          <a:extLst>
            <a:ext uri="{FF2B5EF4-FFF2-40B4-BE49-F238E27FC236}">
              <a16:creationId xmlns:a16="http://schemas.microsoft.com/office/drawing/2014/main" xmlns="" id="{00000000-0008-0000-0000-000050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47625"/>
    <xdr:sp macro="" textlink="">
      <xdr:nvSpPr>
        <xdr:cNvPr id="8273" name="Text Box 82">
          <a:extLst>
            <a:ext uri="{FF2B5EF4-FFF2-40B4-BE49-F238E27FC236}">
              <a16:creationId xmlns:a16="http://schemas.microsoft.com/office/drawing/2014/main" xmlns="" id="{00000000-0008-0000-0000-000051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274" name="Text Box 3079">
          <a:extLst>
            <a:ext uri="{FF2B5EF4-FFF2-40B4-BE49-F238E27FC236}">
              <a16:creationId xmlns:a16="http://schemas.microsoft.com/office/drawing/2014/main" xmlns="" id="{00000000-0008-0000-0000-000052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275" name="Text Box 3080">
          <a:extLst>
            <a:ext uri="{FF2B5EF4-FFF2-40B4-BE49-F238E27FC236}">
              <a16:creationId xmlns:a16="http://schemas.microsoft.com/office/drawing/2014/main" xmlns="" id="{00000000-0008-0000-0000-000053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276" name="Text Box 3081">
          <a:extLst>
            <a:ext uri="{FF2B5EF4-FFF2-40B4-BE49-F238E27FC236}">
              <a16:creationId xmlns:a16="http://schemas.microsoft.com/office/drawing/2014/main" xmlns="" id="{00000000-0008-0000-0000-000054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277" name="Text Box 3082">
          <a:extLst>
            <a:ext uri="{FF2B5EF4-FFF2-40B4-BE49-F238E27FC236}">
              <a16:creationId xmlns:a16="http://schemas.microsoft.com/office/drawing/2014/main" xmlns="" id="{00000000-0008-0000-0000-000055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278" name="Text Box 3083">
          <a:extLst>
            <a:ext uri="{FF2B5EF4-FFF2-40B4-BE49-F238E27FC236}">
              <a16:creationId xmlns:a16="http://schemas.microsoft.com/office/drawing/2014/main" xmlns="" id="{00000000-0008-0000-0000-000056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279" name="Text Box 3084">
          <a:extLst>
            <a:ext uri="{FF2B5EF4-FFF2-40B4-BE49-F238E27FC236}">
              <a16:creationId xmlns:a16="http://schemas.microsoft.com/office/drawing/2014/main" xmlns="" id="{00000000-0008-0000-0000-000057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280" name="Text Box 3085">
          <a:extLst>
            <a:ext uri="{FF2B5EF4-FFF2-40B4-BE49-F238E27FC236}">
              <a16:creationId xmlns:a16="http://schemas.microsoft.com/office/drawing/2014/main" xmlns="" id="{00000000-0008-0000-0000-000058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281" name="Text Box 3086">
          <a:extLst>
            <a:ext uri="{FF2B5EF4-FFF2-40B4-BE49-F238E27FC236}">
              <a16:creationId xmlns:a16="http://schemas.microsoft.com/office/drawing/2014/main" xmlns="" id="{00000000-0008-0000-0000-000059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282" name="Text Box 3087">
          <a:extLst>
            <a:ext uri="{FF2B5EF4-FFF2-40B4-BE49-F238E27FC236}">
              <a16:creationId xmlns:a16="http://schemas.microsoft.com/office/drawing/2014/main" xmlns="" id="{00000000-0008-0000-0000-00005A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283" name="Text Box 3088">
          <a:extLst>
            <a:ext uri="{FF2B5EF4-FFF2-40B4-BE49-F238E27FC236}">
              <a16:creationId xmlns:a16="http://schemas.microsoft.com/office/drawing/2014/main" xmlns="" id="{00000000-0008-0000-0000-00005B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284" name="Text Box 3089">
          <a:extLst>
            <a:ext uri="{FF2B5EF4-FFF2-40B4-BE49-F238E27FC236}">
              <a16:creationId xmlns:a16="http://schemas.microsoft.com/office/drawing/2014/main" xmlns="" id="{00000000-0008-0000-0000-00005C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285" name="Text Box 3090">
          <a:extLst>
            <a:ext uri="{FF2B5EF4-FFF2-40B4-BE49-F238E27FC236}">
              <a16:creationId xmlns:a16="http://schemas.microsoft.com/office/drawing/2014/main" xmlns="" id="{00000000-0008-0000-0000-00005D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286" name="Text Box 3091">
          <a:extLst>
            <a:ext uri="{FF2B5EF4-FFF2-40B4-BE49-F238E27FC236}">
              <a16:creationId xmlns:a16="http://schemas.microsoft.com/office/drawing/2014/main" xmlns="" id="{00000000-0008-0000-0000-00005E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287" name="Text Box 3092">
          <a:extLst>
            <a:ext uri="{FF2B5EF4-FFF2-40B4-BE49-F238E27FC236}">
              <a16:creationId xmlns:a16="http://schemas.microsoft.com/office/drawing/2014/main" xmlns="" id="{00000000-0008-0000-0000-00005F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288" name="Text Box 3093">
          <a:extLst>
            <a:ext uri="{FF2B5EF4-FFF2-40B4-BE49-F238E27FC236}">
              <a16:creationId xmlns:a16="http://schemas.microsoft.com/office/drawing/2014/main" xmlns="" id="{00000000-0008-0000-0000-000060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289" name="Text Box 3094">
          <a:extLst>
            <a:ext uri="{FF2B5EF4-FFF2-40B4-BE49-F238E27FC236}">
              <a16:creationId xmlns:a16="http://schemas.microsoft.com/office/drawing/2014/main" xmlns="" id="{00000000-0008-0000-0000-000061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290" name="Text Box 3095">
          <a:extLst>
            <a:ext uri="{FF2B5EF4-FFF2-40B4-BE49-F238E27FC236}">
              <a16:creationId xmlns:a16="http://schemas.microsoft.com/office/drawing/2014/main" xmlns="" id="{00000000-0008-0000-0000-000062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291" name="Text Box 3096">
          <a:extLst>
            <a:ext uri="{FF2B5EF4-FFF2-40B4-BE49-F238E27FC236}">
              <a16:creationId xmlns:a16="http://schemas.microsoft.com/office/drawing/2014/main" xmlns="" id="{00000000-0008-0000-0000-000063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292" name="Text Box 3097">
          <a:extLst>
            <a:ext uri="{FF2B5EF4-FFF2-40B4-BE49-F238E27FC236}">
              <a16:creationId xmlns:a16="http://schemas.microsoft.com/office/drawing/2014/main" xmlns="" id="{00000000-0008-0000-0000-000064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293" name="Text Box 3098">
          <a:extLst>
            <a:ext uri="{FF2B5EF4-FFF2-40B4-BE49-F238E27FC236}">
              <a16:creationId xmlns:a16="http://schemas.microsoft.com/office/drawing/2014/main" xmlns="" id="{00000000-0008-0000-0000-000065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294" name="Text Box 3099">
          <a:extLst>
            <a:ext uri="{FF2B5EF4-FFF2-40B4-BE49-F238E27FC236}">
              <a16:creationId xmlns:a16="http://schemas.microsoft.com/office/drawing/2014/main" xmlns="" id="{00000000-0008-0000-0000-000066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295" name="Text Box 3100">
          <a:extLst>
            <a:ext uri="{FF2B5EF4-FFF2-40B4-BE49-F238E27FC236}">
              <a16:creationId xmlns:a16="http://schemas.microsoft.com/office/drawing/2014/main" xmlns="" id="{00000000-0008-0000-0000-000067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296" name="Text Box 3101">
          <a:extLst>
            <a:ext uri="{FF2B5EF4-FFF2-40B4-BE49-F238E27FC236}">
              <a16:creationId xmlns:a16="http://schemas.microsoft.com/office/drawing/2014/main" xmlns="" id="{00000000-0008-0000-0000-000068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8297" name="Text Box 3102">
          <a:extLst>
            <a:ext uri="{FF2B5EF4-FFF2-40B4-BE49-F238E27FC236}">
              <a16:creationId xmlns:a16="http://schemas.microsoft.com/office/drawing/2014/main" xmlns="" id="{00000000-0008-0000-0000-000069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298" name="Text Box 59">
          <a:extLst>
            <a:ext uri="{FF2B5EF4-FFF2-40B4-BE49-F238E27FC236}">
              <a16:creationId xmlns:a16="http://schemas.microsoft.com/office/drawing/2014/main" xmlns="" id="{00000000-0008-0000-0000-00006A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299" name="Text Box 60">
          <a:extLst>
            <a:ext uri="{FF2B5EF4-FFF2-40B4-BE49-F238E27FC236}">
              <a16:creationId xmlns:a16="http://schemas.microsoft.com/office/drawing/2014/main" xmlns="" id="{00000000-0008-0000-0000-00006B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300" name="Text Box 61">
          <a:extLst>
            <a:ext uri="{FF2B5EF4-FFF2-40B4-BE49-F238E27FC236}">
              <a16:creationId xmlns:a16="http://schemas.microsoft.com/office/drawing/2014/main" xmlns="" id="{00000000-0008-0000-0000-00006C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301" name="Text Box 62">
          <a:extLst>
            <a:ext uri="{FF2B5EF4-FFF2-40B4-BE49-F238E27FC236}">
              <a16:creationId xmlns:a16="http://schemas.microsoft.com/office/drawing/2014/main" xmlns="" id="{00000000-0008-0000-0000-00006D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302" name="Text Box 63">
          <a:extLst>
            <a:ext uri="{FF2B5EF4-FFF2-40B4-BE49-F238E27FC236}">
              <a16:creationId xmlns:a16="http://schemas.microsoft.com/office/drawing/2014/main" xmlns="" id="{00000000-0008-0000-0000-00006E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303" name="Text Box 64">
          <a:extLst>
            <a:ext uri="{FF2B5EF4-FFF2-40B4-BE49-F238E27FC236}">
              <a16:creationId xmlns:a16="http://schemas.microsoft.com/office/drawing/2014/main" xmlns="" id="{00000000-0008-0000-0000-00006F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304" name="Text Box 65">
          <a:extLst>
            <a:ext uri="{FF2B5EF4-FFF2-40B4-BE49-F238E27FC236}">
              <a16:creationId xmlns:a16="http://schemas.microsoft.com/office/drawing/2014/main" xmlns="" id="{00000000-0008-0000-0000-000070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305" name="Text Box 66">
          <a:extLst>
            <a:ext uri="{FF2B5EF4-FFF2-40B4-BE49-F238E27FC236}">
              <a16:creationId xmlns:a16="http://schemas.microsoft.com/office/drawing/2014/main" xmlns="" id="{00000000-0008-0000-0000-000071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306" name="Text Box 67">
          <a:extLst>
            <a:ext uri="{FF2B5EF4-FFF2-40B4-BE49-F238E27FC236}">
              <a16:creationId xmlns:a16="http://schemas.microsoft.com/office/drawing/2014/main" xmlns="" id="{00000000-0008-0000-0000-000072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307" name="Text Box 68">
          <a:extLst>
            <a:ext uri="{FF2B5EF4-FFF2-40B4-BE49-F238E27FC236}">
              <a16:creationId xmlns:a16="http://schemas.microsoft.com/office/drawing/2014/main" xmlns="" id="{00000000-0008-0000-0000-000073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308" name="Text Box 69">
          <a:extLst>
            <a:ext uri="{FF2B5EF4-FFF2-40B4-BE49-F238E27FC236}">
              <a16:creationId xmlns:a16="http://schemas.microsoft.com/office/drawing/2014/main" xmlns="" id="{00000000-0008-0000-0000-000074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309" name="Text Box 70">
          <a:extLst>
            <a:ext uri="{FF2B5EF4-FFF2-40B4-BE49-F238E27FC236}">
              <a16:creationId xmlns:a16="http://schemas.microsoft.com/office/drawing/2014/main" xmlns="" id="{00000000-0008-0000-0000-000075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310" name="Text Box 71">
          <a:extLst>
            <a:ext uri="{FF2B5EF4-FFF2-40B4-BE49-F238E27FC236}">
              <a16:creationId xmlns:a16="http://schemas.microsoft.com/office/drawing/2014/main" xmlns="" id="{00000000-0008-0000-0000-000076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311" name="Text Box 72">
          <a:extLst>
            <a:ext uri="{FF2B5EF4-FFF2-40B4-BE49-F238E27FC236}">
              <a16:creationId xmlns:a16="http://schemas.microsoft.com/office/drawing/2014/main" xmlns="" id="{00000000-0008-0000-0000-000077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312" name="Text Box 73">
          <a:extLst>
            <a:ext uri="{FF2B5EF4-FFF2-40B4-BE49-F238E27FC236}">
              <a16:creationId xmlns:a16="http://schemas.microsoft.com/office/drawing/2014/main" xmlns="" id="{00000000-0008-0000-0000-000078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313" name="Text Box 74">
          <a:extLst>
            <a:ext uri="{FF2B5EF4-FFF2-40B4-BE49-F238E27FC236}">
              <a16:creationId xmlns:a16="http://schemas.microsoft.com/office/drawing/2014/main" xmlns="" id="{00000000-0008-0000-0000-000079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314" name="Text Box 75">
          <a:extLst>
            <a:ext uri="{FF2B5EF4-FFF2-40B4-BE49-F238E27FC236}">
              <a16:creationId xmlns:a16="http://schemas.microsoft.com/office/drawing/2014/main" xmlns="" id="{00000000-0008-0000-0000-00007A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315" name="Text Box 76">
          <a:extLst>
            <a:ext uri="{FF2B5EF4-FFF2-40B4-BE49-F238E27FC236}">
              <a16:creationId xmlns:a16="http://schemas.microsoft.com/office/drawing/2014/main" xmlns="" id="{00000000-0008-0000-0000-00007B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316" name="Text Box 77">
          <a:extLst>
            <a:ext uri="{FF2B5EF4-FFF2-40B4-BE49-F238E27FC236}">
              <a16:creationId xmlns:a16="http://schemas.microsoft.com/office/drawing/2014/main" xmlns="" id="{00000000-0008-0000-0000-00007C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317" name="Text Box 78">
          <a:extLst>
            <a:ext uri="{FF2B5EF4-FFF2-40B4-BE49-F238E27FC236}">
              <a16:creationId xmlns:a16="http://schemas.microsoft.com/office/drawing/2014/main" xmlns="" id="{00000000-0008-0000-0000-00007D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318" name="Text Box 79">
          <a:extLst>
            <a:ext uri="{FF2B5EF4-FFF2-40B4-BE49-F238E27FC236}">
              <a16:creationId xmlns:a16="http://schemas.microsoft.com/office/drawing/2014/main" xmlns="" id="{00000000-0008-0000-0000-00007E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319" name="Text Box 80">
          <a:extLst>
            <a:ext uri="{FF2B5EF4-FFF2-40B4-BE49-F238E27FC236}">
              <a16:creationId xmlns:a16="http://schemas.microsoft.com/office/drawing/2014/main" xmlns="" id="{00000000-0008-0000-0000-00007F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320" name="Text Box 81">
          <a:extLst>
            <a:ext uri="{FF2B5EF4-FFF2-40B4-BE49-F238E27FC236}">
              <a16:creationId xmlns:a16="http://schemas.microsoft.com/office/drawing/2014/main" xmlns="" id="{00000000-0008-0000-0000-000080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321" name="Text Box 3079">
          <a:extLst>
            <a:ext uri="{FF2B5EF4-FFF2-40B4-BE49-F238E27FC236}">
              <a16:creationId xmlns:a16="http://schemas.microsoft.com/office/drawing/2014/main" xmlns="" id="{00000000-0008-0000-0000-000081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322" name="Text Box 3080">
          <a:extLst>
            <a:ext uri="{FF2B5EF4-FFF2-40B4-BE49-F238E27FC236}">
              <a16:creationId xmlns:a16="http://schemas.microsoft.com/office/drawing/2014/main" xmlns="" id="{00000000-0008-0000-0000-000082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323" name="Text Box 3081">
          <a:extLst>
            <a:ext uri="{FF2B5EF4-FFF2-40B4-BE49-F238E27FC236}">
              <a16:creationId xmlns:a16="http://schemas.microsoft.com/office/drawing/2014/main" xmlns="" id="{00000000-0008-0000-0000-000083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324" name="Text Box 3082">
          <a:extLst>
            <a:ext uri="{FF2B5EF4-FFF2-40B4-BE49-F238E27FC236}">
              <a16:creationId xmlns:a16="http://schemas.microsoft.com/office/drawing/2014/main" xmlns="" id="{00000000-0008-0000-0000-000084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325" name="Text Box 3083">
          <a:extLst>
            <a:ext uri="{FF2B5EF4-FFF2-40B4-BE49-F238E27FC236}">
              <a16:creationId xmlns:a16="http://schemas.microsoft.com/office/drawing/2014/main" xmlns="" id="{00000000-0008-0000-0000-000085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326" name="Text Box 3084">
          <a:extLst>
            <a:ext uri="{FF2B5EF4-FFF2-40B4-BE49-F238E27FC236}">
              <a16:creationId xmlns:a16="http://schemas.microsoft.com/office/drawing/2014/main" xmlns="" id="{00000000-0008-0000-0000-000086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327" name="Text Box 3085">
          <a:extLst>
            <a:ext uri="{FF2B5EF4-FFF2-40B4-BE49-F238E27FC236}">
              <a16:creationId xmlns:a16="http://schemas.microsoft.com/office/drawing/2014/main" xmlns="" id="{00000000-0008-0000-0000-000087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328" name="Text Box 3086">
          <a:extLst>
            <a:ext uri="{FF2B5EF4-FFF2-40B4-BE49-F238E27FC236}">
              <a16:creationId xmlns:a16="http://schemas.microsoft.com/office/drawing/2014/main" xmlns="" id="{00000000-0008-0000-0000-000088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329" name="Text Box 3087">
          <a:extLst>
            <a:ext uri="{FF2B5EF4-FFF2-40B4-BE49-F238E27FC236}">
              <a16:creationId xmlns:a16="http://schemas.microsoft.com/office/drawing/2014/main" xmlns="" id="{00000000-0008-0000-0000-000089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330" name="Text Box 3088">
          <a:extLst>
            <a:ext uri="{FF2B5EF4-FFF2-40B4-BE49-F238E27FC236}">
              <a16:creationId xmlns:a16="http://schemas.microsoft.com/office/drawing/2014/main" xmlns="" id="{00000000-0008-0000-0000-00008A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331" name="Text Box 3089">
          <a:extLst>
            <a:ext uri="{FF2B5EF4-FFF2-40B4-BE49-F238E27FC236}">
              <a16:creationId xmlns:a16="http://schemas.microsoft.com/office/drawing/2014/main" xmlns="" id="{00000000-0008-0000-0000-00008B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332" name="Text Box 3090">
          <a:extLst>
            <a:ext uri="{FF2B5EF4-FFF2-40B4-BE49-F238E27FC236}">
              <a16:creationId xmlns:a16="http://schemas.microsoft.com/office/drawing/2014/main" xmlns="" id="{00000000-0008-0000-0000-00008C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333" name="Text Box 3091">
          <a:extLst>
            <a:ext uri="{FF2B5EF4-FFF2-40B4-BE49-F238E27FC236}">
              <a16:creationId xmlns:a16="http://schemas.microsoft.com/office/drawing/2014/main" xmlns="" id="{00000000-0008-0000-0000-00008D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334" name="Text Box 3092">
          <a:extLst>
            <a:ext uri="{FF2B5EF4-FFF2-40B4-BE49-F238E27FC236}">
              <a16:creationId xmlns:a16="http://schemas.microsoft.com/office/drawing/2014/main" xmlns="" id="{00000000-0008-0000-0000-00008E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335" name="Text Box 3093">
          <a:extLst>
            <a:ext uri="{FF2B5EF4-FFF2-40B4-BE49-F238E27FC236}">
              <a16:creationId xmlns:a16="http://schemas.microsoft.com/office/drawing/2014/main" xmlns="" id="{00000000-0008-0000-0000-00008F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336" name="Text Box 3094">
          <a:extLst>
            <a:ext uri="{FF2B5EF4-FFF2-40B4-BE49-F238E27FC236}">
              <a16:creationId xmlns:a16="http://schemas.microsoft.com/office/drawing/2014/main" xmlns="" id="{00000000-0008-0000-0000-000090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337" name="Text Box 3095">
          <a:extLst>
            <a:ext uri="{FF2B5EF4-FFF2-40B4-BE49-F238E27FC236}">
              <a16:creationId xmlns:a16="http://schemas.microsoft.com/office/drawing/2014/main" xmlns="" id="{00000000-0008-0000-0000-000091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338" name="Text Box 3096">
          <a:extLst>
            <a:ext uri="{FF2B5EF4-FFF2-40B4-BE49-F238E27FC236}">
              <a16:creationId xmlns:a16="http://schemas.microsoft.com/office/drawing/2014/main" xmlns="" id="{00000000-0008-0000-0000-000092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339" name="Text Box 3097">
          <a:extLst>
            <a:ext uri="{FF2B5EF4-FFF2-40B4-BE49-F238E27FC236}">
              <a16:creationId xmlns:a16="http://schemas.microsoft.com/office/drawing/2014/main" xmlns="" id="{00000000-0008-0000-0000-000093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340" name="Text Box 3098">
          <a:extLst>
            <a:ext uri="{FF2B5EF4-FFF2-40B4-BE49-F238E27FC236}">
              <a16:creationId xmlns:a16="http://schemas.microsoft.com/office/drawing/2014/main" xmlns="" id="{00000000-0008-0000-0000-000094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341" name="Text Box 3099">
          <a:extLst>
            <a:ext uri="{FF2B5EF4-FFF2-40B4-BE49-F238E27FC236}">
              <a16:creationId xmlns:a16="http://schemas.microsoft.com/office/drawing/2014/main" xmlns="" id="{00000000-0008-0000-0000-000095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342" name="Text Box 3100">
          <a:extLst>
            <a:ext uri="{FF2B5EF4-FFF2-40B4-BE49-F238E27FC236}">
              <a16:creationId xmlns:a16="http://schemas.microsoft.com/office/drawing/2014/main" xmlns="" id="{00000000-0008-0000-0000-000096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343" name="Text Box 3101">
          <a:extLst>
            <a:ext uri="{FF2B5EF4-FFF2-40B4-BE49-F238E27FC236}">
              <a16:creationId xmlns:a16="http://schemas.microsoft.com/office/drawing/2014/main" xmlns="" id="{00000000-0008-0000-0000-000097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8344" name="Text Box 3102">
          <a:extLst>
            <a:ext uri="{FF2B5EF4-FFF2-40B4-BE49-F238E27FC236}">
              <a16:creationId xmlns:a16="http://schemas.microsoft.com/office/drawing/2014/main" xmlns="" id="{00000000-0008-0000-0000-000098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345" name="Text Box 59">
          <a:extLst>
            <a:ext uri="{FF2B5EF4-FFF2-40B4-BE49-F238E27FC236}">
              <a16:creationId xmlns:a16="http://schemas.microsoft.com/office/drawing/2014/main" xmlns="" id="{00000000-0008-0000-0000-000099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346" name="Text Box 60">
          <a:extLst>
            <a:ext uri="{FF2B5EF4-FFF2-40B4-BE49-F238E27FC236}">
              <a16:creationId xmlns:a16="http://schemas.microsoft.com/office/drawing/2014/main" xmlns="" id="{00000000-0008-0000-0000-00009A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347" name="Text Box 61">
          <a:extLst>
            <a:ext uri="{FF2B5EF4-FFF2-40B4-BE49-F238E27FC236}">
              <a16:creationId xmlns:a16="http://schemas.microsoft.com/office/drawing/2014/main" xmlns="" id="{00000000-0008-0000-0000-00009B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348" name="Text Box 62">
          <a:extLst>
            <a:ext uri="{FF2B5EF4-FFF2-40B4-BE49-F238E27FC236}">
              <a16:creationId xmlns:a16="http://schemas.microsoft.com/office/drawing/2014/main" xmlns="" id="{00000000-0008-0000-0000-00009C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349" name="Text Box 63">
          <a:extLst>
            <a:ext uri="{FF2B5EF4-FFF2-40B4-BE49-F238E27FC236}">
              <a16:creationId xmlns:a16="http://schemas.microsoft.com/office/drawing/2014/main" xmlns="" id="{00000000-0008-0000-0000-00009D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350" name="Text Box 64">
          <a:extLst>
            <a:ext uri="{FF2B5EF4-FFF2-40B4-BE49-F238E27FC236}">
              <a16:creationId xmlns:a16="http://schemas.microsoft.com/office/drawing/2014/main" xmlns="" id="{00000000-0008-0000-0000-00009E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351" name="Text Box 65">
          <a:extLst>
            <a:ext uri="{FF2B5EF4-FFF2-40B4-BE49-F238E27FC236}">
              <a16:creationId xmlns:a16="http://schemas.microsoft.com/office/drawing/2014/main" xmlns="" id="{00000000-0008-0000-0000-00009F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352" name="Text Box 66">
          <a:extLst>
            <a:ext uri="{FF2B5EF4-FFF2-40B4-BE49-F238E27FC236}">
              <a16:creationId xmlns:a16="http://schemas.microsoft.com/office/drawing/2014/main" xmlns="" id="{00000000-0008-0000-0000-0000A0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353" name="Text Box 67">
          <a:extLst>
            <a:ext uri="{FF2B5EF4-FFF2-40B4-BE49-F238E27FC236}">
              <a16:creationId xmlns:a16="http://schemas.microsoft.com/office/drawing/2014/main" xmlns="" id="{00000000-0008-0000-0000-0000A1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354" name="Text Box 68">
          <a:extLst>
            <a:ext uri="{FF2B5EF4-FFF2-40B4-BE49-F238E27FC236}">
              <a16:creationId xmlns:a16="http://schemas.microsoft.com/office/drawing/2014/main" xmlns="" id="{00000000-0008-0000-0000-0000A2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355" name="Text Box 69">
          <a:extLst>
            <a:ext uri="{FF2B5EF4-FFF2-40B4-BE49-F238E27FC236}">
              <a16:creationId xmlns:a16="http://schemas.microsoft.com/office/drawing/2014/main" xmlns="" id="{00000000-0008-0000-0000-0000A3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356" name="Text Box 70">
          <a:extLst>
            <a:ext uri="{FF2B5EF4-FFF2-40B4-BE49-F238E27FC236}">
              <a16:creationId xmlns:a16="http://schemas.microsoft.com/office/drawing/2014/main" xmlns="" id="{00000000-0008-0000-0000-0000A4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357" name="Text Box 71">
          <a:extLst>
            <a:ext uri="{FF2B5EF4-FFF2-40B4-BE49-F238E27FC236}">
              <a16:creationId xmlns:a16="http://schemas.microsoft.com/office/drawing/2014/main" xmlns="" id="{00000000-0008-0000-0000-0000A5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358" name="Text Box 72">
          <a:extLst>
            <a:ext uri="{FF2B5EF4-FFF2-40B4-BE49-F238E27FC236}">
              <a16:creationId xmlns:a16="http://schemas.microsoft.com/office/drawing/2014/main" xmlns="" id="{00000000-0008-0000-0000-0000A6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359" name="Text Box 73">
          <a:extLst>
            <a:ext uri="{FF2B5EF4-FFF2-40B4-BE49-F238E27FC236}">
              <a16:creationId xmlns:a16="http://schemas.microsoft.com/office/drawing/2014/main" xmlns="" id="{00000000-0008-0000-0000-0000A7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360" name="Text Box 74">
          <a:extLst>
            <a:ext uri="{FF2B5EF4-FFF2-40B4-BE49-F238E27FC236}">
              <a16:creationId xmlns:a16="http://schemas.microsoft.com/office/drawing/2014/main" xmlns="" id="{00000000-0008-0000-0000-0000A8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361" name="Text Box 75">
          <a:extLst>
            <a:ext uri="{FF2B5EF4-FFF2-40B4-BE49-F238E27FC236}">
              <a16:creationId xmlns:a16="http://schemas.microsoft.com/office/drawing/2014/main" xmlns="" id="{00000000-0008-0000-0000-0000A9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362" name="Text Box 76">
          <a:extLst>
            <a:ext uri="{FF2B5EF4-FFF2-40B4-BE49-F238E27FC236}">
              <a16:creationId xmlns:a16="http://schemas.microsoft.com/office/drawing/2014/main" xmlns="" id="{00000000-0008-0000-0000-0000AA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363" name="Text Box 77">
          <a:extLst>
            <a:ext uri="{FF2B5EF4-FFF2-40B4-BE49-F238E27FC236}">
              <a16:creationId xmlns:a16="http://schemas.microsoft.com/office/drawing/2014/main" xmlns="" id="{00000000-0008-0000-0000-0000AB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364" name="Text Box 78">
          <a:extLst>
            <a:ext uri="{FF2B5EF4-FFF2-40B4-BE49-F238E27FC236}">
              <a16:creationId xmlns:a16="http://schemas.microsoft.com/office/drawing/2014/main" xmlns="" id="{00000000-0008-0000-0000-0000AC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365" name="Text Box 79">
          <a:extLst>
            <a:ext uri="{FF2B5EF4-FFF2-40B4-BE49-F238E27FC236}">
              <a16:creationId xmlns:a16="http://schemas.microsoft.com/office/drawing/2014/main" xmlns="" id="{00000000-0008-0000-0000-0000AD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366" name="Text Box 80">
          <a:extLst>
            <a:ext uri="{FF2B5EF4-FFF2-40B4-BE49-F238E27FC236}">
              <a16:creationId xmlns:a16="http://schemas.microsoft.com/office/drawing/2014/main" xmlns="" id="{00000000-0008-0000-0000-0000AE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367" name="Text Box 81">
          <a:extLst>
            <a:ext uri="{FF2B5EF4-FFF2-40B4-BE49-F238E27FC236}">
              <a16:creationId xmlns:a16="http://schemas.microsoft.com/office/drawing/2014/main" xmlns="" id="{00000000-0008-0000-0000-0000AF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47625"/>
    <xdr:sp macro="" textlink="">
      <xdr:nvSpPr>
        <xdr:cNvPr id="8368" name="Text Box 82">
          <a:extLst>
            <a:ext uri="{FF2B5EF4-FFF2-40B4-BE49-F238E27FC236}">
              <a16:creationId xmlns:a16="http://schemas.microsoft.com/office/drawing/2014/main" xmlns="" id="{00000000-0008-0000-0000-0000B0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369" name="Text Box 3079">
          <a:extLst>
            <a:ext uri="{FF2B5EF4-FFF2-40B4-BE49-F238E27FC236}">
              <a16:creationId xmlns:a16="http://schemas.microsoft.com/office/drawing/2014/main" xmlns="" id="{00000000-0008-0000-0000-0000B1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370" name="Text Box 3080">
          <a:extLst>
            <a:ext uri="{FF2B5EF4-FFF2-40B4-BE49-F238E27FC236}">
              <a16:creationId xmlns:a16="http://schemas.microsoft.com/office/drawing/2014/main" xmlns="" id="{00000000-0008-0000-0000-0000B2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371" name="Text Box 3081">
          <a:extLst>
            <a:ext uri="{FF2B5EF4-FFF2-40B4-BE49-F238E27FC236}">
              <a16:creationId xmlns:a16="http://schemas.microsoft.com/office/drawing/2014/main" xmlns="" id="{00000000-0008-0000-0000-0000B3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372" name="Text Box 3082">
          <a:extLst>
            <a:ext uri="{FF2B5EF4-FFF2-40B4-BE49-F238E27FC236}">
              <a16:creationId xmlns:a16="http://schemas.microsoft.com/office/drawing/2014/main" xmlns="" id="{00000000-0008-0000-0000-0000B4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373" name="Text Box 3083">
          <a:extLst>
            <a:ext uri="{FF2B5EF4-FFF2-40B4-BE49-F238E27FC236}">
              <a16:creationId xmlns:a16="http://schemas.microsoft.com/office/drawing/2014/main" xmlns="" id="{00000000-0008-0000-0000-0000B5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374" name="Text Box 3084">
          <a:extLst>
            <a:ext uri="{FF2B5EF4-FFF2-40B4-BE49-F238E27FC236}">
              <a16:creationId xmlns:a16="http://schemas.microsoft.com/office/drawing/2014/main" xmlns="" id="{00000000-0008-0000-0000-0000B6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375" name="Text Box 3085">
          <a:extLst>
            <a:ext uri="{FF2B5EF4-FFF2-40B4-BE49-F238E27FC236}">
              <a16:creationId xmlns:a16="http://schemas.microsoft.com/office/drawing/2014/main" xmlns="" id="{00000000-0008-0000-0000-0000B7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376" name="Text Box 3086">
          <a:extLst>
            <a:ext uri="{FF2B5EF4-FFF2-40B4-BE49-F238E27FC236}">
              <a16:creationId xmlns:a16="http://schemas.microsoft.com/office/drawing/2014/main" xmlns="" id="{00000000-0008-0000-0000-0000B8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377" name="Text Box 3087">
          <a:extLst>
            <a:ext uri="{FF2B5EF4-FFF2-40B4-BE49-F238E27FC236}">
              <a16:creationId xmlns:a16="http://schemas.microsoft.com/office/drawing/2014/main" xmlns="" id="{00000000-0008-0000-0000-0000B9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378" name="Text Box 3088">
          <a:extLst>
            <a:ext uri="{FF2B5EF4-FFF2-40B4-BE49-F238E27FC236}">
              <a16:creationId xmlns:a16="http://schemas.microsoft.com/office/drawing/2014/main" xmlns="" id="{00000000-0008-0000-0000-0000BA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379" name="Text Box 3089">
          <a:extLst>
            <a:ext uri="{FF2B5EF4-FFF2-40B4-BE49-F238E27FC236}">
              <a16:creationId xmlns:a16="http://schemas.microsoft.com/office/drawing/2014/main" xmlns="" id="{00000000-0008-0000-0000-0000BB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380" name="Text Box 3090">
          <a:extLst>
            <a:ext uri="{FF2B5EF4-FFF2-40B4-BE49-F238E27FC236}">
              <a16:creationId xmlns:a16="http://schemas.microsoft.com/office/drawing/2014/main" xmlns="" id="{00000000-0008-0000-0000-0000BC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381" name="Text Box 3091">
          <a:extLst>
            <a:ext uri="{FF2B5EF4-FFF2-40B4-BE49-F238E27FC236}">
              <a16:creationId xmlns:a16="http://schemas.microsoft.com/office/drawing/2014/main" xmlns="" id="{00000000-0008-0000-0000-0000BD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382" name="Text Box 3092">
          <a:extLst>
            <a:ext uri="{FF2B5EF4-FFF2-40B4-BE49-F238E27FC236}">
              <a16:creationId xmlns:a16="http://schemas.microsoft.com/office/drawing/2014/main" xmlns="" id="{00000000-0008-0000-0000-0000BE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383" name="Text Box 3093">
          <a:extLst>
            <a:ext uri="{FF2B5EF4-FFF2-40B4-BE49-F238E27FC236}">
              <a16:creationId xmlns:a16="http://schemas.microsoft.com/office/drawing/2014/main" xmlns="" id="{00000000-0008-0000-0000-0000BF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384" name="Text Box 3094">
          <a:extLst>
            <a:ext uri="{FF2B5EF4-FFF2-40B4-BE49-F238E27FC236}">
              <a16:creationId xmlns:a16="http://schemas.microsoft.com/office/drawing/2014/main" xmlns="" id="{00000000-0008-0000-0000-0000C0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385" name="Text Box 3095">
          <a:extLst>
            <a:ext uri="{FF2B5EF4-FFF2-40B4-BE49-F238E27FC236}">
              <a16:creationId xmlns:a16="http://schemas.microsoft.com/office/drawing/2014/main" xmlns="" id="{00000000-0008-0000-0000-0000C1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386" name="Text Box 3096">
          <a:extLst>
            <a:ext uri="{FF2B5EF4-FFF2-40B4-BE49-F238E27FC236}">
              <a16:creationId xmlns:a16="http://schemas.microsoft.com/office/drawing/2014/main" xmlns="" id="{00000000-0008-0000-0000-0000C2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387" name="Text Box 3097">
          <a:extLst>
            <a:ext uri="{FF2B5EF4-FFF2-40B4-BE49-F238E27FC236}">
              <a16:creationId xmlns:a16="http://schemas.microsoft.com/office/drawing/2014/main" xmlns="" id="{00000000-0008-0000-0000-0000C3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388" name="Text Box 3098">
          <a:extLst>
            <a:ext uri="{FF2B5EF4-FFF2-40B4-BE49-F238E27FC236}">
              <a16:creationId xmlns:a16="http://schemas.microsoft.com/office/drawing/2014/main" xmlns="" id="{00000000-0008-0000-0000-0000C4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389" name="Text Box 3099">
          <a:extLst>
            <a:ext uri="{FF2B5EF4-FFF2-40B4-BE49-F238E27FC236}">
              <a16:creationId xmlns:a16="http://schemas.microsoft.com/office/drawing/2014/main" xmlns="" id="{00000000-0008-0000-0000-0000C5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390" name="Text Box 3100">
          <a:extLst>
            <a:ext uri="{FF2B5EF4-FFF2-40B4-BE49-F238E27FC236}">
              <a16:creationId xmlns:a16="http://schemas.microsoft.com/office/drawing/2014/main" xmlns="" id="{00000000-0008-0000-0000-0000C6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391" name="Text Box 3101">
          <a:extLst>
            <a:ext uri="{FF2B5EF4-FFF2-40B4-BE49-F238E27FC236}">
              <a16:creationId xmlns:a16="http://schemas.microsoft.com/office/drawing/2014/main" xmlns="" id="{00000000-0008-0000-0000-0000C7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8392" name="Text Box 3102">
          <a:extLst>
            <a:ext uri="{FF2B5EF4-FFF2-40B4-BE49-F238E27FC236}">
              <a16:creationId xmlns:a16="http://schemas.microsoft.com/office/drawing/2014/main" xmlns="" id="{00000000-0008-0000-0000-0000C8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393" name="Text Box 59">
          <a:extLst>
            <a:ext uri="{FF2B5EF4-FFF2-40B4-BE49-F238E27FC236}">
              <a16:creationId xmlns:a16="http://schemas.microsoft.com/office/drawing/2014/main" xmlns="" id="{00000000-0008-0000-0000-0000C9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394" name="Text Box 60">
          <a:extLst>
            <a:ext uri="{FF2B5EF4-FFF2-40B4-BE49-F238E27FC236}">
              <a16:creationId xmlns:a16="http://schemas.microsoft.com/office/drawing/2014/main" xmlns="" id="{00000000-0008-0000-0000-0000CA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395" name="Text Box 61">
          <a:extLst>
            <a:ext uri="{FF2B5EF4-FFF2-40B4-BE49-F238E27FC236}">
              <a16:creationId xmlns:a16="http://schemas.microsoft.com/office/drawing/2014/main" xmlns="" id="{00000000-0008-0000-0000-0000CB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396" name="Text Box 62">
          <a:extLst>
            <a:ext uri="{FF2B5EF4-FFF2-40B4-BE49-F238E27FC236}">
              <a16:creationId xmlns:a16="http://schemas.microsoft.com/office/drawing/2014/main" xmlns="" id="{00000000-0008-0000-0000-0000CC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397" name="Text Box 63">
          <a:extLst>
            <a:ext uri="{FF2B5EF4-FFF2-40B4-BE49-F238E27FC236}">
              <a16:creationId xmlns:a16="http://schemas.microsoft.com/office/drawing/2014/main" xmlns="" id="{00000000-0008-0000-0000-0000CD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398" name="Text Box 64">
          <a:extLst>
            <a:ext uri="{FF2B5EF4-FFF2-40B4-BE49-F238E27FC236}">
              <a16:creationId xmlns:a16="http://schemas.microsoft.com/office/drawing/2014/main" xmlns="" id="{00000000-0008-0000-0000-0000CE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399" name="Text Box 65">
          <a:extLst>
            <a:ext uri="{FF2B5EF4-FFF2-40B4-BE49-F238E27FC236}">
              <a16:creationId xmlns:a16="http://schemas.microsoft.com/office/drawing/2014/main" xmlns="" id="{00000000-0008-0000-0000-0000CF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400" name="Text Box 66">
          <a:extLst>
            <a:ext uri="{FF2B5EF4-FFF2-40B4-BE49-F238E27FC236}">
              <a16:creationId xmlns:a16="http://schemas.microsoft.com/office/drawing/2014/main" xmlns="" id="{00000000-0008-0000-0000-0000D0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401" name="Text Box 67">
          <a:extLst>
            <a:ext uri="{FF2B5EF4-FFF2-40B4-BE49-F238E27FC236}">
              <a16:creationId xmlns:a16="http://schemas.microsoft.com/office/drawing/2014/main" xmlns="" id="{00000000-0008-0000-0000-0000D1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402" name="Text Box 68">
          <a:extLst>
            <a:ext uri="{FF2B5EF4-FFF2-40B4-BE49-F238E27FC236}">
              <a16:creationId xmlns:a16="http://schemas.microsoft.com/office/drawing/2014/main" xmlns="" id="{00000000-0008-0000-0000-0000D2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403" name="Text Box 69">
          <a:extLst>
            <a:ext uri="{FF2B5EF4-FFF2-40B4-BE49-F238E27FC236}">
              <a16:creationId xmlns:a16="http://schemas.microsoft.com/office/drawing/2014/main" xmlns="" id="{00000000-0008-0000-0000-0000D3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404" name="Text Box 70">
          <a:extLst>
            <a:ext uri="{FF2B5EF4-FFF2-40B4-BE49-F238E27FC236}">
              <a16:creationId xmlns:a16="http://schemas.microsoft.com/office/drawing/2014/main" xmlns="" id="{00000000-0008-0000-0000-0000D4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405" name="Text Box 71">
          <a:extLst>
            <a:ext uri="{FF2B5EF4-FFF2-40B4-BE49-F238E27FC236}">
              <a16:creationId xmlns:a16="http://schemas.microsoft.com/office/drawing/2014/main" xmlns="" id="{00000000-0008-0000-0000-0000D5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406" name="Text Box 72">
          <a:extLst>
            <a:ext uri="{FF2B5EF4-FFF2-40B4-BE49-F238E27FC236}">
              <a16:creationId xmlns:a16="http://schemas.microsoft.com/office/drawing/2014/main" xmlns="" id="{00000000-0008-0000-0000-0000D6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407" name="Text Box 73">
          <a:extLst>
            <a:ext uri="{FF2B5EF4-FFF2-40B4-BE49-F238E27FC236}">
              <a16:creationId xmlns:a16="http://schemas.microsoft.com/office/drawing/2014/main" xmlns="" id="{00000000-0008-0000-0000-0000D7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408" name="Text Box 74">
          <a:extLst>
            <a:ext uri="{FF2B5EF4-FFF2-40B4-BE49-F238E27FC236}">
              <a16:creationId xmlns:a16="http://schemas.microsoft.com/office/drawing/2014/main" xmlns="" id="{00000000-0008-0000-0000-0000D8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409" name="Text Box 75">
          <a:extLst>
            <a:ext uri="{FF2B5EF4-FFF2-40B4-BE49-F238E27FC236}">
              <a16:creationId xmlns:a16="http://schemas.microsoft.com/office/drawing/2014/main" xmlns="" id="{00000000-0008-0000-0000-0000D9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410" name="Text Box 76">
          <a:extLst>
            <a:ext uri="{FF2B5EF4-FFF2-40B4-BE49-F238E27FC236}">
              <a16:creationId xmlns:a16="http://schemas.microsoft.com/office/drawing/2014/main" xmlns="" id="{00000000-0008-0000-0000-0000DA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411" name="Text Box 77">
          <a:extLst>
            <a:ext uri="{FF2B5EF4-FFF2-40B4-BE49-F238E27FC236}">
              <a16:creationId xmlns:a16="http://schemas.microsoft.com/office/drawing/2014/main" xmlns="" id="{00000000-0008-0000-0000-0000DB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412" name="Text Box 78">
          <a:extLst>
            <a:ext uri="{FF2B5EF4-FFF2-40B4-BE49-F238E27FC236}">
              <a16:creationId xmlns:a16="http://schemas.microsoft.com/office/drawing/2014/main" xmlns="" id="{00000000-0008-0000-0000-0000DC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413" name="Text Box 79">
          <a:extLst>
            <a:ext uri="{FF2B5EF4-FFF2-40B4-BE49-F238E27FC236}">
              <a16:creationId xmlns:a16="http://schemas.microsoft.com/office/drawing/2014/main" xmlns="" id="{00000000-0008-0000-0000-0000DD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414" name="Text Box 80">
          <a:extLst>
            <a:ext uri="{FF2B5EF4-FFF2-40B4-BE49-F238E27FC236}">
              <a16:creationId xmlns:a16="http://schemas.microsoft.com/office/drawing/2014/main" xmlns="" id="{00000000-0008-0000-0000-0000DE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415" name="Text Box 81">
          <a:extLst>
            <a:ext uri="{FF2B5EF4-FFF2-40B4-BE49-F238E27FC236}">
              <a16:creationId xmlns:a16="http://schemas.microsoft.com/office/drawing/2014/main" xmlns="" id="{00000000-0008-0000-0000-0000DF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416" name="Text Box 3079">
          <a:extLst>
            <a:ext uri="{FF2B5EF4-FFF2-40B4-BE49-F238E27FC236}">
              <a16:creationId xmlns:a16="http://schemas.microsoft.com/office/drawing/2014/main" xmlns="" id="{00000000-0008-0000-0000-0000E0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417" name="Text Box 3080">
          <a:extLst>
            <a:ext uri="{FF2B5EF4-FFF2-40B4-BE49-F238E27FC236}">
              <a16:creationId xmlns:a16="http://schemas.microsoft.com/office/drawing/2014/main" xmlns="" id="{00000000-0008-0000-0000-0000E1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418" name="Text Box 3081">
          <a:extLst>
            <a:ext uri="{FF2B5EF4-FFF2-40B4-BE49-F238E27FC236}">
              <a16:creationId xmlns:a16="http://schemas.microsoft.com/office/drawing/2014/main" xmlns="" id="{00000000-0008-0000-0000-0000E2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419" name="Text Box 3082">
          <a:extLst>
            <a:ext uri="{FF2B5EF4-FFF2-40B4-BE49-F238E27FC236}">
              <a16:creationId xmlns:a16="http://schemas.microsoft.com/office/drawing/2014/main" xmlns="" id="{00000000-0008-0000-0000-0000E3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420" name="Text Box 3083">
          <a:extLst>
            <a:ext uri="{FF2B5EF4-FFF2-40B4-BE49-F238E27FC236}">
              <a16:creationId xmlns:a16="http://schemas.microsoft.com/office/drawing/2014/main" xmlns="" id="{00000000-0008-0000-0000-0000E4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421" name="Text Box 3084">
          <a:extLst>
            <a:ext uri="{FF2B5EF4-FFF2-40B4-BE49-F238E27FC236}">
              <a16:creationId xmlns:a16="http://schemas.microsoft.com/office/drawing/2014/main" xmlns="" id="{00000000-0008-0000-0000-0000E5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422" name="Text Box 3085">
          <a:extLst>
            <a:ext uri="{FF2B5EF4-FFF2-40B4-BE49-F238E27FC236}">
              <a16:creationId xmlns:a16="http://schemas.microsoft.com/office/drawing/2014/main" xmlns="" id="{00000000-0008-0000-0000-0000E6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423" name="Text Box 3086">
          <a:extLst>
            <a:ext uri="{FF2B5EF4-FFF2-40B4-BE49-F238E27FC236}">
              <a16:creationId xmlns:a16="http://schemas.microsoft.com/office/drawing/2014/main" xmlns="" id="{00000000-0008-0000-0000-0000E7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424" name="Text Box 3087">
          <a:extLst>
            <a:ext uri="{FF2B5EF4-FFF2-40B4-BE49-F238E27FC236}">
              <a16:creationId xmlns:a16="http://schemas.microsoft.com/office/drawing/2014/main" xmlns="" id="{00000000-0008-0000-0000-0000E8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425" name="Text Box 3088">
          <a:extLst>
            <a:ext uri="{FF2B5EF4-FFF2-40B4-BE49-F238E27FC236}">
              <a16:creationId xmlns:a16="http://schemas.microsoft.com/office/drawing/2014/main" xmlns="" id="{00000000-0008-0000-0000-0000E9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426" name="Text Box 3089">
          <a:extLst>
            <a:ext uri="{FF2B5EF4-FFF2-40B4-BE49-F238E27FC236}">
              <a16:creationId xmlns:a16="http://schemas.microsoft.com/office/drawing/2014/main" xmlns="" id="{00000000-0008-0000-0000-0000EA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427" name="Text Box 3090">
          <a:extLst>
            <a:ext uri="{FF2B5EF4-FFF2-40B4-BE49-F238E27FC236}">
              <a16:creationId xmlns:a16="http://schemas.microsoft.com/office/drawing/2014/main" xmlns="" id="{00000000-0008-0000-0000-0000EB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428" name="Text Box 3091">
          <a:extLst>
            <a:ext uri="{FF2B5EF4-FFF2-40B4-BE49-F238E27FC236}">
              <a16:creationId xmlns:a16="http://schemas.microsoft.com/office/drawing/2014/main" xmlns="" id="{00000000-0008-0000-0000-0000EC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429" name="Text Box 3092">
          <a:extLst>
            <a:ext uri="{FF2B5EF4-FFF2-40B4-BE49-F238E27FC236}">
              <a16:creationId xmlns:a16="http://schemas.microsoft.com/office/drawing/2014/main" xmlns="" id="{00000000-0008-0000-0000-0000ED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430" name="Text Box 3093">
          <a:extLst>
            <a:ext uri="{FF2B5EF4-FFF2-40B4-BE49-F238E27FC236}">
              <a16:creationId xmlns:a16="http://schemas.microsoft.com/office/drawing/2014/main" xmlns="" id="{00000000-0008-0000-0000-0000EE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431" name="Text Box 3094">
          <a:extLst>
            <a:ext uri="{FF2B5EF4-FFF2-40B4-BE49-F238E27FC236}">
              <a16:creationId xmlns:a16="http://schemas.microsoft.com/office/drawing/2014/main" xmlns="" id="{00000000-0008-0000-0000-0000EF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432" name="Text Box 3095">
          <a:extLst>
            <a:ext uri="{FF2B5EF4-FFF2-40B4-BE49-F238E27FC236}">
              <a16:creationId xmlns:a16="http://schemas.microsoft.com/office/drawing/2014/main" xmlns="" id="{00000000-0008-0000-0000-0000F0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433" name="Text Box 3096">
          <a:extLst>
            <a:ext uri="{FF2B5EF4-FFF2-40B4-BE49-F238E27FC236}">
              <a16:creationId xmlns:a16="http://schemas.microsoft.com/office/drawing/2014/main" xmlns="" id="{00000000-0008-0000-0000-0000F1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434" name="Text Box 3097">
          <a:extLst>
            <a:ext uri="{FF2B5EF4-FFF2-40B4-BE49-F238E27FC236}">
              <a16:creationId xmlns:a16="http://schemas.microsoft.com/office/drawing/2014/main" xmlns="" id="{00000000-0008-0000-0000-0000F2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435" name="Text Box 3098">
          <a:extLst>
            <a:ext uri="{FF2B5EF4-FFF2-40B4-BE49-F238E27FC236}">
              <a16:creationId xmlns:a16="http://schemas.microsoft.com/office/drawing/2014/main" xmlns="" id="{00000000-0008-0000-0000-0000F3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436" name="Text Box 3099">
          <a:extLst>
            <a:ext uri="{FF2B5EF4-FFF2-40B4-BE49-F238E27FC236}">
              <a16:creationId xmlns:a16="http://schemas.microsoft.com/office/drawing/2014/main" xmlns="" id="{00000000-0008-0000-0000-0000F4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437" name="Text Box 3100">
          <a:extLst>
            <a:ext uri="{FF2B5EF4-FFF2-40B4-BE49-F238E27FC236}">
              <a16:creationId xmlns:a16="http://schemas.microsoft.com/office/drawing/2014/main" xmlns="" id="{00000000-0008-0000-0000-0000F5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438" name="Text Box 3101">
          <a:extLst>
            <a:ext uri="{FF2B5EF4-FFF2-40B4-BE49-F238E27FC236}">
              <a16:creationId xmlns:a16="http://schemas.microsoft.com/office/drawing/2014/main" xmlns="" id="{00000000-0008-0000-0000-0000F6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8439" name="Text Box 3102">
          <a:extLst>
            <a:ext uri="{FF2B5EF4-FFF2-40B4-BE49-F238E27FC236}">
              <a16:creationId xmlns:a16="http://schemas.microsoft.com/office/drawing/2014/main" xmlns="" id="{00000000-0008-0000-0000-0000F7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440" name="Text Box 59">
          <a:extLst>
            <a:ext uri="{FF2B5EF4-FFF2-40B4-BE49-F238E27FC236}">
              <a16:creationId xmlns:a16="http://schemas.microsoft.com/office/drawing/2014/main" xmlns="" id="{00000000-0008-0000-0000-0000F8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441" name="Text Box 60">
          <a:extLst>
            <a:ext uri="{FF2B5EF4-FFF2-40B4-BE49-F238E27FC236}">
              <a16:creationId xmlns:a16="http://schemas.microsoft.com/office/drawing/2014/main" xmlns="" id="{00000000-0008-0000-0000-0000F9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442" name="Text Box 61">
          <a:extLst>
            <a:ext uri="{FF2B5EF4-FFF2-40B4-BE49-F238E27FC236}">
              <a16:creationId xmlns:a16="http://schemas.microsoft.com/office/drawing/2014/main" xmlns="" id="{00000000-0008-0000-0000-0000FA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443" name="Text Box 62">
          <a:extLst>
            <a:ext uri="{FF2B5EF4-FFF2-40B4-BE49-F238E27FC236}">
              <a16:creationId xmlns:a16="http://schemas.microsoft.com/office/drawing/2014/main" xmlns="" id="{00000000-0008-0000-0000-0000FB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444" name="Text Box 63">
          <a:extLst>
            <a:ext uri="{FF2B5EF4-FFF2-40B4-BE49-F238E27FC236}">
              <a16:creationId xmlns:a16="http://schemas.microsoft.com/office/drawing/2014/main" xmlns="" id="{00000000-0008-0000-0000-0000FC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445" name="Text Box 64">
          <a:extLst>
            <a:ext uri="{FF2B5EF4-FFF2-40B4-BE49-F238E27FC236}">
              <a16:creationId xmlns:a16="http://schemas.microsoft.com/office/drawing/2014/main" xmlns="" id="{00000000-0008-0000-0000-0000FD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446" name="Text Box 65">
          <a:extLst>
            <a:ext uri="{FF2B5EF4-FFF2-40B4-BE49-F238E27FC236}">
              <a16:creationId xmlns:a16="http://schemas.microsoft.com/office/drawing/2014/main" xmlns="" id="{00000000-0008-0000-0000-0000FE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447" name="Text Box 66">
          <a:extLst>
            <a:ext uri="{FF2B5EF4-FFF2-40B4-BE49-F238E27FC236}">
              <a16:creationId xmlns:a16="http://schemas.microsoft.com/office/drawing/2014/main" xmlns="" id="{00000000-0008-0000-0000-0000FF20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448" name="Text Box 67">
          <a:extLst>
            <a:ext uri="{FF2B5EF4-FFF2-40B4-BE49-F238E27FC236}">
              <a16:creationId xmlns:a16="http://schemas.microsoft.com/office/drawing/2014/main" xmlns="" id="{00000000-0008-0000-0000-000000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449" name="Text Box 68">
          <a:extLst>
            <a:ext uri="{FF2B5EF4-FFF2-40B4-BE49-F238E27FC236}">
              <a16:creationId xmlns:a16="http://schemas.microsoft.com/office/drawing/2014/main" xmlns="" id="{00000000-0008-0000-0000-000001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450" name="Text Box 69">
          <a:extLst>
            <a:ext uri="{FF2B5EF4-FFF2-40B4-BE49-F238E27FC236}">
              <a16:creationId xmlns:a16="http://schemas.microsoft.com/office/drawing/2014/main" xmlns="" id="{00000000-0008-0000-0000-000002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451" name="Text Box 70">
          <a:extLst>
            <a:ext uri="{FF2B5EF4-FFF2-40B4-BE49-F238E27FC236}">
              <a16:creationId xmlns:a16="http://schemas.microsoft.com/office/drawing/2014/main" xmlns="" id="{00000000-0008-0000-0000-000003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452" name="Text Box 71">
          <a:extLst>
            <a:ext uri="{FF2B5EF4-FFF2-40B4-BE49-F238E27FC236}">
              <a16:creationId xmlns:a16="http://schemas.microsoft.com/office/drawing/2014/main" xmlns="" id="{00000000-0008-0000-0000-000004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453" name="Text Box 72">
          <a:extLst>
            <a:ext uri="{FF2B5EF4-FFF2-40B4-BE49-F238E27FC236}">
              <a16:creationId xmlns:a16="http://schemas.microsoft.com/office/drawing/2014/main" xmlns="" id="{00000000-0008-0000-0000-000005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454" name="Text Box 73">
          <a:extLst>
            <a:ext uri="{FF2B5EF4-FFF2-40B4-BE49-F238E27FC236}">
              <a16:creationId xmlns:a16="http://schemas.microsoft.com/office/drawing/2014/main" xmlns="" id="{00000000-0008-0000-0000-000006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455" name="Text Box 74">
          <a:extLst>
            <a:ext uri="{FF2B5EF4-FFF2-40B4-BE49-F238E27FC236}">
              <a16:creationId xmlns:a16="http://schemas.microsoft.com/office/drawing/2014/main" xmlns="" id="{00000000-0008-0000-0000-000007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456" name="Text Box 75">
          <a:extLst>
            <a:ext uri="{FF2B5EF4-FFF2-40B4-BE49-F238E27FC236}">
              <a16:creationId xmlns:a16="http://schemas.microsoft.com/office/drawing/2014/main" xmlns="" id="{00000000-0008-0000-0000-000008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457" name="Text Box 76">
          <a:extLst>
            <a:ext uri="{FF2B5EF4-FFF2-40B4-BE49-F238E27FC236}">
              <a16:creationId xmlns:a16="http://schemas.microsoft.com/office/drawing/2014/main" xmlns="" id="{00000000-0008-0000-0000-000009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458" name="Text Box 77">
          <a:extLst>
            <a:ext uri="{FF2B5EF4-FFF2-40B4-BE49-F238E27FC236}">
              <a16:creationId xmlns:a16="http://schemas.microsoft.com/office/drawing/2014/main" xmlns="" id="{00000000-0008-0000-0000-00000A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459" name="Text Box 78">
          <a:extLst>
            <a:ext uri="{FF2B5EF4-FFF2-40B4-BE49-F238E27FC236}">
              <a16:creationId xmlns:a16="http://schemas.microsoft.com/office/drawing/2014/main" xmlns="" id="{00000000-0008-0000-0000-00000B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460" name="Text Box 79">
          <a:extLst>
            <a:ext uri="{FF2B5EF4-FFF2-40B4-BE49-F238E27FC236}">
              <a16:creationId xmlns:a16="http://schemas.microsoft.com/office/drawing/2014/main" xmlns="" id="{00000000-0008-0000-0000-00000C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461" name="Text Box 80">
          <a:extLst>
            <a:ext uri="{FF2B5EF4-FFF2-40B4-BE49-F238E27FC236}">
              <a16:creationId xmlns:a16="http://schemas.microsoft.com/office/drawing/2014/main" xmlns="" id="{00000000-0008-0000-0000-00000D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462" name="Text Box 81">
          <a:extLst>
            <a:ext uri="{FF2B5EF4-FFF2-40B4-BE49-F238E27FC236}">
              <a16:creationId xmlns:a16="http://schemas.microsoft.com/office/drawing/2014/main" xmlns="" id="{00000000-0008-0000-0000-00000E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47625"/>
    <xdr:sp macro="" textlink="">
      <xdr:nvSpPr>
        <xdr:cNvPr id="8463" name="Text Box 82">
          <a:extLst>
            <a:ext uri="{FF2B5EF4-FFF2-40B4-BE49-F238E27FC236}">
              <a16:creationId xmlns:a16="http://schemas.microsoft.com/office/drawing/2014/main" xmlns="" id="{00000000-0008-0000-0000-00000F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464" name="Text Box 3079">
          <a:extLst>
            <a:ext uri="{FF2B5EF4-FFF2-40B4-BE49-F238E27FC236}">
              <a16:creationId xmlns:a16="http://schemas.microsoft.com/office/drawing/2014/main" xmlns="" id="{00000000-0008-0000-0000-000010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465" name="Text Box 3080">
          <a:extLst>
            <a:ext uri="{FF2B5EF4-FFF2-40B4-BE49-F238E27FC236}">
              <a16:creationId xmlns:a16="http://schemas.microsoft.com/office/drawing/2014/main" xmlns="" id="{00000000-0008-0000-0000-000011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466" name="Text Box 3081">
          <a:extLst>
            <a:ext uri="{FF2B5EF4-FFF2-40B4-BE49-F238E27FC236}">
              <a16:creationId xmlns:a16="http://schemas.microsoft.com/office/drawing/2014/main" xmlns="" id="{00000000-0008-0000-0000-000012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467" name="Text Box 3082">
          <a:extLst>
            <a:ext uri="{FF2B5EF4-FFF2-40B4-BE49-F238E27FC236}">
              <a16:creationId xmlns:a16="http://schemas.microsoft.com/office/drawing/2014/main" xmlns="" id="{00000000-0008-0000-0000-000013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468" name="Text Box 3083">
          <a:extLst>
            <a:ext uri="{FF2B5EF4-FFF2-40B4-BE49-F238E27FC236}">
              <a16:creationId xmlns:a16="http://schemas.microsoft.com/office/drawing/2014/main" xmlns="" id="{00000000-0008-0000-0000-000014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469" name="Text Box 3084">
          <a:extLst>
            <a:ext uri="{FF2B5EF4-FFF2-40B4-BE49-F238E27FC236}">
              <a16:creationId xmlns:a16="http://schemas.microsoft.com/office/drawing/2014/main" xmlns="" id="{00000000-0008-0000-0000-000015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470" name="Text Box 3085">
          <a:extLst>
            <a:ext uri="{FF2B5EF4-FFF2-40B4-BE49-F238E27FC236}">
              <a16:creationId xmlns:a16="http://schemas.microsoft.com/office/drawing/2014/main" xmlns="" id="{00000000-0008-0000-0000-000016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471" name="Text Box 3086">
          <a:extLst>
            <a:ext uri="{FF2B5EF4-FFF2-40B4-BE49-F238E27FC236}">
              <a16:creationId xmlns:a16="http://schemas.microsoft.com/office/drawing/2014/main" xmlns="" id="{00000000-0008-0000-0000-000017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472" name="Text Box 3087">
          <a:extLst>
            <a:ext uri="{FF2B5EF4-FFF2-40B4-BE49-F238E27FC236}">
              <a16:creationId xmlns:a16="http://schemas.microsoft.com/office/drawing/2014/main" xmlns="" id="{00000000-0008-0000-0000-000018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473" name="Text Box 3088">
          <a:extLst>
            <a:ext uri="{FF2B5EF4-FFF2-40B4-BE49-F238E27FC236}">
              <a16:creationId xmlns:a16="http://schemas.microsoft.com/office/drawing/2014/main" xmlns="" id="{00000000-0008-0000-0000-000019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474" name="Text Box 3089">
          <a:extLst>
            <a:ext uri="{FF2B5EF4-FFF2-40B4-BE49-F238E27FC236}">
              <a16:creationId xmlns:a16="http://schemas.microsoft.com/office/drawing/2014/main" xmlns="" id="{00000000-0008-0000-0000-00001A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475" name="Text Box 3090">
          <a:extLst>
            <a:ext uri="{FF2B5EF4-FFF2-40B4-BE49-F238E27FC236}">
              <a16:creationId xmlns:a16="http://schemas.microsoft.com/office/drawing/2014/main" xmlns="" id="{00000000-0008-0000-0000-00001B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476" name="Text Box 3091">
          <a:extLst>
            <a:ext uri="{FF2B5EF4-FFF2-40B4-BE49-F238E27FC236}">
              <a16:creationId xmlns:a16="http://schemas.microsoft.com/office/drawing/2014/main" xmlns="" id="{00000000-0008-0000-0000-00001C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477" name="Text Box 3092">
          <a:extLst>
            <a:ext uri="{FF2B5EF4-FFF2-40B4-BE49-F238E27FC236}">
              <a16:creationId xmlns:a16="http://schemas.microsoft.com/office/drawing/2014/main" xmlns="" id="{00000000-0008-0000-0000-00001D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478" name="Text Box 3093">
          <a:extLst>
            <a:ext uri="{FF2B5EF4-FFF2-40B4-BE49-F238E27FC236}">
              <a16:creationId xmlns:a16="http://schemas.microsoft.com/office/drawing/2014/main" xmlns="" id="{00000000-0008-0000-0000-00001E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479" name="Text Box 3094">
          <a:extLst>
            <a:ext uri="{FF2B5EF4-FFF2-40B4-BE49-F238E27FC236}">
              <a16:creationId xmlns:a16="http://schemas.microsoft.com/office/drawing/2014/main" xmlns="" id="{00000000-0008-0000-0000-00001F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480" name="Text Box 3095">
          <a:extLst>
            <a:ext uri="{FF2B5EF4-FFF2-40B4-BE49-F238E27FC236}">
              <a16:creationId xmlns:a16="http://schemas.microsoft.com/office/drawing/2014/main" xmlns="" id="{00000000-0008-0000-0000-000020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481" name="Text Box 3096">
          <a:extLst>
            <a:ext uri="{FF2B5EF4-FFF2-40B4-BE49-F238E27FC236}">
              <a16:creationId xmlns:a16="http://schemas.microsoft.com/office/drawing/2014/main" xmlns="" id="{00000000-0008-0000-0000-000021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482" name="Text Box 3097">
          <a:extLst>
            <a:ext uri="{FF2B5EF4-FFF2-40B4-BE49-F238E27FC236}">
              <a16:creationId xmlns:a16="http://schemas.microsoft.com/office/drawing/2014/main" xmlns="" id="{00000000-0008-0000-0000-000022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483" name="Text Box 3098">
          <a:extLst>
            <a:ext uri="{FF2B5EF4-FFF2-40B4-BE49-F238E27FC236}">
              <a16:creationId xmlns:a16="http://schemas.microsoft.com/office/drawing/2014/main" xmlns="" id="{00000000-0008-0000-0000-000023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484" name="Text Box 3099">
          <a:extLst>
            <a:ext uri="{FF2B5EF4-FFF2-40B4-BE49-F238E27FC236}">
              <a16:creationId xmlns:a16="http://schemas.microsoft.com/office/drawing/2014/main" xmlns="" id="{00000000-0008-0000-0000-000024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485" name="Text Box 3100">
          <a:extLst>
            <a:ext uri="{FF2B5EF4-FFF2-40B4-BE49-F238E27FC236}">
              <a16:creationId xmlns:a16="http://schemas.microsoft.com/office/drawing/2014/main" xmlns="" id="{00000000-0008-0000-0000-000025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486" name="Text Box 3101">
          <a:extLst>
            <a:ext uri="{FF2B5EF4-FFF2-40B4-BE49-F238E27FC236}">
              <a16:creationId xmlns:a16="http://schemas.microsoft.com/office/drawing/2014/main" xmlns="" id="{00000000-0008-0000-0000-000026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8487" name="Text Box 3102">
          <a:extLst>
            <a:ext uri="{FF2B5EF4-FFF2-40B4-BE49-F238E27FC236}">
              <a16:creationId xmlns:a16="http://schemas.microsoft.com/office/drawing/2014/main" xmlns="" id="{00000000-0008-0000-0000-000027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488" name="Text Box 59">
          <a:extLst>
            <a:ext uri="{FF2B5EF4-FFF2-40B4-BE49-F238E27FC236}">
              <a16:creationId xmlns:a16="http://schemas.microsoft.com/office/drawing/2014/main" xmlns="" id="{00000000-0008-0000-0000-000028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489" name="Text Box 60">
          <a:extLst>
            <a:ext uri="{FF2B5EF4-FFF2-40B4-BE49-F238E27FC236}">
              <a16:creationId xmlns:a16="http://schemas.microsoft.com/office/drawing/2014/main" xmlns="" id="{00000000-0008-0000-0000-000029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490" name="Text Box 61">
          <a:extLst>
            <a:ext uri="{FF2B5EF4-FFF2-40B4-BE49-F238E27FC236}">
              <a16:creationId xmlns:a16="http://schemas.microsoft.com/office/drawing/2014/main" xmlns="" id="{00000000-0008-0000-0000-00002A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491" name="Text Box 62">
          <a:extLst>
            <a:ext uri="{FF2B5EF4-FFF2-40B4-BE49-F238E27FC236}">
              <a16:creationId xmlns:a16="http://schemas.microsoft.com/office/drawing/2014/main" xmlns="" id="{00000000-0008-0000-0000-00002B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492" name="Text Box 63">
          <a:extLst>
            <a:ext uri="{FF2B5EF4-FFF2-40B4-BE49-F238E27FC236}">
              <a16:creationId xmlns:a16="http://schemas.microsoft.com/office/drawing/2014/main" xmlns="" id="{00000000-0008-0000-0000-00002C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493" name="Text Box 64">
          <a:extLst>
            <a:ext uri="{FF2B5EF4-FFF2-40B4-BE49-F238E27FC236}">
              <a16:creationId xmlns:a16="http://schemas.microsoft.com/office/drawing/2014/main" xmlns="" id="{00000000-0008-0000-0000-00002D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494" name="Text Box 65">
          <a:extLst>
            <a:ext uri="{FF2B5EF4-FFF2-40B4-BE49-F238E27FC236}">
              <a16:creationId xmlns:a16="http://schemas.microsoft.com/office/drawing/2014/main" xmlns="" id="{00000000-0008-0000-0000-00002E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495" name="Text Box 66">
          <a:extLst>
            <a:ext uri="{FF2B5EF4-FFF2-40B4-BE49-F238E27FC236}">
              <a16:creationId xmlns:a16="http://schemas.microsoft.com/office/drawing/2014/main" xmlns="" id="{00000000-0008-0000-0000-00002F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496" name="Text Box 67">
          <a:extLst>
            <a:ext uri="{FF2B5EF4-FFF2-40B4-BE49-F238E27FC236}">
              <a16:creationId xmlns:a16="http://schemas.microsoft.com/office/drawing/2014/main" xmlns="" id="{00000000-0008-0000-0000-000030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497" name="Text Box 68">
          <a:extLst>
            <a:ext uri="{FF2B5EF4-FFF2-40B4-BE49-F238E27FC236}">
              <a16:creationId xmlns:a16="http://schemas.microsoft.com/office/drawing/2014/main" xmlns="" id="{00000000-0008-0000-0000-000031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498" name="Text Box 69">
          <a:extLst>
            <a:ext uri="{FF2B5EF4-FFF2-40B4-BE49-F238E27FC236}">
              <a16:creationId xmlns:a16="http://schemas.microsoft.com/office/drawing/2014/main" xmlns="" id="{00000000-0008-0000-0000-000032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499" name="Text Box 70">
          <a:extLst>
            <a:ext uri="{FF2B5EF4-FFF2-40B4-BE49-F238E27FC236}">
              <a16:creationId xmlns:a16="http://schemas.microsoft.com/office/drawing/2014/main" xmlns="" id="{00000000-0008-0000-0000-000033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500" name="Text Box 71">
          <a:extLst>
            <a:ext uri="{FF2B5EF4-FFF2-40B4-BE49-F238E27FC236}">
              <a16:creationId xmlns:a16="http://schemas.microsoft.com/office/drawing/2014/main" xmlns="" id="{00000000-0008-0000-0000-000034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501" name="Text Box 72">
          <a:extLst>
            <a:ext uri="{FF2B5EF4-FFF2-40B4-BE49-F238E27FC236}">
              <a16:creationId xmlns:a16="http://schemas.microsoft.com/office/drawing/2014/main" xmlns="" id="{00000000-0008-0000-0000-000035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502" name="Text Box 73">
          <a:extLst>
            <a:ext uri="{FF2B5EF4-FFF2-40B4-BE49-F238E27FC236}">
              <a16:creationId xmlns:a16="http://schemas.microsoft.com/office/drawing/2014/main" xmlns="" id="{00000000-0008-0000-0000-000036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503" name="Text Box 74">
          <a:extLst>
            <a:ext uri="{FF2B5EF4-FFF2-40B4-BE49-F238E27FC236}">
              <a16:creationId xmlns:a16="http://schemas.microsoft.com/office/drawing/2014/main" xmlns="" id="{00000000-0008-0000-0000-000037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504" name="Text Box 75">
          <a:extLst>
            <a:ext uri="{FF2B5EF4-FFF2-40B4-BE49-F238E27FC236}">
              <a16:creationId xmlns:a16="http://schemas.microsoft.com/office/drawing/2014/main" xmlns="" id="{00000000-0008-0000-0000-000038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505" name="Text Box 76">
          <a:extLst>
            <a:ext uri="{FF2B5EF4-FFF2-40B4-BE49-F238E27FC236}">
              <a16:creationId xmlns:a16="http://schemas.microsoft.com/office/drawing/2014/main" xmlns="" id="{00000000-0008-0000-0000-000039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506" name="Text Box 77">
          <a:extLst>
            <a:ext uri="{FF2B5EF4-FFF2-40B4-BE49-F238E27FC236}">
              <a16:creationId xmlns:a16="http://schemas.microsoft.com/office/drawing/2014/main" xmlns="" id="{00000000-0008-0000-0000-00003A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507" name="Text Box 78">
          <a:extLst>
            <a:ext uri="{FF2B5EF4-FFF2-40B4-BE49-F238E27FC236}">
              <a16:creationId xmlns:a16="http://schemas.microsoft.com/office/drawing/2014/main" xmlns="" id="{00000000-0008-0000-0000-00003B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508" name="Text Box 79">
          <a:extLst>
            <a:ext uri="{FF2B5EF4-FFF2-40B4-BE49-F238E27FC236}">
              <a16:creationId xmlns:a16="http://schemas.microsoft.com/office/drawing/2014/main" xmlns="" id="{00000000-0008-0000-0000-00003C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509" name="Text Box 80">
          <a:extLst>
            <a:ext uri="{FF2B5EF4-FFF2-40B4-BE49-F238E27FC236}">
              <a16:creationId xmlns:a16="http://schemas.microsoft.com/office/drawing/2014/main" xmlns="" id="{00000000-0008-0000-0000-00003D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510" name="Text Box 81">
          <a:extLst>
            <a:ext uri="{FF2B5EF4-FFF2-40B4-BE49-F238E27FC236}">
              <a16:creationId xmlns:a16="http://schemas.microsoft.com/office/drawing/2014/main" xmlns="" id="{00000000-0008-0000-0000-00003E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511" name="Text Box 3079">
          <a:extLst>
            <a:ext uri="{FF2B5EF4-FFF2-40B4-BE49-F238E27FC236}">
              <a16:creationId xmlns:a16="http://schemas.microsoft.com/office/drawing/2014/main" xmlns="" id="{00000000-0008-0000-0000-00003F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512" name="Text Box 3080">
          <a:extLst>
            <a:ext uri="{FF2B5EF4-FFF2-40B4-BE49-F238E27FC236}">
              <a16:creationId xmlns:a16="http://schemas.microsoft.com/office/drawing/2014/main" xmlns="" id="{00000000-0008-0000-0000-000040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513" name="Text Box 3081">
          <a:extLst>
            <a:ext uri="{FF2B5EF4-FFF2-40B4-BE49-F238E27FC236}">
              <a16:creationId xmlns:a16="http://schemas.microsoft.com/office/drawing/2014/main" xmlns="" id="{00000000-0008-0000-0000-000041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514" name="Text Box 3082">
          <a:extLst>
            <a:ext uri="{FF2B5EF4-FFF2-40B4-BE49-F238E27FC236}">
              <a16:creationId xmlns:a16="http://schemas.microsoft.com/office/drawing/2014/main" xmlns="" id="{00000000-0008-0000-0000-000042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515" name="Text Box 3083">
          <a:extLst>
            <a:ext uri="{FF2B5EF4-FFF2-40B4-BE49-F238E27FC236}">
              <a16:creationId xmlns:a16="http://schemas.microsoft.com/office/drawing/2014/main" xmlns="" id="{00000000-0008-0000-0000-000043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516" name="Text Box 3084">
          <a:extLst>
            <a:ext uri="{FF2B5EF4-FFF2-40B4-BE49-F238E27FC236}">
              <a16:creationId xmlns:a16="http://schemas.microsoft.com/office/drawing/2014/main" xmlns="" id="{00000000-0008-0000-0000-000044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517" name="Text Box 3085">
          <a:extLst>
            <a:ext uri="{FF2B5EF4-FFF2-40B4-BE49-F238E27FC236}">
              <a16:creationId xmlns:a16="http://schemas.microsoft.com/office/drawing/2014/main" xmlns="" id="{00000000-0008-0000-0000-000045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518" name="Text Box 3086">
          <a:extLst>
            <a:ext uri="{FF2B5EF4-FFF2-40B4-BE49-F238E27FC236}">
              <a16:creationId xmlns:a16="http://schemas.microsoft.com/office/drawing/2014/main" xmlns="" id="{00000000-0008-0000-0000-000046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519" name="Text Box 3087">
          <a:extLst>
            <a:ext uri="{FF2B5EF4-FFF2-40B4-BE49-F238E27FC236}">
              <a16:creationId xmlns:a16="http://schemas.microsoft.com/office/drawing/2014/main" xmlns="" id="{00000000-0008-0000-0000-000047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520" name="Text Box 3088">
          <a:extLst>
            <a:ext uri="{FF2B5EF4-FFF2-40B4-BE49-F238E27FC236}">
              <a16:creationId xmlns:a16="http://schemas.microsoft.com/office/drawing/2014/main" xmlns="" id="{00000000-0008-0000-0000-000048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521" name="Text Box 3089">
          <a:extLst>
            <a:ext uri="{FF2B5EF4-FFF2-40B4-BE49-F238E27FC236}">
              <a16:creationId xmlns:a16="http://schemas.microsoft.com/office/drawing/2014/main" xmlns="" id="{00000000-0008-0000-0000-000049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522" name="Text Box 3090">
          <a:extLst>
            <a:ext uri="{FF2B5EF4-FFF2-40B4-BE49-F238E27FC236}">
              <a16:creationId xmlns:a16="http://schemas.microsoft.com/office/drawing/2014/main" xmlns="" id="{00000000-0008-0000-0000-00004A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523" name="Text Box 3091">
          <a:extLst>
            <a:ext uri="{FF2B5EF4-FFF2-40B4-BE49-F238E27FC236}">
              <a16:creationId xmlns:a16="http://schemas.microsoft.com/office/drawing/2014/main" xmlns="" id="{00000000-0008-0000-0000-00004B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524" name="Text Box 3092">
          <a:extLst>
            <a:ext uri="{FF2B5EF4-FFF2-40B4-BE49-F238E27FC236}">
              <a16:creationId xmlns:a16="http://schemas.microsoft.com/office/drawing/2014/main" xmlns="" id="{00000000-0008-0000-0000-00004C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525" name="Text Box 3093">
          <a:extLst>
            <a:ext uri="{FF2B5EF4-FFF2-40B4-BE49-F238E27FC236}">
              <a16:creationId xmlns:a16="http://schemas.microsoft.com/office/drawing/2014/main" xmlns="" id="{00000000-0008-0000-0000-00004D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526" name="Text Box 3094">
          <a:extLst>
            <a:ext uri="{FF2B5EF4-FFF2-40B4-BE49-F238E27FC236}">
              <a16:creationId xmlns:a16="http://schemas.microsoft.com/office/drawing/2014/main" xmlns="" id="{00000000-0008-0000-0000-00004E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527" name="Text Box 3095">
          <a:extLst>
            <a:ext uri="{FF2B5EF4-FFF2-40B4-BE49-F238E27FC236}">
              <a16:creationId xmlns:a16="http://schemas.microsoft.com/office/drawing/2014/main" xmlns="" id="{00000000-0008-0000-0000-00004F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528" name="Text Box 3096">
          <a:extLst>
            <a:ext uri="{FF2B5EF4-FFF2-40B4-BE49-F238E27FC236}">
              <a16:creationId xmlns:a16="http://schemas.microsoft.com/office/drawing/2014/main" xmlns="" id="{00000000-0008-0000-0000-000050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529" name="Text Box 3097">
          <a:extLst>
            <a:ext uri="{FF2B5EF4-FFF2-40B4-BE49-F238E27FC236}">
              <a16:creationId xmlns:a16="http://schemas.microsoft.com/office/drawing/2014/main" xmlns="" id="{00000000-0008-0000-0000-000051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530" name="Text Box 3098">
          <a:extLst>
            <a:ext uri="{FF2B5EF4-FFF2-40B4-BE49-F238E27FC236}">
              <a16:creationId xmlns:a16="http://schemas.microsoft.com/office/drawing/2014/main" xmlns="" id="{00000000-0008-0000-0000-000052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531" name="Text Box 3099">
          <a:extLst>
            <a:ext uri="{FF2B5EF4-FFF2-40B4-BE49-F238E27FC236}">
              <a16:creationId xmlns:a16="http://schemas.microsoft.com/office/drawing/2014/main" xmlns="" id="{00000000-0008-0000-0000-000053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532" name="Text Box 3100">
          <a:extLst>
            <a:ext uri="{FF2B5EF4-FFF2-40B4-BE49-F238E27FC236}">
              <a16:creationId xmlns:a16="http://schemas.microsoft.com/office/drawing/2014/main" xmlns="" id="{00000000-0008-0000-0000-000054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533" name="Text Box 3101">
          <a:extLst>
            <a:ext uri="{FF2B5EF4-FFF2-40B4-BE49-F238E27FC236}">
              <a16:creationId xmlns:a16="http://schemas.microsoft.com/office/drawing/2014/main" xmlns="" id="{00000000-0008-0000-0000-000055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8534" name="Text Box 3102">
          <a:extLst>
            <a:ext uri="{FF2B5EF4-FFF2-40B4-BE49-F238E27FC236}">
              <a16:creationId xmlns:a16="http://schemas.microsoft.com/office/drawing/2014/main" xmlns="" id="{00000000-0008-0000-0000-000056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535" name="Text Box 59">
          <a:extLst>
            <a:ext uri="{FF2B5EF4-FFF2-40B4-BE49-F238E27FC236}">
              <a16:creationId xmlns:a16="http://schemas.microsoft.com/office/drawing/2014/main" xmlns="" id="{00000000-0008-0000-0000-000057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536" name="Text Box 60">
          <a:extLst>
            <a:ext uri="{FF2B5EF4-FFF2-40B4-BE49-F238E27FC236}">
              <a16:creationId xmlns:a16="http://schemas.microsoft.com/office/drawing/2014/main" xmlns="" id="{00000000-0008-0000-0000-000058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537" name="Text Box 61">
          <a:extLst>
            <a:ext uri="{FF2B5EF4-FFF2-40B4-BE49-F238E27FC236}">
              <a16:creationId xmlns:a16="http://schemas.microsoft.com/office/drawing/2014/main" xmlns="" id="{00000000-0008-0000-0000-000059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538" name="Text Box 62">
          <a:extLst>
            <a:ext uri="{FF2B5EF4-FFF2-40B4-BE49-F238E27FC236}">
              <a16:creationId xmlns:a16="http://schemas.microsoft.com/office/drawing/2014/main" xmlns="" id="{00000000-0008-0000-0000-00005A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539" name="Text Box 63">
          <a:extLst>
            <a:ext uri="{FF2B5EF4-FFF2-40B4-BE49-F238E27FC236}">
              <a16:creationId xmlns:a16="http://schemas.microsoft.com/office/drawing/2014/main" xmlns="" id="{00000000-0008-0000-0000-00005B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540" name="Text Box 64">
          <a:extLst>
            <a:ext uri="{FF2B5EF4-FFF2-40B4-BE49-F238E27FC236}">
              <a16:creationId xmlns:a16="http://schemas.microsoft.com/office/drawing/2014/main" xmlns="" id="{00000000-0008-0000-0000-00005C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541" name="Text Box 65">
          <a:extLst>
            <a:ext uri="{FF2B5EF4-FFF2-40B4-BE49-F238E27FC236}">
              <a16:creationId xmlns:a16="http://schemas.microsoft.com/office/drawing/2014/main" xmlns="" id="{00000000-0008-0000-0000-00005D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542" name="Text Box 66">
          <a:extLst>
            <a:ext uri="{FF2B5EF4-FFF2-40B4-BE49-F238E27FC236}">
              <a16:creationId xmlns:a16="http://schemas.microsoft.com/office/drawing/2014/main" xmlns="" id="{00000000-0008-0000-0000-00005E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543" name="Text Box 67">
          <a:extLst>
            <a:ext uri="{FF2B5EF4-FFF2-40B4-BE49-F238E27FC236}">
              <a16:creationId xmlns:a16="http://schemas.microsoft.com/office/drawing/2014/main" xmlns="" id="{00000000-0008-0000-0000-00005F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544" name="Text Box 68">
          <a:extLst>
            <a:ext uri="{FF2B5EF4-FFF2-40B4-BE49-F238E27FC236}">
              <a16:creationId xmlns:a16="http://schemas.microsoft.com/office/drawing/2014/main" xmlns="" id="{00000000-0008-0000-0000-000060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545" name="Text Box 69">
          <a:extLst>
            <a:ext uri="{FF2B5EF4-FFF2-40B4-BE49-F238E27FC236}">
              <a16:creationId xmlns:a16="http://schemas.microsoft.com/office/drawing/2014/main" xmlns="" id="{00000000-0008-0000-0000-000061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546" name="Text Box 70">
          <a:extLst>
            <a:ext uri="{FF2B5EF4-FFF2-40B4-BE49-F238E27FC236}">
              <a16:creationId xmlns:a16="http://schemas.microsoft.com/office/drawing/2014/main" xmlns="" id="{00000000-0008-0000-0000-000062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547" name="Text Box 71">
          <a:extLst>
            <a:ext uri="{FF2B5EF4-FFF2-40B4-BE49-F238E27FC236}">
              <a16:creationId xmlns:a16="http://schemas.microsoft.com/office/drawing/2014/main" xmlns="" id="{00000000-0008-0000-0000-000063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548" name="Text Box 72">
          <a:extLst>
            <a:ext uri="{FF2B5EF4-FFF2-40B4-BE49-F238E27FC236}">
              <a16:creationId xmlns:a16="http://schemas.microsoft.com/office/drawing/2014/main" xmlns="" id="{00000000-0008-0000-0000-000064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549" name="Text Box 73">
          <a:extLst>
            <a:ext uri="{FF2B5EF4-FFF2-40B4-BE49-F238E27FC236}">
              <a16:creationId xmlns:a16="http://schemas.microsoft.com/office/drawing/2014/main" xmlns="" id="{00000000-0008-0000-0000-000065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550" name="Text Box 74">
          <a:extLst>
            <a:ext uri="{FF2B5EF4-FFF2-40B4-BE49-F238E27FC236}">
              <a16:creationId xmlns:a16="http://schemas.microsoft.com/office/drawing/2014/main" xmlns="" id="{00000000-0008-0000-0000-000066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551" name="Text Box 75">
          <a:extLst>
            <a:ext uri="{FF2B5EF4-FFF2-40B4-BE49-F238E27FC236}">
              <a16:creationId xmlns:a16="http://schemas.microsoft.com/office/drawing/2014/main" xmlns="" id="{00000000-0008-0000-0000-000067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552" name="Text Box 76">
          <a:extLst>
            <a:ext uri="{FF2B5EF4-FFF2-40B4-BE49-F238E27FC236}">
              <a16:creationId xmlns:a16="http://schemas.microsoft.com/office/drawing/2014/main" xmlns="" id="{00000000-0008-0000-0000-000068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553" name="Text Box 77">
          <a:extLst>
            <a:ext uri="{FF2B5EF4-FFF2-40B4-BE49-F238E27FC236}">
              <a16:creationId xmlns:a16="http://schemas.microsoft.com/office/drawing/2014/main" xmlns="" id="{00000000-0008-0000-0000-000069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554" name="Text Box 78">
          <a:extLst>
            <a:ext uri="{FF2B5EF4-FFF2-40B4-BE49-F238E27FC236}">
              <a16:creationId xmlns:a16="http://schemas.microsoft.com/office/drawing/2014/main" xmlns="" id="{00000000-0008-0000-0000-00006A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555" name="Text Box 79">
          <a:extLst>
            <a:ext uri="{FF2B5EF4-FFF2-40B4-BE49-F238E27FC236}">
              <a16:creationId xmlns:a16="http://schemas.microsoft.com/office/drawing/2014/main" xmlns="" id="{00000000-0008-0000-0000-00006B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556" name="Text Box 80">
          <a:extLst>
            <a:ext uri="{FF2B5EF4-FFF2-40B4-BE49-F238E27FC236}">
              <a16:creationId xmlns:a16="http://schemas.microsoft.com/office/drawing/2014/main" xmlns="" id="{00000000-0008-0000-0000-00006C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557" name="Text Box 81">
          <a:extLst>
            <a:ext uri="{FF2B5EF4-FFF2-40B4-BE49-F238E27FC236}">
              <a16:creationId xmlns:a16="http://schemas.microsoft.com/office/drawing/2014/main" xmlns="" id="{00000000-0008-0000-0000-00006D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47625"/>
    <xdr:sp macro="" textlink="">
      <xdr:nvSpPr>
        <xdr:cNvPr id="8558" name="Text Box 82">
          <a:extLst>
            <a:ext uri="{FF2B5EF4-FFF2-40B4-BE49-F238E27FC236}">
              <a16:creationId xmlns:a16="http://schemas.microsoft.com/office/drawing/2014/main" xmlns="" id="{00000000-0008-0000-0000-00006E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559" name="Text Box 3079">
          <a:extLst>
            <a:ext uri="{FF2B5EF4-FFF2-40B4-BE49-F238E27FC236}">
              <a16:creationId xmlns:a16="http://schemas.microsoft.com/office/drawing/2014/main" xmlns="" id="{00000000-0008-0000-0000-00006F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560" name="Text Box 3080">
          <a:extLst>
            <a:ext uri="{FF2B5EF4-FFF2-40B4-BE49-F238E27FC236}">
              <a16:creationId xmlns:a16="http://schemas.microsoft.com/office/drawing/2014/main" xmlns="" id="{00000000-0008-0000-0000-000070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561" name="Text Box 3081">
          <a:extLst>
            <a:ext uri="{FF2B5EF4-FFF2-40B4-BE49-F238E27FC236}">
              <a16:creationId xmlns:a16="http://schemas.microsoft.com/office/drawing/2014/main" xmlns="" id="{00000000-0008-0000-0000-000071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562" name="Text Box 3082">
          <a:extLst>
            <a:ext uri="{FF2B5EF4-FFF2-40B4-BE49-F238E27FC236}">
              <a16:creationId xmlns:a16="http://schemas.microsoft.com/office/drawing/2014/main" xmlns="" id="{00000000-0008-0000-0000-000072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563" name="Text Box 3083">
          <a:extLst>
            <a:ext uri="{FF2B5EF4-FFF2-40B4-BE49-F238E27FC236}">
              <a16:creationId xmlns:a16="http://schemas.microsoft.com/office/drawing/2014/main" xmlns="" id="{00000000-0008-0000-0000-000073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564" name="Text Box 3084">
          <a:extLst>
            <a:ext uri="{FF2B5EF4-FFF2-40B4-BE49-F238E27FC236}">
              <a16:creationId xmlns:a16="http://schemas.microsoft.com/office/drawing/2014/main" xmlns="" id="{00000000-0008-0000-0000-000074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565" name="Text Box 3085">
          <a:extLst>
            <a:ext uri="{FF2B5EF4-FFF2-40B4-BE49-F238E27FC236}">
              <a16:creationId xmlns:a16="http://schemas.microsoft.com/office/drawing/2014/main" xmlns="" id="{00000000-0008-0000-0000-000075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566" name="Text Box 3086">
          <a:extLst>
            <a:ext uri="{FF2B5EF4-FFF2-40B4-BE49-F238E27FC236}">
              <a16:creationId xmlns:a16="http://schemas.microsoft.com/office/drawing/2014/main" xmlns="" id="{00000000-0008-0000-0000-000076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567" name="Text Box 3087">
          <a:extLst>
            <a:ext uri="{FF2B5EF4-FFF2-40B4-BE49-F238E27FC236}">
              <a16:creationId xmlns:a16="http://schemas.microsoft.com/office/drawing/2014/main" xmlns="" id="{00000000-0008-0000-0000-000077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568" name="Text Box 3088">
          <a:extLst>
            <a:ext uri="{FF2B5EF4-FFF2-40B4-BE49-F238E27FC236}">
              <a16:creationId xmlns:a16="http://schemas.microsoft.com/office/drawing/2014/main" xmlns="" id="{00000000-0008-0000-0000-000078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569" name="Text Box 3089">
          <a:extLst>
            <a:ext uri="{FF2B5EF4-FFF2-40B4-BE49-F238E27FC236}">
              <a16:creationId xmlns:a16="http://schemas.microsoft.com/office/drawing/2014/main" xmlns="" id="{00000000-0008-0000-0000-000079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570" name="Text Box 3090">
          <a:extLst>
            <a:ext uri="{FF2B5EF4-FFF2-40B4-BE49-F238E27FC236}">
              <a16:creationId xmlns:a16="http://schemas.microsoft.com/office/drawing/2014/main" xmlns="" id="{00000000-0008-0000-0000-00007A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571" name="Text Box 3091">
          <a:extLst>
            <a:ext uri="{FF2B5EF4-FFF2-40B4-BE49-F238E27FC236}">
              <a16:creationId xmlns:a16="http://schemas.microsoft.com/office/drawing/2014/main" xmlns="" id="{00000000-0008-0000-0000-00007B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572" name="Text Box 3092">
          <a:extLst>
            <a:ext uri="{FF2B5EF4-FFF2-40B4-BE49-F238E27FC236}">
              <a16:creationId xmlns:a16="http://schemas.microsoft.com/office/drawing/2014/main" xmlns="" id="{00000000-0008-0000-0000-00007C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573" name="Text Box 3093">
          <a:extLst>
            <a:ext uri="{FF2B5EF4-FFF2-40B4-BE49-F238E27FC236}">
              <a16:creationId xmlns:a16="http://schemas.microsoft.com/office/drawing/2014/main" xmlns="" id="{00000000-0008-0000-0000-00007D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574" name="Text Box 3094">
          <a:extLst>
            <a:ext uri="{FF2B5EF4-FFF2-40B4-BE49-F238E27FC236}">
              <a16:creationId xmlns:a16="http://schemas.microsoft.com/office/drawing/2014/main" xmlns="" id="{00000000-0008-0000-0000-00007E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575" name="Text Box 3095">
          <a:extLst>
            <a:ext uri="{FF2B5EF4-FFF2-40B4-BE49-F238E27FC236}">
              <a16:creationId xmlns:a16="http://schemas.microsoft.com/office/drawing/2014/main" xmlns="" id="{00000000-0008-0000-0000-00007F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576" name="Text Box 3096">
          <a:extLst>
            <a:ext uri="{FF2B5EF4-FFF2-40B4-BE49-F238E27FC236}">
              <a16:creationId xmlns:a16="http://schemas.microsoft.com/office/drawing/2014/main" xmlns="" id="{00000000-0008-0000-0000-000080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577" name="Text Box 3097">
          <a:extLst>
            <a:ext uri="{FF2B5EF4-FFF2-40B4-BE49-F238E27FC236}">
              <a16:creationId xmlns:a16="http://schemas.microsoft.com/office/drawing/2014/main" xmlns="" id="{00000000-0008-0000-0000-000081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578" name="Text Box 3098">
          <a:extLst>
            <a:ext uri="{FF2B5EF4-FFF2-40B4-BE49-F238E27FC236}">
              <a16:creationId xmlns:a16="http://schemas.microsoft.com/office/drawing/2014/main" xmlns="" id="{00000000-0008-0000-0000-000082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579" name="Text Box 3099">
          <a:extLst>
            <a:ext uri="{FF2B5EF4-FFF2-40B4-BE49-F238E27FC236}">
              <a16:creationId xmlns:a16="http://schemas.microsoft.com/office/drawing/2014/main" xmlns="" id="{00000000-0008-0000-0000-000083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580" name="Text Box 3100">
          <a:extLst>
            <a:ext uri="{FF2B5EF4-FFF2-40B4-BE49-F238E27FC236}">
              <a16:creationId xmlns:a16="http://schemas.microsoft.com/office/drawing/2014/main" xmlns="" id="{00000000-0008-0000-0000-000084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581" name="Text Box 3101">
          <a:extLst>
            <a:ext uri="{FF2B5EF4-FFF2-40B4-BE49-F238E27FC236}">
              <a16:creationId xmlns:a16="http://schemas.microsoft.com/office/drawing/2014/main" xmlns="" id="{00000000-0008-0000-0000-000085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8582" name="Text Box 3102">
          <a:extLst>
            <a:ext uri="{FF2B5EF4-FFF2-40B4-BE49-F238E27FC236}">
              <a16:creationId xmlns:a16="http://schemas.microsoft.com/office/drawing/2014/main" xmlns="" id="{00000000-0008-0000-0000-000086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583" name="Text Box 59">
          <a:extLst>
            <a:ext uri="{FF2B5EF4-FFF2-40B4-BE49-F238E27FC236}">
              <a16:creationId xmlns:a16="http://schemas.microsoft.com/office/drawing/2014/main" xmlns="" id="{00000000-0008-0000-0000-000087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584" name="Text Box 60">
          <a:extLst>
            <a:ext uri="{FF2B5EF4-FFF2-40B4-BE49-F238E27FC236}">
              <a16:creationId xmlns:a16="http://schemas.microsoft.com/office/drawing/2014/main" xmlns="" id="{00000000-0008-0000-0000-000088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585" name="Text Box 61">
          <a:extLst>
            <a:ext uri="{FF2B5EF4-FFF2-40B4-BE49-F238E27FC236}">
              <a16:creationId xmlns:a16="http://schemas.microsoft.com/office/drawing/2014/main" xmlns="" id="{00000000-0008-0000-0000-000089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586" name="Text Box 62">
          <a:extLst>
            <a:ext uri="{FF2B5EF4-FFF2-40B4-BE49-F238E27FC236}">
              <a16:creationId xmlns:a16="http://schemas.microsoft.com/office/drawing/2014/main" xmlns="" id="{00000000-0008-0000-0000-00008A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587" name="Text Box 63">
          <a:extLst>
            <a:ext uri="{FF2B5EF4-FFF2-40B4-BE49-F238E27FC236}">
              <a16:creationId xmlns:a16="http://schemas.microsoft.com/office/drawing/2014/main" xmlns="" id="{00000000-0008-0000-0000-00008B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588" name="Text Box 64">
          <a:extLst>
            <a:ext uri="{FF2B5EF4-FFF2-40B4-BE49-F238E27FC236}">
              <a16:creationId xmlns:a16="http://schemas.microsoft.com/office/drawing/2014/main" xmlns="" id="{00000000-0008-0000-0000-00008C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589" name="Text Box 65">
          <a:extLst>
            <a:ext uri="{FF2B5EF4-FFF2-40B4-BE49-F238E27FC236}">
              <a16:creationId xmlns:a16="http://schemas.microsoft.com/office/drawing/2014/main" xmlns="" id="{00000000-0008-0000-0000-00008D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590" name="Text Box 66">
          <a:extLst>
            <a:ext uri="{FF2B5EF4-FFF2-40B4-BE49-F238E27FC236}">
              <a16:creationId xmlns:a16="http://schemas.microsoft.com/office/drawing/2014/main" xmlns="" id="{00000000-0008-0000-0000-00008E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591" name="Text Box 67">
          <a:extLst>
            <a:ext uri="{FF2B5EF4-FFF2-40B4-BE49-F238E27FC236}">
              <a16:creationId xmlns:a16="http://schemas.microsoft.com/office/drawing/2014/main" xmlns="" id="{00000000-0008-0000-0000-00008F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592" name="Text Box 68">
          <a:extLst>
            <a:ext uri="{FF2B5EF4-FFF2-40B4-BE49-F238E27FC236}">
              <a16:creationId xmlns:a16="http://schemas.microsoft.com/office/drawing/2014/main" xmlns="" id="{00000000-0008-0000-0000-000090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593" name="Text Box 69">
          <a:extLst>
            <a:ext uri="{FF2B5EF4-FFF2-40B4-BE49-F238E27FC236}">
              <a16:creationId xmlns:a16="http://schemas.microsoft.com/office/drawing/2014/main" xmlns="" id="{00000000-0008-0000-0000-000091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594" name="Text Box 70">
          <a:extLst>
            <a:ext uri="{FF2B5EF4-FFF2-40B4-BE49-F238E27FC236}">
              <a16:creationId xmlns:a16="http://schemas.microsoft.com/office/drawing/2014/main" xmlns="" id="{00000000-0008-0000-0000-000092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595" name="Text Box 71">
          <a:extLst>
            <a:ext uri="{FF2B5EF4-FFF2-40B4-BE49-F238E27FC236}">
              <a16:creationId xmlns:a16="http://schemas.microsoft.com/office/drawing/2014/main" xmlns="" id="{00000000-0008-0000-0000-000093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596" name="Text Box 72">
          <a:extLst>
            <a:ext uri="{FF2B5EF4-FFF2-40B4-BE49-F238E27FC236}">
              <a16:creationId xmlns:a16="http://schemas.microsoft.com/office/drawing/2014/main" xmlns="" id="{00000000-0008-0000-0000-000094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597" name="Text Box 73">
          <a:extLst>
            <a:ext uri="{FF2B5EF4-FFF2-40B4-BE49-F238E27FC236}">
              <a16:creationId xmlns:a16="http://schemas.microsoft.com/office/drawing/2014/main" xmlns="" id="{00000000-0008-0000-0000-000095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598" name="Text Box 74">
          <a:extLst>
            <a:ext uri="{FF2B5EF4-FFF2-40B4-BE49-F238E27FC236}">
              <a16:creationId xmlns:a16="http://schemas.microsoft.com/office/drawing/2014/main" xmlns="" id="{00000000-0008-0000-0000-000096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599" name="Text Box 75">
          <a:extLst>
            <a:ext uri="{FF2B5EF4-FFF2-40B4-BE49-F238E27FC236}">
              <a16:creationId xmlns:a16="http://schemas.microsoft.com/office/drawing/2014/main" xmlns="" id="{00000000-0008-0000-0000-000097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600" name="Text Box 76">
          <a:extLst>
            <a:ext uri="{FF2B5EF4-FFF2-40B4-BE49-F238E27FC236}">
              <a16:creationId xmlns:a16="http://schemas.microsoft.com/office/drawing/2014/main" xmlns="" id="{00000000-0008-0000-0000-000098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601" name="Text Box 77">
          <a:extLst>
            <a:ext uri="{FF2B5EF4-FFF2-40B4-BE49-F238E27FC236}">
              <a16:creationId xmlns:a16="http://schemas.microsoft.com/office/drawing/2014/main" xmlns="" id="{00000000-0008-0000-0000-000099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602" name="Text Box 78">
          <a:extLst>
            <a:ext uri="{FF2B5EF4-FFF2-40B4-BE49-F238E27FC236}">
              <a16:creationId xmlns:a16="http://schemas.microsoft.com/office/drawing/2014/main" xmlns="" id="{00000000-0008-0000-0000-00009A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603" name="Text Box 79">
          <a:extLst>
            <a:ext uri="{FF2B5EF4-FFF2-40B4-BE49-F238E27FC236}">
              <a16:creationId xmlns:a16="http://schemas.microsoft.com/office/drawing/2014/main" xmlns="" id="{00000000-0008-0000-0000-00009B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604" name="Text Box 80">
          <a:extLst>
            <a:ext uri="{FF2B5EF4-FFF2-40B4-BE49-F238E27FC236}">
              <a16:creationId xmlns:a16="http://schemas.microsoft.com/office/drawing/2014/main" xmlns="" id="{00000000-0008-0000-0000-00009C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605" name="Text Box 81">
          <a:extLst>
            <a:ext uri="{FF2B5EF4-FFF2-40B4-BE49-F238E27FC236}">
              <a16:creationId xmlns:a16="http://schemas.microsoft.com/office/drawing/2014/main" xmlns="" id="{00000000-0008-0000-0000-00009D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606" name="Text Box 3079">
          <a:extLst>
            <a:ext uri="{FF2B5EF4-FFF2-40B4-BE49-F238E27FC236}">
              <a16:creationId xmlns:a16="http://schemas.microsoft.com/office/drawing/2014/main" xmlns="" id="{00000000-0008-0000-0000-00009E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607" name="Text Box 3080">
          <a:extLst>
            <a:ext uri="{FF2B5EF4-FFF2-40B4-BE49-F238E27FC236}">
              <a16:creationId xmlns:a16="http://schemas.microsoft.com/office/drawing/2014/main" xmlns="" id="{00000000-0008-0000-0000-00009F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608" name="Text Box 3081">
          <a:extLst>
            <a:ext uri="{FF2B5EF4-FFF2-40B4-BE49-F238E27FC236}">
              <a16:creationId xmlns:a16="http://schemas.microsoft.com/office/drawing/2014/main" xmlns="" id="{00000000-0008-0000-0000-0000A0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609" name="Text Box 3082">
          <a:extLst>
            <a:ext uri="{FF2B5EF4-FFF2-40B4-BE49-F238E27FC236}">
              <a16:creationId xmlns:a16="http://schemas.microsoft.com/office/drawing/2014/main" xmlns="" id="{00000000-0008-0000-0000-0000A1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610" name="Text Box 3083">
          <a:extLst>
            <a:ext uri="{FF2B5EF4-FFF2-40B4-BE49-F238E27FC236}">
              <a16:creationId xmlns:a16="http://schemas.microsoft.com/office/drawing/2014/main" xmlns="" id="{00000000-0008-0000-0000-0000A2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611" name="Text Box 3084">
          <a:extLst>
            <a:ext uri="{FF2B5EF4-FFF2-40B4-BE49-F238E27FC236}">
              <a16:creationId xmlns:a16="http://schemas.microsoft.com/office/drawing/2014/main" xmlns="" id="{00000000-0008-0000-0000-0000A3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612" name="Text Box 3085">
          <a:extLst>
            <a:ext uri="{FF2B5EF4-FFF2-40B4-BE49-F238E27FC236}">
              <a16:creationId xmlns:a16="http://schemas.microsoft.com/office/drawing/2014/main" xmlns="" id="{00000000-0008-0000-0000-0000A4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613" name="Text Box 3086">
          <a:extLst>
            <a:ext uri="{FF2B5EF4-FFF2-40B4-BE49-F238E27FC236}">
              <a16:creationId xmlns:a16="http://schemas.microsoft.com/office/drawing/2014/main" xmlns="" id="{00000000-0008-0000-0000-0000A5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614" name="Text Box 3087">
          <a:extLst>
            <a:ext uri="{FF2B5EF4-FFF2-40B4-BE49-F238E27FC236}">
              <a16:creationId xmlns:a16="http://schemas.microsoft.com/office/drawing/2014/main" xmlns="" id="{00000000-0008-0000-0000-0000A6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615" name="Text Box 3088">
          <a:extLst>
            <a:ext uri="{FF2B5EF4-FFF2-40B4-BE49-F238E27FC236}">
              <a16:creationId xmlns:a16="http://schemas.microsoft.com/office/drawing/2014/main" xmlns="" id="{00000000-0008-0000-0000-0000A7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616" name="Text Box 3089">
          <a:extLst>
            <a:ext uri="{FF2B5EF4-FFF2-40B4-BE49-F238E27FC236}">
              <a16:creationId xmlns:a16="http://schemas.microsoft.com/office/drawing/2014/main" xmlns="" id="{00000000-0008-0000-0000-0000A8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617" name="Text Box 3090">
          <a:extLst>
            <a:ext uri="{FF2B5EF4-FFF2-40B4-BE49-F238E27FC236}">
              <a16:creationId xmlns:a16="http://schemas.microsoft.com/office/drawing/2014/main" xmlns="" id="{00000000-0008-0000-0000-0000A9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618" name="Text Box 3091">
          <a:extLst>
            <a:ext uri="{FF2B5EF4-FFF2-40B4-BE49-F238E27FC236}">
              <a16:creationId xmlns:a16="http://schemas.microsoft.com/office/drawing/2014/main" xmlns="" id="{00000000-0008-0000-0000-0000AA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619" name="Text Box 3092">
          <a:extLst>
            <a:ext uri="{FF2B5EF4-FFF2-40B4-BE49-F238E27FC236}">
              <a16:creationId xmlns:a16="http://schemas.microsoft.com/office/drawing/2014/main" xmlns="" id="{00000000-0008-0000-0000-0000AB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620" name="Text Box 3093">
          <a:extLst>
            <a:ext uri="{FF2B5EF4-FFF2-40B4-BE49-F238E27FC236}">
              <a16:creationId xmlns:a16="http://schemas.microsoft.com/office/drawing/2014/main" xmlns="" id="{00000000-0008-0000-0000-0000AC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621" name="Text Box 3094">
          <a:extLst>
            <a:ext uri="{FF2B5EF4-FFF2-40B4-BE49-F238E27FC236}">
              <a16:creationId xmlns:a16="http://schemas.microsoft.com/office/drawing/2014/main" xmlns="" id="{00000000-0008-0000-0000-0000AD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622" name="Text Box 3095">
          <a:extLst>
            <a:ext uri="{FF2B5EF4-FFF2-40B4-BE49-F238E27FC236}">
              <a16:creationId xmlns:a16="http://schemas.microsoft.com/office/drawing/2014/main" xmlns="" id="{00000000-0008-0000-0000-0000AE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623" name="Text Box 3096">
          <a:extLst>
            <a:ext uri="{FF2B5EF4-FFF2-40B4-BE49-F238E27FC236}">
              <a16:creationId xmlns:a16="http://schemas.microsoft.com/office/drawing/2014/main" xmlns="" id="{00000000-0008-0000-0000-0000AF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624" name="Text Box 3097">
          <a:extLst>
            <a:ext uri="{FF2B5EF4-FFF2-40B4-BE49-F238E27FC236}">
              <a16:creationId xmlns:a16="http://schemas.microsoft.com/office/drawing/2014/main" xmlns="" id="{00000000-0008-0000-0000-0000B0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625" name="Text Box 3098">
          <a:extLst>
            <a:ext uri="{FF2B5EF4-FFF2-40B4-BE49-F238E27FC236}">
              <a16:creationId xmlns:a16="http://schemas.microsoft.com/office/drawing/2014/main" xmlns="" id="{00000000-0008-0000-0000-0000B1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626" name="Text Box 3099">
          <a:extLst>
            <a:ext uri="{FF2B5EF4-FFF2-40B4-BE49-F238E27FC236}">
              <a16:creationId xmlns:a16="http://schemas.microsoft.com/office/drawing/2014/main" xmlns="" id="{00000000-0008-0000-0000-0000B2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627" name="Text Box 3100">
          <a:extLst>
            <a:ext uri="{FF2B5EF4-FFF2-40B4-BE49-F238E27FC236}">
              <a16:creationId xmlns:a16="http://schemas.microsoft.com/office/drawing/2014/main" xmlns="" id="{00000000-0008-0000-0000-0000B3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628" name="Text Box 3101">
          <a:extLst>
            <a:ext uri="{FF2B5EF4-FFF2-40B4-BE49-F238E27FC236}">
              <a16:creationId xmlns:a16="http://schemas.microsoft.com/office/drawing/2014/main" xmlns="" id="{00000000-0008-0000-0000-0000B4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8629" name="Text Box 3102">
          <a:extLst>
            <a:ext uri="{FF2B5EF4-FFF2-40B4-BE49-F238E27FC236}">
              <a16:creationId xmlns:a16="http://schemas.microsoft.com/office/drawing/2014/main" xmlns="" id="{00000000-0008-0000-0000-0000B5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630" name="Text Box 59">
          <a:extLst>
            <a:ext uri="{FF2B5EF4-FFF2-40B4-BE49-F238E27FC236}">
              <a16:creationId xmlns:a16="http://schemas.microsoft.com/office/drawing/2014/main" xmlns="" id="{00000000-0008-0000-0000-0000B6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631" name="Text Box 60">
          <a:extLst>
            <a:ext uri="{FF2B5EF4-FFF2-40B4-BE49-F238E27FC236}">
              <a16:creationId xmlns:a16="http://schemas.microsoft.com/office/drawing/2014/main" xmlns="" id="{00000000-0008-0000-0000-0000B7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632" name="Text Box 61">
          <a:extLst>
            <a:ext uri="{FF2B5EF4-FFF2-40B4-BE49-F238E27FC236}">
              <a16:creationId xmlns:a16="http://schemas.microsoft.com/office/drawing/2014/main" xmlns="" id="{00000000-0008-0000-0000-0000B8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633" name="Text Box 62">
          <a:extLst>
            <a:ext uri="{FF2B5EF4-FFF2-40B4-BE49-F238E27FC236}">
              <a16:creationId xmlns:a16="http://schemas.microsoft.com/office/drawing/2014/main" xmlns="" id="{00000000-0008-0000-0000-0000B9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634" name="Text Box 63">
          <a:extLst>
            <a:ext uri="{FF2B5EF4-FFF2-40B4-BE49-F238E27FC236}">
              <a16:creationId xmlns:a16="http://schemas.microsoft.com/office/drawing/2014/main" xmlns="" id="{00000000-0008-0000-0000-0000BA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635" name="Text Box 64">
          <a:extLst>
            <a:ext uri="{FF2B5EF4-FFF2-40B4-BE49-F238E27FC236}">
              <a16:creationId xmlns:a16="http://schemas.microsoft.com/office/drawing/2014/main" xmlns="" id="{00000000-0008-0000-0000-0000BB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636" name="Text Box 65">
          <a:extLst>
            <a:ext uri="{FF2B5EF4-FFF2-40B4-BE49-F238E27FC236}">
              <a16:creationId xmlns:a16="http://schemas.microsoft.com/office/drawing/2014/main" xmlns="" id="{00000000-0008-0000-0000-0000BC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637" name="Text Box 66">
          <a:extLst>
            <a:ext uri="{FF2B5EF4-FFF2-40B4-BE49-F238E27FC236}">
              <a16:creationId xmlns:a16="http://schemas.microsoft.com/office/drawing/2014/main" xmlns="" id="{00000000-0008-0000-0000-0000BD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638" name="Text Box 67">
          <a:extLst>
            <a:ext uri="{FF2B5EF4-FFF2-40B4-BE49-F238E27FC236}">
              <a16:creationId xmlns:a16="http://schemas.microsoft.com/office/drawing/2014/main" xmlns="" id="{00000000-0008-0000-0000-0000BE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639" name="Text Box 68">
          <a:extLst>
            <a:ext uri="{FF2B5EF4-FFF2-40B4-BE49-F238E27FC236}">
              <a16:creationId xmlns:a16="http://schemas.microsoft.com/office/drawing/2014/main" xmlns="" id="{00000000-0008-0000-0000-0000BF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640" name="Text Box 69">
          <a:extLst>
            <a:ext uri="{FF2B5EF4-FFF2-40B4-BE49-F238E27FC236}">
              <a16:creationId xmlns:a16="http://schemas.microsoft.com/office/drawing/2014/main" xmlns="" id="{00000000-0008-0000-0000-0000C0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641" name="Text Box 70">
          <a:extLst>
            <a:ext uri="{FF2B5EF4-FFF2-40B4-BE49-F238E27FC236}">
              <a16:creationId xmlns:a16="http://schemas.microsoft.com/office/drawing/2014/main" xmlns="" id="{00000000-0008-0000-0000-0000C1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642" name="Text Box 71">
          <a:extLst>
            <a:ext uri="{FF2B5EF4-FFF2-40B4-BE49-F238E27FC236}">
              <a16:creationId xmlns:a16="http://schemas.microsoft.com/office/drawing/2014/main" xmlns="" id="{00000000-0008-0000-0000-0000C2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643" name="Text Box 72">
          <a:extLst>
            <a:ext uri="{FF2B5EF4-FFF2-40B4-BE49-F238E27FC236}">
              <a16:creationId xmlns:a16="http://schemas.microsoft.com/office/drawing/2014/main" xmlns="" id="{00000000-0008-0000-0000-0000C3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644" name="Text Box 73">
          <a:extLst>
            <a:ext uri="{FF2B5EF4-FFF2-40B4-BE49-F238E27FC236}">
              <a16:creationId xmlns:a16="http://schemas.microsoft.com/office/drawing/2014/main" xmlns="" id="{00000000-0008-0000-0000-0000C4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645" name="Text Box 74">
          <a:extLst>
            <a:ext uri="{FF2B5EF4-FFF2-40B4-BE49-F238E27FC236}">
              <a16:creationId xmlns:a16="http://schemas.microsoft.com/office/drawing/2014/main" xmlns="" id="{00000000-0008-0000-0000-0000C5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646" name="Text Box 75">
          <a:extLst>
            <a:ext uri="{FF2B5EF4-FFF2-40B4-BE49-F238E27FC236}">
              <a16:creationId xmlns:a16="http://schemas.microsoft.com/office/drawing/2014/main" xmlns="" id="{00000000-0008-0000-0000-0000C6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647" name="Text Box 76">
          <a:extLst>
            <a:ext uri="{FF2B5EF4-FFF2-40B4-BE49-F238E27FC236}">
              <a16:creationId xmlns:a16="http://schemas.microsoft.com/office/drawing/2014/main" xmlns="" id="{00000000-0008-0000-0000-0000C7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648" name="Text Box 77">
          <a:extLst>
            <a:ext uri="{FF2B5EF4-FFF2-40B4-BE49-F238E27FC236}">
              <a16:creationId xmlns:a16="http://schemas.microsoft.com/office/drawing/2014/main" xmlns="" id="{00000000-0008-0000-0000-0000C8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649" name="Text Box 78">
          <a:extLst>
            <a:ext uri="{FF2B5EF4-FFF2-40B4-BE49-F238E27FC236}">
              <a16:creationId xmlns:a16="http://schemas.microsoft.com/office/drawing/2014/main" xmlns="" id="{00000000-0008-0000-0000-0000C9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650" name="Text Box 79">
          <a:extLst>
            <a:ext uri="{FF2B5EF4-FFF2-40B4-BE49-F238E27FC236}">
              <a16:creationId xmlns:a16="http://schemas.microsoft.com/office/drawing/2014/main" xmlns="" id="{00000000-0008-0000-0000-0000CA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651" name="Text Box 80">
          <a:extLst>
            <a:ext uri="{FF2B5EF4-FFF2-40B4-BE49-F238E27FC236}">
              <a16:creationId xmlns:a16="http://schemas.microsoft.com/office/drawing/2014/main" xmlns="" id="{00000000-0008-0000-0000-0000CB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652" name="Text Box 81">
          <a:extLst>
            <a:ext uri="{FF2B5EF4-FFF2-40B4-BE49-F238E27FC236}">
              <a16:creationId xmlns:a16="http://schemas.microsoft.com/office/drawing/2014/main" xmlns="" id="{00000000-0008-0000-0000-0000CC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47625"/>
    <xdr:sp macro="" textlink="">
      <xdr:nvSpPr>
        <xdr:cNvPr id="8653" name="Text Box 82">
          <a:extLst>
            <a:ext uri="{FF2B5EF4-FFF2-40B4-BE49-F238E27FC236}">
              <a16:creationId xmlns:a16="http://schemas.microsoft.com/office/drawing/2014/main" xmlns="" id="{00000000-0008-0000-0000-0000CD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654" name="Text Box 3079">
          <a:extLst>
            <a:ext uri="{FF2B5EF4-FFF2-40B4-BE49-F238E27FC236}">
              <a16:creationId xmlns:a16="http://schemas.microsoft.com/office/drawing/2014/main" xmlns="" id="{00000000-0008-0000-0000-0000CE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655" name="Text Box 3080">
          <a:extLst>
            <a:ext uri="{FF2B5EF4-FFF2-40B4-BE49-F238E27FC236}">
              <a16:creationId xmlns:a16="http://schemas.microsoft.com/office/drawing/2014/main" xmlns="" id="{00000000-0008-0000-0000-0000CF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656" name="Text Box 3081">
          <a:extLst>
            <a:ext uri="{FF2B5EF4-FFF2-40B4-BE49-F238E27FC236}">
              <a16:creationId xmlns:a16="http://schemas.microsoft.com/office/drawing/2014/main" xmlns="" id="{00000000-0008-0000-0000-0000D0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657" name="Text Box 3082">
          <a:extLst>
            <a:ext uri="{FF2B5EF4-FFF2-40B4-BE49-F238E27FC236}">
              <a16:creationId xmlns:a16="http://schemas.microsoft.com/office/drawing/2014/main" xmlns="" id="{00000000-0008-0000-0000-0000D1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658" name="Text Box 3083">
          <a:extLst>
            <a:ext uri="{FF2B5EF4-FFF2-40B4-BE49-F238E27FC236}">
              <a16:creationId xmlns:a16="http://schemas.microsoft.com/office/drawing/2014/main" xmlns="" id="{00000000-0008-0000-0000-0000D2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659" name="Text Box 3084">
          <a:extLst>
            <a:ext uri="{FF2B5EF4-FFF2-40B4-BE49-F238E27FC236}">
              <a16:creationId xmlns:a16="http://schemas.microsoft.com/office/drawing/2014/main" xmlns="" id="{00000000-0008-0000-0000-0000D3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660" name="Text Box 3085">
          <a:extLst>
            <a:ext uri="{FF2B5EF4-FFF2-40B4-BE49-F238E27FC236}">
              <a16:creationId xmlns:a16="http://schemas.microsoft.com/office/drawing/2014/main" xmlns="" id="{00000000-0008-0000-0000-0000D4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661" name="Text Box 3086">
          <a:extLst>
            <a:ext uri="{FF2B5EF4-FFF2-40B4-BE49-F238E27FC236}">
              <a16:creationId xmlns:a16="http://schemas.microsoft.com/office/drawing/2014/main" xmlns="" id="{00000000-0008-0000-0000-0000D5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662" name="Text Box 3087">
          <a:extLst>
            <a:ext uri="{FF2B5EF4-FFF2-40B4-BE49-F238E27FC236}">
              <a16:creationId xmlns:a16="http://schemas.microsoft.com/office/drawing/2014/main" xmlns="" id="{00000000-0008-0000-0000-0000D6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663" name="Text Box 3088">
          <a:extLst>
            <a:ext uri="{FF2B5EF4-FFF2-40B4-BE49-F238E27FC236}">
              <a16:creationId xmlns:a16="http://schemas.microsoft.com/office/drawing/2014/main" xmlns="" id="{00000000-0008-0000-0000-0000D7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664" name="Text Box 3089">
          <a:extLst>
            <a:ext uri="{FF2B5EF4-FFF2-40B4-BE49-F238E27FC236}">
              <a16:creationId xmlns:a16="http://schemas.microsoft.com/office/drawing/2014/main" xmlns="" id="{00000000-0008-0000-0000-0000D8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665" name="Text Box 3090">
          <a:extLst>
            <a:ext uri="{FF2B5EF4-FFF2-40B4-BE49-F238E27FC236}">
              <a16:creationId xmlns:a16="http://schemas.microsoft.com/office/drawing/2014/main" xmlns="" id="{00000000-0008-0000-0000-0000D9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666" name="Text Box 3091">
          <a:extLst>
            <a:ext uri="{FF2B5EF4-FFF2-40B4-BE49-F238E27FC236}">
              <a16:creationId xmlns:a16="http://schemas.microsoft.com/office/drawing/2014/main" xmlns="" id="{00000000-0008-0000-0000-0000DA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667" name="Text Box 3092">
          <a:extLst>
            <a:ext uri="{FF2B5EF4-FFF2-40B4-BE49-F238E27FC236}">
              <a16:creationId xmlns:a16="http://schemas.microsoft.com/office/drawing/2014/main" xmlns="" id="{00000000-0008-0000-0000-0000DB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668" name="Text Box 3093">
          <a:extLst>
            <a:ext uri="{FF2B5EF4-FFF2-40B4-BE49-F238E27FC236}">
              <a16:creationId xmlns:a16="http://schemas.microsoft.com/office/drawing/2014/main" xmlns="" id="{00000000-0008-0000-0000-0000DC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669" name="Text Box 3094">
          <a:extLst>
            <a:ext uri="{FF2B5EF4-FFF2-40B4-BE49-F238E27FC236}">
              <a16:creationId xmlns:a16="http://schemas.microsoft.com/office/drawing/2014/main" xmlns="" id="{00000000-0008-0000-0000-0000DD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670" name="Text Box 3095">
          <a:extLst>
            <a:ext uri="{FF2B5EF4-FFF2-40B4-BE49-F238E27FC236}">
              <a16:creationId xmlns:a16="http://schemas.microsoft.com/office/drawing/2014/main" xmlns="" id="{00000000-0008-0000-0000-0000DE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671" name="Text Box 3096">
          <a:extLst>
            <a:ext uri="{FF2B5EF4-FFF2-40B4-BE49-F238E27FC236}">
              <a16:creationId xmlns:a16="http://schemas.microsoft.com/office/drawing/2014/main" xmlns="" id="{00000000-0008-0000-0000-0000DF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672" name="Text Box 3097">
          <a:extLst>
            <a:ext uri="{FF2B5EF4-FFF2-40B4-BE49-F238E27FC236}">
              <a16:creationId xmlns:a16="http://schemas.microsoft.com/office/drawing/2014/main" xmlns="" id="{00000000-0008-0000-0000-0000E0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673" name="Text Box 3098">
          <a:extLst>
            <a:ext uri="{FF2B5EF4-FFF2-40B4-BE49-F238E27FC236}">
              <a16:creationId xmlns:a16="http://schemas.microsoft.com/office/drawing/2014/main" xmlns="" id="{00000000-0008-0000-0000-0000E1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674" name="Text Box 3099">
          <a:extLst>
            <a:ext uri="{FF2B5EF4-FFF2-40B4-BE49-F238E27FC236}">
              <a16:creationId xmlns:a16="http://schemas.microsoft.com/office/drawing/2014/main" xmlns="" id="{00000000-0008-0000-0000-0000E2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675" name="Text Box 3100">
          <a:extLst>
            <a:ext uri="{FF2B5EF4-FFF2-40B4-BE49-F238E27FC236}">
              <a16:creationId xmlns:a16="http://schemas.microsoft.com/office/drawing/2014/main" xmlns="" id="{00000000-0008-0000-0000-0000E3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676" name="Text Box 3101">
          <a:extLst>
            <a:ext uri="{FF2B5EF4-FFF2-40B4-BE49-F238E27FC236}">
              <a16:creationId xmlns:a16="http://schemas.microsoft.com/office/drawing/2014/main" xmlns="" id="{00000000-0008-0000-0000-0000E4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8677" name="Text Box 3102">
          <a:extLst>
            <a:ext uri="{FF2B5EF4-FFF2-40B4-BE49-F238E27FC236}">
              <a16:creationId xmlns:a16="http://schemas.microsoft.com/office/drawing/2014/main" xmlns="" id="{00000000-0008-0000-0000-0000E5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678" name="Text Box 59">
          <a:extLst>
            <a:ext uri="{FF2B5EF4-FFF2-40B4-BE49-F238E27FC236}">
              <a16:creationId xmlns:a16="http://schemas.microsoft.com/office/drawing/2014/main" xmlns="" id="{00000000-0008-0000-0000-0000E6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679" name="Text Box 60">
          <a:extLst>
            <a:ext uri="{FF2B5EF4-FFF2-40B4-BE49-F238E27FC236}">
              <a16:creationId xmlns:a16="http://schemas.microsoft.com/office/drawing/2014/main" xmlns="" id="{00000000-0008-0000-0000-0000E7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680" name="Text Box 61">
          <a:extLst>
            <a:ext uri="{FF2B5EF4-FFF2-40B4-BE49-F238E27FC236}">
              <a16:creationId xmlns:a16="http://schemas.microsoft.com/office/drawing/2014/main" xmlns="" id="{00000000-0008-0000-0000-0000E8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681" name="Text Box 62">
          <a:extLst>
            <a:ext uri="{FF2B5EF4-FFF2-40B4-BE49-F238E27FC236}">
              <a16:creationId xmlns:a16="http://schemas.microsoft.com/office/drawing/2014/main" xmlns="" id="{00000000-0008-0000-0000-0000E9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682" name="Text Box 63">
          <a:extLst>
            <a:ext uri="{FF2B5EF4-FFF2-40B4-BE49-F238E27FC236}">
              <a16:creationId xmlns:a16="http://schemas.microsoft.com/office/drawing/2014/main" xmlns="" id="{00000000-0008-0000-0000-0000EA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683" name="Text Box 64">
          <a:extLst>
            <a:ext uri="{FF2B5EF4-FFF2-40B4-BE49-F238E27FC236}">
              <a16:creationId xmlns:a16="http://schemas.microsoft.com/office/drawing/2014/main" xmlns="" id="{00000000-0008-0000-0000-0000EB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684" name="Text Box 65">
          <a:extLst>
            <a:ext uri="{FF2B5EF4-FFF2-40B4-BE49-F238E27FC236}">
              <a16:creationId xmlns:a16="http://schemas.microsoft.com/office/drawing/2014/main" xmlns="" id="{00000000-0008-0000-0000-0000EC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685" name="Text Box 66">
          <a:extLst>
            <a:ext uri="{FF2B5EF4-FFF2-40B4-BE49-F238E27FC236}">
              <a16:creationId xmlns:a16="http://schemas.microsoft.com/office/drawing/2014/main" xmlns="" id="{00000000-0008-0000-0000-0000ED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686" name="Text Box 67">
          <a:extLst>
            <a:ext uri="{FF2B5EF4-FFF2-40B4-BE49-F238E27FC236}">
              <a16:creationId xmlns:a16="http://schemas.microsoft.com/office/drawing/2014/main" xmlns="" id="{00000000-0008-0000-0000-0000EE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687" name="Text Box 68">
          <a:extLst>
            <a:ext uri="{FF2B5EF4-FFF2-40B4-BE49-F238E27FC236}">
              <a16:creationId xmlns:a16="http://schemas.microsoft.com/office/drawing/2014/main" xmlns="" id="{00000000-0008-0000-0000-0000EF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688" name="Text Box 69">
          <a:extLst>
            <a:ext uri="{FF2B5EF4-FFF2-40B4-BE49-F238E27FC236}">
              <a16:creationId xmlns:a16="http://schemas.microsoft.com/office/drawing/2014/main" xmlns="" id="{00000000-0008-0000-0000-0000F0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689" name="Text Box 70">
          <a:extLst>
            <a:ext uri="{FF2B5EF4-FFF2-40B4-BE49-F238E27FC236}">
              <a16:creationId xmlns:a16="http://schemas.microsoft.com/office/drawing/2014/main" xmlns="" id="{00000000-0008-0000-0000-0000F1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690" name="Text Box 71">
          <a:extLst>
            <a:ext uri="{FF2B5EF4-FFF2-40B4-BE49-F238E27FC236}">
              <a16:creationId xmlns:a16="http://schemas.microsoft.com/office/drawing/2014/main" xmlns="" id="{00000000-0008-0000-0000-0000F2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691" name="Text Box 72">
          <a:extLst>
            <a:ext uri="{FF2B5EF4-FFF2-40B4-BE49-F238E27FC236}">
              <a16:creationId xmlns:a16="http://schemas.microsoft.com/office/drawing/2014/main" xmlns="" id="{00000000-0008-0000-0000-0000F3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692" name="Text Box 73">
          <a:extLst>
            <a:ext uri="{FF2B5EF4-FFF2-40B4-BE49-F238E27FC236}">
              <a16:creationId xmlns:a16="http://schemas.microsoft.com/office/drawing/2014/main" xmlns="" id="{00000000-0008-0000-0000-0000F4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693" name="Text Box 74">
          <a:extLst>
            <a:ext uri="{FF2B5EF4-FFF2-40B4-BE49-F238E27FC236}">
              <a16:creationId xmlns:a16="http://schemas.microsoft.com/office/drawing/2014/main" xmlns="" id="{00000000-0008-0000-0000-0000F5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694" name="Text Box 75">
          <a:extLst>
            <a:ext uri="{FF2B5EF4-FFF2-40B4-BE49-F238E27FC236}">
              <a16:creationId xmlns:a16="http://schemas.microsoft.com/office/drawing/2014/main" xmlns="" id="{00000000-0008-0000-0000-0000F6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695" name="Text Box 76">
          <a:extLst>
            <a:ext uri="{FF2B5EF4-FFF2-40B4-BE49-F238E27FC236}">
              <a16:creationId xmlns:a16="http://schemas.microsoft.com/office/drawing/2014/main" xmlns="" id="{00000000-0008-0000-0000-0000F7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696" name="Text Box 77">
          <a:extLst>
            <a:ext uri="{FF2B5EF4-FFF2-40B4-BE49-F238E27FC236}">
              <a16:creationId xmlns:a16="http://schemas.microsoft.com/office/drawing/2014/main" xmlns="" id="{00000000-0008-0000-0000-0000F8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697" name="Text Box 78">
          <a:extLst>
            <a:ext uri="{FF2B5EF4-FFF2-40B4-BE49-F238E27FC236}">
              <a16:creationId xmlns:a16="http://schemas.microsoft.com/office/drawing/2014/main" xmlns="" id="{00000000-0008-0000-0000-0000F9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698" name="Text Box 79">
          <a:extLst>
            <a:ext uri="{FF2B5EF4-FFF2-40B4-BE49-F238E27FC236}">
              <a16:creationId xmlns:a16="http://schemas.microsoft.com/office/drawing/2014/main" xmlns="" id="{00000000-0008-0000-0000-0000FA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699" name="Text Box 80">
          <a:extLst>
            <a:ext uri="{FF2B5EF4-FFF2-40B4-BE49-F238E27FC236}">
              <a16:creationId xmlns:a16="http://schemas.microsoft.com/office/drawing/2014/main" xmlns="" id="{00000000-0008-0000-0000-0000FB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700" name="Text Box 81">
          <a:extLst>
            <a:ext uri="{FF2B5EF4-FFF2-40B4-BE49-F238E27FC236}">
              <a16:creationId xmlns:a16="http://schemas.microsoft.com/office/drawing/2014/main" xmlns="" id="{00000000-0008-0000-0000-0000FC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701" name="Text Box 3079">
          <a:extLst>
            <a:ext uri="{FF2B5EF4-FFF2-40B4-BE49-F238E27FC236}">
              <a16:creationId xmlns:a16="http://schemas.microsoft.com/office/drawing/2014/main" xmlns="" id="{00000000-0008-0000-0000-0000FD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702" name="Text Box 3080">
          <a:extLst>
            <a:ext uri="{FF2B5EF4-FFF2-40B4-BE49-F238E27FC236}">
              <a16:creationId xmlns:a16="http://schemas.microsoft.com/office/drawing/2014/main" xmlns="" id="{00000000-0008-0000-0000-0000FE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703" name="Text Box 3081">
          <a:extLst>
            <a:ext uri="{FF2B5EF4-FFF2-40B4-BE49-F238E27FC236}">
              <a16:creationId xmlns:a16="http://schemas.microsoft.com/office/drawing/2014/main" xmlns="" id="{00000000-0008-0000-0000-0000FF21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704" name="Text Box 3082">
          <a:extLst>
            <a:ext uri="{FF2B5EF4-FFF2-40B4-BE49-F238E27FC236}">
              <a16:creationId xmlns:a16="http://schemas.microsoft.com/office/drawing/2014/main" xmlns="" id="{00000000-0008-0000-0000-000000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705" name="Text Box 3083">
          <a:extLst>
            <a:ext uri="{FF2B5EF4-FFF2-40B4-BE49-F238E27FC236}">
              <a16:creationId xmlns:a16="http://schemas.microsoft.com/office/drawing/2014/main" xmlns="" id="{00000000-0008-0000-0000-000001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706" name="Text Box 3084">
          <a:extLst>
            <a:ext uri="{FF2B5EF4-FFF2-40B4-BE49-F238E27FC236}">
              <a16:creationId xmlns:a16="http://schemas.microsoft.com/office/drawing/2014/main" xmlns="" id="{00000000-0008-0000-0000-000002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707" name="Text Box 3085">
          <a:extLst>
            <a:ext uri="{FF2B5EF4-FFF2-40B4-BE49-F238E27FC236}">
              <a16:creationId xmlns:a16="http://schemas.microsoft.com/office/drawing/2014/main" xmlns="" id="{00000000-0008-0000-0000-000003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708" name="Text Box 3086">
          <a:extLst>
            <a:ext uri="{FF2B5EF4-FFF2-40B4-BE49-F238E27FC236}">
              <a16:creationId xmlns:a16="http://schemas.microsoft.com/office/drawing/2014/main" xmlns="" id="{00000000-0008-0000-0000-000004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709" name="Text Box 3087">
          <a:extLst>
            <a:ext uri="{FF2B5EF4-FFF2-40B4-BE49-F238E27FC236}">
              <a16:creationId xmlns:a16="http://schemas.microsoft.com/office/drawing/2014/main" xmlns="" id="{00000000-0008-0000-0000-000005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710" name="Text Box 3088">
          <a:extLst>
            <a:ext uri="{FF2B5EF4-FFF2-40B4-BE49-F238E27FC236}">
              <a16:creationId xmlns:a16="http://schemas.microsoft.com/office/drawing/2014/main" xmlns="" id="{00000000-0008-0000-0000-000006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711" name="Text Box 3089">
          <a:extLst>
            <a:ext uri="{FF2B5EF4-FFF2-40B4-BE49-F238E27FC236}">
              <a16:creationId xmlns:a16="http://schemas.microsoft.com/office/drawing/2014/main" xmlns="" id="{00000000-0008-0000-0000-000007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712" name="Text Box 3090">
          <a:extLst>
            <a:ext uri="{FF2B5EF4-FFF2-40B4-BE49-F238E27FC236}">
              <a16:creationId xmlns:a16="http://schemas.microsoft.com/office/drawing/2014/main" xmlns="" id="{00000000-0008-0000-0000-000008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713" name="Text Box 3091">
          <a:extLst>
            <a:ext uri="{FF2B5EF4-FFF2-40B4-BE49-F238E27FC236}">
              <a16:creationId xmlns:a16="http://schemas.microsoft.com/office/drawing/2014/main" xmlns="" id="{00000000-0008-0000-0000-000009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714" name="Text Box 3092">
          <a:extLst>
            <a:ext uri="{FF2B5EF4-FFF2-40B4-BE49-F238E27FC236}">
              <a16:creationId xmlns:a16="http://schemas.microsoft.com/office/drawing/2014/main" xmlns="" id="{00000000-0008-0000-0000-00000A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715" name="Text Box 3093">
          <a:extLst>
            <a:ext uri="{FF2B5EF4-FFF2-40B4-BE49-F238E27FC236}">
              <a16:creationId xmlns:a16="http://schemas.microsoft.com/office/drawing/2014/main" xmlns="" id="{00000000-0008-0000-0000-00000B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716" name="Text Box 3094">
          <a:extLst>
            <a:ext uri="{FF2B5EF4-FFF2-40B4-BE49-F238E27FC236}">
              <a16:creationId xmlns:a16="http://schemas.microsoft.com/office/drawing/2014/main" xmlns="" id="{00000000-0008-0000-0000-00000C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717" name="Text Box 3095">
          <a:extLst>
            <a:ext uri="{FF2B5EF4-FFF2-40B4-BE49-F238E27FC236}">
              <a16:creationId xmlns:a16="http://schemas.microsoft.com/office/drawing/2014/main" xmlns="" id="{00000000-0008-0000-0000-00000D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718" name="Text Box 3096">
          <a:extLst>
            <a:ext uri="{FF2B5EF4-FFF2-40B4-BE49-F238E27FC236}">
              <a16:creationId xmlns:a16="http://schemas.microsoft.com/office/drawing/2014/main" xmlns="" id="{00000000-0008-0000-0000-00000E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719" name="Text Box 3097">
          <a:extLst>
            <a:ext uri="{FF2B5EF4-FFF2-40B4-BE49-F238E27FC236}">
              <a16:creationId xmlns:a16="http://schemas.microsoft.com/office/drawing/2014/main" xmlns="" id="{00000000-0008-0000-0000-00000F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720" name="Text Box 3098">
          <a:extLst>
            <a:ext uri="{FF2B5EF4-FFF2-40B4-BE49-F238E27FC236}">
              <a16:creationId xmlns:a16="http://schemas.microsoft.com/office/drawing/2014/main" xmlns="" id="{00000000-0008-0000-0000-000010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721" name="Text Box 3099">
          <a:extLst>
            <a:ext uri="{FF2B5EF4-FFF2-40B4-BE49-F238E27FC236}">
              <a16:creationId xmlns:a16="http://schemas.microsoft.com/office/drawing/2014/main" xmlns="" id="{00000000-0008-0000-0000-000011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722" name="Text Box 3100">
          <a:extLst>
            <a:ext uri="{FF2B5EF4-FFF2-40B4-BE49-F238E27FC236}">
              <a16:creationId xmlns:a16="http://schemas.microsoft.com/office/drawing/2014/main" xmlns="" id="{00000000-0008-0000-0000-000012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723" name="Text Box 3101">
          <a:extLst>
            <a:ext uri="{FF2B5EF4-FFF2-40B4-BE49-F238E27FC236}">
              <a16:creationId xmlns:a16="http://schemas.microsoft.com/office/drawing/2014/main" xmlns="" id="{00000000-0008-0000-0000-000013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8724" name="Text Box 3102">
          <a:extLst>
            <a:ext uri="{FF2B5EF4-FFF2-40B4-BE49-F238E27FC236}">
              <a16:creationId xmlns:a16="http://schemas.microsoft.com/office/drawing/2014/main" xmlns="" id="{00000000-0008-0000-0000-000014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725" name="Text Box 59">
          <a:extLst>
            <a:ext uri="{FF2B5EF4-FFF2-40B4-BE49-F238E27FC236}">
              <a16:creationId xmlns:a16="http://schemas.microsoft.com/office/drawing/2014/main" xmlns="" id="{00000000-0008-0000-0000-000015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726" name="Text Box 60">
          <a:extLst>
            <a:ext uri="{FF2B5EF4-FFF2-40B4-BE49-F238E27FC236}">
              <a16:creationId xmlns:a16="http://schemas.microsoft.com/office/drawing/2014/main" xmlns="" id="{00000000-0008-0000-0000-000016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727" name="Text Box 61">
          <a:extLst>
            <a:ext uri="{FF2B5EF4-FFF2-40B4-BE49-F238E27FC236}">
              <a16:creationId xmlns:a16="http://schemas.microsoft.com/office/drawing/2014/main" xmlns="" id="{00000000-0008-0000-0000-000017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728" name="Text Box 62">
          <a:extLst>
            <a:ext uri="{FF2B5EF4-FFF2-40B4-BE49-F238E27FC236}">
              <a16:creationId xmlns:a16="http://schemas.microsoft.com/office/drawing/2014/main" xmlns="" id="{00000000-0008-0000-0000-000018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729" name="Text Box 63">
          <a:extLst>
            <a:ext uri="{FF2B5EF4-FFF2-40B4-BE49-F238E27FC236}">
              <a16:creationId xmlns:a16="http://schemas.microsoft.com/office/drawing/2014/main" xmlns="" id="{00000000-0008-0000-0000-000019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730" name="Text Box 64">
          <a:extLst>
            <a:ext uri="{FF2B5EF4-FFF2-40B4-BE49-F238E27FC236}">
              <a16:creationId xmlns:a16="http://schemas.microsoft.com/office/drawing/2014/main" xmlns="" id="{00000000-0008-0000-0000-00001A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731" name="Text Box 65">
          <a:extLst>
            <a:ext uri="{FF2B5EF4-FFF2-40B4-BE49-F238E27FC236}">
              <a16:creationId xmlns:a16="http://schemas.microsoft.com/office/drawing/2014/main" xmlns="" id="{00000000-0008-0000-0000-00001B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732" name="Text Box 66">
          <a:extLst>
            <a:ext uri="{FF2B5EF4-FFF2-40B4-BE49-F238E27FC236}">
              <a16:creationId xmlns:a16="http://schemas.microsoft.com/office/drawing/2014/main" xmlns="" id="{00000000-0008-0000-0000-00001C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733" name="Text Box 67">
          <a:extLst>
            <a:ext uri="{FF2B5EF4-FFF2-40B4-BE49-F238E27FC236}">
              <a16:creationId xmlns:a16="http://schemas.microsoft.com/office/drawing/2014/main" xmlns="" id="{00000000-0008-0000-0000-00001D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734" name="Text Box 68">
          <a:extLst>
            <a:ext uri="{FF2B5EF4-FFF2-40B4-BE49-F238E27FC236}">
              <a16:creationId xmlns:a16="http://schemas.microsoft.com/office/drawing/2014/main" xmlns="" id="{00000000-0008-0000-0000-00001E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735" name="Text Box 69">
          <a:extLst>
            <a:ext uri="{FF2B5EF4-FFF2-40B4-BE49-F238E27FC236}">
              <a16:creationId xmlns:a16="http://schemas.microsoft.com/office/drawing/2014/main" xmlns="" id="{00000000-0008-0000-0000-00001F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736" name="Text Box 70">
          <a:extLst>
            <a:ext uri="{FF2B5EF4-FFF2-40B4-BE49-F238E27FC236}">
              <a16:creationId xmlns:a16="http://schemas.microsoft.com/office/drawing/2014/main" xmlns="" id="{00000000-0008-0000-0000-000020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737" name="Text Box 71">
          <a:extLst>
            <a:ext uri="{FF2B5EF4-FFF2-40B4-BE49-F238E27FC236}">
              <a16:creationId xmlns:a16="http://schemas.microsoft.com/office/drawing/2014/main" xmlns="" id="{00000000-0008-0000-0000-000021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738" name="Text Box 72">
          <a:extLst>
            <a:ext uri="{FF2B5EF4-FFF2-40B4-BE49-F238E27FC236}">
              <a16:creationId xmlns:a16="http://schemas.microsoft.com/office/drawing/2014/main" xmlns="" id="{00000000-0008-0000-0000-000022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739" name="Text Box 73">
          <a:extLst>
            <a:ext uri="{FF2B5EF4-FFF2-40B4-BE49-F238E27FC236}">
              <a16:creationId xmlns:a16="http://schemas.microsoft.com/office/drawing/2014/main" xmlns="" id="{00000000-0008-0000-0000-000023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740" name="Text Box 74">
          <a:extLst>
            <a:ext uri="{FF2B5EF4-FFF2-40B4-BE49-F238E27FC236}">
              <a16:creationId xmlns:a16="http://schemas.microsoft.com/office/drawing/2014/main" xmlns="" id="{00000000-0008-0000-0000-000024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741" name="Text Box 75">
          <a:extLst>
            <a:ext uri="{FF2B5EF4-FFF2-40B4-BE49-F238E27FC236}">
              <a16:creationId xmlns:a16="http://schemas.microsoft.com/office/drawing/2014/main" xmlns="" id="{00000000-0008-0000-0000-000025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742" name="Text Box 76">
          <a:extLst>
            <a:ext uri="{FF2B5EF4-FFF2-40B4-BE49-F238E27FC236}">
              <a16:creationId xmlns:a16="http://schemas.microsoft.com/office/drawing/2014/main" xmlns="" id="{00000000-0008-0000-0000-000026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743" name="Text Box 77">
          <a:extLst>
            <a:ext uri="{FF2B5EF4-FFF2-40B4-BE49-F238E27FC236}">
              <a16:creationId xmlns:a16="http://schemas.microsoft.com/office/drawing/2014/main" xmlns="" id="{00000000-0008-0000-0000-000027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744" name="Text Box 78">
          <a:extLst>
            <a:ext uri="{FF2B5EF4-FFF2-40B4-BE49-F238E27FC236}">
              <a16:creationId xmlns:a16="http://schemas.microsoft.com/office/drawing/2014/main" xmlns="" id="{00000000-0008-0000-0000-000028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745" name="Text Box 79">
          <a:extLst>
            <a:ext uri="{FF2B5EF4-FFF2-40B4-BE49-F238E27FC236}">
              <a16:creationId xmlns:a16="http://schemas.microsoft.com/office/drawing/2014/main" xmlns="" id="{00000000-0008-0000-0000-000029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746" name="Text Box 80">
          <a:extLst>
            <a:ext uri="{FF2B5EF4-FFF2-40B4-BE49-F238E27FC236}">
              <a16:creationId xmlns:a16="http://schemas.microsoft.com/office/drawing/2014/main" xmlns="" id="{00000000-0008-0000-0000-00002A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747" name="Text Box 81">
          <a:extLst>
            <a:ext uri="{FF2B5EF4-FFF2-40B4-BE49-F238E27FC236}">
              <a16:creationId xmlns:a16="http://schemas.microsoft.com/office/drawing/2014/main" xmlns="" id="{00000000-0008-0000-0000-00002B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47625"/>
    <xdr:sp macro="" textlink="">
      <xdr:nvSpPr>
        <xdr:cNvPr id="8748" name="Text Box 82">
          <a:extLst>
            <a:ext uri="{FF2B5EF4-FFF2-40B4-BE49-F238E27FC236}">
              <a16:creationId xmlns:a16="http://schemas.microsoft.com/office/drawing/2014/main" xmlns="" id="{00000000-0008-0000-0000-00002C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749" name="Text Box 3079">
          <a:extLst>
            <a:ext uri="{FF2B5EF4-FFF2-40B4-BE49-F238E27FC236}">
              <a16:creationId xmlns:a16="http://schemas.microsoft.com/office/drawing/2014/main" xmlns="" id="{00000000-0008-0000-0000-00002D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750" name="Text Box 3080">
          <a:extLst>
            <a:ext uri="{FF2B5EF4-FFF2-40B4-BE49-F238E27FC236}">
              <a16:creationId xmlns:a16="http://schemas.microsoft.com/office/drawing/2014/main" xmlns="" id="{00000000-0008-0000-0000-00002E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751" name="Text Box 3081">
          <a:extLst>
            <a:ext uri="{FF2B5EF4-FFF2-40B4-BE49-F238E27FC236}">
              <a16:creationId xmlns:a16="http://schemas.microsoft.com/office/drawing/2014/main" xmlns="" id="{00000000-0008-0000-0000-00002F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752" name="Text Box 3082">
          <a:extLst>
            <a:ext uri="{FF2B5EF4-FFF2-40B4-BE49-F238E27FC236}">
              <a16:creationId xmlns:a16="http://schemas.microsoft.com/office/drawing/2014/main" xmlns="" id="{00000000-0008-0000-0000-000030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753" name="Text Box 3083">
          <a:extLst>
            <a:ext uri="{FF2B5EF4-FFF2-40B4-BE49-F238E27FC236}">
              <a16:creationId xmlns:a16="http://schemas.microsoft.com/office/drawing/2014/main" xmlns="" id="{00000000-0008-0000-0000-000031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754" name="Text Box 3084">
          <a:extLst>
            <a:ext uri="{FF2B5EF4-FFF2-40B4-BE49-F238E27FC236}">
              <a16:creationId xmlns:a16="http://schemas.microsoft.com/office/drawing/2014/main" xmlns="" id="{00000000-0008-0000-0000-000032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755" name="Text Box 3085">
          <a:extLst>
            <a:ext uri="{FF2B5EF4-FFF2-40B4-BE49-F238E27FC236}">
              <a16:creationId xmlns:a16="http://schemas.microsoft.com/office/drawing/2014/main" xmlns="" id="{00000000-0008-0000-0000-000033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756" name="Text Box 3086">
          <a:extLst>
            <a:ext uri="{FF2B5EF4-FFF2-40B4-BE49-F238E27FC236}">
              <a16:creationId xmlns:a16="http://schemas.microsoft.com/office/drawing/2014/main" xmlns="" id="{00000000-0008-0000-0000-000034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757" name="Text Box 3087">
          <a:extLst>
            <a:ext uri="{FF2B5EF4-FFF2-40B4-BE49-F238E27FC236}">
              <a16:creationId xmlns:a16="http://schemas.microsoft.com/office/drawing/2014/main" xmlns="" id="{00000000-0008-0000-0000-000035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758" name="Text Box 3088">
          <a:extLst>
            <a:ext uri="{FF2B5EF4-FFF2-40B4-BE49-F238E27FC236}">
              <a16:creationId xmlns:a16="http://schemas.microsoft.com/office/drawing/2014/main" xmlns="" id="{00000000-0008-0000-0000-000036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759" name="Text Box 3089">
          <a:extLst>
            <a:ext uri="{FF2B5EF4-FFF2-40B4-BE49-F238E27FC236}">
              <a16:creationId xmlns:a16="http://schemas.microsoft.com/office/drawing/2014/main" xmlns="" id="{00000000-0008-0000-0000-000037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760" name="Text Box 3090">
          <a:extLst>
            <a:ext uri="{FF2B5EF4-FFF2-40B4-BE49-F238E27FC236}">
              <a16:creationId xmlns:a16="http://schemas.microsoft.com/office/drawing/2014/main" xmlns="" id="{00000000-0008-0000-0000-000038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761" name="Text Box 3091">
          <a:extLst>
            <a:ext uri="{FF2B5EF4-FFF2-40B4-BE49-F238E27FC236}">
              <a16:creationId xmlns:a16="http://schemas.microsoft.com/office/drawing/2014/main" xmlns="" id="{00000000-0008-0000-0000-000039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762" name="Text Box 3092">
          <a:extLst>
            <a:ext uri="{FF2B5EF4-FFF2-40B4-BE49-F238E27FC236}">
              <a16:creationId xmlns:a16="http://schemas.microsoft.com/office/drawing/2014/main" xmlns="" id="{00000000-0008-0000-0000-00003A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763" name="Text Box 3093">
          <a:extLst>
            <a:ext uri="{FF2B5EF4-FFF2-40B4-BE49-F238E27FC236}">
              <a16:creationId xmlns:a16="http://schemas.microsoft.com/office/drawing/2014/main" xmlns="" id="{00000000-0008-0000-0000-00003B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764" name="Text Box 3094">
          <a:extLst>
            <a:ext uri="{FF2B5EF4-FFF2-40B4-BE49-F238E27FC236}">
              <a16:creationId xmlns:a16="http://schemas.microsoft.com/office/drawing/2014/main" xmlns="" id="{00000000-0008-0000-0000-00003C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765" name="Text Box 3095">
          <a:extLst>
            <a:ext uri="{FF2B5EF4-FFF2-40B4-BE49-F238E27FC236}">
              <a16:creationId xmlns:a16="http://schemas.microsoft.com/office/drawing/2014/main" xmlns="" id="{00000000-0008-0000-0000-00003D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766" name="Text Box 3096">
          <a:extLst>
            <a:ext uri="{FF2B5EF4-FFF2-40B4-BE49-F238E27FC236}">
              <a16:creationId xmlns:a16="http://schemas.microsoft.com/office/drawing/2014/main" xmlns="" id="{00000000-0008-0000-0000-00003E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767" name="Text Box 3097">
          <a:extLst>
            <a:ext uri="{FF2B5EF4-FFF2-40B4-BE49-F238E27FC236}">
              <a16:creationId xmlns:a16="http://schemas.microsoft.com/office/drawing/2014/main" xmlns="" id="{00000000-0008-0000-0000-00003F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768" name="Text Box 3098">
          <a:extLst>
            <a:ext uri="{FF2B5EF4-FFF2-40B4-BE49-F238E27FC236}">
              <a16:creationId xmlns:a16="http://schemas.microsoft.com/office/drawing/2014/main" xmlns="" id="{00000000-0008-0000-0000-000040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769" name="Text Box 3099">
          <a:extLst>
            <a:ext uri="{FF2B5EF4-FFF2-40B4-BE49-F238E27FC236}">
              <a16:creationId xmlns:a16="http://schemas.microsoft.com/office/drawing/2014/main" xmlns="" id="{00000000-0008-0000-0000-000041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770" name="Text Box 3100">
          <a:extLst>
            <a:ext uri="{FF2B5EF4-FFF2-40B4-BE49-F238E27FC236}">
              <a16:creationId xmlns:a16="http://schemas.microsoft.com/office/drawing/2014/main" xmlns="" id="{00000000-0008-0000-0000-000042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771" name="Text Box 3101">
          <a:extLst>
            <a:ext uri="{FF2B5EF4-FFF2-40B4-BE49-F238E27FC236}">
              <a16:creationId xmlns:a16="http://schemas.microsoft.com/office/drawing/2014/main" xmlns="" id="{00000000-0008-0000-0000-000043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8772" name="Text Box 3102">
          <a:extLst>
            <a:ext uri="{FF2B5EF4-FFF2-40B4-BE49-F238E27FC236}">
              <a16:creationId xmlns:a16="http://schemas.microsoft.com/office/drawing/2014/main" xmlns="" id="{00000000-0008-0000-0000-000044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773" name="Text Box 59">
          <a:extLst>
            <a:ext uri="{FF2B5EF4-FFF2-40B4-BE49-F238E27FC236}">
              <a16:creationId xmlns:a16="http://schemas.microsoft.com/office/drawing/2014/main" xmlns="" id="{00000000-0008-0000-0000-000045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774" name="Text Box 60">
          <a:extLst>
            <a:ext uri="{FF2B5EF4-FFF2-40B4-BE49-F238E27FC236}">
              <a16:creationId xmlns:a16="http://schemas.microsoft.com/office/drawing/2014/main" xmlns="" id="{00000000-0008-0000-0000-000046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775" name="Text Box 61">
          <a:extLst>
            <a:ext uri="{FF2B5EF4-FFF2-40B4-BE49-F238E27FC236}">
              <a16:creationId xmlns:a16="http://schemas.microsoft.com/office/drawing/2014/main" xmlns="" id="{00000000-0008-0000-0000-000047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776" name="Text Box 62">
          <a:extLst>
            <a:ext uri="{FF2B5EF4-FFF2-40B4-BE49-F238E27FC236}">
              <a16:creationId xmlns:a16="http://schemas.microsoft.com/office/drawing/2014/main" xmlns="" id="{00000000-0008-0000-0000-000048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777" name="Text Box 63">
          <a:extLst>
            <a:ext uri="{FF2B5EF4-FFF2-40B4-BE49-F238E27FC236}">
              <a16:creationId xmlns:a16="http://schemas.microsoft.com/office/drawing/2014/main" xmlns="" id="{00000000-0008-0000-0000-000049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778" name="Text Box 64">
          <a:extLst>
            <a:ext uri="{FF2B5EF4-FFF2-40B4-BE49-F238E27FC236}">
              <a16:creationId xmlns:a16="http://schemas.microsoft.com/office/drawing/2014/main" xmlns="" id="{00000000-0008-0000-0000-00004A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779" name="Text Box 65">
          <a:extLst>
            <a:ext uri="{FF2B5EF4-FFF2-40B4-BE49-F238E27FC236}">
              <a16:creationId xmlns:a16="http://schemas.microsoft.com/office/drawing/2014/main" xmlns="" id="{00000000-0008-0000-0000-00004B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780" name="Text Box 66">
          <a:extLst>
            <a:ext uri="{FF2B5EF4-FFF2-40B4-BE49-F238E27FC236}">
              <a16:creationId xmlns:a16="http://schemas.microsoft.com/office/drawing/2014/main" xmlns="" id="{00000000-0008-0000-0000-00004C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781" name="Text Box 67">
          <a:extLst>
            <a:ext uri="{FF2B5EF4-FFF2-40B4-BE49-F238E27FC236}">
              <a16:creationId xmlns:a16="http://schemas.microsoft.com/office/drawing/2014/main" xmlns="" id="{00000000-0008-0000-0000-00004D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782" name="Text Box 68">
          <a:extLst>
            <a:ext uri="{FF2B5EF4-FFF2-40B4-BE49-F238E27FC236}">
              <a16:creationId xmlns:a16="http://schemas.microsoft.com/office/drawing/2014/main" xmlns="" id="{00000000-0008-0000-0000-00004E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783" name="Text Box 69">
          <a:extLst>
            <a:ext uri="{FF2B5EF4-FFF2-40B4-BE49-F238E27FC236}">
              <a16:creationId xmlns:a16="http://schemas.microsoft.com/office/drawing/2014/main" xmlns="" id="{00000000-0008-0000-0000-00004F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784" name="Text Box 70">
          <a:extLst>
            <a:ext uri="{FF2B5EF4-FFF2-40B4-BE49-F238E27FC236}">
              <a16:creationId xmlns:a16="http://schemas.microsoft.com/office/drawing/2014/main" xmlns="" id="{00000000-0008-0000-0000-000050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785" name="Text Box 71">
          <a:extLst>
            <a:ext uri="{FF2B5EF4-FFF2-40B4-BE49-F238E27FC236}">
              <a16:creationId xmlns:a16="http://schemas.microsoft.com/office/drawing/2014/main" xmlns="" id="{00000000-0008-0000-0000-000051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786" name="Text Box 72">
          <a:extLst>
            <a:ext uri="{FF2B5EF4-FFF2-40B4-BE49-F238E27FC236}">
              <a16:creationId xmlns:a16="http://schemas.microsoft.com/office/drawing/2014/main" xmlns="" id="{00000000-0008-0000-0000-000052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787" name="Text Box 73">
          <a:extLst>
            <a:ext uri="{FF2B5EF4-FFF2-40B4-BE49-F238E27FC236}">
              <a16:creationId xmlns:a16="http://schemas.microsoft.com/office/drawing/2014/main" xmlns="" id="{00000000-0008-0000-0000-000053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788" name="Text Box 74">
          <a:extLst>
            <a:ext uri="{FF2B5EF4-FFF2-40B4-BE49-F238E27FC236}">
              <a16:creationId xmlns:a16="http://schemas.microsoft.com/office/drawing/2014/main" xmlns="" id="{00000000-0008-0000-0000-000054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789" name="Text Box 75">
          <a:extLst>
            <a:ext uri="{FF2B5EF4-FFF2-40B4-BE49-F238E27FC236}">
              <a16:creationId xmlns:a16="http://schemas.microsoft.com/office/drawing/2014/main" xmlns="" id="{00000000-0008-0000-0000-000055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790" name="Text Box 76">
          <a:extLst>
            <a:ext uri="{FF2B5EF4-FFF2-40B4-BE49-F238E27FC236}">
              <a16:creationId xmlns:a16="http://schemas.microsoft.com/office/drawing/2014/main" xmlns="" id="{00000000-0008-0000-0000-000056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791" name="Text Box 77">
          <a:extLst>
            <a:ext uri="{FF2B5EF4-FFF2-40B4-BE49-F238E27FC236}">
              <a16:creationId xmlns:a16="http://schemas.microsoft.com/office/drawing/2014/main" xmlns="" id="{00000000-0008-0000-0000-000057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792" name="Text Box 78">
          <a:extLst>
            <a:ext uri="{FF2B5EF4-FFF2-40B4-BE49-F238E27FC236}">
              <a16:creationId xmlns:a16="http://schemas.microsoft.com/office/drawing/2014/main" xmlns="" id="{00000000-0008-0000-0000-000058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793" name="Text Box 79">
          <a:extLst>
            <a:ext uri="{FF2B5EF4-FFF2-40B4-BE49-F238E27FC236}">
              <a16:creationId xmlns:a16="http://schemas.microsoft.com/office/drawing/2014/main" xmlns="" id="{00000000-0008-0000-0000-000059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794" name="Text Box 80">
          <a:extLst>
            <a:ext uri="{FF2B5EF4-FFF2-40B4-BE49-F238E27FC236}">
              <a16:creationId xmlns:a16="http://schemas.microsoft.com/office/drawing/2014/main" xmlns="" id="{00000000-0008-0000-0000-00005A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795" name="Text Box 81">
          <a:extLst>
            <a:ext uri="{FF2B5EF4-FFF2-40B4-BE49-F238E27FC236}">
              <a16:creationId xmlns:a16="http://schemas.microsoft.com/office/drawing/2014/main" xmlns="" id="{00000000-0008-0000-0000-00005B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796" name="Text Box 3079">
          <a:extLst>
            <a:ext uri="{FF2B5EF4-FFF2-40B4-BE49-F238E27FC236}">
              <a16:creationId xmlns:a16="http://schemas.microsoft.com/office/drawing/2014/main" xmlns="" id="{00000000-0008-0000-0000-00005C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797" name="Text Box 3080">
          <a:extLst>
            <a:ext uri="{FF2B5EF4-FFF2-40B4-BE49-F238E27FC236}">
              <a16:creationId xmlns:a16="http://schemas.microsoft.com/office/drawing/2014/main" xmlns="" id="{00000000-0008-0000-0000-00005D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798" name="Text Box 3081">
          <a:extLst>
            <a:ext uri="{FF2B5EF4-FFF2-40B4-BE49-F238E27FC236}">
              <a16:creationId xmlns:a16="http://schemas.microsoft.com/office/drawing/2014/main" xmlns="" id="{00000000-0008-0000-0000-00005E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799" name="Text Box 3082">
          <a:extLst>
            <a:ext uri="{FF2B5EF4-FFF2-40B4-BE49-F238E27FC236}">
              <a16:creationId xmlns:a16="http://schemas.microsoft.com/office/drawing/2014/main" xmlns="" id="{00000000-0008-0000-0000-00005F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800" name="Text Box 3083">
          <a:extLst>
            <a:ext uri="{FF2B5EF4-FFF2-40B4-BE49-F238E27FC236}">
              <a16:creationId xmlns:a16="http://schemas.microsoft.com/office/drawing/2014/main" xmlns="" id="{00000000-0008-0000-0000-000060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801" name="Text Box 3084">
          <a:extLst>
            <a:ext uri="{FF2B5EF4-FFF2-40B4-BE49-F238E27FC236}">
              <a16:creationId xmlns:a16="http://schemas.microsoft.com/office/drawing/2014/main" xmlns="" id="{00000000-0008-0000-0000-000061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802" name="Text Box 3085">
          <a:extLst>
            <a:ext uri="{FF2B5EF4-FFF2-40B4-BE49-F238E27FC236}">
              <a16:creationId xmlns:a16="http://schemas.microsoft.com/office/drawing/2014/main" xmlns="" id="{00000000-0008-0000-0000-000062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803" name="Text Box 3086">
          <a:extLst>
            <a:ext uri="{FF2B5EF4-FFF2-40B4-BE49-F238E27FC236}">
              <a16:creationId xmlns:a16="http://schemas.microsoft.com/office/drawing/2014/main" xmlns="" id="{00000000-0008-0000-0000-000063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804" name="Text Box 3087">
          <a:extLst>
            <a:ext uri="{FF2B5EF4-FFF2-40B4-BE49-F238E27FC236}">
              <a16:creationId xmlns:a16="http://schemas.microsoft.com/office/drawing/2014/main" xmlns="" id="{00000000-0008-0000-0000-000064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805" name="Text Box 3088">
          <a:extLst>
            <a:ext uri="{FF2B5EF4-FFF2-40B4-BE49-F238E27FC236}">
              <a16:creationId xmlns:a16="http://schemas.microsoft.com/office/drawing/2014/main" xmlns="" id="{00000000-0008-0000-0000-000065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806" name="Text Box 3089">
          <a:extLst>
            <a:ext uri="{FF2B5EF4-FFF2-40B4-BE49-F238E27FC236}">
              <a16:creationId xmlns:a16="http://schemas.microsoft.com/office/drawing/2014/main" xmlns="" id="{00000000-0008-0000-0000-000066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807" name="Text Box 3090">
          <a:extLst>
            <a:ext uri="{FF2B5EF4-FFF2-40B4-BE49-F238E27FC236}">
              <a16:creationId xmlns:a16="http://schemas.microsoft.com/office/drawing/2014/main" xmlns="" id="{00000000-0008-0000-0000-000067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808" name="Text Box 3091">
          <a:extLst>
            <a:ext uri="{FF2B5EF4-FFF2-40B4-BE49-F238E27FC236}">
              <a16:creationId xmlns:a16="http://schemas.microsoft.com/office/drawing/2014/main" xmlns="" id="{00000000-0008-0000-0000-000068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809" name="Text Box 3092">
          <a:extLst>
            <a:ext uri="{FF2B5EF4-FFF2-40B4-BE49-F238E27FC236}">
              <a16:creationId xmlns:a16="http://schemas.microsoft.com/office/drawing/2014/main" xmlns="" id="{00000000-0008-0000-0000-000069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810" name="Text Box 3093">
          <a:extLst>
            <a:ext uri="{FF2B5EF4-FFF2-40B4-BE49-F238E27FC236}">
              <a16:creationId xmlns:a16="http://schemas.microsoft.com/office/drawing/2014/main" xmlns="" id="{00000000-0008-0000-0000-00006A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811" name="Text Box 3094">
          <a:extLst>
            <a:ext uri="{FF2B5EF4-FFF2-40B4-BE49-F238E27FC236}">
              <a16:creationId xmlns:a16="http://schemas.microsoft.com/office/drawing/2014/main" xmlns="" id="{00000000-0008-0000-0000-00006B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812" name="Text Box 3095">
          <a:extLst>
            <a:ext uri="{FF2B5EF4-FFF2-40B4-BE49-F238E27FC236}">
              <a16:creationId xmlns:a16="http://schemas.microsoft.com/office/drawing/2014/main" xmlns="" id="{00000000-0008-0000-0000-00006C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813" name="Text Box 3096">
          <a:extLst>
            <a:ext uri="{FF2B5EF4-FFF2-40B4-BE49-F238E27FC236}">
              <a16:creationId xmlns:a16="http://schemas.microsoft.com/office/drawing/2014/main" xmlns="" id="{00000000-0008-0000-0000-00006D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814" name="Text Box 3097">
          <a:extLst>
            <a:ext uri="{FF2B5EF4-FFF2-40B4-BE49-F238E27FC236}">
              <a16:creationId xmlns:a16="http://schemas.microsoft.com/office/drawing/2014/main" xmlns="" id="{00000000-0008-0000-0000-00006E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815" name="Text Box 3098">
          <a:extLst>
            <a:ext uri="{FF2B5EF4-FFF2-40B4-BE49-F238E27FC236}">
              <a16:creationId xmlns:a16="http://schemas.microsoft.com/office/drawing/2014/main" xmlns="" id="{00000000-0008-0000-0000-00006F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816" name="Text Box 3099">
          <a:extLst>
            <a:ext uri="{FF2B5EF4-FFF2-40B4-BE49-F238E27FC236}">
              <a16:creationId xmlns:a16="http://schemas.microsoft.com/office/drawing/2014/main" xmlns="" id="{00000000-0008-0000-0000-000070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817" name="Text Box 3100">
          <a:extLst>
            <a:ext uri="{FF2B5EF4-FFF2-40B4-BE49-F238E27FC236}">
              <a16:creationId xmlns:a16="http://schemas.microsoft.com/office/drawing/2014/main" xmlns="" id="{00000000-0008-0000-0000-000071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818" name="Text Box 3101">
          <a:extLst>
            <a:ext uri="{FF2B5EF4-FFF2-40B4-BE49-F238E27FC236}">
              <a16:creationId xmlns:a16="http://schemas.microsoft.com/office/drawing/2014/main" xmlns="" id="{00000000-0008-0000-0000-000072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8819" name="Text Box 3102">
          <a:extLst>
            <a:ext uri="{FF2B5EF4-FFF2-40B4-BE49-F238E27FC236}">
              <a16:creationId xmlns:a16="http://schemas.microsoft.com/office/drawing/2014/main" xmlns="" id="{00000000-0008-0000-0000-000073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820" name="Text Box 59">
          <a:extLst>
            <a:ext uri="{FF2B5EF4-FFF2-40B4-BE49-F238E27FC236}">
              <a16:creationId xmlns:a16="http://schemas.microsoft.com/office/drawing/2014/main" xmlns="" id="{00000000-0008-0000-0000-000074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821" name="Text Box 60">
          <a:extLst>
            <a:ext uri="{FF2B5EF4-FFF2-40B4-BE49-F238E27FC236}">
              <a16:creationId xmlns:a16="http://schemas.microsoft.com/office/drawing/2014/main" xmlns="" id="{00000000-0008-0000-0000-000075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822" name="Text Box 61">
          <a:extLst>
            <a:ext uri="{FF2B5EF4-FFF2-40B4-BE49-F238E27FC236}">
              <a16:creationId xmlns:a16="http://schemas.microsoft.com/office/drawing/2014/main" xmlns="" id="{00000000-0008-0000-0000-000076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823" name="Text Box 62">
          <a:extLst>
            <a:ext uri="{FF2B5EF4-FFF2-40B4-BE49-F238E27FC236}">
              <a16:creationId xmlns:a16="http://schemas.microsoft.com/office/drawing/2014/main" xmlns="" id="{00000000-0008-0000-0000-000077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824" name="Text Box 63">
          <a:extLst>
            <a:ext uri="{FF2B5EF4-FFF2-40B4-BE49-F238E27FC236}">
              <a16:creationId xmlns:a16="http://schemas.microsoft.com/office/drawing/2014/main" xmlns="" id="{00000000-0008-0000-0000-000078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825" name="Text Box 64">
          <a:extLst>
            <a:ext uri="{FF2B5EF4-FFF2-40B4-BE49-F238E27FC236}">
              <a16:creationId xmlns:a16="http://schemas.microsoft.com/office/drawing/2014/main" xmlns="" id="{00000000-0008-0000-0000-000079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826" name="Text Box 65">
          <a:extLst>
            <a:ext uri="{FF2B5EF4-FFF2-40B4-BE49-F238E27FC236}">
              <a16:creationId xmlns:a16="http://schemas.microsoft.com/office/drawing/2014/main" xmlns="" id="{00000000-0008-0000-0000-00007A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827" name="Text Box 66">
          <a:extLst>
            <a:ext uri="{FF2B5EF4-FFF2-40B4-BE49-F238E27FC236}">
              <a16:creationId xmlns:a16="http://schemas.microsoft.com/office/drawing/2014/main" xmlns="" id="{00000000-0008-0000-0000-00007B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828" name="Text Box 67">
          <a:extLst>
            <a:ext uri="{FF2B5EF4-FFF2-40B4-BE49-F238E27FC236}">
              <a16:creationId xmlns:a16="http://schemas.microsoft.com/office/drawing/2014/main" xmlns="" id="{00000000-0008-0000-0000-00007C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829" name="Text Box 68">
          <a:extLst>
            <a:ext uri="{FF2B5EF4-FFF2-40B4-BE49-F238E27FC236}">
              <a16:creationId xmlns:a16="http://schemas.microsoft.com/office/drawing/2014/main" xmlns="" id="{00000000-0008-0000-0000-00007D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830" name="Text Box 69">
          <a:extLst>
            <a:ext uri="{FF2B5EF4-FFF2-40B4-BE49-F238E27FC236}">
              <a16:creationId xmlns:a16="http://schemas.microsoft.com/office/drawing/2014/main" xmlns="" id="{00000000-0008-0000-0000-00007E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831" name="Text Box 70">
          <a:extLst>
            <a:ext uri="{FF2B5EF4-FFF2-40B4-BE49-F238E27FC236}">
              <a16:creationId xmlns:a16="http://schemas.microsoft.com/office/drawing/2014/main" xmlns="" id="{00000000-0008-0000-0000-00007F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832" name="Text Box 71">
          <a:extLst>
            <a:ext uri="{FF2B5EF4-FFF2-40B4-BE49-F238E27FC236}">
              <a16:creationId xmlns:a16="http://schemas.microsoft.com/office/drawing/2014/main" xmlns="" id="{00000000-0008-0000-0000-000080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833" name="Text Box 72">
          <a:extLst>
            <a:ext uri="{FF2B5EF4-FFF2-40B4-BE49-F238E27FC236}">
              <a16:creationId xmlns:a16="http://schemas.microsoft.com/office/drawing/2014/main" xmlns="" id="{00000000-0008-0000-0000-000081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834" name="Text Box 73">
          <a:extLst>
            <a:ext uri="{FF2B5EF4-FFF2-40B4-BE49-F238E27FC236}">
              <a16:creationId xmlns:a16="http://schemas.microsoft.com/office/drawing/2014/main" xmlns="" id="{00000000-0008-0000-0000-000082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835" name="Text Box 74">
          <a:extLst>
            <a:ext uri="{FF2B5EF4-FFF2-40B4-BE49-F238E27FC236}">
              <a16:creationId xmlns:a16="http://schemas.microsoft.com/office/drawing/2014/main" xmlns="" id="{00000000-0008-0000-0000-000083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836" name="Text Box 75">
          <a:extLst>
            <a:ext uri="{FF2B5EF4-FFF2-40B4-BE49-F238E27FC236}">
              <a16:creationId xmlns:a16="http://schemas.microsoft.com/office/drawing/2014/main" xmlns="" id="{00000000-0008-0000-0000-000084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837" name="Text Box 76">
          <a:extLst>
            <a:ext uri="{FF2B5EF4-FFF2-40B4-BE49-F238E27FC236}">
              <a16:creationId xmlns:a16="http://schemas.microsoft.com/office/drawing/2014/main" xmlns="" id="{00000000-0008-0000-0000-000085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838" name="Text Box 77">
          <a:extLst>
            <a:ext uri="{FF2B5EF4-FFF2-40B4-BE49-F238E27FC236}">
              <a16:creationId xmlns:a16="http://schemas.microsoft.com/office/drawing/2014/main" xmlns="" id="{00000000-0008-0000-0000-000086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839" name="Text Box 78">
          <a:extLst>
            <a:ext uri="{FF2B5EF4-FFF2-40B4-BE49-F238E27FC236}">
              <a16:creationId xmlns:a16="http://schemas.microsoft.com/office/drawing/2014/main" xmlns="" id="{00000000-0008-0000-0000-000087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840" name="Text Box 79">
          <a:extLst>
            <a:ext uri="{FF2B5EF4-FFF2-40B4-BE49-F238E27FC236}">
              <a16:creationId xmlns:a16="http://schemas.microsoft.com/office/drawing/2014/main" xmlns="" id="{00000000-0008-0000-0000-000088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841" name="Text Box 80">
          <a:extLst>
            <a:ext uri="{FF2B5EF4-FFF2-40B4-BE49-F238E27FC236}">
              <a16:creationId xmlns:a16="http://schemas.microsoft.com/office/drawing/2014/main" xmlns="" id="{00000000-0008-0000-0000-000089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842" name="Text Box 81">
          <a:extLst>
            <a:ext uri="{FF2B5EF4-FFF2-40B4-BE49-F238E27FC236}">
              <a16:creationId xmlns:a16="http://schemas.microsoft.com/office/drawing/2014/main" xmlns="" id="{00000000-0008-0000-0000-00008A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47625"/>
    <xdr:sp macro="" textlink="">
      <xdr:nvSpPr>
        <xdr:cNvPr id="8843" name="Text Box 82">
          <a:extLst>
            <a:ext uri="{FF2B5EF4-FFF2-40B4-BE49-F238E27FC236}">
              <a16:creationId xmlns:a16="http://schemas.microsoft.com/office/drawing/2014/main" xmlns="" id="{00000000-0008-0000-0000-00008B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844" name="Text Box 3079">
          <a:extLst>
            <a:ext uri="{FF2B5EF4-FFF2-40B4-BE49-F238E27FC236}">
              <a16:creationId xmlns:a16="http://schemas.microsoft.com/office/drawing/2014/main" xmlns="" id="{00000000-0008-0000-0000-00008C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845" name="Text Box 3080">
          <a:extLst>
            <a:ext uri="{FF2B5EF4-FFF2-40B4-BE49-F238E27FC236}">
              <a16:creationId xmlns:a16="http://schemas.microsoft.com/office/drawing/2014/main" xmlns="" id="{00000000-0008-0000-0000-00008D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846" name="Text Box 3081">
          <a:extLst>
            <a:ext uri="{FF2B5EF4-FFF2-40B4-BE49-F238E27FC236}">
              <a16:creationId xmlns:a16="http://schemas.microsoft.com/office/drawing/2014/main" xmlns="" id="{00000000-0008-0000-0000-00008E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847" name="Text Box 3082">
          <a:extLst>
            <a:ext uri="{FF2B5EF4-FFF2-40B4-BE49-F238E27FC236}">
              <a16:creationId xmlns:a16="http://schemas.microsoft.com/office/drawing/2014/main" xmlns="" id="{00000000-0008-0000-0000-00008F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848" name="Text Box 3083">
          <a:extLst>
            <a:ext uri="{FF2B5EF4-FFF2-40B4-BE49-F238E27FC236}">
              <a16:creationId xmlns:a16="http://schemas.microsoft.com/office/drawing/2014/main" xmlns="" id="{00000000-0008-0000-0000-000090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849" name="Text Box 3084">
          <a:extLst>
            <a:ext uri="{FF2B5EF4-FFF2-40B4-BE49-F238E27FC236}">
              <a16:creationId xmlns:a16="http://schemas.microsoft.com/office/drawing/2014/main" xmlns="" id="{00000000-0008-0000-0000-000091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850" name="Text Box 3085">
          <a:extLst>
            <a:ext uri="{FF2B5EF4-FFF2-40B4-BE49-F238E27FC236}">
              <a16:creationId xmlns:a16="http://schemas.microsoft.com/office/drawing/2014/main" xmlns="" id="{00000000-0008-0000-0000-000092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851" name="Text Box 3086">
          <a:extLst>
            <a:ext uri="{FF2B5EF4-FFF2-40B4-BE49-F238E27FC236}">
              <a16:creationId xmlns:a16="http://schemas.microsoft.com/office/drawing/2014/main" xmlns="" id="{00000000-0008-0000-0000-000093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852" name="Text Box 3087">
          <a:extLst>
            <a:ext uri="{FF2B5EF4-FFF2-40B4-BE49-F238E27FC236}">
              <a16:creationId xmlns:a16="http://schemas.microsoft.com/office/drawing/2014/main" xmlns="" id="{00000000-0008-0000-0000-000094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853" name="Text Box 3088">
          <a:extLst>
            <a:ext uri="{FF2B5EF4-FFF2-40B4-BE49-F238E27FC236}">
              <a16:creationId xmlns:a16="http://schemas.microsoft.com/office/drawing/2014/main" xmlns="" id="{00000000-0008-0000-0000-000095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854" name="Text Box 3089">
          <a:extLst>
            <a:ext uri="{FF2B5EF4-FFF2-40B4-BE49-F238E27FC236}">
              <a16:creationId xmlns:a16="http://schemas.microsoft.com/office/drawing/2014/main" xmlns="" id="{00000000-0008-0000-0000-000096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855" name="Text Box 3090">
          <a:extLst>
            <a:ext uri="{FF2B5EF4-FFF2-40B4-BE49-F238E27FC236}">
              <a16:creationId xmlns:a16="http://schemas.microsoft.com/office/drawing/2014/main" xmlns="" id="{00000000-0008-0000-0000-000097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856" name="Text Box 3091">
          <a:extLst>
            <a:ext uri="{FF2B5EF4-FFF2-40B4-BE49-F238E27FC236}">
              <a16:creationId xmlns:a16="http://schemas.microsoft.com/office/drawing/2014/main" xmlns="" id="{00000000-0008-0000-0000-000098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857" name="Text Box 3092">
          <a:extLst>
            <a:ext uri="{FF2B5EF4-FFF2-40B4-BE49-F238E27FC236}">
              <a16:creationId xmlns:a16="http://schemas.microsoft.com/office/drawing/2014/main" xmlns="" id="{00000000-0008-0000-0000-000099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858" name="Text Box 3093">
          <a:extLst>
            <a:ext uri="{FF2B5EF4-FFF2-40B4-BE49-F238E27FC236}">
              <a16:creationId xmlns:a16="http://schemas.microsoft.com/office/drawing/2014/main" xmlns="" id="{00000000-0008-0000-0000-00009A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859" name="Text Box 3094">
          <a:extLst>
            <a:ext uri="{FF2B5EF4-FFF2-40B4-BE49-F238E27FC236}">
              <a16:creationId xmlns:a16="http://schemas.microsoft.com/office/drawing/2014/main" xmlns="" id="{00000000-0008-0000-0000-00009B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860" name="Text Box 3095">
          <a:extLst>
            <a:ext uri="{FF2B5EF4-FFF2-40B4-BE49-F238E27FC236}">
              <a16:creationId xmlns:a16="http://schemas.microsoft.com/office/drawing/2014/main" xmlns="" id="{00000000-0008-0000-0000-00009C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861" name="Text Box 3096">
          <a:extLst>
            <a:ext uri="{FF2B5EF4-FFF2-40B4-BE49-F238E27FC236}">
              <a16:creationId xmlns:a16="http://schemas.microsoft.com/office/drawing/2014/main" xmlns="" id="{00000000-0008-0000-0000-00009D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862" name="Text Box 3097">
          <a:extLst>
            <a:ext uri="{FF2B5EF4-FFF2-40B4-BE49-F238E27FC236}">
              <a16:creationId xmlns:a16="http://schemas.microsoft.com/office/drawing/2014/main" xmlns="" id="{00000000-0008-0000-0000-00009E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863" name="Text Box 3098">
          <a:extLst>
            <a:ext uri="{FF2B5EF4-FFF2-40B4-BE49-F238E27FC236}">
              <a16:creationId xmlns:a16="http://schemas.microsoft.com/office/drawing/2014/main" xmlns="" id="{00000000-0008-0000-0000-00009F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864" name="Text Box 3099">
          <a:extLst>
            <a:ext uri="{FF2B5EF4-FFF2-40B4-BE49-F238E27FC236}">
              <a16:creationId xmlns:a16="http://schemas.microsoft.com/office/drawing/2014/main" xmlns="" id="{00000000-0008-0000-0000-0000A0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865" name="Text Box 3100">
          <a:extLst>
            <a:ext uri="{FF2B5EF4-FFF2-40B4-BE49-F238E27FC236}">
              <a16:creationId xmlns:a16="http://schemas.microsoft.com/office/drawing/2014/main" xmlns="" id="{00000000-0008-0000-0000-0000A1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866" name="Text Box 3101">
          <a:extLst>
            <a:ext uri="{FF2B5EF4-FFF2-40B4-BE49-F238E27FC236}">
              <a16:creationId xmlns:a16="http://schemas.microsoft.com/office/drawing/2014/main" xmlns="" id="{00000000-0008-0000-0000-0000A2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8867" name="Text Box 3102">
          <a:extLst>
            <a:ext uri="{FF2B5EF4-FFF2-40B4-BE49-F238E27FC236}">
              <a16:creationId xmlns:a16="http://schemas.microsoft.com/office/drawing/2014/main" xmlns="" id="{00000000-0008-0000-0000-0000A3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868" name="Text Box 59">
          <a:extLst>
            <a:ext uri="{FF2B5EF4-FFF2-40B4-BE49-F238E27FC236}">
              <a16:creationId xmlns:a16="http://schemas.microsoft.com/office/drawing/2014/main" xmlns="" id="{00000000-0008-0000-0000-0000A4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869" name="Text Box 60">
          <a:extLst>
            <a:ext uri="{FF2B5EF4-FFF2-40B4-BE49-F238E27FC236}">
              <a16:creationId xmlns:a16="http://schemas.microsoft.com/office/drawing/2014/main" xmlns="" id="{00000000-0008-0000-0000-0000A5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870" name="Text Box 61">
          <a:extLst>
            <a:ext uri="{FF2B5EF4-FFF2-40B4-BE49-F238E27FC236}">
              <a16:creationId xmlns:a16="http://schemas.microsoft.com/office/drawing/2014/main" xmlns="" id="{00000000-0008-0000-0000-0000A6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871" name="Text Box 62">
          <a:extLst>
            <a:ext uri="{FF2B5EF4-FFF2-40B4-BE49-F238E27FC236}">
              <a16:creationId xmlns:a16="http://schemas.microsoft.com/office/drawing/2014/main" xmlns="" id="{00000000-0008-0000-0000-0000A7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872" name="Text Box 63">
          <a:extLst>
            <a:ext uri="{FF2B5EF4-FFF2-40B4-BE49-F238E27FC236}">
              <a16:creationId xmlns:a16="http://schemas.microsoft.com/office/drawing/2014/main" xmlns="" id="{00000000-0008-0000-0000-0000A8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873" name="Text Box 64">
          <a:extLst>
            <a:ext uri="{FF2B5EF4-FFF2-40B4-BE49-F238E27FC236}">
              <a16:creationId xmlns:a16="http://schemas.microsoft.com/office/drawing/2014/main" xmlns="" id="{00000000-0008-0000-0000-0000A9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874" name="Text Box 65">
          <a:extLst>
            <a:ext uri="{FF2B5EF4-FFF2-40B4-BE49-F238E27FC236}">
              <a16:creationId xmlns:a16="http://schemas.microsoft.com/office/drawing/2014/main" xmlns="" id="{00000000-0008-0000-0000-0000AA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875" name="Text Box 66">
          <a:extLst>
            <a:ext uri="{FF2B5EF4-FFF2-40B4-BE49-F238E27FC236}">
              <a16:creationId xmlns:a16="http://schemas.microsoft.com/office/drawing/2014/main" xmlns="" id="{00000000-0008-0000-0000-0000AB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876" name="Text Box 67">
          <a:extLst>
            <a:ext uri="{FF2B5EF4-FFF2-40B4-BE49-F238E27FC236}">
              <a16:creationId xmlns:a16="http://schemas.microsoft.com/office/drawing/2014/main" xmlns="" id="{00000000-0008-0000-0000-0000AC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877" name="Text Box 68">
          <a:extLst>
            <a:ext uri="{FF2B5EF4-FFF2-40B4-BE49-F238E27FC236}">
              <a16:creationId xmlns:a16="http://schemas.microsoft.com/office/drawing/2014/main" xmlns="" id="{00000000-0008-0000-0000-0000AD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878" name="Text Box 69">
          <a:extLst>
            <a:ext uri="{FF2B5EF4-FFF2-40B4-BE49-F238E27FC236}">
              <a16:creationId xmlns:a16="http://schemas.microsoft.com/office/drawing/2014/main" xmlns="" id="{00000000-0008-0000-0000-0000AE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879" name="Text Box 70">
          <a:extLst>
            <a:ext uri="{FF2B5EF4-FFF2-40B4-BE49-F238E27FC236}">
              <a16:creationId xmlns:a16="http://schemas.microsoft.com/office/drawing/2014/main" xmlns="" id="{00000000-0008-0000-0000-0000AF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880" name="Text Box 71">
          <a:extLst>
            <a:ext uri="{FF2B5EF4-FFF2-40B4-BE49-F238E27FC236}">
              <a16:creationId xmlns:a16="http://schemas.microsoft.com/office/drawing/2014/main" xmlns="" id="{00000000-0008-0000-0000-0000B0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881" name="Text Box 72">
          <a:extLst>
            <a:ext uri="{FF2B5EF4-FFF2-40B4-BE49-F238E27FC236}">
              <a16:creationId xmlns:a16="http://schemas.microsoft.com/office/drawing/2014/main" xmlns="" id="{00000000-0008-0000-0000-0000B1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882" name="Text Box 73">
          <a:extLst>
            <a:ext uri="{FF2B5EF4-FFF2-40B4-BE49-F238E27FC236}">
              <a16:creationId xmlns:a16="http://schemas.microsoft.com/office/drawing/2014/main" xmlns="" id="{00000000-0008-0000-0000-0000B2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883" name="Text Box 74">
          <a:extLst>
            <a:ext uri="{FF2B5EF4-FFF2-40B4-BE49-F238E27FC236}">
              <a16:creationId xmlns:a16="http://schemas.microsoft.com/office/drawing/2014/main" xmlns="" id="{00000000-0008-0000-0000-0000B3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884" name="Text Box 75">
          <a:extLst>
            <a:ext uri="{FF2B5EF4-FFF2-40B4-BE49-F238E27FC236}">
              <a16:creationId xmlns:a16="http://schemas.microsoft.com/office/drawing/2014/main" xmlns="" id="{00000000-0008-0000-0000-0000B4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885" name="Text Box 76">
          <a:extLst>
            <a:ext uri="{FF2B5EF4-FFF2-40B4-BE49-F238E27FC236}">
              <a16:creationId xmlns:a16="http://schemas.microsoft.com/office/drawing/2014/main" xmlns="" id="{00000000-0008-0000-0000-0000B5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886" name="Text Box 77">
          <a:extLst>
            <a:ext uri="{FF2B5EF4-FFF2-40B4-BE49-F238E27FC236}">
              <a16:creationId xmlns:a16="http://schemas.microsoft.com/office/drawing/2014/main" xmlns="" id="{00000000-0008-0000-0000-0000B6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887" name="Text Box 78">
          <a:extLst>
            <a:ext uri="{FF2B5EF4-FFF2-40B4-BE49-F238E27FC236}">
              <a16:creationId xmlns:a16="http://schemas.microsoft.com/office/drawing/2014/main" xmlns="" id="{00000000-0008-0000-0000-0000B7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888" name="Text Box 79">
          <a:extLst>
            <a:ext uri="{FF2B5EF4-FFF2-40B4-BE49-F238E27FC236}">
              <a16:creationId xmlns:a16="http://schemas.microsoft.com/office/drawing/2014/main" xmlns="" id="{00000000-0008-0000-0000-0000B8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889" name="Text Box 80">
          <a:extLst>
            <a:ext uri="{FF2B5EF4-FFF2-40B4-BE49-F238E27FC236}">
              <a16:creationId xmlns:a16="http://schemas.microsoft.com/office/drawing/2014/main" xmlns="" id="{00000000-0008-0000-0000-0000B9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890" name="Text Box 81">
          <a:extLst>
            <a:ext uri="{FF2B5EF4-FFF2-40B4-BE49-F238E27FC236}">
              <a16:creationId xmlns:a16="http://schemas.microsoft.com/office/drawing/2014/main" xmlns="" id="{00000000-0008-0000-0000-0000BA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891" name="Text Box 3079">
          <a:extLst>
            <a:ext uri="{FF2B5EF4-FFF2-40B4-BE49-F238E27FC236}">
              <a16:creationId xmlns:a16="http://schemas.microsoft.com/office/drawing/2014/main" xmlns="" id="{00000000-0008-0000-0000-0000BB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892" name="Text Box 3080">
          <a:extLst>
            <a:ext uri="{FF2B5EF4-FFF2-40B4-BE49-F238E27FC236}">
              <a16:creationId xmlns:a16="http://schemas.microsoft.com/office/drawing/2014/main" xmlns="" id="{00000000-0008-0000-0000-0000BC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893" name="Text Box 3081">
          <a:extLst>
            <a:ext uri="{FF2B5EF4-FFF2-40B4-BE49-F238E27FC236}">
              <a16:creationId xmlns:a16="http://schemas.microsoft.com/office/drawing/2014/main" xmlns="" id="{00000000-0008-0000-0000-0000BD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894" name="Text Box 3082">
          <a:extLst>
            <a:ext uri="{FF2B5EF4-FFF2-40B4-BE49-F238E27FC236}">
              <a16:creationId xmlns:a16="http://schemas.microsoft.com/office/drawing/2014/main" xmlns="" id="{00000000-0008-0000-0000-0000BE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895" name="Text Box 3083">
          <a:extLst>
            <a:ext uri="{FF2B5EF4-FFF2-40B4-BE49-F238E27FC236}">
              <a16:creationId xmlns:a16="http://schemas.microsoft.com/office/drawing/2014/main" xmlns="" id="{00000000-0008-0000-0000-0000BF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896" name="Text Box 3084">
          <a:extLst>
            <a:ext uri="{FF2B5EF4-FFF2-40B4-BE49-F238E27FC236}">
              <a16:creationId xmlns:a16="http://schemas.microsoft.com/office/drawing/2014/main" xmlns="" id="{00000000-0008-0000-0000-0000C0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897" name="Text Box 3085">
          <a:extLst>
            <a:ext uri="{FF2B5EF4-FFF2-40B4-BE49-F238E27FC236}">
              <a16:creationId xmlns:a16="http://schemas.microsoft.com/office/drawing/2014/main" xmlns="" id="{00000000-0008-0000-0000-0000C1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898" name="Text Box 3086">
          <a:extLst>
            <a:ext uri="{FF2B5EF4-FFF2-40B4-BE49-F238E27FC236}">
              <a16:creationId xmlns:a16="http://schemas.microsoft.com/office/drawing/2014/main" xmlns="" id="{00000000-0008-0000-0000-0000C2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899" name="Text Box 3087">
          <a:extLst>
            <a:ext uri="{FF2B5EF4-FFF2-40B4-BE49-F238E27FC236}">
              <a16:creationId xmlns:a16="http://schemas.microsoft.com/office/drawing/2014/main" xmlns="" id="{00000000-0008-0000-0000-0000C3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900" name="Text Box 3088">
          <a:extLst>
            <a:ext uri="{FF2B5EF4-FFF2-40B4-BE49-F238E27FC236}">
              <a16:creationId xmlns:a16="http://schemas.microsoft.com/office/drawing/2014/main" xmlns="" id="{00000000-0008-0000-0000-0000C4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901" name="Text Box 3089">
          <a:extLst>
            <a:ext uri="{FF2B5EF4-FFF2-40B4-BE49-F238E27FC236}">
              <a16:creationId xmlns:a16="http://schemas.microsoft.com/office/drawing/2014/main" xmlns="" id="{00000000-0008-0000-0000-0000C5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902" name="Text Box 3090">
          <a:extLst>
            <a:ext uri="{FF2B5EF4-FFF2-40B4-BE49-F238E27FC236}">
              <a16:creationId xmlns:a16="http://schemas.microsoft.com/office/drawing/2014/main" xmlns="" id="{00000000-0008-0000-0000-0000C6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903" name="Text Box 3091">
          <a:extLst>
            <a:ext uri="{FF2B5EF4-FFF2-40B4-BE49-F238E27FC236}">
              <a16:creationId xmlns:a16="http://schemas.microsoft.com/office/drawing/2014/main" xmlns="" id="{00000000-0008-0000-0000-0000C7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904" name="Text Box 3092">
          <a:extLst>
            <a:ext uri="{FF2B5EF4-FFF2-40B4-BE49-F238E27FC236}">
              <a16:creationId xmlns:a16="http://schemas.microsoft.com/office/drawing/2014/main" xmlns="" id="{00000000-0008-0000-0000-0000C8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905" name="Text Box 3093">
          <a:extLst>
            <a:ext uri="{FF2B5EF4-FFF2-40B4-BE49-F238E27FC236}">
              <a16:creationId xmlns:a16="http://schemas.microsoft.com/office/drawing/2014/main" xmlns="" id="{00000000-0008-0000-0000-0000C9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906" name="Text Box 3094">
          <a:extLst>
            <a:ext uri="{FF2B5EF4-FFF2-40B4-BE49-F238E27FC236}">
              <a16:creationId xmlns:a16="http://schemas.microsoft.com/office/drawing/2014/main" xmlns="" id="{00000000-0008-0000-0000-0000CA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907" name="Text Box 3095">
          <a:extLst>
            <a:ext uri="{FF2B5EF4-FFF2-40B4-BE49-F238E27FC236}">
              <a16:creationId xmlns:a16="http://schemas.microsoft.com/office/drawing/2014/main" xmlns="" id="{00000000-0008-0000-0000-0000CB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908" name="Text Box 3096">
          <a:extLst>
            <a:ext uri="{FF2B5EF4-FFF2-40B4-BE49-F238E27FC236}">
              <a16:creationId xmlns:a16="http://schemas.microsoft.com/office/drawing/2014/main" xmlns="" id="{00000000-0008-0000-0000-0000CC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909" name="Text Box 3097">
          <a:extLst>
            <a:ext uri="{FF2B5EF4-FFF2-40B4-BE49-F238E27FC236}">
              <a16:creationId xmlns:a16="http://schemas.microsoft.com/office/drawing/2014/main" xmlns="" id="{00000000-0008-0000-0000-0000CD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910" name="Text Box 3098">
          <a:extLst>
            <a:ext uri="{FF2B5EF4-FFF2-40B4-BE49-F238E27FC236}">
              <a16:creationId xmlns:a16="http://schemas.microsoft.com/office/drawing/2014/main" xmlns="" id="{00000000-0008-0000-0000-0000CE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911" name="Text Box 3099">
          <a:extLst>
            <a:ext uri="{FF2B5EF4-FFF2-40B4-BE49-F238E27FC236}">
              <a16:creationId xmlns:a16="http://schemas.microsoft.com/office/drawing/2014/main" xmlns="" id="{00000000-0008-0000-0000-0000CF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912" name="Text Box 3100">
          <a:extLst>
            <a:ext uri="{FF2B5EF4-FFF2-40B4-BE49-F238E27FC236}">
              <a16:creationId xmlns:a16="http://schemas.microsoft.com/office/drawing/2014/main" xmlns="" id="{00000000-0008-0000-0000-0000D0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913" name="Text Box 3101">
          <a:extLst>
            <a:ext uri="{FF2B5EF4-FFF2-40B4-BE49-F238E27FC236}">
              <a16:creationId xmlns:a16="http://schemas.microsoft.com/office/drawing/2014/main" xmlns="" id="{00000000-0008-0000-0000-0000D1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8914" name="Text Box 3102">
          <a:extLst>
            <a:ext uri="{FF2B5EF4-FFF2-40B4-BE49-F238E27FC236}">
              <a16:creationId xmlns:a16="http://schemas.microsoft.com/office/drawing/2014/main" xmlns="" id="{00000000-0008-0000-0000-0000D2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915" name="Text Box 59">
          <a:extLst>
            <a:ext uri="{FF2B5EF4-FFF2-40B4-BE49-F238E27FC236}">
              <a16:creationId xmlns:a16="http://schemas.microsoft.com/office/drawing/2014/main" xmlns="" id="{00000000-0008-0000-0000-0000D3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916" name="Text Box 60">
          <a:extLst>
            <a:ext uri="{FF2B5EF4-FFF2-40B4-BE49-F238E27FC236}">
              <a16:creationId xmlns:a16="http://schemas.microsoft.com/office/drawing/2014/main" xmlns="" id="{00000000-0008-0000-0000-0000D4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917" name="Text Box 61">
          <a:extLst>
            <a:ext uri="{FF2B5EF4-FFF2-40B4-BE49-F238E27FC236}">
              <a16:creationId xmlns:a16="http://schemas.microsoft.com/office/drawing/2014/main" xmlns="" id="{00000000-0008-0000-0000-0000D5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918" name="Text Box 62">
          <a:extLst>
            <a:ext uri="{FF2B5EF4-FFF2-40B4-BE49-F238E27FC236}">
              <a16:creationId xmlns:a16="http://schemas.microsoft.com/office/drawing/2014/main" xmlns="" id="{00000000-0008-0000-0000-0000D6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919" name="Text Box 63">
          <a:extLst>
            <a:ext uri="{FF2B5EF4-FFF2-40B4-BE49-F238E27FC236}">
              <a16:creationId xmlns:a16="http://schemas.microsoft.com/office/drawing/2014/main" xmlns="" id="{00000000-0008-0000-0000-0000D7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920" name="Text Box 64">
          <a:extLst>
            <a:ext uri="{FF2B5EF4-FFF2-40B4-BE49-F238E27FC236}">
              <a16:creationId xmlns:a16="http://schemas.microsoft.com/office/drawing/2014/main" xmlns="" id="{00000000-0008-0000-0000-0000D8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921" name="Text Box 65">
          <a:extLst>
            <a:ext uri="{FF2B5EF4-FFF2-40B4-BE49-F238E27FC236}">
              <a16:creationId xmlns:a16="http://schemas.microsoft.com/office/drawing/2014/main" xmlns="" id="{00000000-0008-0000-0000-0000D9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922" name="Text Box 66">
          <a:extLst>
            <a:ext uri="{FF2B5EF4-FFF2-40B4-BE49-F238E27FC236}">
              <a16:creationId xmlns:a16="http://schemas.microsoft.com/office/drawing/2014/main" xmlns="" id="{00000000-0008-0000-0000-0000DA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923" name="Text Box 67">
          <a:extLst>
            <a:ext uri="{FF2B5EF4-FFF2-40B4-BE49-F238E27FC236}">
              <a16:creationId xmlns:a16="http://schemas.microsoft.com/office/drawing/2014/main" xmlns="" id="{00000000-0008-0000-0000-0000DB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924" name="Text Box 68">
          <a:extLst>
            <a:ext uri="{FF2B5EF4-FFF2-40B4-BE49-F238E27FC236}">
              <a16:creationId xmlns:a16="http://schemas.microsoft.com/office/drawing/2014/main" xmlns="" id="{00000000-0008-0000-0000-0000DC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925" name="Text Box 69">
          <a:extLst>
            <a:ext uri="{FF2B5EF4-FFF2-40B4-BE49-F238E27FC236}">
              <a16:creationId xmlns:a16="http://schemas.microsoft.com/office/drawing/2014/main" xmlns="" id="{00000000-0008-0000-0000-0000DD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926" name="Text Box 70">
          <a:extLst>
            <a:ext uri="{FF2B5EF4-FFF2-40B4-BE49-F238E27FC236}">
              <a16:creationId xmlns:a16="http://schemas.microsoft.com/office/drawing/2014/main" xmlns="" id="{00000000-0008-0000-0000-0000DE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927" name="Text Box 71">
          <a:extLst>
            <a:ext uri="{FF2B5EF4-FFF2-40B4-BE49-F238E27FC236}">
              <a16:creationId xmlns:a16="http://schemas.microsoft.com/office/drawing/2014/main" xmlns="" id="{00000000-0008-0000-0000-0000DF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928" name="Text Box 72">
          <a:extLst>
            <a:ext uri="{FF2B5EF4-FFF2-40B4-BE49-F238E27FC236}">
              <a16:creationId xmlns:a16="http://schemas.microsoft.com/office/drawing/2014/main" xmlns="" id="{00000000-0008-0000-0000-0000E0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929" name="Text Box 73">
          <a:extLst>
            <a:ext uri="{FF2B5EF4-FFF2-40B4-BE49-F238E27FC236}">
              <a16:creationId xmlns:a16="http://schemas.microsoft.com/office/drawing/2014/main" xmlns="" id="{00000000-0008-0000-0000-0000E1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930" name="Text Box 74">
          <a:extLst>
            <a:ext uri="{FF2B5EF4-FFF2-40B4-BE49-F238E27FC236}">
              <a16:creationId xmlns:a16="http://schemas.microsoft.com/office/drawing/2014/main" xmlns="" id="{00000000-0008-0000-0000-0000E2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931" name="Text Box 75">
          <a:extLst>
            <a:ext uri="{FF2B5EF4-FFF2-40B4-BE49-F238E27FC236}">
              <a16:creationId xmlns:a16="http://schemas.microsoft.com/office/drawing/2014/main" xmlns="" id="{00000000-0008-0000-0000-0000E3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932" name="Text Box 76">
          <a:extLst>
            <a:ext uri="{FF2B5EF4-FFF2-40B4-BE49-F238E27FC236}">
              <a16:creationId xmlns:a16="http://schemas.microsoft.com/office/drawing/2014/main" xmlns="" id="{00000000-0008-0000-0000-0000E4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933" name="Text Box 77">
          <a:extLst>
            <a:ext uri="{FF2B5EF4-FFF2-40B4-BE49-F238E27FC236}">
              <a16:creationId xmlns:a16="http://schemas.microsoft.com/office/drawing/2014/main" xmlns="" id="{00000000-0008-0000-0000-0000E5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934" name="Text Box 78">
          <a:extLst>
            <a:ext uri="{FF2B5EF4-FFF2-40B4-BE49-F238E27FC236}">
              <a16:creationId xmlns:a16="http://schemas.microsoft.com/office/drawing/2014/main" xmlns="" id="{00000000-0008-0000-0000-0000E6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935" name="Text Box 79">
          <a:extLst>
            <a:ext uri="{FF2B5EF4-FFF2-40B4-BE49-F238E27FC236}">
              <a16:creationId xmlns:a16="http://schemas.microsoft.com/office/drawing/2014/main" xmlns="" id="{00000000-0008-0000-0000-0000E7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936" name="Text Box 80">
          <a:extLst>
            <a:ext uri="{FF2B5EF4-FFF2-40B4-BE49-F238E27FC236}">
              <a16:creationId xmlns:a16="http://schemas.microsoft.com/office/drawing/2014/main" xmlns="" id="{00000000-0008-0000-0000-0000E8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937" name="Text Box 81">
          <a:extLst>
            <a:ext uri="{FF2B5EF4-FFF2-40B4-BE49-F238E27FC236}">
              <a16:creationId xmlns:a16="http://schemas.microsoft.com/office/drawing/2014/main" xmlns="" id="{00000000-0008-0000-0000-0000E9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47625"/>
    <xdr:sp macro="" textlink="">
      <xdr:nvSpPr>
        <xdr:cNvPr id="8938" name="Text Box 82">
          <a:extLst>
            <a:ext uri="{FF2B5EF4-FFF2-40B4-BE49-F238E27FC236}">
              <a16:creationId xmlns:a16="http://schemas.microsoft.com/office/drawing/2014/main" xmlns="" id="{00000000-0008-0000-0000-0000EA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939" name="Text Box 3079">
          <a:extLst>
            <a:ext uri="{FF2B5EF4-FFF2-40B4-BE49-F238E27FC236}">
              <a16:creationId xmlns:a16="http://schemas.microsoft.com/office/drawing/2014/main" xmlns="" id="{00000000-0008-0000-0000-0000EB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940" name="Text Box 3080">
          <a:extLst>
            <a:ext uri="{FF2B5EF4-FFF2-40B4-BE49-F238E27FC236}">
              <a16:creationId xmlns:a16="http://schemas.microsoft.com/office/drawing/2014/main" xmlns="" id="{00000000-0008-0000-0000-0000EC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941" name="Text Box 3081">
          <a:extLst>
            <a:ext uri="{FF2B5EF4-FFF2-40B4-BE49-F238E27FC236}">
              <a16:creationId xmlns:a16="http://schemas.microsoft.com/office/drawing/2014/main" xmlns="" id="{00000000-0008-0000-0000-0000ED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942" name="Text Box 3082">
          <a:extLst>
            <a:ext uri="{FF2B5EF4-FFF2-40B4-BE49-F238E27FC236}">
              <a16:creationId xmlns:a16="http://schemas.microsoft.com/office/drawing/2014/main" xmlns="" id="{00000000-0008-0000-0000-0000EE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943" name="Text Box 3083">
          <a:extLst>
            <a:ext uri="{FF2B5EF4-FFF2-40B4-BE49-F238E27FC236}">
              <a16:creationId xmlns:a16="http://schemas.microsoft.com/office/drawing/2014/main" xmlns="" id="{00000000-0008-0000-0000-0000EF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944" name="Text Box 3084">
          <a:extLst>
            <a:ext uri="{FF2B5EF4-FFF2-40B4-BE49-F238E27FC236}">
              <a16:creationId xmlns:a16="http://schemas.microsoft.com/office/drawing/2014/main" xmlns="" id="{00000000-0008-0000-0000-0000F0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945" name="Text Box 3085">
          <a:extLst>
            <a:ext uri="{FF2B5EF4-FFF2-40B4-BE49-F238E27FC236}">
              <a16:creationId xmlns:a16="http://schemas.microsoft.com/office/drawing/2014/main" xmlns="" id="{00000000-0008-0000-0000-0000F1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946" name="Text Box 3086">
          <a:extLst>
            <a:ext uri="{FF2B5EF4-FFF2-40B4-BE49-F238E27FC236}">
              <a16:creationId xmlns:a16="http://schemas.microsoft.com/office/drawing/2014/main" xmlns="" id="{00000000-0008-0000-0000-0000F2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947" name="Text Box 3087">
          <a:extLst>
            <a:ext uri="{FF2B5EF4-FFF2-40B4-BE49-F238E27FC236}">
              <a16:creationId xmlns:a16="http://schemas.microsoft.com/office/drawing/2014/main" xmlns="" id="{00000000-0008-0000-0000-0000F3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948" name="Text Box 3088">
          <a:extLst>
            <a:ext uri="{FF2B5EF4-FFF2-40B4-BE49-F238E27FC236}">
              <a16:creationId xmlns:a16="http://schemas.microsoft.com/office/drawing/2014/main" xmlns="" id="{00000000-0008-0000-0000-0000F4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949" name="Text Box 3089">
          <a:extLst>
            <a:ext uri="{FF2B5EF4-FFF2-40B4-BE49-F238E27FC236}">
              <a16:creationId xmlns:a16="http://schemas.microsoft.com/office/drawing/2014/main" xmlns="" id="{00000000-0008-0000-0000-0000F5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950" name="Text Box 3090">
          <a:extLst>
            <a:ext uri="{FF2B5EF4-FFF2-40B4-BE49-F238E27FC236}">
              <a16:creationId xmlns:a16="http://schemas.microsoft.com/office/drawing/2014/main" xmlns="" id="{00000000-0008-0000-0000-0000F6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951" name="Text Box 3091">
          <a:extLst>
            <a:ext uri="{FF2B5EF4-FFF2-40B4-BE49-F238E27FC236}">
              <a16:creationId xmlns:a16="http://schemas.microsoft.com/office/drawing/2014/main" xmlns="" id="{00000000-0008-0000-0000-0000F7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952" name="Text Box 3092">
          <a:extLst>
            <a:ext uri="{FF2B5EF4-FFF2-40B4-BE49-F238E27FC236}">
              <a16:creationId xmlns:a16="http://schemas.microsoft.com/office/drawing/2014/main" xmlns="" id="{00000000-0008-0000-0000-0000F8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953" name="Text Box 3093">
          <a:extLst>
            <a:ext uri="{FF2B5EF4-FFF2-40B4-BE49-F238E27FC236}">
              <a16:creationId xmlns:a16="http://schemas.microsoft.com/office/drawing/2014/main" xmlns="" id="{00000000-0008-0000-0000-0000F9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954" name="Text Box 3094">
          <a:extLst>
            <a:ext uri="{FF2B5EF4-FFF2-40B4-BE49-F238E27FC236}">
              <a16:creationId xmlns:a16="http://schemas.microsoft.com/office/drawing/2014/main" xmlns="" id="{00000000-0008-0000-0000-0000FA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955" name="Text Box 3095">
          <a:extLst>
            <a:ext uri="{FF2B5EF4-FFF2-40B4-BE49-F238E27FC236}">
              <a16:creationId xmlns:a16="http://schemas.microsoft.com/office/drawing/2014/main" xmlns="" id="{00000000-0008-0000-0000-0000FB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956" name="Text Box 3096">
          <a:extLst>
            <a:ext uri="{FF2B5EF4-FFF2-40B4-BE49-F238E27FC236}">
              <a16:creationId xmlns:a16="http://schemas.microsoft.com/office/drawing/2014/main" xmlns="" id="{00000000-0008-0000-0000-0000FC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957" name="Text Box 3097">
          <a:extLst>
            <a:ext uri="{FF2B5EF4-FFF2-40B4-BE49-F238E27FC236}">
              <a16:creationId xmlns:a16="http://schemas.microsoft.com/office/drawing/2014/main" xmlns="" id="{00000000-0008-0000-0000-0000FD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958" name="Text Box 3098">
          <a:extLst>
            <a:ext uri="{FF2B5EF4-FFF2-40B4-BE49-F238E27FC236}">
              <a16:creationId xmlns:a16="http://schemas.microsoft.com/office/drawing/2014/main" xmlns="" id="{00000000-0008-0000-0000-0000FE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959" name="Text Box 3099">
          <a:extLst>
            <a:ext uri="{FF2B5EF4-FFF2-40B4-BE49-F238E27FC236}">
              <a16:creationId xmlns:a16="http://schemas.microsoft.com/office/drawing/2014/main" xmlns="" id="{00000000-0008-0000-0000-0000FF22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960" name="Text Box 3100">
          <a:extLst>
            <a:ext uri="{FF2B5EF4-FFF2-40B4-BE49-F238E27FC236}">
              <a16:creationId xmlns:a16="http://schemas.microsoft.com/office/drawing/2014/main" xmlns="" id="{00000000-0008-0000-0000-000000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961" name="Text Box 3101">
          <a:extLst>
            <a:ext uri="{FF2B5EF4-FFF2-40B4-BE49-F238E27FC236}">
              <a16:creationId xmlns:a16="http://schemas.microsoft.com/office/drawing/2014/main" xmlns="" id="{00000000-0008-0000-0000-000001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8962" name="Text Box 3102">
          <a:extLst>
            <a:ext uri="{FF2B5EF4-FFF2-40B4-BE49-F238E27FC236}">
              <a16:creationId xmlns:a16="http://schemas.microsoft.com/office/drawing/2014/main" xmlns="" id="{00000000-0008-0000-0000-000002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963" name="Text Box 59">
          <a:extLst>
            <a:ext uri="{FF2B5EF4-FFF2-40B4-BE49-F238E27FC236}">
              <a16:creationId xmlns:a16="http://schemas.microsoft.com/office/drawing/2014/main" xmlns="" id="{00000000-0008-0000-0000-000003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964" name="Text Box 60">
          <a:extLst>
            <a:ext uri="{FF2B5EF4-FFF2-40B4-BE49-F238E27FC236}">
              <a16:creationId xmlns:a16="http://schemas.microsoft.com/office/drawing/2014/main" xmlns="" id="{00000000-0008-0000-0000-000004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965" name="Text Box 61">
          <a:extLst>
            <a:ext uri="{FF2B5EF4-FFF2-40B4-BE49-F238E27FC236}">
              <a16:creationId xmlns:a16="http://schemas.microsoft.com/office/drawing/2014/main" xmlns="" id="{00000000-0008-0000-0000-000005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966" name="Text Box 62">
          <a:extLst>
            <a:ext uri="{FF2B5EF4-FFF2-40B4-BE49-F238E27FC236}">
              <a16:creationId xmlns:a16="http://schemas.microsoft.com/office/drawing/2014/main" xmlns="" id="{00000000-0008-0000-0000-000006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967" name="Text Box 63">
          <a:extLst>
            <a:ext uri="{FF2B5EF4-FFF2-40B4-BE49-F238E27FC236}">
              <a16:creationId xmlns:a16="http://schemas.microsoft.com/office/drawing/2014/main" xmlns="" id="{00000000-0008-0000-0000-000007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968" name="Text Box 64">
          <a:extLst>
            <a:ext uri="{FF2B5EF4-FFF2-40B4-BE49-F238E27FC236}">
              <a16:creationId xmlns:a16="http://schemas.microsoft.com/office/drawing/2014/main" xmlns="" id="{00000000-0008-0000-0000-000008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969" name="Text Box 65">
          <a:extLst>
            <a:ext uri="{FF2B5EF4-FFF2-40B4-BE49-F238E27FC236}">
              <a16:creationId xmlns:a16="http://schemas.microsoft.com/office/drawing/2014/main" xmlns="" id="{00000000-0008-0000-0000-000009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970" name="Text Box 66">
          <a:extLst>
            <a:ext uri="{FF2B5EF4-FFF2-40B4-BE49-F238E27FC236}">
              <a16:creationId xmlns:a16="http://schemas.microsoft.com/office/drawing/2014/main" xmlns="" id="{00000000-0008-0000-0000-00000A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971" name="Text Box 67">
          <a:extLst>
            <a:ext uri="{FF2B5EF4-FFF2-40B4-BE49-F238E27FC236}">
              <a16:creationId xmlns:a16="http://schemas.microsoft.com/office/drawing/2014/main" xmlns="" id="{00000000-0008-0000-0000-00000B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972" name="Text Box 68">
          <a:extLst>
            <a:ext uri="{FF2B5EF4-FFF2-40B4-BE49-F238E27FC236}">
              <a16:creationId xmlns:a16="http://schemas.microsoft.com/office/drawing/2014/main" xmlns="" id="{00000000-0008-0000-0000-00000C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973" name="Text Box 69">
          <a:extLst>
            <a:ext uri="{FF2B5EF4-FFF2-40B4-BE49-F238E27FC236}">
              <a16:creationId xmlns:a16="http://schemas.microsoft.com/office/drawing/2014/main" xmlns="" id="{00000000-0008-0000-0000-00000D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974" name="Text Box 70">
          <a:extLst>
            <a:ext uri="{FF2B5EF4-FFF2-40B4-BE49-F238E27FC236}">
              <a16:creationId xmlns:a16="http://schemas.microsoft.com/office/drawing/2014/main" xmlns="" id="{00000000-0008-0000-0000-00000E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975" name="Text Box 71">
          <a:extLst>
            <a:ext uri="{FF2B5EF4-FFF2-40B4-BE49-F238E27FC236}">
              <a16:creationId xmlns:a16="http://schemas.microsoft.com/office/drawing/2014/main" xmlns="" id="{00000000-0008-0000-0000-00000F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976" name="Text Box 72">
          <a:extLst>
            <a:ext uri="{FF2B5EF4-FFF2-40B4-BE49-F238E27FC236}">
              <a16:creationId xmlns:a16="http://schemas.microsoft.com/office/drawing/2014/main" xmlns="" id="{00000000-0008-0000-0000-000010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977" name="Text Box 73">
          <a:extLst>
            <a:ext uri="{FF2B5EF4-FFF2-40B4-BE49-F238E27FC236}">
              <a16:creationId xmlns:a16="http://schemas.microsoft.com/office/drawing/2014/main" xmlns="" id="{00000000-0008-0000-0000-000011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978" name="Text Box 74">
          <a:extLst>
            <a:ext uri="{FF2B5EF4-FFF2-40B4-BE49-F238E27FC236}">
              <a16:creationId xmlns:a16="http://schemas.microsoft.com/office/drawing/2014/main" xmlns="" id="{00000000-0008-0000-0000-000012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979" name="Text Box 75">
          <a:extLst>
            <a:ext uri="{FF2B5EF4-FFF2-40B4-BE49-F238E27FC236}">
              <a16:creationId xmlns:a16="http://schemas.microsoft.com/office/drawing/2014/main" xmlns="" id="{00000000-0008-0000-0000-000013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980" name="Text Box 76">
          <a:extLst>
            <a:ext uri="{FF2B5EF4-FFF2-40B4-BE49-F238E27FC236}">
              <a16:creationId xmlns:a16="http://schemas.microsoft.com/office/drawing/2014/main" xmlns="" id="{00000000-0008-0000-0000-000014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981" name="Text Box 77">
          <a:extLst>
            <a:ext uri="{FF2B5EF4-FFF2-40B4-BE49-F238E27FC236}">
              <a16:creationId xmlns:a16="http://schemas.microsoft.com/office/drawing/2014/main" xmlns="" id="{00000000-0008-0000-0000-000015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982" name="Text Box 78">
          <a:extLst>
            <a:ext uri="{FF2B5EF4-FFF2-40B4-BE49-F238E27FC236}">
              <a16:creationId xmlns:a16="http://schemas.microsoft.com/office/drawing/2014/main" xmlns="" id="{00000000-0008-0000-0000-000016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983" name="Text Box 79">
          <a:extLst>
            <a:ext uri="{FF2B5EF4-FFF2-40B4-BE49-F238E27FC236}">
              <a16:creationId xmlns:a16="http://schemas.microsoft.com/office/drawing/2014/main" xmlns="" id="{00000000-0008-0000-0000-000017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984" name="Text Box 80">
          <a:extLst>
            <a:ext uri="{FF2B5EF4-FFF2-40B4-BE49-F238E27FC236}">
              <a16:creationId xmlns:a16="http://schemas.microsoft.com/office/drawing/2014/main" xmlns="" id="{00000000-0008-0000-0000-000018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8985" name="Text Box 81">
          <a:extLst>
            <a:ext uri="{FF2B5EF4-FFF2-40B4-BE49-F238E27FC236}">
              <a16:creationId xmlns:a16="http://schemas.microsoft.com/office/drawing/2014/main" xmlns="" id="{00000000-0008-0000-0000-000019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986" name="Text Box 3079">
          <a:extLst>
            <a:ext uri="{FF2B5EF4-FFF2-40B4-BE49-F238E27FC236}">
              <a16:creationId xmlns:a16="http://schemas.microsoft.com/office/drawing/2014/main" xmlns="" id="{00000000-0008-0000-0000-00001A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987" name="Text Box 3080">
          <a:extLst>
            <a:ext uri="{FF2B5EF4-FFF2-40B4-BE49-F238E27FC236}">
              <a16:creationId xmlns:a16="http://schemas.microsoft.com/office/drawing/2014/main" xmlns="" id="{00000000-0008-0000-0000-00001B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988" name="Text Box 3081">
          <a:extLst>
            <a:ext uri="{FF2B5EF4-FFF2-40B4-BE49-F238E27FC236}">
              <a16:creationId xmlns:a16="http://schemas.microsoft.com/office/drawing/2014/main" xmlns="" id="{00000000-0008-0000-0000-00001C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989" name="Text Box 3082">
          <a:extLst>
            <a:ext uri="{FF2B5EF4-FFF2-40B4-BE49-F238E27FC236}">
              <a16:creationId xmlns:a16="http://schemas.microsoft.com/office/drawing/2014/main" xmlns="" id="{00000000-0008-0000-0000-00001D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990" name="Text Box 3083">
          <a:extLst>
            <a:ext uri="{FF2B5EF4-FFF2-40B4-BE49-F238E27FC236}">
              <a16:creationId xmlns:a16="http://schemas.microsoft.com/office/drawing/2014/main" xmlns="" id="{00000000-0008-0000-0000-00001E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991" name="Text Box 3084">
          <a:extLst>
            <a:ext uri="{FF2B5EF4-FFF2-40B4-BE49-F238E27FC236}">
              <a16:creationId xmlns:a16="http://schemas.microsoft.com/office/drawing/2014/main" xmlns="" id="{00000000-0008-0000-0000-00001F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992" name="Text Box 3085">
          <a:extLst>
            <a:ext uri="{FF2B5EF4-FFF2-40B4-BE49-F238E27FC236}">
              <a16:creationId xmlns:a16="http://schemas.microsoft.com/office/drawing/2014/main" xmlns="" id="{00000000-0008-0000-0000-000020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993" name="Text Box 3086">
          <a:extLst>
            <a:ext uri="{FF2B5EF4-FFF2-40B4-BE49-F238E27FC236}">
              <a16:creationId xmlns:a16="http://schemas.microsoft.com/office/drawing/2014/main" xmlns="" id="{00000000-0008-0000-0000-000021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994" name="Text Box 3087">
          <a:extLst>
            <a:ext uri="{FF2B5EF4-FFF2-40B4-BE49-F238E27FC236}">
              <a16:creationId xmlns:a16="http://schemas.microsoft.com/office/drawing/2014/main" xmlns="" id="{00000000-0008-0000-0000-000022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995" name="Text Box 3088">
          <a:extLst>
            <a:ext uri="{FF2B5EF4-FFF2-40B4-BE49-F238E27FC236}">
              <a16:creationId xmlns:a16="http://schemas.microsoft.com/office/drawing/2014/main" xmlns="" id="{00000000-0008-0000-0000-000023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996" name="Text Box 3089">
          <a:extLst>
            <a:ext uri="{FF2B5EF4-FFF2-40B4-BE49-F238E27FC236}">
              <a16:creationId xmlns:a16="http://schemas.microsoft.com/office/drawing/2014/main" xmlns="" id="{00000000-0008-0000-0000-000024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997" name="Text Box 3090">
          <a:extLst>
            <a:ext uri="{FF2B5EF4-FFF2-40B4-BE49-F238E27FC236}">
              <a16:creationId xmlns:a16="http://schemas.microsoft.com/office/drawing/2014/main" xmlns="" id="{00000000-0008-0000-0000-000025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998" name="Text Box 3091">
          <a:extLst>
            <a:ext uri="{FF2B5EF4-FFF2-40B4-BE49-F238E27FC236}">
              <a16:creationId xmlns:a16="http://schemas.microsoft.com/office/drawing/2014/main" xmlns="" id="{00000000-0008-0000-0000-000026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8999" name="Text Box 3092">
          <a:extLst>
            <a:ext uri="{FF2B5EF4-FFF2-40B4-BE49-F238E27FC236}">
              <a16:creationId xmlns:a16="http://schemas.microsoft.com/office/drawing/2014/main" xmlns="" id="{00000000-0008-0000-0000-000027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000" name="Text Box 3093">
          <a:extLst>
            <a:ext uri="{FF2B5EF4-FFF2-40B4-BE49-F238E27FC236}">
              <a16:creationId xmlns:a16="http://schemas.microsoft.com/office/drawing/2014/main" xmlns="" id="{00000000-0008-0000-0000-000028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001" name="Text Box 3094">
          <a:extLst>
            <a:ext uri="{FF2B5EF4-FFF2-40B4-BE49-F238E27FC236}">
              <a16:creationId xmlns:a16="http://schemas.microsoft.com/office/drawing/2014/main" xmlns="" id="{00000000-0008-0000-0000-000029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002" name="Text Box 3095">
          <a:extLst>
            <a:ext uri="{FF2B5EF4-FFF2-40B4-BE49-F238E27FC236}">
              <a16:creationId xmlns:a16="http://schemas.microsoft.com/office/drawing/2014/main" xmlns="" id="{00000000-0008-0000-0000-00002A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003" name="Text Box 3096">
          <a:extLst>
            <a:ext uri="{FF2B5EF4-FFF2-40B4-BE49-F238E27FC236}">
              <a16:creationId xmlns:a16="http://schemas.microsoft.com/office/drawing/2014/main" xmlns="" id="{00000000-0008-0000-0000-00002B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004" name="Text Box 3097">
          <a:extLst>
            <a:ext uri="{FF2B5EF4-FFF2-40B4-BE49-F238E27FC236}">
              <a16:creationId xmlns:a16="http://schemas.microsoft.com/office/drawing/2014/main" xmlns="" id="{00000000-0008-0000-0000-00002C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005" name="Text Box 3098">
          <a:extLst>
            <a:ext uri="{FF2B5EF4-FFF2-40B4-BE49-F238E27FC236}">
              <a16:creationId xmlns:a16="http://schemas.microsoft.com/office/drawing/2014/main" xmlns="" id="{00000000-0008-0000-0000-00002D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006" name="Text Box 3099">
          <a:extLst>
            <a:ext uri="{FF2B5EF4-FFF2-40B4-BE49-F238E27FC236}">
              <a16:creationId xmlns:a16="http://schemas.microsoft.com/office/drawing/2014/main" xmlns="" id="{00000000-0008-0000-0000-00002E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007" name="Text Box 3100">
          <a:extLst>
            <a:ext uri="{FF2B5EF4-FFF2-40B4-BE49-F238E27FC236}">
              <a16:creationId xmlns:a16="http://schemas.microsoft.com/office/drawing/2014/main" xmlns="" id="{00000000-0008-0000-0000-00002F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008" name="Text Box 3101">
          <a:extLst>
            <a:ext uri="{FF2B5EF4-FFF2-40B4-BE49-F238E27FC236}">
              <a16:creationId xmlns:a16="http://schemas.microsoft.com/office/drawing/2014/main" xmlns="" id="{00000000-0008-0000-0000-000030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9009" name="Text Box 3102">
          <a:extLst>
            <a:ext uri="{FF2B5EF4-FFF2-40B4-BE49-F238E27FC236}">
              <a16:creationId xmlns:a16="http://schemas.microsoft.com/office/drawing/2014/main" xmlns="" id="{00000000-0008-0000-0000-000031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010" name="Text Box 59">
          <a:extLst>
            <a:ext uri="{FF2B5EF4-FFF2-40B4-BE49-F238E27FC236}">
              <a16:creationId xmlns:a16="http://schemas.microsoft.com/office/drawing/2014/main" xmlns="" id="{00000000-0008-0000-0000-000032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011" name="Text Box 60">
          <a:extLst>
            <a:ext uri="{FF2B5EF4-FFF2-40B4-BE49-F238E27FC236}">
              <a16:creationId xmlns:a16="http://schemas.microsoft.com/office/drawing/2014/main" xmlns="" id="{00000000-0008-0000-0000-000033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012" name="Text Box 61">
          <a:extLst>
            <a:ext uri="{FF2B5EF4-FFF2-40B4-BE49-F238E27FC236}">
              <a16:creationId xmlns:a16="http://schemas.microsoft.com/office/drawing/2014/main" xmlns="" id="{00000000-0008-0000-0000-000034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013" name="Text Box 62">
          <a:extLst>
            <a:ext uri="{FF2B5EF4-FFF2-40B4-BE49-F238E27FC236}">
              <a16:creationId xmlns:a16="http://schemas.microsoft.com/office/drawing/2014/main" xmlns="" id="{00000000-0008-0000-0000-000035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014" name="Text Box 63">
          <a:extLst>
            <a:ext uri="{FF2B5EF4-FFF2-40B4-BE49-F238E27FC236}">
              <a16:creationId xmlns:a16="http://schemas.microsoft.com/office/drawing/2014/main" xmlns="" id="{00000000-0008-0000-0000-000036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015" name="Text Box 64">
          <a:extLst>
            <a:ext uri="{FF2B5EF4-FFF2-40B4-BE49-F238E27FC236}">
              <a16:creationId xmlns:a16="http://schemas.microsoft.com/office/drawing/2014/main" xmlns="" id="{00000000-0008-0000-0000-000037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016" name="Text Box 65">
          <a:extLst>
            <a:ext uri="{FF2B5EF4-FFF2-40B4-BE49-F238E27FC236}">
              <a16:creationId xmlns:a16="http://schemas.microsoft.com/office/drawing/2014/main" xmlns="" id="{00000000-0008-0000-0000-000038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017" name="Text Box 66">
          <a:extLst>
            <a:ext uri="{FF2B5EF4-FFF2-40B4-BE49-F238E27FC236}">
              <a16:creationId xmlns:a16="http://schemas.microsoft.com/office/drawing/2014/main" xmlns="" id="{00000000-0008-0000-0000-000039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018" name="Text Box 67">
          <a:extLst>
            <a:ext uri="{FF2B5EF4-FFF2-40B4-BE49-F238E27FC236}">
              <a16:creationId xmlns:a16="http://schemas.microsoft.com/office/drawing/2014/main" xmlns="" id="{00000000-0008-0000-0000-00003A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019" name="Text Box 68">
          <a:extLst>
            <a:ext uri="{FF2B5EF4-FFF2-40B4-BE49-F238E27FC236}">
              <a16:creationId xmlns:a16="http://schemas.microsoft.com/office/drawing/2014/main" xmlns="" id="{00000000-0008-0000-0000-00003B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020" name="Text Box 69">
          <a:extLst>
            <a:ext uri="{FF2B5EF4-FFF2-40B4-BE49-F238E27FC236}">
              <a16:creationId xmlns:a16="http://schemas.microsoft.com/office/drawing/2014/main" xmlns="" id="{00000000-0008-0000-0000-00003C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021" name="Text Box 70">
          <a:extLst>
            <a:ext uri="{FF2B5EF4-FFF2-40B4-BE49-F238E27FC236}">
              <a16:creationId xmlns:a16="http://schemas.microsoft.com/office/drawing/2014/main" xmlns="" id="{00000000-0008-0000-0000-00003D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022" name="Text Box 71">
          <a:extLst>
            <a:ext uri="{FF2B5EF4-FFF2-40B4-BE49-F238E27FC236}">
              <a16:creationId xmlns:a16="http://schemas.microsoft.com/office/drawing/2014/main" xmlns="" id="{00000000-0008-0000-0000-00003E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023" name="Text Box 72">
          <a:extLst>
            <a:ext uri="{FF2B5EF4-FFF2-40B4-BE49-F238E27FC236}">
              <a16:creationId xmlns:a16="http://schemas.microsoft.com/office/drawing/2014/main" xmlns="" id="{00000000-0008-0000-0000-00003F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024" name="Text Box 73">
          <a:extLst>
            <a:ext uri="{FF2B5EF4-FFF2-40B4-BE49-F238E27FC236}">
              <a16:creationId xmlns:a16="http://schemas.microsoft.com/office/drawing/2014/main" xmlns="" id="{00000000-0008-0000-0000-000040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025" name="Text Box 74">
          <a:extLst>
            <a:ext uri="{FF2B5EF4-FFF2-40B4-BE49-F238E27FC236}">
              <a16:creationId xmlns:a16="http://schemas.microsoft.com/office/drawing/2014/main" xmlns="" id="{00000000-0008-0000-0000-000041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026" name="Text Box 75">
          <a:extLst>
            <a:ext uri="{FF2B5EF4-FFF2-40B4-BE49-F238E27FC236}">
              <a16:creationId xmlns:a16="http://schemas.microsoft.com/office/drawing/2014/main" xmlns="" id="{00000000-0008-0000-0000-000042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027" name="Text Box 76">
          <a:extLst>
            <a:ext uri="{FF2B5EF4-FFF2-40B4-BE49-F238E27FC236}">
              <a16:creationId xmlns:a16="http://schemas.microsoft.com/office/drawing/2014/main" xmlns="" id="{00000000-0008-0000-0000-000043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028" name="Text Box 77">
          <a:extLst>
            <a:ext uri="{FF2B5EF4-FFF2-40B4-BE49-F238E27FC236}">
              <a16:creationId xmlns:a16="http://schemas.microsoft.com/office/drawing/2014/main" xmlns="" id="{00000000-0008-0000-0000-000044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029" name="Text Box 78">
          <a:extLst>
            <a:ext uri="{FF2B5EF4-FFF2-40B4-BE49-F238E27FC236}">
              <a16:creationId xmlns:a16="http://schemas.microsoft.com/office/drawing/2014/main" xmlns="" id="{00000000-0008-0000-0000-000045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030" name="Text Box 79">
          <a:extLst>
            <a:ext uri="{FF2B5EF4-FFF2-40B4-BE49-F238E27FC236}">
              <a16:creationId xmlns:a16="http://schemas.microsoft.com/office/drawing/2014/main" xmlns="" id="{00000000-0008-0000-0000-000046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031" name="Text Box 80">
          <a:extLst>
            <a:ext uri="{FF2B5EF4-FFF2-40B4-BE49-F238E27FC236}">
              <a16:creationId xmlns:a16="http://schemas.microsoft.com/office/drawing/2014/main" xmlns="" id="{00000000-0008-0000-0000-000047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032" name="Text Box 81">
          <a:extLst>
            <a:ext uri="{FF2B5EF4-FFF2-40B4-BE49-F238E27FC236}">
              <a16:creationId xmlns:a16="http://schemas.microsoft.com/office/drawing/2014/main" xmlns="" id="{00000000-0008-0000-0000-000048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47625"/>
    <xdr:sp macro="" textlink="">
      <xdr:nvSpPr>
        <xdr:cNvPr id="9033" name="Text Box 82">
          <a:extLst>
            <a:ext uri="{FF2B5EF4-FFF2-40B4-BE49-F238E27FC236}">
              <a16:creationId xmlns:a16="http://schemas.microsoft.com/office/drawing/2014/main" xmlns="" id="{00000000-0008-0000-0000-000049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034" name="Text Box 3079">
          <a:extLst>
            <a:ext uri="{FF2B5EF4-FFF2-40B4-BE49-F238E27FC236}">
              <a16:creationId xmlns:a16="http://schemas.microsoft.com/office/drawing/2014/main" xmlns="" id="{00000000-0008-0000-0000-00004A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035" name="Text Box 3080">
          <a:extLst>
            <a:ext uri="{FF2B5EF4-FFF2-40B4-BE49-F238E27FC236}">
              <a16:creationId xmlns:a16="http://schemas.microsoft.com/office/drawing/2014/main" xmlns="" id="{00000000-0008-0000-0000-00004B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036" name="Text Box 3081">
          <a:extLst>
            <a:ext uri="{FF2B5EF4-FFF2-40B4-BE49-F238E27FC236}">
              <a16:creationId xmlns:a16="http://schemas.microsoft.com/office/drawing/2014/main" xmlns="" id="{00000000-0008-0000-0000-00004C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037" name="Text Box 3082">
          <a:extLst>
            <a:ext uri="{FF2B5EF4-FFF2-40B4-BE49-F238E27FC236}">
              <a16:creationId xmlns:a16="http://schemas.microsoft.com/office/drawing/2014/main" xmlns="" id="{00000000-0008-0000-0000-00004D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038" name="Text Box 3083">
          <a:extLst>
            <a:ext uri="{FF2B5EF4-FFF2-40B4-BE49-F238E27FC236}">
              <a16:creationId xmlns:a16="http://schemas.microsoft.com/office/drawing/2014/main" xmlns="" id="{00000000-0008-0000-0000-00004E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039" name="Text Box 3084">
          <a:extLst>
            <a:ext uri="{FF2B5EF4-FFF2-40B4-BE49-F238E27FC236}">
              <a16:creationId xmlns:a16="http://schemas.microsoft.com/office/drawing/2014/main" xmlns="" id="{00000000-0008-0000-0000-00004F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040" name="Text Box 3085">
          <a:extLst>
            <a:ext uri="{FF2B5EF4-FFF2-40B4-BE49-F238E27FC236}">
              <a16:creationId xmlns:a16="http://schemas.microsoft.com/office/drawing/2014/main" xmlns="" id="{00000000-0008-0000-0000-000050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041" name="Text Box 3086">
          <a:extLst>
            <a:ext uri="{FF2B5EF4-FFF2-40B4-BE49-F238E27FC236}">
              <a16:creationId xmlns:a16="http://schemas.microsoft.com/office/drawing/2014/main" xmlns="" id="{00000000-0008-0000-0000-000051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042" name="Text Box 3087">
          <a:extLst>
            <a:ext uri="{FF2B5EF4-FFF2-40B4-BE49-F238E27FC236}">
              <a16:creationId xmlns:a16="http://schemas.microsoft.com/office/drawing/2014/main" xmlns="" id="{00000000-0008-0000-0000-000052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043" name="Text Box 3088">
          <a:extLst>
            <a:ext uri="{FF2B5EF4-FFF2-40B4-BE49-F238E27FC236}">
              <a16:creationId xmlns:a16="http://schemas.microsoft.com/office/drawing/2014/main" xmlns="" id="{00000000-0008-0000-0000-000053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044" name="Text Box 3089">
          <a:extLst>
            <a:ext uri="{FF2B5EF4-FFF2-40B4-BE49-F238E27FC236}">
              <a16:creationId xmlns:a16="http://schemas.microsoft.com/office/drawing/2014/main" xmlns="" id="{00000000-0008-0000-0000-000054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045" name="Text Box 3090">
          <a:extLst>
            <a:ext uri="{FF2B5EF4-FFF2-40B4-BE49-F238E27FC236}">
              <a16:creationId xmlns:a16="http://schemas.microsoft.com/office/drawing/2014/main" xmlns="" id="{00000000-0008-0000-0000-000055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046" name="Text Box 3091">
          <a:extLst>
            <a:ext uri="{FF2B5EF4-FFF2-40B4-BE49-F238E27FC236}">
              <a16:creationId xmlns:a16="http://schemas.microsoft.com/office/drawing/2014/main" xmlns="" id="{00000000-0008-0000-0000-000056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047" name="Text Box 3092">
          <a:extLst>
            <a:ext uri="{FF2B5EF4-FFF2-40B4-BE49-F238E27FC236}">
              <a16:creationId xmlns:a16="http://schemas.microsoft.com/office/drawing/2014/main" xmlns="" id="{00000000-0008-0000-0000-000057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048" name="Text Box 3093">
          <a:extLst>
            <a:ext uri="{FF2B5EF4-FFF2-40B4-BE49-F238E27FC236}">
              <a16:creationId xmlns:a16="http://schemas.microsoft.com/office/drawing/2014/main" xmlns="" id="{00000000-0008-0000-0000-000058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049" name="Text Box 3094">
          <a:extLst>
            <a:ext uri="{FF2B5EF4-FFF2-40B4-BE49-F238E27FC236}">
              <a16:creationId xmlns:a16="http://schemas.microsoft.com/office/drawing/2014/main" xmlns="" id="{00000000-0008-0000-0000-000059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050" name="Text Box 3095">
          <a:extLst>
            <a:ext uri="{FF2B5EF4-FFF2-40B4-BE49-F238E27FC236}">
              <a16:creationId xmlns:a16="http://schemas.microsoft.com/office/drawing/2014/main" xmlns="" id="{00000000-0008-0000-0000-00005A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051" name="Text Box 3096">
          <a:extLst>
            <a:ext uri="{FF2B5EF4-FFF2-40B4-BE49-F238E27FC236}">
              <a16:creationId xmlns:a16="http://schemas.microsoft.com/office/drawing/2014/main" xmlns="" id="{00000000-0008-0000-0000-00005B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052" name="Text Box 3097">
          <a:extLst>
            <a:ext uri="{FF2B5EF4-FFF2-40B4-BE49-F238E27FC236}">
              <a16:creationId xmlns:a16="http://schemas.microsoft.com/office/drawing/2014/main" xmlns="" id="{00000000-0008-0000-0000-00005C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053" name="Text Box 3098">
          <a:extLst>
            <a:ext uri="{FF2B5EF4-FFF2-40B4-BE49-F238E27FC236}">
              <a16:creationId xmlns:a16="http://schemas.microsoft.com/office/drawing/2014/main" xmlns="" id="{00000000-0008-0000-0000-00005D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054" name="Text Box 3099">
          <a:extLst>
            <a:ext uri="{FF2B5EF4-FFF2-40B4-BE49-F238E27FC236}">
              <a16:creationId xmlns:a16="http://schemas.microsoft.com/office/drawing/2014/main" xmlns="" id="{00000000-0008-0000-0000-00005E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055" name="Text Box 3100">
          <a:extLst>
            <a:ext uri="{FF2B5EF4-FFF2-40B4-BE49-F238E27FC236}">
              <a16:creationId xmlns:a16="http://schemas.microsoft.com/office/drawing/2014/main" xmlns="" id="{00000000-0008-0000-0000-00005F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056" name="Text Box 3101">
          <a:extLst>
            <a:ext uri="{FF2B5EF4-FFF2-40B4-BE49-F238E27FC236}">
              <a16:creationId xmlns:a16="http://schemas.microsoft.com/office/drawing/2014/main" xmlns="" id="{00000000-0008-0000-0000-000060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9057" name="Text Box 3102">
          <a:extLst>
            <a:ext uri="{FF2B5EF4-FFF2-40B4-BE49-F238E27FC236}">
              <a16:creationId xmlns:a16="http://schemas.microsoft.com/office/drawing/2014/main" xmlns="" id="{00000000-0008-0000-0000-000061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058" name="Text Box 59">
          <a:extLst>
            <a:ext uri="{FF2B5EF4-FFF2-40B4-BE49-F238E27FC236}">
              <a16:creationId xmlns:a16="http://schemas.microsoft.com/office/drawing/2014/main" xmlns="" id="{00000000-0008-0000-0000-000062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059" name="Text Box 60">
          <a:extLst>
            <a:ext uri="{FF2B5EF4-FFF2-40B4-BE49-F238E27FC236}">
              <a16:creationId xmlns:a16="http://schemas.microsoft.com/office/drawing/2014/main" xmlns="" id="{00000000-0008-0000-0000-000063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060" name="Text Box 61">
          <a:extLst>
            <a:ext uri="{FF2B5EF4-FFF2-40B4-BE49-F238E27FC236}">
              <a16:creationId xmlns:a16="http://schemas.microsoft.com/office/drawing/2014/main" xmlns="" id="{00000000-0008-0000-0000-000064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061" name="Text Box 62">
          <a:extLst>
            <a:ext uri="{FF2B5EF4-FFF2-40B4-BE49-F238E27FC236}">
              <a16:creationId xmlns:a16="http://schemas.microsoft.com/office/drawing/2014/main" xmlns="" id="{00000000-0008-0000-0000-000065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062" name="Text Box 63">
          <a:extLst>
            <a:ext uri="{FF2B5EF4-FFF2-40B4-BE49-F238E27FC236}">
              <a16:creationId xmlns:a16="http://schemas.microsoft.com/office/drawing/2014/main" xmlns="" id="{00000000-0008-0000-0000-000066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063" name="Text Box 64">
          <a:extLst>
            <a:ext uri="{FF2B5EF4-FFF2-40B4-BE49-F238E27FC236}">
              <a16:creationId xmlns:a16="http://schemas.microsoft.com/office/drawing/2014/main" xmlns="" id="{00000000-0008-0000-0000-000067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064" name="Text Box 65">
          <a:extLst>
            <a:ext uri="{FF2B5EF4-FFF2-40B4-BE49-F238E27FC236}">
              <a16:creationId xmlns:a16="http://schemas.microsoft.com/office/drawing/2014/main" xmlns="" id="{00000000-0008-0000-0000-000068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065" name="Text Box 66">
          <a:extLst>
            <a:ext uri="{FF2B5EF4-FFF2-40B4-BE49-F238E27FC236}">
              <a16:creationId xmlns:a16="http://schemas.microsoft.com/office/drawing/2014/main" xmlns="" id="{00000000-0008-0000-0000-000069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066" name="Text Box 67">
          <a:extLst>
            <a:ext uri="{FF2B5EF4-FFF2-40B4-BE49-F238E27FC236}">
              <a16:creationId xmlns:a16="http://schemas.microsoft.com/office/drawing/2014/main" xmlns="" id="{00000000-0008-0000-0000-00006A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067" name="Text Box 68">
          <a:extLst>
            <a:ext uri="{FF2B5EF4-FFF2-40B4-BE49-F238E27FC236}">
              <a16:creationId xmlns:a16="http://schemas.microsoft.com/office/drawing/2014/main" xmlns="" id="{00000000-0008-0000-0000-00006B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068" name="Text Box 69">
          <a:extLst>
            <a:ext uri="{FF2B5EF4-FFF2-40B4-BE49-F238E27FC236}">
              <a16:creationId xmlns:a16="http://schemas.microsoft.com/office/drawing/2014/main" xmlns="" id="{00000000-0008-0000-0000-00006C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069" name="Text Box 70">
          <a:extLst>
            <a:ext uri="{FF2B5EF4-FFF2-40B4-BE49-F238E27FC236}">
              <a16:creationId xmlns:a16="http://schemas.microsoft.com/office/drawing/2014/main" xmlns="" id="{00000000-0008-0000-0000-00006D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070" name="Text Box 71">
          <a:extLst>
            <a:ext uri="{FF2B5EF4-FFF2-40B4-BE49-F238E27FC236}">
              <a16:creationId xmlns:a16="http://schemas.microsoft.com/office/drawing/2014/main" xmlns="" id="{00000000-0008-0000-0000-00006E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071" name="Text Box 72">
          <a:extLst>
            <a:ext uri="{FF2B5EF4-FFF2-40B4-BE49-F238E27FC236}">
              <a16:creationId xmlns:a16="http://schemas.microsoft.com/office/drawing/2014/main" xmlns="" id="{00000000-0008-0000-0000-00006F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072" name="Text Box 73">
          <a:extLst>
            <a:ext uri="{FF2B5EF4-FFF2-40B4-BE49-F238E27FC236}">
              <a16:creationId xmlns:a16="http://schemas.microsoft.com/office/drawing/2014/main" xmlns="" id="{00000000-0008-0000-0000-000070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073" name="Text Box 74">
          <a:extLst>
            <a:ext uri="{FF2B5EF4-FFF2-40B4-BE49-F238E27FC236}">
              <a16:creationId xmlns:a16="http://schemas.microsoft.com/office/drawing/2014/main" xmlns="" id="{00000000-0008-0000-0000-000071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074" name="Text Box 75">
          <a:extLst>
            <a:ext uri="{FF2B5EF4-FFF2-40B4-BE49-F238E27FC236}">
              <a16:creationId xmlns:a16="http://schemas.microsoft.com/office/drawing/2014/main" xmlns="" id="{00000000-0008-0000-0000-000072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075" name="Text Box 76">
          <a:extLst>
            <a:ext uri="{FF2B5EF4-FFF2-40B4-BE49-F238E27FC236}">
              <a16:creationId xmlns:a16="http://schemas.microsoft.com/office/drawing/2014/main" xmlns="" id="{00000000-0008-0000-0000-000073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076" name="Text Box 77">
          <a:extLst>
            <a:ext uri="{FF2B5EF4-FFF2-40B4-BE49-F238E27FC236}">
              <a16:creationId xmlns:a16="http://schemas.microsoft.com/office/drawing/2014/main" xmlns="" id="{00000000-0008-0000-0000-000074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077" name="Text Box 78">
          <a:extLst>
            <a:ext uri="{FF2B5EF4-FFF2-40B4-BE49-F238E27FC236}">
              <a16:creationId xmlns:a16="http://schemas.microsoft.com/office/drawing/2014/main" xmlns="" id="{00000000-0008-0000-0000-000075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078" name="Text Box 79">
          <a:extLst>
            <a:ext uri="{FF2B5EF4-FFF2-40B4-BE49-F238E27FC236}">
              <a16:creationId xmlns:a16="http://schemas.microsoft.com/office/drawing/2014/main" xmlns="" id="{00000000-0008-0000-0000-000076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079" name="Text Box 80">
          <a:extLst>
            <a:ext uri="{FF2B5EF4-FFF2-40B4-BE49-F238E27FC236}">
              <a16:creationId xmlns:a16="http://schemas.microsoft.com/office/drawing/2014/main" xmlns="" id="{00000000-0008-0000-0000-000077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080" name="Text Box 81">
          <a:extLst>
            <a:ext uri="{FF2B5EF4-FFF2-40B4-BE49-F238E27FC236}">
              <a16:creationId xmlns:a16="http://schemas.microsoft.com/office/drawing/2014/main" xmlns="" id="{00000000-0008-0000-0000-000078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081" name="Text Box 3079">
          <a:extLst>
            <a:ext uri="{FF2B5EF4-FFF2-40B4-BE49-F238E27FC236}">
              <a16:creationId xmlns:a16="http://schemas.microsoft.com/office/drawing/2014/main" xmlns="" id="{00000000-0008-0000-0000-000079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082" name="Text Box 3080">
          <a:extLst>
            <a:ext uri="{FF2B5EF4-FFF2-40B4-BE49-F238E27FC236}">
              <a16:creationId xmlns:a16="http://schemas.microsoft.com/office/drawing/2014/main" xmlns="" id="{00000000-0008-0000-0000-00007A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083" name="Text Box 3081">
          <a:extLst>
            <a:ext uri="{FF2B5EF4-FFF2-40B4-BE49-F238E27FC236}">
              <a16:creationId xmlns:a16="http://schemas.microsoft.com/office/drawing/2014/main" xmlns="" id="{00000000-0008-0000-0000-00007B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084" name="Text Box 3082">
          <a:extLst>
            <a:ext uri="{FF2B5EF4-FFF2-40B4-BE49-F238E27FC236}">
              <a16:creationId xmlns:a16="http://schemas.microsoft.com/office/drawing/2014/main" xmlns="" id="{00000000-0008-0000-0000-00007C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085" name="Text Box 3083">
          <a:extLst>
            <a:ext uri="{FF2B5EF4-FFF2-40B4-BE49-F238E27FC236}">
              <a16:creationId xmlns:a16="http://schemas.microsoft.com/office/drawing/2014/main" xmlns="" id="{00000000-0008-0000-0000-00007D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086" name="Text Box 3084">
          <a:extLst>
            <a:ext uri="{FF2B5EF4-FFF2-40B4-BE49-F238E27FC236}">
              <a16:creationId xmlns:a16="http://schemas.microsoft.com/office/drawing/2014/main" xmlns="" id="{00000000-0008-0000-0000-00007E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087" name="Text Box 3085">
          <a:extLst>
            <a:ext uri="{FF2B5EF4-FFF2-40B4-BE49-F238E27FC236}">
              <a16:creationId xmlns:a16="http://schemas.microsoft.com/office/drawing/2014/main" xmlns="" id="{00000000-0008-0000-0000-00007F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088" name="Text Box 3086">
          <a:extLst>
            <a:ext uri="{FF2B5EF4-FFF2-40B4-BE49-F238E27FC236}">
              <a16:creationId xmlns:a16="http://schemas.microsoft.com/office/drawing/2014/main" xmlns="" id="{00000000-0008-0000-0000-000080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089" name="Text Box 3087">
          <a:extLst>
            <a:ext uri="{FF2B5EF4-FFF2-40B4-BE49-F238E27FC236}">
              <a16:creationId xmlns:a16="http://schemas.microsoft.com/office/drawing/2014/main" xmlns="" id="{00000000-0008-0000-0000-000081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090" name="Text Box 3088">
          <a:extLst>
            <a:ext uri="{FF2B5EF4-FFF2-40B4-BE49-F238E27FC236}">
              <a16:creationId xmlns:a16="http://schemas.microsoft.com/office/drawing/2014/main" xmlns="" id="{00000000-0008-0000-0000-000082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091" name="Text Box 3089">
          <a:extLst>
            <a:ext uri="{FF2B5EF4-FFF2-40B4-BE49-F238E27FC236}">
              <a16:creationId xmlns:a16="http://schemas.microsoft.com/office/drawing/2014/main" xmlns="" id="{00000000-0008-0000-0000-000083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092" name="Text Box 3090">
          <a:extLst>
            <a:ext uri="{FF2B5EF4-FFF2-40B4-BE49-F238E27FC236}">
              <a16:creationId xmlns:a16="http://schemas.microsoft.com/office/drawing/2014/main" xmlns="" id="{00000000-0008-0000-0000-000084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093" name="Text Box 3091">
          <a:extLst>
            <a:ext uri="{FF2B5EF4-FFF2-40B4-BE49-F238E27FC236}">
              <a16:creationId xmlns:a16="http://schemas.microsoft.com/office/drawing/2014/main" xmlns="" id="{00000000-0008-0000-0000-000085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094" name="Text Box 3092">
          <a:extLst>
            <a:ext uri="{FF2B5EF4-FFF2-40B4-BE49-F238E27FC236}">
              <a16:creationId xmlns:a16="http://schemas.microsoft.com/office/drawing/2014/main" xmlns="" id="{00000000-0008-0000-0000-000086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095" name="Text Box 3093">
          <a:extLst>
            <a:ext uri="{FF2B5EF4-FFF2-40B4-BE49-F238E27FC236}">
              <a16:creationId xmlns:a16="http://schemas.microsoft.com/office/drawing/2014/main" xmlns="" id="{00000000-0008-0000-0000-000087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096" name="Text Box 3094">
          <a:extLst>
            <a:ext uri="{FF2B5EF4-FFF2-40B4-BE49-F238E27FC236}">
              <a16:creationId xmlns:a16="http://schemas.microsoft.com/office/drawing/2014/main" xmlns="" id="{00000000-0008-0000-0000-000088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097" name="Text Box 3095">
          <a:extLst>
            <a:ext uri="{FF2B5EF4-FFF2-40B4-BE49-F238E27FC236}">
              <a16:creationId xmlns:a16="http://schemas.microsoft.com/office/drawing/2014/main" xmlns="" id="{00000000-0008-0000-0000-000089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098" name="Text Box 3096">
          <a:extLst>
            <a:ext uri="{FF2B5EF4-FFF2-40B4-BE49-F238E27FC236}">
              <a16:creationId xmlns:a16="http://schemas.microsoft.com/office/drawing/2014/main" xmlns="" id="{00000000-0008-0000-0000-00008A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099" name="Text Box 3097">
          <a:extLst>
            <a:ext uri="{FF2B5EF4-FFF2-40B4-BE49-F238E27FC236}">
              <a16:creationId xmlns:a16="http://schemas.microsoft.com/office/drawing/2014/main" xmlns="" id="{00000000-0008-0000-0000-00008B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100" name="Text Box 3098">
          <a:extLst>
            <a:ext uri="{FF2B5EF4-FFF2-40B4-BE49-F238E27FC236}">
              <a16:creationId xmlns:a16="http://schemas.microsoft.com/office/drawing/2014/main" xmlns="" id="{00000000-0008-0000-0000-00008C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101" name="Text Box 3099">
          <a:extLst>
            <a:ext uri="{FF2B5EF4-FFF2-40B4-BE49-F238E27FC236}">
              <a16:creationId xmlns:a16="http://schemas.microsoft.com/office/drawing/2014/main" xmlns="" id="{00000000-0008-0000-0000-00008D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102" name="Text Box 3100">
          <a:extLst>
            <a:ext uri="{FF2B5EF4-FFF2-40B4-BE49-F238E27FC236}">
              <a16:creationId xmlns:a16="http://schemas.microsoft.com/office/drawing/2014/main" xmlns="" id="{00000000-0008-0000-0000-00008E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103" name="Text Box 3101">
          <a:extLst>
            <a:ext uri="{FF2B5EF4-FFF2-40B4-BE49-F238E27FC236}">
              <a16:creationId xmlns:a16="http://schemas.microsoft.com/office/drawing/2014/main" xmlns="" id="{00000000-0008-0000-0000-00008F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9104" name="Text Box 3102">
          <a:extLst>
            <a:ext uri="{FF2B5EF4-FFF2-40B4-BE49-F238E27FC236}">
              <a16:creationId xmlns:a16="http://schemas.microsoft.com/office/drawing/2014/main" xmlns="" id="{00000000-0008-0000-0000-000090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105" name="Text Box 59">
          <a:extLst>
            <a:ext uri="{FF2B5EF4-FFF2-40B4-BE49-F238E27FC236}">
              <a16:creationId xmlns:a16="http://schemas.microsoft.com/office/drawing/2014/main" xmlns="" id="{00000000-0008-0000-0000-000091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106" name="Text Box 60">
          <a:extLst>
            <a:ext uri="{FF2B5EF4-FFF2-40B4-BE49-F238E27FC236}">
              <a16:creationId xmlns:a16="http://schemas.microsoft.com/office/drawing/2014/main" xmlns="" id="{00000000-0008-0000-0000-000092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107" name="Text Box 61">
          <a:extLst>
            <a:ext uri="{FF2B5EF4-FFF2-40B4-BE49-F238E27FC236}">
              <a16:creationId xmlns:a16="http://schemas.microsoft.com/office/drawing/2014/main" xmlns="" id="{00000000-0008-0000-0000-000093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108" name="Text Box 62">
          <a:extLst>
            <a:ext uri="{FF2B5EF4-FFF2-40B4-BE49-F238E27FC236}">
              <a16:creationId xmlns:a16="http://schemas.microsoft.com/office/drawing/2014/main" xmlns="" id="{00000000-0008-0000-0000-000094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109" name="Text Box 63">
          <a:extLst>
            <a:ext uri="{FF2B5EF4-FFF2-40B4-BE49-F238E27FC236}">
              <a16:creationId xmlns:a16="http://schemas.microsoft.com/office/drawing/2014/main" xmlns="" id="{00000000-0008-0000-0000-000095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110" name="Text Box 64">
          <a:extLst>
            <a:ext uri="{FF2B5EF4-FFF2-40B4-BE49-F238E27FC236}">
              <a16:creationId xmlns:a16="http://schemas.microsoft.com/office/drawing/2014/main" xmlns="" id="{00000000-0008-0000-0000-000096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111" name="Text Box 65">
          <a:extLst>
            <a:ext uri="{FF2B5EF4-FFF2-40B4-BE49-F238E27FC236}">
              <a16:creationId xmlns:a16="http://schemas.microsoft.com/office/drawing/2014/main" xmlns="" id="{00000000-0008-0000-0000-000097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112" name="Text Box 66">
          <a:extLst>
            <a:ext uri="{FF2B5EF4-FFF2-40B4-BE49-F238E27FC236}">
              <a16:creationId xmlns:a16="http://schemas.microsoft.com/office/drawing/2014/main" xmlns="" id="{00000000-0008-0000-0000-000098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113" name="Text Box 67">
          <a:extLst>
            <a:ext uri="{FF2B5EF4-FFF2-40B4-BE49-F238E27FC236}">
              <a16:creationId xmlns:a16="http://schemas.microsoft.com/office/drawing/2014/main" xmlns="" id="{00000000-0008-0000-0000-000099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114" name="Text Box 68">
          <a:extLst>
            <a:ext uri="{FF2B5EF4-FFF2-40B4-BE49-F238E27FC236}">
              <a16:creationId xmlns:a16="http://schemas.microsoft.com/office/drawing/2014/main" xmlns="" id="{00000000-0008-0000-0000-00009A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115" name="Text Box 69">
          <a:extLst>
            <a:ext uri="{FF2B5EF4-FFF2-40B4-BE49-F238E27FC236}">
              <a16:creationId xmlns:a16="http://schemas.microsoft.com/office/drawing/2014/main" xmlns="" id="{00000000-0008-0000-0000-00009B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116" name="Text Box 70">
          <a:extLst>
            <a:ext uri="{FF2B5EF4-FFF2-40B4-BE49-F238E27FC236}">
              <a16:creationId xmlns:a16="http://schemas.microsoft.com/office/drawing/2014/main" xmlns="" id="{00000000-0008-0000-0000-00009C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117" name="Text Box 71">
          <a:extLst>
            <a:ext uri="{FF2B5EF4-FFF2-40B4-BE49-F238E27FC236}">
              <a16:creationId xmlns:a16="http://schemas.microsoft.com/office/drawing/2014/main" xmlns="" id="{00000000-0008-0000-0000-00009D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118" name="Text Box 72">
          <a:extLst>
            <a:ext uri="{FF2B5EF4-FFF2-40B4-BE49-F238E27FC236}">
              <a16:creationId xmlns:a16="http://schemas.microsoft.com/office/drawing/2014/main" xmlns="" id="{00000000-0008-0000-0000-00009E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119" name="Text Box 73">
          <a:extLst>
            <a:ext uri="{FF2B5EF4-FFF2-40B4-BE49-F238E27FC236}">
              <a16:creationId xmlns:a16="http://schemas.microsoft.com/office/drawing/2014/main" xmlns="" id="{00000000-0008-0000-0000-00009F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120" name="Text Box 74">
          <a:extLst>
            <a:ext uri="{FF2B5EF4-FFF2-40B4-BE49-F238E27FC236}">
              <a16:creationId xmlns:a16="http://schemas.microsoft.com/office/drawing/2014/main" xmlns="" id="{00000000-0008-0000-0000-0000A0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121" name="Text Box 75">
          <a:extLst>
            <a:ext uri="{FF2B5EF4-FFF2-40B4-BE49-F238E27FC236}">
              <a16:creationId xmlns:a16="http://schemas.microsoft.com/office/drawing/2014/main" xmlns="" id="{00000000-0008-0000-0000-0000A1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122" name="Text Box 76">
          <a:extLst>
            <a:ext uri="{FF2B5EF4-FFF2-40B4-BE49-F238E27FC236}">
              <a16:creationId xmlns:a16="http://schemas.microsoft.com/office/drawing/2014/main" xmlns="" id="{00000000-0008-0000-0000-0000A2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123" name="Text Box 77">
          <a:extLst>
            <a:ext uri="{FF2B5EF4-FFF2-40B4-BE49-F238E27FC236}">
              <a16:creationId xmlns:a16="http://schemas.microsoft.com/office/drawing/2014/main" xmlns="" id="{00000000-0008-0000-0000-0000A3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124" name="Text Box 78">
          <a:extLst>
            <a:ext uri="{FF2B5EF4-FFF2-40B4-BE49-F238E27FC236}">
              <a16:creationId xmlns:a16="http://schemas.microsoft.com/office/drawing/2014/main" xmlns="" id="{00000000-0008-0000-0000-0000A4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125" name="Text Box 79">
          <a:extLst>
            <a:ext uri="{FF2B5EF4-FFF2-40B4-BE49-F238E27FC236}">
              <a16:creationId xmlns:a16="http://schemas.microsoft.com/office/drawing/2014/main" xmlns="" id="{00000000-0008-0000-0000-0000A5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126" name="Text Box 80">
          <a:extLst>
            <a:ext uri="{FF2B5EF4-FFF2-40B4-BE49-F238E27FC236}">
              <a16:creationId xmlns:a16="http://schemas.microsoft.com/office/drawing/2014/main" xmlns="" id="{00000000-0008-0000-0000-0000A6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127" name="Text Box 81">
          <a:extLst>
            <a:ext uri="{FF2B5EF4-FFF2-40B4-BE49-F238E27FC236}">
              <a16:creationId xmlns:a16="http://schemas.microsoft.com/office/drawing/2014/main" xmlns="" id="{00000000-0008-0000-0000-0000A7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47625"/>
    <xdr:sp macro="" textlink="">
      <xdr:nvSpPr>
        <xdr:cNvPr id="9128" name="Text Box 82">
          <a:extLst>
            <a:ext uri="{FF2B5EF4-FFF2-40B4-BE49-F238E27FC236}">
              <a16:creationId xmlns:a16="http://schemas.microsoft.com/office/drawing/2014/main" xmlns="" id="{00000000-0008-0000-0000-0000A8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129" name="Text Box 3079">
          <a:extLst>
            <a:ext uri="{FF2B5EF4-FFF2-40B4-BE49-F238E27FC236}">
              <a16:creationId xmlns:a16="http://schemas.microsoft.com/office/drawing/2014/main" xmlns="" id="{00000000-0008-0000-0000-0000A9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130" name="Text Box 3080">
          <a:extLst>
            <a:ext uri="{FF2B5EF4-FFF2-40B4-BE49-F238E27FC236}">
              <a16:creationId xmlns:a16="http://schemas.microsoft.com/office/drawing/2014/main" xmlns="" id="{00000000-0008-0000-0000-0000AA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131" name="Text Box 3081">
          <a:extLst>
            <a:ext uri="{FF2B5EF4-FFF2-40B4-BE49-F238E27FC236}">
              <a16:creationId xmlns:a16="http://schemas.microsoft.com/office/drawing/2014/main" xmlns="" id="{00000000-0008-0000-0000-0000AB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132" name="Text Box 3082">
          <a:extLst>
            <a:ext uri="{FF2B5EF4-FFF2-40B4-BE49-F238E27FC236}">
              <a16:creationId xmlns:a16="http://schemas.microsoft.com/office/drawing/2014/main" xmlns="" id="{00000000-0008-0000-0000-0000AC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133" name="Text Box 3083">
          <a:extLst>
            <a:ext uri="{FF2B5EF4-FFF2-40B4-BE49-F238E27FC236}">
              <a16:creationId xmlns:a16="http://schemas.microsoft.com/office/drawing/2014/main" xmlns="" id="{00000000-0008-0000-0000-0000AD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134" name="Text Box 3084">
          <a:extLst>
            <a:ext uri="{FF2B5EF4-FFF2-40B4-BE49-F238E27FC236}">
              <a16:creationId xmlns:a16="http://schemas.microsoft.com/office/drawing/2014/main" xmlns="" id="{00000000-0008-0000-0000-0000AE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135" name="Text Box 3085">
          <a:extLst>
            <a:ext uri="{FF2B5EF4-FFF2-40B4-BE49-F238E27FC236}">
              <a16:creationId xmlns:a16="http://schemas.microsoft.com/office/drawing/2014/main" xmlns="" id="{00000000-0008-0000-0000-0000AF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136" name="Text Box 3086">
          <a:extLst>
            <a:ext uri="{FF2B5EF4-FFF2-40B4-BE49-F238E27FC236}">
              <a16:creationId xmlns:a16="http://schemas.microsoft.com/office/drawing/2014/main" xmlns="" id="{00000000-0008-0000-0000-0000B0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137" name="Text Box 3087">
          <a:extLst>
            <a:ext uri="{FF2B5EF4-FFF2-40B4-BE49-F238E27FC236}">
              <a16:creationId xmlns:a16="http://schemas.microsoft.com/office/drawing/2014/main" xmlns="" id="{00000000-0008-0000-0000-0000B1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138" name="Text Box 3088">
          <a:extLst>
            <a:ext uri="{FF2B5EF4-FFF2-40B4-BE49-F238E27FC236}">
              <a16:creationId xmlns:a16="http://schemas.microsoft.com/office/drawing/2014/main" xmlns="" id="{00000000-0008-0000-0000-0000B2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139" name="Text Box 3089">
          <a:extLst>
            <a:ext uri="{FF2B5EF4-FFF2-40B4-BE49-F238E27FC236}">
              <a16:creationId xmlns:a16="http://schemas.microsoft.com/office/drawing/2014/main" xmlns="" id="{00000000-0008-0000-0000-0000B3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140" name="Text Box 3090">
          <a:extLst>
            <a:ext uri="{FF2B5EF4-FFF2-40B4-BE49-F238E27FC236}">
              <a16:creationId xmlns:a16="http://schemas.microsoft.com/office/drawing/2014/main" xmlns="" id="{00000000-0008-0000-0000-0000B4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141" name="Text Box 3091">
          <a:extLst>
            <a:ext uri="{FF2B5EF4-FFF2-40B4-BE49-F238E27FC236}">
              <a16:creationId xmlns:a16="http://schemas.microsoft.com/office/drawing/2014/main" xmlns="" id="{00000000-0008-0000-0000-0000B5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142" name="Text Box 3092">
          <a:extLst>
            <a:ext uri="{FF2B5EF4-FFF2-40B4-BE49-F238E27FC236}">
              <a16:creationId xmlns:a16="http://schemas.microsoft.com/office/drawing/2014/main" xmlns="" id="{00000000-0008-0000-0000-0000B6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143" name="Text Box 3093">
          <a:extLst>
            <a:ext uri="{FF2B5EF4-FFF2-40B4-BE49-F238E27FC236}">
              <a16:creationId xmlns:a16="http://schemas.microsoft.com/office/drawing/2014/main" xmlns="" id="{00000000-0008-0000-0000-0000B7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144" name="Text Box 3094">
          <a:extLst>
            <a:ext uri="{FF2B5EF4-FFF2-40B4-BE49-F238E27FC236}">
              <a16:creationId xmlns:a16="http://schemas.microsoft.com/office/drawing/2014/main" xmlns="" id="{00000000-0008-0000-0000-0000B8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145" name="Text Box 3095">
          <a:extLst>
            <a:ext uri="{FF2B5EF4-FFF2-40B4-BE49-F238E27FC236}">
              <a16:creationId xmlns:a16="http://schemas.microsoft.com/office/drawing/2014/main" xmlns="" id="{00000000-0008-0000-0000-0000B9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146" name="Text Box 3096">
          <a:extLst>
            <a:ext uri="{FF2B5EF4-FFF2-40B4-BE49-F238E27FC236}">
              <a16:creationId xmlns:a16="http://schemas.microsoft.com/office/drawing/2014/main" xmlns="" id="{00000000-0008-0000-0000-0000BA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147" name="Text Box 3097">
          <a:extLst>
            <a:ext uri="{FF2B5EF4-FFF2-40B4-BE49-F238E27FC236}">
              <a16:creationId xmlns:a16="http://schemas.microsoft.com/office/drawing/2014/main" xmlns="" id="{00000000-0008-0000-0000-0000BB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148" name="Text Box 3098">
          <a:extLst>
            <a:ext uri="{FF2B5EF4-FFF2-40B4-BE49-F238E27FC236}">
              <a16:creationId xmlns:a16="http://schemas.microsoft.com/office/drawing/2014/main" xmlns="" id="{00000000-0008-0000-0000-0000BC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149" name="Text Box 3099">
          <a:extLst>
            <a:ext uri="{FF2B5EF4-FFF2-40B4-BE49-F238E27FC236}">
              <a16:creationId xmlns:a16="http://schemas.microsoft.com/office/drawing/2014/main" xmlns="" id="{00000000-0008-0000-0000-0000BD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150" name="Text Box 3100">
          <a:extLst>
            <a:ext uri="{FF2B5EF4-FFF2-40B4-BE49-F238E27FC236}">
              <a16:creationId xmlns:a16="http://schemas.microsoft.com/office/drawing/2014/main" xmlns="" id="{00000000-0008-0000-0000-0000BE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151" name="Text Box 3101">
          <a:extLst>
            <a:ext uri="{FF2B5EF4-FFF2-40B4-BE49-F238E27FC236}">
              <a16:creationId xmlns:a16="http://schemas.microsoft.com/office/drawing/2014/main" xmlns="" id="{00000000-0008-0000-0000-0000BF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9152" name="Text Box 3102">
          <a:extLst>
            <a:ext uri="{FF2B5EF4-FFF2-40B4-BE49-F238E27FC236}">
              <a16:creationId xmlns:a16="http://schemas.microsoft.com/office/drawing/2014/main" xmlns="" id="{00000000-0008-0000-0000-0000C0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153" name="Text Box 59">
          <a:extLst>
            <a:ext uri="{FF2B5EF4-FFF2-40B4-BE49-F238E27FC236}">
              <a16:creationId xmlns:a16="http://schemas.microsoft.com/office/drawing/2014/main" xmlns="" id="{00000000-0008-0000-0000-0000C1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154" name="Text Box 60">
          <a:extLst>
            <a:ext uri="{FF2B5EF4-FFF2-40B4-BE49-F238E27FC236}">
              <a16:creationId xmlns:a16="http://schemas.microsoft.com/office/drawing/2014/main" xmlns="" id="{00000000-0008-0000-0000-0000C2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155" name="Text Box 61">
          <a:extLst>
            <a:ext uri="{FF2B5EF4-FFF2-40B4-BE49-F238E27FC236}">
              <a16:creationId xmlns:a16="http://schemas.microsoft.com/office/drawing/2014/main" xmlns="" id="{00000000-0008-0000-0000-0000C3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156" name="Text Box 62">
          <a:extLst>
            <a:ext uri="{FF2B5EF4-FFF2-40B4-BE49-F238E27FC236}">
              <a16:creationId xmlns:a16="http://schemas.microsoft.com/office/drawing/2014/main" xmlns="" id="{00000000-0008-0000-0000-0000C4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157" name="Text Box 63">
          <a:extLst>
            <a:ext uri="{FF2B5EF4-FFF2-40B4-BE49-F238E27FC236}">
              <a16:creationId xmlns:a16="http://schemas.microsoft.com/office/drawing/2014/main" xmlns="" id="{00000000-0008-0000-0000-0000C5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158" name="Text Box 64">
          <a:extLst>
            <a:ext uri="{FF2B5EF4-FFF2-40B4-BE49-F238E27FC236}">
              <a16:creationId xmlns:a16="http://schemas.microsoft.com/office/drawing/2014/main" xmlns="" id="{00000000-0008-0000-0000-0000C6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159" name="Text Box 65">
          <a:extLst>
            <a:ext uri="{FF2B5EF4-FFF2-40B4-BE49-F238E27FC236}">
              <a16:creationId xmlns:a16="http://schemas.microsoft.com/office/drawing/2014/main" xmlns="" id="{00000000-0008-0000-0000-0000C7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160" name="Text Box 66">
          <a:extLst>
            <a:ext uri="{FF2B5EF4-FFF2-40B4-BE49-F238E27FC236}">
              <a16:creationId xmlns:a16="http://schemas.microsoft.com/office/drawing/2014/main" xmlns="" id="{00000000-0008-0000-0000-0000C8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161" name="Text Box 67">
          <a:extLst>
            <a:ext uri="{FF2B5EF4-FFF2-40B4-BE49-F238E27FC236}">
              <a16:creationId xmlns:a16="http://schemas.microsoft.com/office/drawing/2014/main" xmlns="" id="{00000000-0008-0000-0000-0000C9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162" name="Text Box 68">
          <a:extLst>
            <a:ext uri="{FF2B5EF4-FFF2-40B4-BE49-F238E27FC236}">
              <a16:creationId xmlns:a16="http://schemas.microsoft.com/office/drawing/2014/main" xmlns="" id="{00000000-0008-0000-0000-0000CA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163" name="Text Box 69">
          <a:extLst>
            <a:ext uri="{FF2B5EF4-FFF2-40B4-BE49-F238E27FC236}">
              <a16:creationId xmlns:a16="http://schemas.microsoft.com/office/drawing/2014/main" xmlns="" id="{00000000-0008-0000-0000-0000CB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164" name="Text Box 70">
          <a:extLst>
            <a:ext uri="{FF2B5EF4-FFF2-40B4-BE49-F238E27FC236}">
              <a16:creationId xmlns:a16="http://schemas.microsoft.com/office/drawing/2014/main" xmlns="" id="{00000000-0008-0000-0000-0000CC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165" name="Text Box 71">
          <a:extLst>
            <a:ext uri="{FF2B5EF4-FFF2-40B4-BE49-F238E27FC236}">
              <a16:creationId xmlns:a16="http://schemas.microsoft.com/office/drawing/2014/main" xmlns="" id="{00000000-0008-0000-0000-0000CD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166" name="Text Box 72">
          <a:extLst>
            <a:ext uri="{FF2B5EF4-FFF2-40B4-BE49-F238E27FC236}">
              <a16:creationId xmlns:a16="http://schemas.microsoft.com/office/drawing/2014/main" xmlns="" id="{00000000-0008-0000-0000-0000CE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167" name="Text Box 73">
          <a:extLst>
            <a:ext uri="{FF2B5EF4-FFF2-40B4-BE49-F238E27FC236}">
              <a16:creationId xmlns:a16="http://schemas.microsoft.com/office/drawing/2014/main" xmlns="" id="{00000000-0008-0000-0000-0000CF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168" name="Text Box 74">
          <a:extLst>
            <a:ext uri="{FF2B5EF4-FFF2-40B4-BE49-F238E27FC236}">
              <a16:creationId xmlns:a16="http://schemas.microsoft.com/office/drawing/2014/main" xmlns="" id="{00000000-0008-0000-0000-0000D0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169" name="Text Box 75">
          <a:extLst>
            <a:ext uri="{FF2B5EF4-FFF2-40B4-BE49-F238E27FC236}">
              <a16:creationId xmlns:a16="http://schemas.microsoft.com/office/drawing/2014/main" xmlns="" id="{00000000-0008-0000-0000-0000D1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170" name="Text Box 76">
          <a:extLst>
            <a:ext uri="{FF2B5EF4-FFF2-40B4-BE49-F238E27FC236}">
              <a16:creationId xmlns:a16="http://schemas.microsoft.com/office/drawing/2014/main" xmlns="" id="{00000000-0008-0000-0000-0000D2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171" name="Text Box 77">
          <a:extLst>
            <a:ext uri="{FF2B5EF4-FFF2-40B4-BE49-F238E27FC236}">
              <a16:creationId xmlns:a16="http://schemas.microsoft.com/office/drawing/2014/main" xmlns="" id="{00000000-0008-0000-0000-0000D3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172" name="Text Box 78">
          <a:extLst>
            <a:ext uri="{FF2B5EF4-FFF2-40B4-BE49-F238E27FC236}">
              <a16:creationId xmlns:a16="http://schemas.microsoft.com/office/drawing/2014/main" xmlns="" id="{00000000-0008-0000-0000-0000D4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173" name="Text Box 79">
          <a:extLst>
            <a:ext uri="{FF2B5EF4-FFF2-40B4-BE49-F238E27FC236}">
              <a16:creationId xmlns:a16="http://schemas.microsoft.com/office/drawing/2014/main" xmlns="" id="{00000000-0008-0000-0000-0000D5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174" name="Text Box 80">
          <a:extLst>
            <a:ext uri="{FF2B5EF4-FFF2-40B4-BE49-F238E27FC236}">
              <a16:creationId xmlns:a16="http://schemas.microsoft.com/office/drawing/2014/main" xmlns="" id="{00000000-0008-0000-0000-0000D6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175" name="Text Box 81">
          <a:extLst>
            <a:ext uri="{FF2B5EF4-FFF2-40B4-BE49-F238E27FC236}">
              <a16:creationId xmlns:a16="http://schemas.microsoft.com/office/drawing/2014/main" xmlns="" id="{00000000-0008-0000-0000-0000D7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176" name="Text Box 3079">
          <a:extLst>
            <a:ext uri="{FF2B5EF4-FFF2-40B4-BE49-F238E27FC236}">
              <a16:creationId xmlns:a16="http://schemas.microsoft.com/office/drawing/2014/main" xmlns="" id="{00000000-0008-0000-0000-0000D8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177" name="Text Box 3080">
          <a:extLst>
            <a:ext uri="{FF2B5EF4-FFF2-40B4-BE49-F238E27FC236}">
              <a16:creationId xmlns:a16="http://schemas.microsoft.com/office/drawing/2014/main" xmlns="" id="{00000000-0008-0000-0000-0000D9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178" name="Text Box 3081">
          <a:extLst>
            <a:ext uri="{FF2B5EF4-FFF2-40B4-BE49-F238E27FC236}">
              <a16:creationId xmlns:a16="http://schemas.microsoft.com/office/drawing/2014/main" xmlns="" id="{00000000-0008-0000-0000-0000DA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179" name="Text Box 3082">
          <a:extLst>
            <a:ext uri="{FF2B5EF4-FFF2-40B4-BE49-F238E27FC236}">
              <a16:creationId xmlns:a16="http://schemas.microsoft.com/office/drawing/2014/main" xmlns="" id="{00000000-0008-0000-0000-0000DB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180" name="Text Box 3083">
          <a:extLst>
            <a:ext uri="{FF2B5EF4-FFF2-40B4-BE49-F238E27FC236}">
              <a16:creationId xmlns:a16="http://schemas.microsoft.com/office/drawing/2014/main" xmlns="" id="{00000000-0008-0000-0000-0000DC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181" name="Text Box 3084">
          <a:extLst>
            <a:ext uri="{FF2B5EF4-FFF2-40B4-BE49-F238E27FC236}">
              <a16:creationId xmlns:a16="http://schemas.microsoft.com/office/drawing/2014/main" xmlns="" id="{00000000-0008-0000-0000-0000DD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182" name="Text Box 3085">
          <a:extLst>
            <a:ext uri="{FF2B5EF4-FFF2-40B4-BE49-F238E27FC236}">
              <a16:creationId xmlns:a16="http://schemas.microsoft.com/office/drawing/2014/main" xmlns="" id="{00000000-0008-0000-0000-0000DE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183" name="Text Box 3086">
          <a:extLst>
            <a:ext uri="{FF2B5EF4-FFF2-40B4-BE49-F238E27FC236}">
              <a16:creationId xmlns:a16="http://schemas.microsoft.com/office/drawing/2014/main" xmlns="" id="{00000000-0008-0000-0000-0000DF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184" name="Text Box 3087">
          <a:extLst>
            <a:ext uri="{FF2B5EF4-FFF2-40B4-BE49-F238E27FC236}">
              <a16:creationId xmlns:a16="http://schemas.microsoft.com/office/drawing/2014/main" xmlns="" id="{00000000-0008-0000-0000-0000E0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185" name="Text Box 3088">
          <a:extLst>
            <a:ext uri="{FF2B5EF4-FFF2-40B4-BE49-F238E27FC236}">
              <a16:creationId xmlns:a16="http://schemas.microsoft.com/office/drawing/2014/main" xmlns="" id="{00000000-0008-0000-0000-0000E1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186" name="Text Box 3089">
          <a:extLst>
            <a:ext uri="{FF2B5EF4-FFF2-40B4-BE49-F238E27FC236}">
              <a16:creationId xmlns:a16="http://schemas.microsoft.com/office/drawing/2014/main" xmlns="" id="{00000000-0008-0000-0000-0000E2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187" name="Text Box 3090">
          <a:extLst>
            <a:ext uri="{FF2B5EF4-FFF2-40B4-BE49-F238E27FC236}">
              <a16:creationId xmlns:a16="http://schemas.microsoft.com/office/drawing/2014/main" xmlns="" id="{00000000-0008-0000-0000-0000E3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188" name="Text Box 3091">
          <a:extLst>
            <a:ext uri="{FF2B5EF4-FFF2-40B4-BE49-F238E27FC236}">
              <a16:creationId xmlns:a16="http://schemas.microsoft.com/office/drawing/2014/main" xmlns="" id="{00000000-0008-0000-0000-0000E4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189" name="Text Box 3092">
          <a:extLst>
            <a:ext uri="{FF2B5EF4-FFF2-40B4-BE49-F238E27FC236}">
              <a16:creationId xmlns:a16="http://schemas.microsoft.com/office/drawing/2014/main" xmlns="" id="{00000000-0008-0000-0000-0000E5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190" name="Text Box 3093">
          <a:extLst>
            <a:ext uri="{FF2B5EF4-FFF2-40B4-BE49-F238E27FC236}">
              <a16:creationId xmlns:a16="http://schemas.microsoft.com/office/drawing/2014/main" xmlns="" id="{00000000-0008-0000-0000-0000E6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191" name="Text Box 3094">
          <a:extLst>
            <a:ext uri="{FF2B5EF4-FFF2-40B4-BE49-F238E27FC236}">
              <a16:creationId xmlns:a16="http://schemas.microsoft.com/office/drawing/2014/main" xmlns="" id="{00000000-0008-0000-0000-0000E7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192" name="Text Box 3095">
          <a:extLst>
            <a:ext uri="{FF2B5EF4-FFF2-40B4-BE49-F238E27FC236}">
              <a16:creationId xmlns:a16="http://schemas.microsoft.com/office/drawing/2014/main" xmlns="" id="{00000000-0008-0000-0000-0000E8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193" name="Text Box 3096">
          <a:extLst>
            <a:ext uri="{FF2B5EF4-FFF2-40B4-BE49-F238E27FC236}">
              <a16:creationId xmlns:a16="http://schemas.microsoft.com/office/drawing/2014/main" xmlns="" id="{00000000-0008-0000-0000-0000E9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194" name="Text Box 3097">
          <a:extLst>
            <a:ext uri="{FF2B5EF4-FFF2-40B4-BE49-F238E27FC236}">
              <a16:creationId xmlns:a16="http://schemas.microsoft.com/office/drawing/2014/main" xmlns="" id="{00000000-0008-0000-0000-0000EA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195" name="Text Box 3098">
          <a:extLst>
            <a:ext uri="{FF2B5EF4-FFF2-40B4-BE49-F238E27FC236}">
              <a16:creationId xmlns:a16="http://schemas.microsoft.com/office/drawing/2014/main" xmlns="" id="{00000000-0008-0000-0000-0000EB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196" name="Text Box 3099">
          <a:extLst>
            <a:ext uri="{FF2B5EF4-FFF2-40B4-BE49-F238E27FC236}">
              <a16:creationId xmlns:a16="http://schemas.microsoft.com/office/drawing/2014/main" xmlns="" id="{00000000-0008-0000-0000-0000EC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197" name="Text Box 3100">
          <a:extLst>
            <a:ext uri="{FF2B5EF4-FFF2-40B4-BE49-F238E27FC236}">
              <a16:creationId xmlns:a16="http://schemas.microsoft.com/office/drawing/2014/main" xmlns="" id="{00000000-0008-0000-0000-0000ED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198" name="Text Box 3101">
          <a:extLst>
            <a:ext uri="{FF2B5EF4-FFF2-40B4-BE49-F238E27FC236}">
              <a16:creationId xmlns:a16="http://schemas.microsoft.com/office/drawing/2014/main" xmlns="" id="{00000000-0008-0000-0000-0000EE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9199" name="Text Box 3102">
          <a:extLst>
            <a:ext uri="{FF2B5EF4-FFF2-40B4-BE49-F238E27FC236}">
              <a16:creationId xmlns:a16="http://schemas.microsoft.com/office/drawing/2014/main" xmlns="" id="{00000000-0008-0000-0000-0000EF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200" name="Text Box 59">
          <a:extLst>
            <a:ext uri="{FF2B5EF4-FFF2-40B4-BE49-F238E27FC236}">
              <a16:creationId xmlns:a16="http://schemas.microsoft.com/office/drawing/2014/main" xmlns="" id="{00000000-0008-0000-0000-0000F0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201" name="Text Box 60">
          <a:extLst>
            <a:ext uri="{FF2B5EF4-FFF2-40B4-BE49-F238E27FC236}">
              <a16:creationId xmlns:a16="http://schemas.microsoft.com/office/drawing/2014/main" xmlns="" id="{00000000-0008-0000-0000-0000F1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202" name="Text Box 61">
          <a:extLst>
            <a:ext uri="{FF2B5EF4-FFF2-40B4-BE49-F238E27FC236}">
              <a16:creationId xmlns:a16="http://schemas.microsoft.com/office/drawing/2014/main" xmlns="" id="{00000000-0008-0000-0000-0000F2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203" name="Text Box 62">
          <a:extLst>
            <a:ext uri="{FF2B5EF4-FFF2-40B4-BE49-F238E27FC236}">
              <a16:creationId xmlns:a16="http://schemas.microsoft.com/office/drawing/2014/main" xmlns="" id="{00000000-0008-0000-0000-0000F3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204" name="Text Box 63">
          <a:extLst>
            <a:ext uri="{FF2B5EF4-FFF2-40B4-BE49-F238E27FC236}">
              <a16:creationId xmlns:a16="http://schemas.microsoft.com/office/drawing/2014/main" xmlns="" id="{00000000-0008-0000-0000-0000F4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205" name="Text Box 64">
          <a:extLst>
            <a:ext uri="{FF2B5EF4-FFF2-40B4-BE49-F238E27FC236}">
              <a16:creationId xmlns:a16="http://schemas.microsoft.com/office/drawing/2014/main" xmlns="" id="{00000000-0008-0000-0000-0000F5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206" name="Text Box 65">
          <a:extLst>
            <a:ext uri="{FF2B5EF4-FFF2-40B4-BE49-F238E27FC236}">
              <a16:creationId xmlns:a16="http://schemas.microsoft.com/office/drawing/2014/main" xmlns="" id="{00000000-0008-0000-0000-0000F6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207" name="Text Box 66">
          <a:extLst>
            <a:ext uri="{FF2B5EF4-FFF2-40B4-BE49-F238E27FC236}">
              <a16:creationId xmlns:a16="http://schemas.microsoft.com/office/drawing/2014/main" xmlns="" id="{00000000-0008-0000-0000-0000F7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208" name="Text Box 67">
          <a:extLst>
            <a:ext uri="{FF2B5EF4-FFF2-40B4-BE49-F238E27FC236}">
              <a16:creationId xmlns:a16="http://schemas.microsoft.com/office/drawing/2014/main" xmlns="" id="{00000000-0008-0000-0000-0000F8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209" name="Text Box 68">
          <a:extLst>
            <a:ext uri="{FF2B5EF4-FFF2-40B4-BE49-F238E27FC236}">
              <a16:creationId xmlns:a16="http://schemas.microsoft.com/office/drawing/2014/main" xmlns="" id="{00000000-0008-0000-0000-0000F9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210" name="Text Box 69">
          <a:extLst>
            <a:ext uri="{FF2B5EF4-FFF2-40B4-BE49-F238E27FC236}">
              <a16:creationId xmlns:a16="http://schemas.microsoft.com/office/drawing/2014/main" xmlns="" id="{00000000-0008-0000-0000-0000FA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211" name="Text Box 70">
          <a:extLst>
            <a:ext uri="{FF2B5EF4-FFF2-40B4-BE49-F238E27FC236}">
              <a16:creationId xmlns:a16="http://schemas.microsoft.com/office/drawing/2014/main" xmlns="" id="{00000000-0008-0000-0000-0000FB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212" name="Text Box 71">
          <a:extLst>
            <a:ext uri="{FF2B5EF4-FFF2-40B4-BE49-F238E27FC236}">
              <a16:creationId xmlns:a16="http://schemas.microsoft.com/office/drawing/2014/main" xmlns="" id="{00000000-0008-0000-0000-0000FC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213" name="Text Box 72">
          <a:extLst>
            <a:ext uri="{FF2B5EF4-FFF2-40B4-BE49-F238E27FC236}">
              <a16:creationId xmlns:a16="http://schemas.microsoft.com/office/drawing/2014/main" xmlns="" id="{00000000-0008-0000-0000-0000FD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214" name="Text Box 73">
          <a:extLst>
            <a:ext uri="{FF2B5EF4-FFF2-40B4-BE49-F238E27FC236}">
              <a16:creationId xmlns:a16="http://schemas.microsoft.com/office/drawing/2014/main" xmlns="" id="{00000000-0008-0000-0000-0000FE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215" name="Text Box 74">
          <a:extLst>
            <a:ext uri="{FF2B5EF4-FFF2-40B4-BE49-F238E27FC236}">
              <a16:creationId xmlns:a16="http://schemas.microsoft.com/office/drawing/2014/main" xmlns="" id="{00000000-0008-0000-0000-0000FF23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216" name="Text Box 75">
          <a:extLst>
            <a:ext uri="{FF2B5EF4-FFF2-40B4-BE49-F238E27FC236}">
              <a16:creationId xmlns:a16="http://schemas.microsoft.com/office/drawing/2014/main" xmlns="" id="{00000000-0008-0000-0000-000000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217" name="Text Box 76">
          <a:extLst>
            <a:ext uri="{FF2B5EF4-FFF2-40B4-BE49-F238E27FC236}">
              <a16:creationId xmlns:a16="http://schemas.microsoft.com/office/drawing/2014/main" xmlns="" id="{00000000-0008-0000-0000-000001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218" name="Text Box 77">
          <a:extLst>
            <a:ext uri="{FF2B5EF4-FFF2-40B4-BE49-F238E27FC236}">
              <a16:creationId xmlns:a16="http://schemas.microsoft.com/office/drawing/2014/main" xmlns="" id="{00000000-0008-0000-0000-000002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219" name="Text Box 78">
          <a:extLst>
            <a:ext uri="{FF2B5EF4-FFF2-40B4-BE49-F238E27FC236}">
              <a16:creationId xmlns:a16="http://schemas.microsoft.com/office/drawing/2014/main" xmlns="" id="{00000000-0008-0000-0000-000003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220" name="Text Box 79">
          <a:extLst>
            <a:ext uri="{FF2B5EF4-FFF2-40B4-BE49-F238E27FC236}">
              <a16:creationId xmlns:a16="http://schemas.microsoft.com/office/drawing/2014/main" xmlns="" id="{00000000-0008-0000-0000-000004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221" name="Text Box 80">
          <a:extLst>
            <a:ext uri="{FF2B5EF4-FFF2-40B4-BE49-F238E27FC236}">
              <a16:creationId xmlns:a16="http://schemas.microsoft.com/office/drawing/2014/main" xmlns="" id="{00000000-0008-0000-0000-000005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222" name="Text Box 81">
          <a:extLst>
            <a:ext uri="{FF2B5EF4-FFF2-40B4-BE49-F238E27FC236}">
              <a16:creationId xmlns:a16="http://schemas.microsoft.com/office/drawing/2014/main" xmlns="" id="{00000000-0008-0000-0000-000006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47625"/>
    <xdr:sp macro="" textlink="">
      <xdr:nvSpPr>
        <xdr:cNvPr id="9223" name="Text Box 82">
          <a:extLst>
            <a:ext uri="{FF2B5EF4-FFF2-40B4-BE49-F238E27FC236}">
              <a16:creationId xmlns:a16="http://schemas.microsoft.com/office/drawing/2014/main" xmlns="" id="{00000000-0008-0000-0000-000007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224" name="Text Box 3079">
          <a:extLst>
            <a:ext uri="{FF2B5EF4-FFF2-40B4-BE49-F238E27FC236}">
              <a16:creationId xmlns:a16="http://schemas.microsoft.com/office/drawing/2014/main" xmlns="" id="{00000000-0008-0000-0000-000008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225" name="Text Box 3080">
          <a:extLst>
            <a:ext uri="{FF2B5EF4-FFF2-40B4-BE49-F238E27FC236}">
              <a16:creationId xmlns:a16="http://schemas.microsoft.com/office/drawing/2014/main" xmlns="" id="{00000000-0008-0000-0000-000009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226" name="Text Box 3081">
          <a:extLst>
            <a:ext uri="{FF2B5EF4-FFF2-40B4-BE49-F238E27FC236}">
              <a16:creationId xmlns:a16="http://schemas.microsoft.com/office/drawing/2014/main" xmlns="" id="{00000000-0008-0000-0000-00000A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227" name="Text Box 3082">
          <a:extLst>
            <a:ext uri="{FF2B5EF4-FFF2-40B4-BE49-F238E27FC236}">
              <a16:creationId xmlns:a16="http://schemas.microsoft.com/office/drawing/2014/main" xmlns="" id="{00000000-0008-0000-0000-00000B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228" name="Text Box 3083">
          <a:extLst>
            <a:ext uri="{FF2B5EF4-FFF2-40B4-BE49-F238E27FC236}">
              <a16:creationId xmlns:a16="http://schemas.microsoft.com/office/drawing/2014/main" xmlns="" id="{00000000-0008-0000-0000-00000C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229" name="Text Box 3084">
          <a:extLst>
            <a:ext uri="{FF2B5EF4-FFF2-40B4-BE49-F238E27FC236}">
              <a16:creationId xmlns:a16="http://schemas.microsoft.com/office/drawing/2014/main" xmlns="" id="{00000000-0008-0000-0000-00000D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230" name="Text Box 3085">
          <a:extLst>
            <a:ext uri="{FF2B5EF4-FFF2-40B4-BE49-F238E27FC236}">
              <a16:creationId xmlns:a16="http://schemas.microsoft.com/office/drawing/2014/main" xmlns="" id="{00000000-0008-0000-0000-00000E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231" name="Text Box 3086">
          <a:extLst>
            <a:ext uri="{FF2B5EF4-FFF2-40B4-BE49-F238E27FC236}">
              <a16:creationId xmlns:a16="http://schemas.microsoft.com/office/drawing/2014/main" xmlns="" id="{00000000-0008-0000-0000-00000F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232" name="Text Box 3087">
          <a:extLst>
            <a:ext uri="{FF2B5EF4-FFF2-40B4-BE49-F238E27FC236}">
              <a16:creationId xmlns:a16="http://schemas.microsoft.com/office/drawing/2014/main" xmlns="" id="{00000000-0008-0000-0000-000010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233" name="Text Box 3088">
          <a:extLst>
            <a:ext uri="{FF2B5EF4-FFF2-40B4-BE49-F238E27FC236}">
              <a16:creationId xmlns:a16="http://schemas.microsoft.com/office/drawing/2014/main" xmlns="" id="{00000000-0008-0000-0000-000011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234" name="Text Box 3089">
          <a:extLst>
            <a:ext uri="{FF2B5EF4-FFF2-40B4-BE49-F238E27FC236}">
              <a16:creationId xmlns:a16="http://schemas.microsoft.com/office/drawing/2014/main" xmlns="" id="{00000000-0008-0000-0000-000012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235" name="Text Box 3090">
          <a:extLst>
            <a:ext uri="{FF2B5EF4-FFF2-40B4-BE49-F238E27FC236}">
              <a16:creationId xmlns:a16="http://schemas.microsoft.com/office/drawing/2014/main" xmlns="" id="{00000000-0008-0000-0000-000013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236" name="Text Box 3091">
          <a:extLst>
            <a:ext uri="{FF2B5EF4-FFF2-40B4-BE49-F238E27FC236}">
              <a16:creationId xmlns:a16="http://schemas.microsoft.com/office/drawing/2014/main" xmlns="" id="{00000000-0008-0000-0000-000014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237" name="Text Box 3092">
          <a:extLst>
            <a:ext uri="{FF2B5EF4-FFF2-40B4-BE49-F238E27FC236}">
              <a16:creationId xmlns:a16="http://schemas.microsoft.com/office/drawing/2014/main" xmlns="" id="{00000000-0008-0000-0000-000015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238" name="Text Box 3093">
          <a:extLst>
            <a:ext uri="{FF2B5EF4-FFF2-40B4-BE49-F238E27FC236}">
              <a16:creationId xmlns:a16="http://schemas.microsoft.com/office/drawing/2014/main" xmlns="" id="{00000000-0008-0000-0000-000016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239" name="Text Box 3094">
          <a:extLst>
            <a:ext uri="{FF2B5EF4-FFF2-40B4-BE49-F238E27FC236}">
              <a16:creationId xmlns:a16="http://schemas.microsoft.com/office/drawing/2014/main" xmlns="" id="{00000000-0008-0000-0000-000017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240" name="Text Box 3095">
          <a:extLst>
            <a:ext uri="{FF2B5EF4-FFF2-40B4-BE49-F238E27FC236}">
              <a16:creationId xmlns:a16="http://schemas.microsoft.com/office/drawing/2014/main" xmlns="" id="{00000000-0008-0000-0000-000018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241" name="Text Box 3096">
          <a:extLst>
            <a:ext uri="{FF2B5EF4-FFF2-40B4-BE49-F238E27FC236}">
              <a16:creationId xmlns:a16="http://schemas.microsoft.com/office/drawing/2014/main" xmlns="" id="{00000000-0008-0000-0000-000019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242" name="Text Box 3097">
          <a:extLst>
            <a:ext uri="{FF2B5EF4-FFF2-40B4-BE49-F238E27FC236}">
              <a16:creationId xmlns:a16="http://schemas.microsoft.com/office/drawing/2014/main" xmlns="" id="{00000000-0008-0000-0000-00001A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243" name="Text Box 3098">
          <a:extLst>
            <a:ext uri="{FF2B5EF4-FFF2-40B4-BE49-F238E27FC236}">
              <a16:creationId xmlns:a16="http://schemas.microsoft.com/office/drawing/2014/main" xmlns="" id="{00000000-0008-0000-0000-00001B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244" name="Text Box 3099">
          <a:extLst>
            <a:ext uri="{FF2B5EF4-FFF2-40B4-BE49-F238E27FC236}">
              <a16:creationId xmlns:a16="http://schemas.microsoft.com/office/drawing/2014/main" xmlns="" id="{00000000-0008-0000-0000-00001C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245" name="Text Box 3100">
          <a:extLst>
            <a:ext uri="{FF2B5EF4-FFF2-40B4-BE49-F238E27FC236}">
              <a16:creationId xmlns:a16="http://schemas.microsoft.com/office/drawing/2014/main" xmlns="" id="{00000000-0008-0000-0000-00001D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246" name="Text Box 3101">
          <a:extLst>
            <a:ext uri="{FF2B5EF4-FFF2-40B4-BE49-F238E27FC236}">
              <a16:creationId xmlns:a16="http://schemas.microsoft.com/office/drawing/2014/main" xmlns="" id="{00000000-0008-0000-0000-00001E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9247" name="Text Box 3102">
          <a:extLst>
            <a:ext uri="{FF2B5EF4-FFF2-40B4-BE49-F238E27FC236}">
              <a16:creationId xmlns:a16="http://schemas.microsoft.com/office/drawing/2014/main" xmlns="" id="{00000000-0008-0000-0000-00001F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248" name="Text Box 59">
          <a:extLst>
            <a:ext uri="{FF2B5EF4-FFF2-40B4-BE49-F238E27FC236}">
              <a16:creationId xmlns:a16="http://schemas.microsoft.com/office/drawing/2014/main" xmlns="" id="{00000000-0008-0000-0000-000020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249" name="Text Box 60">
          <a:extLst>
            <a:ext uri="{FF2B5EF4-FFF2-40B4-BE49-F238E27FC236}">
              <a16:creationId xmlns:a16="http://schemas.microsoft.com/office/drawing/2014/main" xmlns="" id="{00000000-0008-0000-0000-000021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250" name="Text Box 61">
          <a:extLst>
            <a:ext uri="{FF2B5EF4-FFF2-40B4-BE49-F238E27FC236}">
              <a16:creationId xmlns:a16="http://schemas.microsoft.com/office/drawing/2014/main" xmlns="" id="{00000000-0008-0000-0000-000022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251" name="Text Box 62">
          <a:extLst>
            <a:ext uri="{FF2B5EF4-FFF2-40B4-BE49-F238E27FC236}">
              <a16:creationId xmlns:a16="http://schemas.microsoft.com/office/drawing/2014/main" xmlns="" id="{00000000-0008-0000-0000-000023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252" name="Text Box 63">
          <a:extLst>
            <a:ext uri="{FF2B5EF4-FFF2-40B4-BE49-F238E27FC236}">
              <a16:creationId xmlns:a16="http://schemas.microsoft.com/office/drawing/2014/main" xmlns="" id="{00000000-0008-0000-0000-000024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253" name="Text Box 64">
          <a:extLst>
            <a:ext uri="{FF2B5EF4-FFF2-40B4-BE49-F238E27FC236}">
              <a16:creationId xmlns:a16="http://schemas.microsoft.com/office/drawing/2014/main" xmlns="" id="{00000000-0008-0000-0000-000025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254" name="Text Box 65">
          <a:extLst>
            <a:ext uri="{FF2B5EF4-FFF2-40B4-BE49-F238E27FC236}">
              <a16:creationId xmlns:a16="http://schemas.microsoft.com/office/drawing/2014/main" xmlns="" id="{00000000-0008-0000-0000-000026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255" name="Text Box 66">
          <a:extLst>
            <a:ext uri="{FF2B5EF4-FFF2-40B4-BE49-F238E27FC236}">
              <a16:creationId xmlns:a16="http://schemas.microsoft.com/office/drawing/2014/main" xmlns="" id="{00000000-0008-0000-0000-000027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256" name="Text Box 67">
          <a:extLst>
            <a:ext uri="{FF2B5EF4-FFF2-40B4-BE49-F238E27FC236}">
              <a16:creationId xmlns:a16="http://schemas.microsoft.com/office/drawing/2014/main" xmlns="" id="{00000000-0008-0000-0000-000028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257" name="Text Box 68">
          <a:extLst>
            <a:ext uri="{FF2B5EF4-FFF2-40B4-BE49-F238E27FC236}">
              <a16:creationId xmlns:a16="http://schemas.microsoft.com/office/drawing/2014/main" xmlns="" id="{00000000-0008-0000-0000-000029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258" name="Text Box 69">
          <a:extLst>
            <a:ext uri="{FF2B5EF4-FFF2-40B4-BE49-F238E27FC236}">
              <a16:creationId xmlns:a16="http://schemas.microsoft.com/office/drawing/2014/main" xmlns="" id="{00000000-0008-0000-0000-00002A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259" name="Text Box 70">
          <a:extLst>
            <a:ext uri="{FF2B5EF4-FFF2-40B4-BE49-F238E27FC236}">
              <a16:creationId xmlns:a16="http://schemas.microsoft.com/office/drawing/2014/main" xmlns="" id="{00000000-0008-0000-0000-00002B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260" name="Text Box 71">
          <a:extLst>
            <a:ext uri="{FF2B5EF4-FFF2-40B4-BE49-F238E27FC236}">
              <a16:creationId xmlns:a16="http://schemas.microsoft.com/office/drawing/2014/main" xmlns="" id="{00000000-0008-0000-0000-00002C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261" name="Text Box 72">
          <a:extLst>
            <a:ext uri="{FF2B5EF4-FFF2-40B4-BE49-F238E27FC236}">
              <a16:creationId xmlns:a16="http://schemas.microsoft.com/office/drawing/2014/main" xmlns="" id="{00000000-0008-0000-0000-00002D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262" name="Text Box 73">
          <a:extLst>
            <a:ext uri="{FF2B5EF4-FFF2-40B4-BE49-F238E27FC236}">
              <a16:creationId xmlns:a16="http://schemas.microsoft.com/office/drawing/2014/main" xmlns="" id="{00000000-0008-0000-0000-00002E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263" name="Text Box 74">
          <a:extLst>
            <a:ext uri="{FF2B5EF4-FFF2-40B4-BE49-F238E27FC236}">
              <a16:creationId xmlns:a16="http://schemas.microsoft.com/office/drawing/2014/main" xmlns="" id="{00000000-0008-0000-0000-00002F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264" name="Text Box 75">
          <a:extLst>
            <a:ext uri="{FF2B5EF4-FFF2-40B4-BE49-F238E27FC236}">
              <a16:creationId xmlns:a16="http://schemas.microsoft.com/office/drawing/2014/main" xmlns="" id="{00000000-0008-0000-0000-000030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265" name="Text Box 76">
          <a:extLst>
            <a:ext uri="{FF2B5EF4-FFF2-40B4-BE49-F238E27FC236}">
              <a16:creationId xmlns:a16="http://schemas.microsoft.com/office/drawing/2014/main" xmlns="" id="{00000000-0008-0000-0000-000031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266" name="Text Box 77">
          <a:extLst>
            <a:ext uri="{FF2B5EF4-FFF2-40B4-BE49-F238E27FC236}">
              <a16:creationId xmlns:a16="http://schemas.microsoft.com/office/drawing/2014/main" xmlns="" id="{00000000-0008-0000-0000-000032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267" name="Text Box 78">
          <a:extLst>
            <a:ext uri="{FF2B5EF4-FFF2-40B4-BE49-F238E27FC236}">
              <a16:creationId xmlns:a16="http://schemas.microsoft.com/office/drawing/2014/main" xmlns="" id="{00000000-0008-0000-0000-000033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268" name="Text Box 79">
          <a:extLst>
            <a:ext uri="{FF2B5EF4-FFF2-40B4-BE49-F238E27FC236}">
              <a16:creationId xmlns:a16="http://schemas.microsoft.com/office/drawing/2014/main" xmlns="" id="{00000000-0008-0000-0000-000034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269" name="Text Box 80">
          <a:extLst>
            <a:ext uri="{FF2B5EF4-FFF2-40B4-BE49-F238E27FC236}">
              <a16:creationId xmlns:a16="http://schemas.microsoft.com/office/drawing/2014/main" xmlns="" id="{00000000-0008-0000-0000-000035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270" name="Text Box 81">
          <a:extLst>
            <a:ext uri="{FF2B5EF4-FFF2-40B4-BE49-F238E27FC236}">
              <a16:creationId xmlns:a16="http://schemas.microsoft.com/office/drawing/2014/main" xmlns="" id="{00000000-0008-0000-0000-000036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271" name="Text Box 3079">
          <a:extLst>
            <a:ext uri="{FF2B5EF4-FFF2-40B4-BE49-F238E27FC236}">
              <a16:creationId xmlns:a16="http://schemas.microsoft.com/office/drawing/2014/main" xmlns="" id="{00000000-0008-0000-0000-000037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272" name="Text Box 3080">
          <a:extLst>
            <a:ext uri="{FF2B5EF4-FFF2-40B4-BE49-F238E27FC236}">
              <a16:creationId xmlns:a16="http://schemas.microsoft.com/office/drawing/2014/main" xmlns="" id="{00000000-0008-0000-0000-000038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273" name="Text Box 3081">
          <a:extLst>
            <a:ext uri="{FF2B5EF4-FFF2-40B4-BE49-F238E27FC236}">
              <a16:creationId xmlns:a16="http://schemas.microsoft.com/office/drawing/2014/main" xmlns="" id="{00000000-0008-0000-0000-000039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274" name="Text Box 3082">
          <a:extLst>
            <a:ext uri="{FF2B5EF4-FFF2-40B4-BE49-F238E27FC236}">
              <a16:creationId xmlns:a16="http://schemas.microsoft.com/office/drawing/2014/main" xmlns="" id="{00000000-0008-0000-0000-00003A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275" name="Text Box 3083">
          <a:extLst>
            <a:ext uri="{FF2B5EF4-FFF2-40B4-BE49-F238E27FC236}">
              <a16:creationId xmlns:a16="http://schemas.microsoft.com/office/drawing/2014/main" xmlns="" id="{00000000-0008-0000-0000-00003B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276" name="Text Box 3084">
          <a:extLst>
            <a:ext uri="{FF2B5EF4-FFF2-40B4-BE49-F238E27FC236}">
              <a16:creationId xmlns:a16="http://schemas.microsoft.com/office/drawing/2014/main" xmlns="" id="{00000000-0008-0000-0000-00003C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277" name="Text Box 3085">
          <a:extLst>
            <a:ext uri="{FF2B5EF4-FFF2-40B4-BE49-F238E27FC236}">
              <a16:creationId xmlns:a16="http://schemas.microsoft.com/office/drawing/2014/main" xmlns="" id="{00000000-0008-0000-0000-00003D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278" name="Text Box 3086">
          <a:extLst>
            <a:ext uri="{FF2B5EF4-FFF2-40B4-BE49-F238E27FC236}">
              <a16:creationId xmlns:a16="http://schemas.microsoft.com/office/drawing/2014/main" xmlns="" id="{00000000-0008-0000-0000-00003E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279" name="Text Box 3087">
          <a:extLst>
            <a:ext uri="{FF2B5EF4-FFF2-40B4-BE49-F238E27FC236}">
              <a16:creationId xmlns:a16="http://schemas.microsoft.com/office/drawing/2014/main" xmlns="" id="{00000000-0008-0000-0000-00003F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280" name="Text Box 3088">
          <a:extLst>
            <a:ext uri="{FF2B5EF4-FFF2-40B4-BE49-F238E27FC236}">
              <a16:creationId xmlns:a16="http://schemas.microsoft.com/office/drawing/2014/main" xmlns="" id="{00000000-0008-0000-0000-000040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281" name="Text Box 3089">
          <a:extLst>
            <a:ext uri="{FF2B5EF4-FFF2-40B4-BE49-F238E27FC236}">
              <a16:creationId xmlns:a16="http://schemas.microsoft.com/office/drawing/2014/main" xmlns="" id="{00000000-0008-0000-0000-000041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282" name="Text Box 3090">
          <a:extLst>
            <a:ext uri="{FF2B5EF4-FFF2-40B4-BE49-F238E27FC236}">
              <a16:creationId xmlns:a16="http://schemas.microsoft.com/office/drawing/2014/main" xmlns="" id="{00000000-0008-0000-0000-000042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283" name="Text Box 3091">
          <a:extLst>
            <a:ext uri="{FF2B5EF4-FFF2-40B4-BE49-F238E27FC236}">
              <a16:creationId xmlns:a16="http://schemas.microsoft.com/office/drawing/2014/main" xmlns="" id="{00000000-0008-0000-0000-000043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284" name="Text Box 3092">
          <a:extLst>
            <a:ext uri="{FF2B5EF4-FFF2-40B4-BE49-F238E27FC236}">
              <a16:creationId xmlns:a16="http://schemas.microsoft.com/office/drawing/2014/main" xmlns="" id="{00000000-0008-0000-0000-000044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285" name="Text Box 3093">
          <a:extLst>
            <a:ext uri="{FF2B5EF4-FFF2-40B4-BE49-F238E27FC236}">
              <a16:creationId xmlns:a16="http://schemas.microsoft.com/office/drawing/2014/main" xmlns="" id="{00000000-0008-0000-0000-000045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286" name="Text Box 3094">
          <a:extLst>
            <a:ext uri="{FF2B5EF4-FFF2-40B4-BE49-F238E27FC236}">
              <a16:creationId xmlns:a16="http://schemas.microsoft.com/office/drawing/2014/main" xmlns="" id="{00000000-0008-0000-0000-000046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287" name="Text Box 3095">
          <a:extLst>
            <a:ext uri="{FF2B5EF4-FFF2-40B4-BE49-F238E27FC236}">
              <a16:creationId xmlns:a16="http://schemas.microsoft.com/office/drawing/2014/main" xmlns="" id="{00000000-0008-0000-0000-000047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288" name="Text Box 3096">
          <a:extLst>
            <a:ext uri="{FF2B5EF4-FFF2-40B4-BE49-F238E27FC236}">
              <a16:creationId xmlns:a16="http://schemas.microsoft.com/office/drawing/2014/main" xmlns="" id="{00000000-0008-0000-0000-000048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289" name="Text Box 3097">
          <a:extLst>
            <a:ext uri="{FF2B5EF4-FFF2-40B4-BE49-F238E27FC236}">
              <a16:creationId xmlns:a16="http://schemas.microsoft.com/office/drawing/2014/main" xmlns="" id="{00000000-0008-0000-0000-000049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290" name="Text Box 3098">
          <a:extLst>
            <a:ext uri="{FF2B5EF4-FFF2-40B4-BE49-F238E27FC236}">
              <a16:creationId xmlns:a16="http://schemas.microsoft.com/office/drawing/2014/main" xmlns="" id="{00000000-0008-0000-0000-00004A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291" name="Text Box 3099">
          <a:extLst>
            <a:ext uri="{FF2B5EF4-FFF2-40B4-BE49-F238E27FC236}">
              <a16:creationId xmlns:a16="http://schemas.microsoft.com/office/drawing/2014/main" xmlns="" id="{00000000-0008-0000-0000-00004B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292" name="Text Box 3100">
          <a:extLst>
            <a:ext uri="{FF2B5EF4-FFF2-40B4-BE49-F238E27FC236}">
              <a16:creationId xmlns:a16="http://schemas.microsoft.com/office/drawing/2014/main" xmlns="" id="{00000000-0008-0000-0000-00004C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293" name="Text Box 3101">
          <a:extLst>
            <a:ext uri="{FF2B5EF4-FFF2-40B4-BE49-F238E27FC236}">
              <a16:creationId xmlns:a16="http://schemas.microsoft.com/office/drawing/2014/main" xmlns="" id="{00000000-0008-0000-0000-00004D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9294" name="Text Box 3102">
          <a:extLst>
            <a:ext uri="{FF2B5EF4-FFF2-40B4-BE49-F238E27FC236}">
              <a16:creationId xmlns:a16="http://schemas.microsoft.com/office/drawing/2014/main" xmlns="" id="{00000000-0008-0000-0000-00004E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295" name="Text Box 59">
          <a:extLst>
            <a:ext uri="{FF2B5EF4-FFF2-40B4-BE49-F238E27FC236}">
              <a16:creationId xmlns:a16="http://schemas.microsoft.com/office/drawing/2014/main" xmlns="" id="{00000000-0008-0000-0000-00004F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296" name="Text Box 60">
          <a:extLst>
            <a:ext uri="{FF2B5EF4-FFF2-40B4-BE49-F238E27FC236}">
              <a16:creationId xmlns:a16="http://schemas.microsoft.com/office/drawing/2014/main" xmlns="" id="{00000000-0008-0000-0000-000050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297" name="Text Box 61">
          <a:extLst>
            <a:ext uri="{FF2B5EF4-FFF2-40B4-BE49-F238E27FC236}">
              <a16:creationId xmlns:a16="http://schemas.microsoft.com/office/drawing/2014/main" xmlns="" id="{00000000-0008-0000-0000-000051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298" name="Text Box 62">
          <a:extLst>
            <a:ext uri="{FF2B5EF4-FFF2-40B4-BE49-F238E27FC236}">
              <a16:creationId xmlns:a16="http://schemas.microsoft.com/office/drawing/2014/main" xmlns="" id="{00000000-0008-0000-0000-000052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299" name="Text Box 63">
          <a:extLst>
            <a:ext uri="{FF2B5EF4-FFF2-40B4-BE49-F238E27FC236}">
              <a16:creationId xmlns:a16="http://schemas.microsoft.com/office/drawing/2014/main" xmlns="" id="{00000000-0008-0000-0000-000053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300" name="Text Box 64">
          <a:extLst>
            <a:ext uri="{FF2B5EF4-FFF2-40B4-BE49-F238E27FC236}">
              <a16:creationId xmlns:a16="http://schemas.microsoft.com/office/drawing/2014/main" xmlns="" id="{00000000-0008-0000-0000-000054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301" name="Text Box 65">
          <a:extLst>
            <a:ext uri="{FF2B5EF4-FFF2-40B4-BE49-F238E27FC236}">
              <a16:creationId xmlns:a16="http://schemas.microsoft.com/office/drawing/2014/main" xmlns="" id="{00000000-0008-0000-0000-000055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302" name="Text Box 66">
          <a:extLst>
            <a:ext uri="{FF2B5EF4-FFF2-40B4-BE49-F238E27FC236}">
              <a16:creationId xmlns:a16="http://schemas.microsoft.com/office/drawing/2014/main" xmlns="" id="{00000000-0008-0000-0000-000056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303" name="Text Box 67">
          <a:extLst>
            <a:ext uri="{FF2B5EF4-FFF2-40B4-BE49-F238E27FC236}">
              <a16:creationId xmlns:a16="http://schemas.microsoft.com/office/drawing/2014/main" xmlns="" id="{00000000-0008-0000-0000-000057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304" name="Text Box 68">
          <a:extLst>
            <a:ext uri="{FF2B5EF4-FFF2-40B4-BE49-F238E27FC236}">
              <a16:creationId xmlns:a16="http://schemas.microsoft.com/office/drawing/2014/main" xmlns="" id="{00000000-0008-0000-0000-000058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305" name="Text Box 69">
          <a:extLst>
            <a:ext uri="{FF2B5EF4-FFF2-40B4-BE49-F238E27FC236}">
              <a16:creationId xmlns:a16="http://schemas.microsoft.com/office/drawing/2014/main" xmlns="" id="{00000000-0008-0000-0000-000059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306" name="Text Box 70">
          <a:extLst>
            <a:ext uri="{FF2B5EF4-FFF2-40B4-BE49-F238E27FC236}">
              <a16:creationId xmlns:a16="http://schemas.microsoft.com/office/drawing/2014/main" xmlns="" id="{00000000-0008-0000-0000-00005A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307" name="Text Box 71">
          <a:extLst>
            <a:ext uri="{FF2B5EF4-FFF2-40B4-BE49-F238E27FC236}">
              <a16:creationId xmlns:a16="http://schemas.microsoft.com/office/drawing/2014/main" xmlns="" id="{00000000-0008-0000-0000-00005B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308" name="Text Box 72">
          <a:extLst>
            <a:ext uri="{FF2B5EF4-FFF2-40B4-BE49-F238E27FC236}">
              <a16:creationId xmlns:a16="http://schemas.microsoft.com/office/drawing/2014/main" xmlns="" id="{00000000-0008-0000-0000-00005C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309" name="Text Box 73">
          <a:extLst>
            <a:ext uri="{FF2B5EF4-FFF2-40B4-BE49-F238E27FC236}">
              <a16:creationId xmlns:a16="http://schemas.microsoft.com/office/drawing/2014/main" xmlns="" id="{00000000-0008-0000-0000-00005D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310" name="Text Box 74">
          <a:extLst>
            <a:ext uri="{FF2B5EF4-FFF2-40B4-BE49-F238E27FC236}">
              <a16:creationId xmlns:a16="http://schemas.microsoft.com/office/drawing/2014/main" xmlns="" id="{00000000-0008-0000-0000-00005E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311" name="Text Box 75">
          <a:extLst>
            <a:ext uri="{FF2B5EF4-FFF2-40B4-BE49-F238E27FC236}">
              <a16:creationId xmlns:a16="http://schemas.microsoft.com/office/drawing/2014/main" xmlns="" id="{00000000-0008-0000-0000-00005F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312" name="Text Box 76">
          <a:extLst>
            <a:ext uri="{FF2B5EF4-FFF2-40B4-BE49-F238E27FC236}">
              <a16:creationId xmlns:a16="http://schemas.microsoft.com/office/drawing/2014/main" xmlns="" id="{00000000-0008-0000-0000-000060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313" name="Text Box 77">
          <a:extLst>
            <a:ext uri="{FF2B5EF4-FFF2-40B4-BE49-F238E27FC236}">
              <a16:creationId xmlns:a16="http://schemas.microsoft.com/office/drawing/2014/main" xmlns="" id="{00000000-0008-0000-0000-000061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314" name="Text Box 78">
          <a:extLst>
            <a:ext uri="{FF2B5EF4-FFF2-40B4-BE49-F238E27FC236}">
              <a16:creationId xmlns:a16="http://schemas.microsoft.com/office/drawing/2014/main" xmlns="" id="{00000000-0008-0000-0000-000062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315" name="Text Box 79">
          <a:extLst>
            <a:ext uri="{FF2B5EF4-FFF2-40B4-BE49-F238E27FC236}">
              <a16:creationId xmlns:a16="http://schemas.microsoft.com/office/drawing/2014/main" xmlns="" id="{00000000-0008-0000-0000-000063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316" name="Text Box 80">
          <a:extLst>
            <a:ext uri="{FF2B5EF4-FFF2-40B4-BE49-F238E27FC236}">
              <a16:creationId xmlns:a16="http://schemas.microsoft.com/office/drawing/2014/main" xmlns="" id="{00000000-0008-0000-0000-000064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317" name="Text Box 81">
          <a:extLst>
            <a:ext uri="{FF2B5EF4-FFF2-40B4-BE49-F238E27FC236}">
              <a16:creationId xmlns:a16="http://schemas.microsoft.com/office/drawing/2014/main" xmlns="" id="{00000000-0008-0000-0000-000065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47625"/>
    <xdr:sp macro="" textlink="">
      <xdr:nvSpPr>
        <xdr:cNvPr id="9318" name="Text Box 82">
          <a:extLst>
            <a:ext uri="{FF2B5EF4-FFF2-40B4-BE49-F238E27FC236}">
              <a16:creationId xmlns:a16="http://schemas.microsoft.com/office/drawing/2014/main" xmlns="" id="{00000000-0008-0000-0000-000066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319" name="Text Box 3079">
          <a:extLst>
            <a:ext uri="{FF2B5EF4-FFF2-40B4-BE49-F238E27FC236}">
              <a16:creationId xmlns:a16="http://schemas.microsoft.com/office/drawing/2014/main" xmlns="" id="{00000000-0008-0000-0000-000067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320" name="Text Box 3080">
          <a:extLst>
            <a:ext uri="{FF2B5EF4-FFF2-40B4-BE49-F238E27FC236}">
              <a16:creationId xmlns:a16="http://schemas.microsoft.com/office/drawing/2014/main" xmlns="" id="{00000000-0008-0000-0000-000068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321" name="Text Box 3081">
          <a:extLst>
            <a:ext uri="{FF2B5EF4-FFF2-40B4-BE49-F238E27FC236}">
              <a16:creationId xmlns:a16="http://schemas.microsoft.com/office/drawing/2014/main" xmlns="" id="{00000000-0008-0000-0000-000069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322" name="Text Box 3082">
          <a:extLst>
            <a:ext uri="{FF2B5EF4-FFF2-40B4-BE49-F238E27FC236}">
              <a16:creationId xmlns:a16="http://schemas.microsoft.com/office/drawing/2014/main" xmlns="" id="{00000000-0008-0000-0000-00006A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323" name="Text Box 3083">
          <a:extLst>
            <a:ext uri="{FF2B5EF4-FFF2-40B4-BE49-F238E27FC236}">
              <a16:creationId xmlns:a16="http://schemas.microsoft.com/office/drawing/2014/main" xmlns="" id="{00000000-0008-0000-0000-00006B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324" name="Text Box 3084">
          <a:extLst>
            <a:ext uri="{FF2B5EF4-FFF2-40B4-BE49-F238E27FC236}">
              <a16:creationId xmlns:a16="http://schemas.microsoft.com/office/drawing/2014/main" xmlns="" id="{00000000-0008-0000-0000-00006C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325" name="Text Box 3085">
          <a:extLst>
            <a:ext uri="{FF2B5EF4-FFF2-40B4-BE49-F238E27FC236}">
              <a16:creationId xmlns:a16="http://schemas.microsoft.com/office/drawing/2014/main" xmlns="" id="{00000000-0008-0000-0000-00006D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326" name="Text Box 3086">
          <a:extLst>
            <a:ext uri="{FF2B5EF4-FFF2-40B4-BE49-F238E27FC236}">
              <a16:creationId xmlns:a16="http://schemas.microsoft.com/office/drawing/2014/main" xmlns="" id="{00000000-0008-0000-0000-00006E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327" name="Text Box 3087">
          <a:extLst>
            <a:ext uri="{FF2B5EF4-FFF2-40B4-BE49-F238E27FC236}">
              <a16:creationId xmlns:a16="http://schemas.microsoft.com/office/drawing/2014/main" xmlns="" id="{00000000-0008-0000-0000-00006F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328" name="Text Box 3088">
          <a:extLst>
            <a:ext uri="{FF2B5EF4-FFF2-40B4-BE49-F238E27FC236}">
              <a16:creationId xmlns:a16="http://schemas.microsoft.com/office/drawing/2014/main" xmlns="" id="{00000000-0008-0000-0000-000070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329" name="Text Box 3089">
          <a:extLst>
            <a:ext uri="{FF2B5EF4-FFF2-40B4-BE49-F238E27FC236}">
              <a16:creationId xmlns:a16="http://schemas.microsoft.com/office/drawing/2014/main" xmlns="" id="{00000000-0008-0000-0000-000071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330" name="Text Box 3090">
          <a:extLst>
            <a:ext uri="{FF2B5EF4-FFF2-40B4-BE49-F238E27FC236}">
              <a16:creationId xmlns:a16="http://schemas.microsoft.com/office/drawing/2014/main" xmlns="" id="{00000000-0008-0000-0000-000072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331" name="Text Box 3091">
          <a:extLst>
            <a:ext uri="{FF2B5EF4-FFF2-40B4-BE49-F238E27FC236}">
              <a16:creationId xmlns:a16="http://schemas.microsoft.com/office/drawing/2014/main" xmlns="" id="{00000000-0008-0000-0000-000073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332" name="Text Box 3092">
          <a:extLst>
            <a:ext uri="{FF2B5EF4-FFF2-40B4-BE49-F238E27FC236}">
              <a16:creationId xmlns:a16="http://schemas.microsoft.com/office/drawing/2014/main" xmlns="" id="{00000000-0008-0000-0000-000074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333" name="Text Box 3093">
          <a:extLst>
            <a:ext uri="{FF2B5EF4-FFF2-40B4-BE49-F238E27FC236}">
              <a16:creationId xmlns:a16="http://schemas.microsoft.com/office/drawing/2014/main" xmlns="" id="{00000000-0008-0000-0000-000075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334" name="Text Box 3094">
          <a:extLst>
            <a:ext uri="{FF2B5EF4-FFF2-40B4-BE49-F238E27FC236}">
              <a16:creationId xmlns:a16="http://schemas.microsoft.com/office/drawing/2014/main" xmlns="" id="{00000000-0008-0000-0000-000076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335" name="Text Box 3095">
          <a:extLst>
            <a:ext uri="{FF2B5EF4-FFF2-40B4-BE49-F238E27FC236}">
              <a16:creationId xmlns:a16="http://schemas.microsoft.com/office/drawing/2014/main" xmlns="" id="{00000000-0008-0000-0000-000077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336" name="Text Box 3096">
          <a:extLst>
            <a:ext uri="{FF2B5EF4-FFF2-40B4-BE49-F238E27FC236}">
              <a16:creationId xmlns:a16="http://schemas.microsoft.com/office/drawing/2014/main" xmlns="" id="{00000000-0008-0000-0000-000078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337" name="Text Box 3097">
          <a:extLst>
            <a:ext uri="{FF2B5EF4-FFF2-40B4-BE49-F238E27FC236}">
              <a16:creationId xmlns:a16="http://schemas.microsoft.com/office/drawing/2014/main" xmlns="" id="{00000000-0008-0000-0000-000079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338" name="Text Box 3098">
          <a:extLst>
            <a:ext uri="{FF2B5EF4-FFF2-40B4-BE49-F238E27FC236}">
              <a16:creationId xmlns:a16="http://schemas.microsoft.com/office/drawing/2014/main" xmlns="" id="{00000000-0008-0000-0000-00007A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339" name="Text Box 3099">
          <a:extLst>
            <a:ext uri="{FF2B5EF4-FFF2-40B4-BE49-F238E27FC236}">
              <a16:creationId xmlns:a16="http://schemas.microsoft.com/office/drawing/2014/main" xmlns="" id="{00000000-0008-0000-0000-00007B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340" name="Text Box 3100">
          <a:extLst>
            <a:ext uri="{FF2B5EF4-FFF2-40B4-BE49-F238E27FC236}">
              <a16:creationId xmlns:a16="http://schemas.microsoft.com/office/drawing/2014/main" xmlns="" id="{00000000-0008-0000-0000-00007C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341" name="Text Box 3101">
          <a:extLst>
            <a:ext uri="{FF2B5EF4-FFF2-40B4-BE49-F238E27FC236}">
              <a16:creationId xmlns:a16="http://schemas.microsoft.com/office/drawing/2014/main" xmlns="" id="{00000000-0008-0000-0000-00007D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9342" name="Text Box 3102">
          <a:extLst>
            <a:ext uri="{FF2B5EF4-FFF2-40B4-BE49-F238E27FC236}">
              <a16:creationId xmlns:a16="http://schemas.microsoft.com/office/drawing/2014/main" xmlns="" id="{00000000-0008-0000-0000-00007E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343" name="Text Box 59">
          <a:extLst>
            <a:ext uri="{FF2B5EF4-FFF2-40B4-BE49-F238E27FC236}">
              <a16:creationId xmlns:a16="http://schemas.microsoft.com/office/drawing/2014/main" xmlns="" id="{00000000-0008-0000-0000-00007F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344" name="Text Box 60">
          <a:extLst>
            <a:ext uri="{FF2B5EF4-FFF2-40B4-BE49-F238E27FC236}">
              <a16:creationId xmlns:a16="http://schemas.microsoft.com/office/drawing/2014/main" xmlns="" id="{00000000-0008-0000-0000-000080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345" name="Text Box 61">
          <a:extLst>
            <a:ext uri="{FF2B5EF4-FFF2-40B4-BE49-F238E27FC236}">
              <a16:creationId xmlns:a16="http://schemas.microsoft.com/office/drawing/2014/main" xmlns="" id="{00000000-0008-0000-0000-000081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346" name="Text Box 62">
          <a:extLst>
            <a:ext uri="{FF2B5EF4-FFF2-40B4-BE49-F238E27FC236}">
              <a16:creationId xmlns:a16="http://schemas.microsoft.com/office/drawing/2014/main" xmlns="" id="{00000000-0008-0000-0000-000082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347" name="Text Box 63">
          <a:extLst>
            <a:ext uri="{FF2B5EF4-FFF2-40B4-BE49-F238E27FC236}">
              <a16:creationId xmlns:a16="http://schemas.microsoft.com/office/drawing/2014/main" xmlns="" id="{00000000-0008-0000-0000-000083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348" name="Text Box 64">
          <a:extLst>
            <a:ext uri="{FF2B5EF4-FFF2-40B4-BE49-F238E27FC236}">
              <a16:creationId xmlns:a16="http://schemas.microsoft.com/office/drawing/2014/main" xmlns="" id="{00000000-0008-0000-0000-000084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349" name="Text Box 65">
          <a:extLst>
            <a:ext uri="{FF2B5EF4-FFF2-40B4-BE49-F238E27FC236}">
              <a16:creationId xmlns:a16="http://schemas.microsoft.com/office/drawing/2014/main" xmlns="" id="{00000000-0008-0000-0000-000085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350" name="Text Box 66">
          <a:extLst>
            <a:ext uri="{FF2B5EF4-FFF2-40B4-BE49-F238E27FC236}">
              <a16:creationId xmlns:a16="http://schemas.microsoft.com/office/drawing/2014/main" xmlns="" id="{00000000-0008-0000-0000-000086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351" name="Text Box 67">
          <a:extLst>
            <a:ext uri="{FF2B5EF4-FFF2-40B4-BE49-F238E27FC236}">
              <a16:creationId xmlns:a16="http://schemas.microsoft.com/office/drawing/2014/main" xmlns="" id="{00000000-0008-0000-0000-000087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352" name="Text Box 68">
          <a:extLst>
            <a:ext uri="{FF2B5EF4-FFF2-40B4-BE49-F238E27FC236}">
              <a16:creationId xmlns:a16="http://schemas.microsoft.com/office/drawing/2014/main" xmlns="" id="{00000000-0008-0000-0000-000088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353" name="Text Box 69">
          <a:extLst>
            <a:ext uri="{FF2B5EF4-FFF2-40B4-BE49-F238E27FC236}">
              <a16:creationId xmlns:a16="http://schemas.microsoft.com/office/drawing/2014/main" xmlns="" id="{00000000-0008-0000-0000-000089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354" name="Text Box 70">
          <a:extLst>
            <a:ext uri="{FF2B5EF4-FFF2-40B4-BE49-F238E27FC236}">
              <a16:creationId xmlns:a16="http://schemas.microsoft.com/office/drawing/2014/main" xmlns="" id="{00000000-0008-0000-0000-00008A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355" name="Text Box 71">
          <a:extLst>
            <a:ext uri="{FF2B5EF4-FFF2-40B4-BE49-F238E27FC236}">
              <a16:creationId xmlns:a16="http://schemas.microsoft.com/office/drawing/2014/main" xmlns="" id="{00000000-0008-0000-0000-00008B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356" name="Text Box 72">
          <a:extLst>
            <a:ext uri="{FF2B5EF4-FFF2-40B4-BE49-F238E27FC236}">
              <a16:creationId xmlns:a16="http://schemas.microsoft.com/office/drawing/2014/main" xmlns="" id="{00000000-0008-0000-0000-00008C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357" name="Text Box 73">
          <a:extLst>
            <a:ext uri="{FF2B5EF4-FFF2-40B4-BE49-F238E27FC236}">
              <a16:creationId xmlns:a16="http://schemas.microsoft.com/office/drawing/2014/main" xmlns="" id="{00000000-0008-0000-0000-00008D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358" name="Text Box 74">
          <a:extLst>
            <a:ext uri="{FF2B5EF4-FFF2-40B4-BE49-F238E27FC236}">
              <a16:creationId xmlns:a16="http://schemas.microsoft.com/office/drawing/2014/main" xmlns="" id="{00000000-0008-0000-0000-00008E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359" name="Text Box 75">
          <a:extLst>
            <a:ext uri="{FF2B5EF4-FFF2-40B4-BE49-F238E27FC236}">
              <a16:creationId xmlns:a16="http://schemas.microsoft.com/office/drawing/2014/main" xmlns="" id="{00000000-0008-0000-0000-00008F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360" name="Text Box 76">
          <a:extLst>
            <a:ext uri="{FF2B5EF4-FFF2-40B4-BE49-F238E27FC236}">
              <a16:creationId xmlns:a16="http://schemas.microsoft.com/office/drawing/2014/main" xmlns="" id="{00000000-0008-0000-0000-000090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361" name="Text Box 77">
          <a:extLst>
            <a:ext uri="{FF2B5EF4-FFF2-40B4-BE49-F238E27FC236}">
              <a16:creationId xmlns:a16="http://schemas.microsoft.com/office/drawing/2014/main" xmlns="" id="{00000000-0008-0000-0000-000091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362" name="Text Box 78">
          <a:extLst>
            <a:ext uri="{FF2B5EF4-FFF2-40B4-BE49-F238E27FC236}">
              <a16:creationId xmlns:a16="http://schemas.microsoft.com/office/drawing/2014/main" xmlns="" id="{00000000-0008-0000-0000-000092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363" name="Text Box 79">
          <a:extLst>
            <a:ext uri="{FF2B5EF4-FFF2-40B4-BE49-F238E27FC236}">
              <a16:creationId xmlns:a16="http://schemas.microsoft.com/office/drawing/2014/main" xmlns="" id="{00000000-0008-0000-0000-000093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364" name="Text Box 80">
          <a:extLst>
            <a:ext uri="{FF2B5EF4-FFF2-40B4-BE49-F238E27FC236}">
              <a16:creationId xmlns:a16="http://schemas.microsoft.com/office/drawing/2014/main" xmlns="" id="{00000000-0008-0000-0000-000094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365" name="Text Box 81">
          <a:extLst>
            <a:ext uri="{FF2B5EF4-FFF2-40B4-BE49-F238E27FC236}">
              <a16:creationId xmlns:a16="http://schemas.microsoft.com/office/drawing/2014/main" xmlns="" id="{00000000-0008-0000-0000-000095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366" name="Text Box 3079">
          <a:extLst>
            <a:ext uri="{FF2B5EF4-FFF2-40B4-BE49-F238E27FC236}">
              <a16:creationId xmlns:a16="http://schemas.microsoft.com/office/drawing/2014/main" xmlns="" id="{00000000-0008-0000-0000-000096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367" name="Text Box 3080">
          <a:extLst>
            <a:ext uri="{FF2B5EF4-FFF2-40B4-BE49-F238E27FC236}">
              <a16:creationId xmlns:a16="http://schemas.microsoft.com/office/drawing/2014/main" xmlns="" id="{00000000-0008-0000-0000-000097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368" name="Text Box 3081">
          <a:extLst>
            <a:ext uri="{FF2B5EF4-FFF2-40B4-BE49-F238E27FC236}">
              <a16:creationId xmlns:a16="http://schemas.microsoft.com/office/drawing/2014/main" xmlns="" id="{00000000-0008-0000-0000-000098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369" name="Text Box 3082">
          <a:extLst>
            <a:ext uri="{FF2B5EF4-FFF2-40B4-BE49-F238E27FC236}">
              <a16:creationId xmlns:a16="http://schemas.microsoft.com/office/drawing/2014/main" xmlns="" id="{00000000-0008-0000-0000-000099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370" name="Text Box 3083">
          <a:extLst>
            <a:ext uri="{FF2B5EF4-FFF2-40B4-BE49-F238E27FC236}">
              <a16:creationId xmlns:a16="http://schemas.microsoft.com/office/drawing/2014/main" xmlns="" id="{00000000-0008-0000-0000-00009A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371" name="Text Box 3084">
          <a:extLst>
            <a:ext uri="{FF2B5EF4-FFF2-40B4-BE49-F238E27FC236}">
              <a16:creationId xmlns:a16="http://schemas.microsoft.com/office/drawing/2014/main" xmlns="" id="{00000000-0008-0000-0000-00009B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372" name="Text Box 3085">
          <a:extLst>
            <a:ext uri="{FF2B5EF4-FFF2-40B4-BE49-F238E27FC236}">
              <a16:creationId xmlns:a16="http://schemas.microsoft.com/office/drawing/2014/main" xmlns="" id="{00000000-0008-0000-0000-00009C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373" name="Text Box 3086">
          <a:extLst>
            <a:ext uri="{FF2B5EF4-FFF2-40B4-BE49-F238E27FC236}">
              <a16:creationId xmlns:a16="http://schemas.microsoft.com/office/drawing/2014/main" xmlns="" id="{00000000-0008-0000-0000-00009D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374" name="Text Box 3087">
          <a:extLst>
            <a:ext uri="{FF2B5EF4-FFF2-40B4-BE49-F238E27FC236}">
              <a16:creationId xmlns:a16="http://schemas.microsoft.com/office/drawing/2014/main" xmlns="" id="{00000000-0008-0000-0000-00009E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375" name="Text Box 3088">
          <a:extLst>
            <a:ext uri="{FF2B5EF4-FFF2-40B4-BE49-F238E27FC236}">
              <a16:creationId xmlns:a16="http://schemas.microsoft.com/office/drawing/2014/main" xmlns="" id="{00000000-0008-0000-0000-00009F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376" name="Text Box 3089">
          <a:extLst>
            <a:ext uri="{FF2B5EF4-FFF2-40B4-BE49-F238E27FC236}">
              <a16:creationId xmlns:a16="http://schemas.microsoft.com/office/drawing/2014/main" xmlns="" id="{00000000-0008-0000-0000-0000A0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377" name="Text Box 3090">
          <a:extLst>
            <a:ext uri="{FF2B5EF4-FFF2-40B4-BE49-F238E27FC236}">
              <a16:creationId xmlns:a16="http://schemas.microsoft.com/office/drawing/2014/main" xmlns="" id="{00000000-0008-0000-0000-0000A1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378" name="Text Box 3091">
          <a:extLst>
            <a:ext uri="{FF2B5EF4-FFF2-40B4-BE49-F238E27FC236}">
              <a16:creationId xmlns:a16="http://schemas.microsoft.com/office/drawing/2014/main" xmlns="" id="{00000000-0008-0000-0000-0000A2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379" name="Text Box 3092">
          <a:extLst>
            <a:ext uri="{FF2B5EF4-FFF2-40B4-BE49-F238E27FC236}">
              <a16:creationId xmlns:a16="http://schemas.microsoft.com/office/drawing/2014/main" xmlns="" id="{00000000-0008-0000-0000-0000A3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380" name="Text Box 3093">
          <a:extLst>
            <a:ext uri="{FF2B5EF4-FFF2-40B4-BE49-F238E27FC236}">
              <a16:creationId xmlns:a16="http://schemas.microsoft.com/office/drawing/2014/main" xmlns="" id="{00000000-0008-0000-0000-0000A4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381" name="Text Box 3094">
          <a:extLst>
            <a:ext uri="{FF2B5EF4-FFF2-40B4-BE49-F238E27FC236}">
              <a16:creationId xmlns:a16="http://schemas.microsoft.com/office/drawing/2014/main" xmlns="" id="{00000000-0008-0000-0000-0000A5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382" name="Text Box 3095">
          <a:extLst>
            <a:ext uri="{FF2B5EF4-FFF2-40B4-BE49-F238E27FC236}">
              <a16:creationId xmlns:a16="http://schemas.microsoft.com/office/drawing/2014/main" xmlns="" id="{00000000-0008-0000-0000-0000A6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383" name="Text Box 3096">
          <a:extLst>
            <a:ext uri="{FF2B5EF4-FFF2-40B4-BE49-F238E27FC236}">
              <a16:creationId xmlns:a16="http://schemas.microsoft.com/office/drawing/2014/main" xmlns="" id="{00000000-0008-0000-0000-0000A7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384" name="Text Box 3097">
          <a:extLst>
            <a:ext uri="{FF2B5EF4-FFF2-40B4-BE49-F238E27FC236}">
              <a16:creationId xmlns:a16="http://schemas.microsoft.com/office/drawing/2014/main" xmlns="" id="{00000000-0008-0000-0000-0000A8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385" name="Text Box 3098">
          <a:extLst>
            <a:ext uri="{FF2B5EF4-FFF2-40B4-BE49-F238E27FC236}">
              <a16:creationId xmlns:a16="http://schemas.microsoft.com/office/drawing/2014/main" xmlns="" id="{00000000-0008-0000-0000-0000A9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386" name="Text Box 3099">
          <a:extLst>
            <a:ext uri="{FF2B5EF4-FFF2-40B4-BE49-F238E27FC236}">
              <a16:creationId xmlns:a16="http://schemas.microsoft.com/office/drawing/2014/main" xmlns="" id="{00000000-0008-0000-0000-0000AA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387" name="Text Box 3100">
          <a:extLst>
            <a:ext uri="{FF2B5EF4-FFF2-40B4-BE49-F238E27FC236}">
              <a16:creationId xmlns:a16="http://schemas.microsoft.com/office/drawing/2014/main" xmlns="" id="{00000000-0008-0000-0000-0000AB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388" name="Text Box 3101">
          <a:extLst>
            <a:ext uri="{FF2B5EF4-FFF2-40B4-BE49-F238E27FC236}">
              <a16:creationId xmlns:a16="http://schemas.microsoft.com/office/drawing/2014/main" xmlns="" id="{00000000-0008-0000-0000-0000AC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9389" name="Text Box 3102">
          <a:extLst>
            <a:ext uri="{FF2B5EF4-FFF2-40B4-BE49-F238E27FC236}">
              <a16:creationId xmlns:a16="http://schemas.microsoft.com/office/drawing/2014/main" xmlns="" id="{00000000-0008-0000-0000-0000AD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390" name="Text Box 59">
          <a:extLst>
            <a:ext uri="{FF2B5EF4-FFF2-40B4-BE49-F238E27FC236}">
              <a16:creationId xmlns:a16="http://schemas.microsoft.com/office/drawing/2014/main" xmlns="" id="{00000000-0008-0000-0000-0000AE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391" name="Text Box 60">
          <a:extLst>
            <a:ext uri="{FF2B5EF4-FFF2-40B4-BE49-F238E27FC236}">
              <a16:creationId xmlns:a16="http://schemas.microsoft.com/office/drawing/2014/main" xmlns="" id="{00000000-0008-0000-0000-0000AF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392" name="Text Box 61">
          <a:extLst>
            <a:ext uri="{FF2B5EF4-FFF2-40B4-BE49-F238E27FC236}">
              <a16:creationId xmlns:a16="http://schemas.microsoft.com/office/drawing/2014/main" xmlns="" id="{00000000-0008-0000-0000-0000B0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393" name="Text Box 62">
          <a:extLst>
            <a:ext uri="{FF2B5EF4-FFF2-40B4-BE49-F238E27FC236}">
              <a16:creationId xmlns:a16="http://schemas.microsoft.com/office/drawing/2014/main" xmlns="" id="{00000000-0008-0000-0000-0000B1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394" name="Text Box 63">
          <a:extLst>
            <a:ext uri="{FF2B5EF4-FFF2-40B4-BE49-F238E27FC236}">
              <a16:creationId xmlns:a16="http://schemas.microsoft.com/office/drawing/2014/main" xmlns="" id="{00000000-0008-0000-0000-0000B2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395" name="Text Box 64">
          <a:extLst>
            <a:ext uri="{FF2B5EF4-FFF2-40B4-BE49-F238E27FC236}">
              <a16:creationId xmlns:a16="http://schemas.microsoft.com/office/drawing/2014/main" xmlns="" id="{00000000-0008-0000-0000-0000B3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396" name="Text Box 65">
          <a:extLst>
            <a:ext uri="{FF2B5EF4-FFF2-40B4-BE49-F238E27FC236}">
              <a16:creationId xmlns:a16="http://schemas.microsoft.com/office/drawing/2014/main" xmlns="" id="{00000000-0008-0000-0000-0000B4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397" name="Text Box 66">
          <a:extLst>
            <a:ext uri="{FF2B5EF4-FFF2-40B4-BE49-F238E27FC236}">
              <a16:creationId xmlns:a16="http://schemas.microsoft.com/office/drawing/2014/main" xmlns="" id="{00000000-0008-0000-0000-0000B5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398" name="Text Box 67">
          <a:extLst>
            <a:ext uri="{FF2B5EF4-FFF2-40B4-BE49-F238E27FC236}">
              <a16:creationId xmlns:a16="http://schemas.microsoft.com/office/drawing/2014/main" xmlns="" id="{00000000-0008-0000-0000-0000B6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399" name="Text Box 68">
          <a:extLst>
            <a:ext uri="{FF2B5EF4-FFF2-40B4-BE49-F238E27FC236}">
              <a16:creationId xmlns:a16="http://schemas.microsoft.com/office/drawing/2014/main" xmlns="" id="{00000000-0008-0000-0000-0000B7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400" name="Text Box 69">
          <a:extLst>
            <a:ext uri="{FF2B5EF4-FFF2-40B4-BE49-F238E27FC236}">
              <a16:creationId xmlns:a16="http://schemas.microsoft.com/office/drawing/2014/main" xmlns="" id="{00000000-0008-0000-0000-0000B8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401" name="Text Box 70">
          <a:extLst>
            <a:ext uri="{FF2B5EF4-FFF2-40B4-BE49-F238E27FC236}">
              <a16:creationId xmlns:a16="http://schemas.microsoft.com/office/drawing/2014/main" xmlns="" id="{00000000-0008-0000-0000-0000B9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402" name="Text Box 71">
          <a:extLst>
            <a:ext uri="{FF2B5EF4-FFF2-40B4-BE49-F238E27FC236}">
              <a16:creationId xmlns:a16="http://schemas.microsoft.com/office/drawing/2014/main" xmlns="" id="{00000000-0008-0000-0000-0000BA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403" name="Text Box 72">
          <a:extLst>
            <a:ext uri="{FF2B5EF4-FFF2-40B4-BE49-F238E27FC236}">
              <a16:creationId xmlns:a16="http://schemas.microsoft.com/office/drawing/2014/main" xmlns="" id="{00000000-0008-0000-0000-0000BB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404" name="Text Box 73">
          <a:extLst>
            <a:ext uri="{FF2B5EF4-FFF2-40B4-BE49-F238E27FC236}">
              <a16:creationId xmlns:a16="http://schemas.microsoft.com/office/drawing/2014/main" xmlns="" id="{00000000-0008-0000-0000-0000BC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405" name="Text Box 74">
          <a:extLst>
            <a:ext uri="{FF2B5EF4-FFF2-40B4-BE49-F238E27FC236}">
              <a16:creationId xmlns:a16="http://schemas.microsoft.com/office/drawing/2014/main" xmlns="" id="{00000000-0008-0000-0000-0000BD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406" name="Text Box 75">
          <a:extLst>
            <a:ext uri="{FF2B5EF4-FFF2-40B4-BE49-F238E27FC236}">
              <a16:creationId xmlns:a16="http://schemas.microsoft.com/office/drawing/2014/main" xmlns="" id="{00000000-0008-0000-0000-0000BE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407" name="Text Box 76">
          <a:extLst>
            <a:ext uri="{FF2B5EF4-FFF2-40B4-BE49-F238E27FC236}">
              <a16:creationId xmlns:a16="http://schemas.microsoft.com/office/drawing/2014/main" xmlns="" id="{00000000-0008-0000-0000-0000BF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408" name="Text Box 77">
          <a:extLst>
            <a:ext uri="{FF2B5EF4-FFF2-40B4-BE49-F238E27FC236}">
              <a16:creationId xmlns:a16="http://schemas.microsoft.com/office/drawing/2014/main" xmlns="" id="{00000000-0008-0000-0000-0000C0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409" name="Text Box 78">
          <a:extLst>
            <a:ext uri="{FF2B5EF4-FFF2-40B4-BE49-F238E27FC236}">
              <a16:creationId xmlns:a16="http://schemas.microsoft.com/office/drawing/2014/main" xmlns="" id="{00000000-0008-0000-0000-0000C1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410" name="Text Box 79">
          <a:extLst>
            <a:ext uri="{FF2B5EF4-FFF2-40B4-BE49-F238E27FC236}">
              <a16:creationId xmlns:a16="http://schemas.microsoft.com/office/drawing/2014/main" xmlns="" id="{00000000-0008-0000-0000-0000C2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411" name="Text Box 80">
          <a:extLst>
            <a:ext uri="{FF2B5EF4-FFF2-40B4-BE49-F238E27FC236}">
              <a16:creationId xmlns:a16="http://schemas.microsoft.com/office/drawing/2014/main" xmlns="" id="{00000000-0008-0000-0000-0000C3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412" name="Text Box 81">
          <a:extLst>
            <a:ext uri="{FF2B5EF4-FFF2-40B4-BE49-F238E27FC236}">
              <a16:creationId xmlns:a16="http://schemas.microsoft.com/office/drawing/2014/main" xmlns="" id="{00000000-0008-0000-0000-0000C4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47625"/>
    <xdr:sp macro="" textlink="">
      <xdr:nvSpPr>
        <xdr:cNvPr id="9413" name="Text Box 82">
          <a:extLst>
            <a:ext uri="{FF2B5EF4-FFF2-40B4-BE49-F238E27FC236}">
              <a16:creationId xmlns:a16="http://schemas.microsoft.com/office/drawing/2014/main" xmlns="" id="{00000000-0008-0000-0000-0000C5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414" name="Text Box 3079">
          <a:extLst>
            <a:ext uri="{FF2B5EF4-FFF2-40B4-BE49-F238E27FC236}">
              <a16:creationId xmlns:a16="http://schemas.microsoft.com/office/drawing/2014/main" xmlns="" id="{00000000-0008-0000-0000-0000C6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415" name="Text Box 3080">
          <a:extLst>
            <a:ext uri="{FF2B5EF4-FFF2-40B4-BE49-F238E27FC236}">
              <a16:creationId xmlns:a16="http://schemas.microsoft.com/office/drawing/2014/main" xmlns="" id="{00000000-0008-0000-0000-0000C7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416" name="Text Box 3081">
          <a:extLst>
            <a:ext uri="{FF2B5EF4-FFF2-40B4-BE49-F238E27FC236}">
              <a16:creationId xmlns:a16="http://schemas.microsoft.com/office/drawing/2014/main" xmlns="" id="{00000000-0008-0000-0000-0000C8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417" name="Text Box 3082">
          <a:extLst>
            <a:ext uri="{FF2B5EF4-FFF2-40B4-BE49-F238E27FC236}">
              <a16:creationId xmlns:a16="http://schemas.microsoft.com/office/drawing/2014/main" xmlns="" id="{00000000-0008-0000-0000-0000C9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418" name="Text Box 3083">
          <a:extLst>
            <a:ext uri="{FF2B5EF4-FFF2-40B4-BE49-F238E27FC236}">
              <a16:creationId xmlns:a16="http://schemas.microsoft.com/office/drawing/2014/main" xmlns="" id="{00000000-0008-0000-0000-0000CA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419" name="Text Box 3084">
          <a:extLst>
            <a:ext uri="{FF2B5EF4-FFF2-40B4-BE49-F238E27FC236}">
              <a16:creationId xmlns:a16="http://schemas.microsoft.com/office/drawing/2014/main" xmlns="" id="{00000000-0008-0000-0000-0000CB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420" name="Text Box 3085">
          <a:extLst>
            <a:ext uri="{FF2B5EF4-FFF2-40B4-BE49-F238E27FC236}">
              <a16:creationId xmlns:a16="http://schemas.microsoft.com/office/drawing/2014/main" xmlns="" id="{00000000-0008-0000-0000-0000CC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421" name="Text Box 3086">
          <a:extLst>
            <a:ext uri="{FF2B5EF4-FFF2-40B4-BE49-F238E27FC236}">
              <a16:creationId xmlns:a16="http://schemas.microsoft.com/office/drawing/2014/main" xmlns="" id="{00000000-0008-0000-0000-0000CD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422" name="Text Box 3087">
          <a:extLst>
            <a:ext uri="{FF2B5EF4-FFF2-40B4-BE49-F238E27FC236}">
              <a16:creationId xmlns:a16="http://schemas.microsoft.com/office/drawing/2014/main" xmlns="" id="{00000000-0008-0000-0000-0000CE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423" name="Text Box 3088">
          <a:extLst>
            <a:ext uri="{FF2B5EF4-FFF2-40B4-BE49-F238E27FC236}">
              <a16:creationId xmlns:a16="http://schemas.microsoft.com/office/drawing/2014/main" xmlns="" id="{00000000-0008-0000-0000-0000CF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424" name="Text Box 3089">
          <a:extLst>
            <a:ext uri="{FF2B5EF4-FFF2-40B4-BE49-F238E27FC236}">
              <a16:creationId xmlns:a16="http://schemas.microsoft.com/office/drawing/2014/main" xmlns="" id="{00000000-0008-0000-0000-0000D0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425" name="Text Box 3090">
          <a:extLst>
            <a:ext uri="{FF2B5EF4-FFF2-40B4-BE49-F238E27FC236}">
              <a16:creationId xmlns:a16="http://schemas.microsoft.com/office/drawing/2014/main" xmlns="" id="{00000000-0008-0000-0000-0000D1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426" name="Text Box 3091">
          <a:extLst>
            <a:ext uri="{FF2B5EF4-FFF2-40B4-BE49-F238E27FC236}">
              <a16:creationId xmlns:a16="http://schemas.microsoft.com/office/drawing/2014/main" xmlns="" id="{00000000-0008-0000-0000-0000D2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427" name="Text Box 3092">
          <a:extLst>
            <a:ext uri="{FF2B5EF4-FFF2-40B4-BE49-F238E27FC236}">
              <a16:creationId xmlns:a16="http://schemas.microsoft.com/office/drawing/2014/main" xmlns="" id="{00000000-0008-0000-0000-0000D3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428" name="Text Box 3093">
          <a:extLst>
            <a:ext uri="{FF2B5EF4-FFF2-40B4-BE49-F238E27FC236}">
              <a16:creationId xmlns:a16="http://schemas.microsoft.com/office/drawing/2014/main" xmlns="" id="{00000000-0008-0000-0000-0000D4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429" name="Text Box 3094">
          <a:extLst>
            <a:ext uri="{FF2B5EF4-FFF2-40B4-BE49-F238E27FC236}">
              <a16:creationId xmlns:a16="http://schemas.microsoft.com/office/drawing/2014/main" xmlns="" id="{00000000-0008-0000-0000-0000D5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430" name="Text Box 3095">
          <a:extLst>
            <a:ext uri="{FF2B5EF4-FFF2-40B4-BE49-F238E27FC236}">
              <a16:creationId xmlns:a16="http://schemas.microsoft.com/office/drawing/2014/main" xmlns="" id="{00000000-0008-0000-0000-0000D6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431" name="Text Box 3096">
          <a:extLst>
            <a:ext uri="{FF2B5EF4-FFF2-40B4-BE49-F238E27FC236}">
              <a16:creationId xmlns:a16="http://schemas.microsoft.com/office/drawing/2014/main" xmlns="" id="{00000000-0008-0000-0000-0000D7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432" name="Text Box 3097">
          <a:extLst>
            <a:ext uri="{FF2B5EF4-FFF2-40B4-BE49-F238E27FC236}">
              <a16:creationId xmlns:a16="http://schemas.microsoft.com/office/drawing/2014/main" xmlns="" id="{00000000-0008-0000-0000-0000D8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433" name="Text Box 3098">
          <a:extLst>
            <a:ext uri="{FF2B5EF4-FFF2-40B4-BE49-F238E27FC236}">
              <a16:creationId xmlns:a16="http://schemas.microsoft.com/office/drawing/2014/main" xmlns="" id="{00000000-0008-0000-0000-0000D9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434" name="Text Box 3099">
          <a:extLst>
            <a:ext uri="{FF2B5EF4-FFF2-40B4-BE49-F238E27FC236}">
              <a16:creationId xmlns:a16="http://schemas.microsoft.com/office/drawing/2014/main" xmlns="" id="{00000000-0008-0000-0000-0000DA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435" name="Text Box 3100">
          <a:extLst>
            <a:ext uri="{FF2B5EF4-FFF2-40B4-BE49-F238E27FC236}">
              <a16:creationId xmlns:a16="http://schemas.microsoft.com/office/drawing/2014/main" xmlns="" id="{00000000-0008-0000-0000-0000DB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436" name="Text Box 3101">
          <a:extLst>
            <a:ext uri="{FF2B5EF4-FFF2-40B4-BE49-F238E27FC236}">
              <a16:creationId xmlns:a16="http://schemas.microsoft.com/office/drawing/2014/main" xmlns="" id="{00000000-0008-0000-0000-0000DC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9437" name="Text Box 3102">
          <a:extLst>
            <a:ext uri="{FF2B5EF4-FFF2-40B4-BE49-F238E27FC236}">
              <a16:creationId xmlns:a16="http://schemas.microsoft.com/office/drawing/2014/main" xmlns="" id="{00000000-0008-0000-0000-0000DD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438" name="Text Box 59">
          <a:extLst>
            <a:ext uri="{FF2B5EF4-FFF2-40B4-BE49-F238E27FC236}">
              <a16:creationId xmlns:a16="http://schemas.microsoft.com/office/drawing/2014/main" xmlns="" id="{00000000-0008-0000-0000-0000DE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439" name="Text Box 60">
          <a:extLst>
            <a:ext uri="{FF2B5EF4-FFF2-40B4-BE49-F238E27FC236}">
              <a16:creationId xmlns:a16="http://schemas.microsoft.com/office/drawing/2014/main" xmlns="" id="{00000000-0008-0000-0000-0000DF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440" name="Text Box 61">
          <a:extLst>
            <a:ext uri="{FF2B5EF4-FFF2-40B4-BE49-F238E27FC236}">
              <a16:creationId xmlns:a16="http://schemas.microsoft.com/office/drawing/2014/main" xmlns="" id="{00000000-0008-0000-0000-0000E0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441" name="Text Box 62">
          <a:extLst>
            <a:ext uri="{FF2B5EF4-FFF2-40B4-BE49-F238E27FC236}">
              <a16:creationId xmlns:a16="http://schemas.microsoft.com/office/drawing/2014/main" xmlns="" id="{00000000-0008-0000-0000-0000E1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442" name="Text Box 63">
          <a:extLst>
            <a:ext uri="{FF2B5EF4-FFF2-40B4-BE49-F238E27FC236}">
              <a16:creationId xmlns:a16="http://schemas.microsoft.com/office/drawing/2014/main" xmlns="" id="{00000000-0008-0000-0000-0000E2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443" name="Text Box 64">
          <a:extLst>
            <a:ext uri="{FF2B5EF4-FFF2-40B4-BE49-F238E27FC236}">
              <a16:creationId xmlns:a16="http://schemas.microsoft.com/office/drawing/2014/main" xmlns="" id="{00000000-0008-0000-0000-0000E3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444" name="Text Box 65">
          <a:extLst>
            <a:ext uri="{FF2B5EF4-FFF2-40B4-BE49-F238E27FC236}">
              <a16:creationId xmlns:a16="http://schemas.microsoft.com/office/drawing/2014/main" xmlns="" id="{00000000-0008-0000-0000-0000E4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445" name="Text Box 66">
          <a:extLst>
            <a:ext uri="{FF2B5EF4-FFF2-40B4-BE49-F238E27FC236}">
              <a16:creationId xmlns:a16="http://schemas.microsoft.com/office/drawing/2014/main" xmlns="" id="{00000000-0008-0000-0000-0000E5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446" name="Text Box 67">
          <a:extLst>
            <a:ext uri="{FF2B5EF4-FFF2-40B4-BE49-F238E27FC236}">
              <a16:creationId xmlns:a16="http://schemas.microsoft.com/office/drawing/2014/main" xmlns="" id="{00000000-0008-0000-0000-0000E6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447" name="Text Box 68">
          <a:extLst>
            <a:ext uri="{FF2B5EF4-FFF2-40B4-BE49-F238E27FC236}">
              <a16:creationId xmlns:a16="http://schemas.microsoft.com/office/drawing/2014/main" xmlns="" id="{00000000-0008-0000-0000-0000E7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448" name="Text Box 69">
          <a:extLst>
            <a:ext uri="{FF2B5EF4-FFF2-40B4-BE49-F238E27FC236}">
              <a16:creationId xmlns:a16="http://schemas.microsoft.com/office/drawing/2014/main" xmlns="" id="{00000000-0008-0000-0000-0000E8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449" name="Text Box 70">
          <a:extLst>
            <a:ext uri="{FF2B5EF4-FFF2-40B4-BE49-F238E27FC236}">
              <a16:creationId xmlns:a16="http://schemas.microsoft.com/office/drawing/2014/main" xmlns="" id="{00000000-0008-0000-0000-0000E9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450" name="Text Box 71">
          <a:extLst>
            <a:ext uri="{FF2B5EF4-FFF2-40B4-BE49-F238E27FC236}">
              <a16:creationId xmlns:a16="http://schemas.microsoft.com/office/drawing/2014/main" xmlns="" id="{00000000-0008-0000-0000-0000EA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451" name="Text Box 72">
          <a:extLst>
            <a:ext uri="{FF2B5EF4-FFF2-40B4-BE49-F238E27FC236}">
              <a16:creationId xmlns:a16="http://schemas.microsoft.com/office/drawing/2014/main" xmlns="" id="{00000000-0008-0000-0000-0000EB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452" name="Text Box 73">
          <a:extLst>
            <a:ext uri="{FF2B5EF4-FFF2-40B4-BE49-F238E27FC236}">
              <a16:creationId xmlns:a16="http://schemas.microsoft.com/office/drawing/2014/main" xmlns="" id="{00000000-0008-0000-0000-0000EC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453" name="Text Box 74">
          <a:extLst>
            <a:ext uri="{FF2B5EF4-FFF2-40B4-BE49-F238E27FC236}">
              <a16:creationId xmlns:a16="http://schemas.microsoft.com/office/drawing/2014/main" xmlns="" id="{00000000-0008-0000-0000-0000ED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454" name="Text Box 75">
          <a:extLst>
            <a:ext uri="{FF2B5EF4-FFF2-40B4-BE49-F238E27FC236}">
              <a16:creationId xmlns:a16="http://schemas.microsoft.com/office/drawing/2014/main" xmlns="" id="{00000000-0008-0000-0000-0000EE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455" name="Text Box 76">
          <a:extLst>
            <a:ext uri="{FF2B5EF4-FFF2-40B4-BE49-F238E27FC236}">
              <a16:creationId xmlns:a16="http://schemas.microsoft.com/office/drawing/2014/main" xmlns="" id="{00000000-0008-0000-0000-0000EF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456" name="Text Box 77">
          <a:extLst>
            <a:ext uri="{FF2B5EF4-FFF2-40B4-BE49-F238E27FC236}">
              <a16:creationId xmlns:a16="http://schemas.microsoft.com/office/drawing/2014/main" xmlns="" id="{00000000-0008-0000-0000-0000F0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457" name="Text Box 78">
          <a:extLst>
            <a:ext uri="{FF2B5EF4-FFF2-40B4-BE49-F238E27FC236}">
              <a16:creationId xmlns:a16="http://schemas.microsoft.com/office/drawing/2014/main" xmlns="" id="{00000000-0008-0000-0000-0000F1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458" name="Text Box 79">
          <a:extLst>
            <a:ext uri="{FF2B5EF4-FFF2-40B4-BE49-F238E27FC236}">
              <a16:creationId xmlns:a16="http://schemas.microsoft.com/office/drawing/2014/main" xmlns="" id="{00000000-0008-0000-0000-0000F2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459" name="Text Box 80">
          <a:extLst>
            <a:ext uri="{FF2B5EF4-FFF2-40B4-BE49-F238E27FC236}">
              <a16:creationId xmlns:a16="http://schemas.microsoft.com/office/drawing/2014/main" xmlns="" id="{00000000-0008-0000-0000-0000F3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460" name="Text Box 81">
          <a:extLst>
            <a:ext uri="{FF2B5EF4-FFF2-40B4-BE49-F238E27FC236}">
              <a16:creationId xmlns:a16="http://schemas.microsoft.com/office/drawing/2014/main" xmlns="" id="{00000000-0008-0000-0000-0000F4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461" name="Text Box 3079">
          <a:extLst>
            <a:ext uri="{FF2B5EF4-FFF2-40B4-BE49-F238E27FC236}">
              <a16:creationId xmlns:a16="http://schemas.microsoft.com/office/drawing/2014/main" xmlns="" id="{00000000-0008-0000-0000-0000F5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462" name="Text Box 3080">
          <a:extLst>
            <a:ext uri="{FF2B5EF4-FFF2-40B4-BE49-F238E27FC236}">
              <a16:creationId xmlns:a16="http://schemas.microsoft.com/office/drawing/2014/main" xmlns="" id="{00000000-0008-0000-0000-0000F6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463" name="Text Box 3081">
          <a:extLst>
            <a:ext uri="{FF2B5EF4-FFF2-40B4-BE49-F238E27FC236}">
              <a16:creationId xmlns:a16="http://schemas.microsoft.com/office/drawing/2014/main" xmlns="" id="{00000000-0008-0000-0000-0000F7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464" name="Text Box 3082">
          <a:extLst>
            <a:ext uri="{FF2B5EF4-FFF2-40B4-BE49-F238E27FC236}">
              <a16:creationId xmlns:a16="http://schemas.microsoft.com/office/drawing/2014/main" xmlns="" id="{00000000-0008-0000-0000-0000F8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465" name="Text Box 3083">
          <a:extLst>
            <a:ext uri="{FF2B5EF4-FFF2-40B4-BE49-F238E27FC236}">
              <a16:creationId xmlns:a16="http://schemas.microsoft.com/office/drawing/2014/main" xmlns="" id="{00000000-0008-0000-0000-0000F9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466" name="Text Box 3084">
          <a:extLst>
            <a:ext uri="{FF2B5EF4-FFF2-40B4-BE49-F238E27FC236}">
              <a16:creationId xmlns:a16="http://schemas.microsoft.com/office/drawing/2014/main" xmlns="" id="{00000000-0008-0000-0000-0000FA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467" name="Text Box 3085">
          <a:extLst>
            <a:ext uri="{FF2B5EF4-FFF2-40B4-BE49-F238E27FC236}">
              <a16:creationId xmlns:a16="http://schemas.microsoft.com/office/drawing/2014/main" xmlns="" id="{00000000-0008-0000-0000-0000FB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468" name="Text Box 3086">
          <a:extLst>
            <a:ext uri="{FF2B5EF4-FFF2-40B4-BE49-F238E27FC236}">
              <a16:creationId xmlns:a16="http://schemas.microsoft.com/office/drawing/2014/main" xmlns="" id="{00000000-0008-0000-0000-0000FC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469" name="Text Box 3087">
          <a:extLst>
            <a:ext uri="{FF2B5EF4-FFF2-40B4-BE49-F238E27FC236}">
              <a16:creationId xmlns:a16="http://schemas.microsoft.com/office/drawing/2014/main" xmlns="" id="{00000000-0008-0000-0000-0000FD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470" name="Text Box 3088">
          <a:extLst>
            <a:ext uri="{FF2B5EF4-FFF2-40B4-BE49-F238E27FC236}">
              <a16:creationId xmlns:a16="http://schemas.microsoft.com/office/drawing/2014/main" xmlns="" id="{00000000-0008-0000-0000-0000FE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471" name="Text Box 3089">
          <a:extLst>
            <a:ext uri="{FF2B5EF4-FFF2-40B4-BE49-F238E27FC236}">
              <a16:creationId xmlns:a16="http://schemas.microsoft.com/office/drawing/2014/main" xmlns="" id="{00000000-0008-0000-0000-0000FF24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472" name="Text Box 3090">
          <a:extLst>
            <a:ext uri="{FF2B5EF4-FFF2-40B4-BE49-F238E27FC236}">
              <a16:creationId xmlns:a16="http://schemas.microsoft.com/office/drawing/2014/main" xmlns="" id="{00000000-0008-0000-0000-000000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473" name="Text Box 3091">
          <a:extLst>
            <a:ext uri="{FF2B5EF4-FFF2-40B4-BE49-F238E27FC236}">
              <a16:creationId xmlns:a16="http://schemas.microsoft.com/office/drawing/2014/main" xmlns="" id="{00000000-0008-0000-0000-000001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474" name="Text Box 3092">
          <a:extLst>
            <a:ext uri="{FF2B5EF4-FFF2-40B4-BE49-F238E27FC236}">
              <a16:creationId xmlns:a16="http://schemas.microsoft.com/office/drawing/2014/main" xmlns="" id="{00000000-0008-0000-0000-000002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475" name="Text Box 3093">
          <a:extLst>
            <a:ext uri="{FF2B5EF4-FFF2-40B4-BE49-F238E27FC236}">
              <a16:creationId xmlns:a16="http://schemas.microsoft.com/office/drawing/2014/main" xmlns="" id="{00000000-0008-0000-0000-000003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476" name="Text Box 3094">
          <a:extLst>
            <a:ext uri="{FF2B5EF4-FFF2-40B4-BE49-F238E27FC236}">
              <a16:creationId xmlns:a16="http://schemas.microsoft.com/office/drawing/2014/main" xmlns="" id="{00000000-0008-0000-0000-000004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477" name="Text Box 3095">
          <a:extLst>
            <a:ext uri="{FF2B5EF4-FFF2-40B4-BE49-F238E27FC236}">
              <a16:creationId xmlns:a16="http://schemas.microsoft.com/office/drawing/2014/main" xmlns="" id="{00000000-0008-0000-0000-000005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478" name="Text Box 3096">
          <a:extLst>
            <a:ext uri="{FF2B5EF4-FFF2-40B4-BE49-F238E27FC236}">
              <a16:creationId xmlns:a16="http://schemas.microsoft.com/office/drawing/2014/main" xmlns="" id="{00000000-0008-0000-0000-000006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479" name="Text Box 3097">
          <a:extLst>
            <a:ext uri="{FF2B5EF4-FFF2-40B4-BE49-F238E27FC236}">
              <a16:creationId xmlns:a16="http://schemas.microsoft.com/office/drawing/2014/main" xmlns="" id="{00000000-0008-0000-0000-000007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480" name="Text Box 3098">
          <a:extLst>
            <a:ext uri="{FF2B5EF4-FFF2-40B4-BE49-F238E27FC236}">
              <a16:creationId xmlns:a16="http://schemas.microsoft.com/office/drawing/2014/main" xmlns="" id="{00000000-0008-0000-0000-000008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481" name="Text Box 3099">
          <a:extLst>
            <a:ext uri="{FF2B5EF4-FFF2-40B4-BE49-F238E27FC236}">
              <a16:creationId xmlns:a16="http://schemas.microsoft.com/office/drawing/2014/main" xmlns="" id="{00000000-0008-0000-0000-000009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482" name="Text Box 3100">
          <a:extLst>
            <a:ext uri="{FF2B5EF4-FFF2-40B4-BE49-F238E27FC236}">
              <a16:creationId xmlns:a16="http://schemas.microsoft.com/office/drawing/2014/main" xmlns="" id="{00000000-0008-0000-0000-00000A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483" name="Text Box 3101">
          <a:extLst>
            <a:ext uri="{FF2B5EF4-FFF2-40B4-BE49-F238E27FC236}">
              <a16:creationId xmlns:a16="http://schemas.microsoft.com/office/drawing/2014/main" xmlns="" id="{00000000-0008-0000-0000-00000B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9484" name="Text Box 3102">
          <a:extLst>
            <a:ext uri="{FF2B5EF4-FFF2-40B4-BE49-F238E27FC236}">
              <a16:creationId xmlns:a16="http://schemas.microsoft.com/office/drawing/2014/main" xmlns="" id="{00000000-0008-0000-0000-00000C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485" name="Text Box 59">
          <a:extLst>
            <a:ext uri="{FF2B5EF4-FFF2-40B4-BE49-F238E27FC236}">
              <a16:creationId xmlns:a16="http://schemas.microsoft.com/office/drawing/2014/main" xmlns="" id="{00000000-0008-0000-0000-00000D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486" name="Text Box 60">
          <a:extLst>
            <a:ext uri="{FF2B5EF4-FFF2-40B4-BE49-F238E27FC236}">
              <a16:creationId xmlns:a16="http://schemas.microsoft.com/office/drawing/2014/main" xmlns="" id="{00000000-0008-0000-0000-00000E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487" name="Text Box 61">
          <a:extLst>
            <a:ext uri="{FF2B5EF4-FFF2-40B4-BE49-F238E27FC236}">
              <a16:creationId xmlns:a16="http://schemas.microsoft.com/office/drawing/2014/main" xmlns="" id="{00000000-0008-0000-0000-00000F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488" name="Text Box 62">
          <a:extLst>
            <a:ext uri="{FF2B5EF4-FFF2-40B4-BE49-F238E27FC236}">
              <a16:creationId xmlns:a16="http://schemas.microsoft.com/office/drawing/2014/main" xmlns="" id="{00000000-0008-0000-0000-000010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489" name="Text Box 63">
          <a:extLst>
            <a:ext uri="{FF2B5EF4-FFF2-40B4-BE49-F238E27FC236}">
              <a16:creationId xmlns:a16="http://schemas.microsoft.com/office/drawing/2014/main" xmlns="" id="{00000000-0008-0000-0000-000011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490" name="Text Box 64">
          <a:extLst>
            <a:ext uri="{FF2B5EF4-FFF2-40B4-BE49-F238E27FC236}">
              <a16:creationId xmlns:a16="http://schemas.microsoft.com/office/drawing/2014/main" xmlns="" id="{00000000-0008-0000-0000-000012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491" name="Text Box 65">
          <a:extLst>
            <a:ext uri="{FF2B5EF4-FFF2-40B4-BE49-F238E27FC236}">
              <a16:creationId xmlns:a16="http://schemas.microsoft.com/office/drawing/2014/main" xmlns="" id="{00000000-0008-0000-0000-000013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492" name="Text Box 66">
          <a:extLst>
            <a:ext uri="{FF2B5EF4-FFF2-40B4-BE49-F238E27FC236}">
              <a16:creationId xmlns:a16="http://schemas.microsoft.com/office/drawing/2014/main" xmlns="" id="{00000000-0008-0000-0000-000014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493" name="Text Box 67">
          <a:extLst>
            <a:ext uri="{FF2B5EF4-FFF2-40B4-BE49-F238E27FC236}">
              <a16:creationId xmlns:a16="http://schemas.microsoft.com/office/drawing/2014/main" xmlns="" id="{00000000-0008-0000-0000-000015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494" name="Text Box 68">
          <a:extLst>
            <a:ext uri="{FF2B5EF4-FFF2-40B4-BE49-F238E27FC236}">
              <a16:creationId xmlns:a16="http://schemas.microsoft.com/office/drawing/2014/main" xmlns="" id="{00000000-0008-0000-0000-000016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495" name="Text Box 69">
          <a:extLst>
            <a:ext uri="{FF2B5EF4-FFF2-40B4-BE49-F238E27FC236}">
              <a16:creationId xmlns:a16="http://schemas.microsoft.com/office/drawing/2014/main" xmlns="" id="{00000000-0008-0000-0000-000017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496" name="Text Box 70">
          <a:extLst>
            <a:ext uri="{FF2B5EF4-FFF2-40B4-BE49-F238E27FC236}">
              <a16:creationId xmlns:a16="http://schemas.microsoft.com/office/drawing/2014/main" xmlns="" id="{00000000-0008-0000-0000-000018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497" name="Text Box 71">
          <a:extLst>
            <a:ext uri="{FF2B5EF4-FFF2-40B4-BE49-F238E27FC236}">
              <a16:creationId xmlns:a16="http://schemas.microsoft.com/office/drawing/2014/main" xmlns="" id="{00000000-0008-0000-0000-000019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498" name="Text Box 72">
          <a:extLst>
            <a:ext uri="{FF2B5EF4-FFF2-40B4-BE49-F238E27FC236}">
              <a16:creationId xmlns:a16="http://schemas.microsoft.com/office/drawing/2014/main" xmlns="" id="{00000000-0008-0000-0000-00001A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499" name="Text Box 73">
          <a:extLst>
            <a:ext uri="{FF2B5EF4-FFF2-40B4-BE49-F238E27FC236}">
              <a16:creationId xmlns:a16="http://schemas.microsoft.com/office/drawing/2014/main" xmlns="" id="{00000000-0008-0000-0000-00001B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500" name="Text Box 74">
          <a:extLst>
            <a:ext uri="{FF2B5EF4-FFF2-40B4-BE49-F238E27FC236}">
              <a16:creationId xmlns:a16="http://schemas.microsoft.com/office/drawing/2014/main" xmlns="" id="{00000000-0008-0000-0000-00001C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501" name="Text Box 75">
          <a:extLst>
            <a:ext uri="{FF2B5EF4-FFF2-40B4-BE49-F238E27FC236}">
              <a16:creationId xmlns:a16="http://schemas.microsoft.com/office/drawing/2014/main" xmlns="" id="{00000000-0008-0000-0000-00001D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502" name="Text Box 76">
          <a:extLst>
            <a:ext uri="{FF2B5EF4-FFF2-40B4-BE49-F238E27FC236}">
              <a16:creationId xmlns:a16="http://schemas.microsoft.com/office/drawing/2014/main" xmlns="" id="{00000000-0008-0000-0000-00001E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503" name="Text Box 77">
          <a:extLst>
            <a:ext uri="{FF2B5EF4-FFF2-40B4-BE49-F238E27FC236}">
              <a16:creationId xmlns:a16="http://schemas.microsoft.com/office/drawing/2014/main" xmlns="" id="{00000000-0008-0000-0000-00001F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504" name="Text Box 78">
          <a:extLst>
            <a:ext uri="{FF2B5EF4-FFF2-40B4-BE49-F238E27FC236}">
              <a16:creationId xmlns:a16="http://schemas.microsoft.com/office/drawing/2014/main" xmlns="" id="{00000000-0008-0000-0000-000020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505" name="Text Box 79">
          <a:extLst>
            <a:ext uri="{FF2B5EF4-FFF2-40B4-BE49-F238E27FC236}">
              <a16:creationId xmlns:a16="http://schemas.microsoft.com/office/drawing/2014/main" xmlns="" id="{00000000-0008-0000-0000-000021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506" name="Text Box 80">
          <a:extLst>
            <a:ext uri="{FF2B5EF4-FFF2-40B4-BE49-F238E27FC236}">
              <a16:creationId xmlns:a16="http://schemas.microsoft.com/office/drawing/2014/main" xmlns="" id="{00000000-0008-0000-0000-000022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507" name="Text Box 81">
          <a:extLst>
            <a:ext uri="{FF2B5EF4-FFF2-40B4-BE49-F238E27FC236}">
              <a16:creationId xmlns:a16="http://schemas.microsoft.com/office/drawing/2014/main" xmlns="" id="{00000000-0008-0000-0000-000023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47625"/>
    <xdr:sp macro="" textlink="">
      <xdr:nvSpPr>
        <xdr:cNvPr id="9508" name="Text Box 82">
          <a:extLst>
            <a:ext uri="{FF2B5EF4-FFF2-40B4-BE49-F238E27FC236}">
              <a16:creationId xmlns:a16="http://schemas.microsoft.com/office/drawing/2014/main" xmlns="" id="{00000000-0008-0000-0000-000024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509" name="Text Box 3079">
          <a:extLst>
            <a:ext uri="{FF2B5EF4-FFF2-40B4-BE49-F238E27FC236}">
              <a16:creationId xmlns:a16="http://schemas.microsoft.com/office/drawing/2014/main" xmlns="" id="{00000000-0008-0000-0000-000025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510" name="Text Box 3080">
          <a:extLst>
            <a:ext uri="{FF2B5EF4-FFF2-40B4-BE49-F238E27FC236}">
              <a16:creationId xmlns:a16="http://schemas.microsoft.com/office/drawing/2014/main" xmlns="" id="{00000000-0008-0000-0000-000026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511" name="Text Box 3081">
          <a:extLst>
            <a:ext uri="{FF2B5EF4-FFF2-40B4-BE49-F238E27FC236}">
              <a16:creationId xmlns:a16="http://schemas.microsoft.com/office/drawing/2014/main" xmlns="" id="{00000000-0008-0000-0000-000027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512" name="Text Box 3082">
          <a:extLst>
            <a:ext uri="{FF2B5EF4-FFF2-40B4-BE49-F238E27FC236}">
              <a16:creationId xmlns:a16="http://schemas.microsoft.com/office/drawing/2014/main" xmlns="" id="{00000000-0008-0000-0000-000028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513" name="Text Box 3083">
          <a:extLst>
            <a:ext uri="{FF2B5EF4-FFF2-40B4-BE49-F238E27FC236}">
              <a16:creationId xmlns:a16="http://schemas.microsoft.com/office/drawing/2014/main" xmlns="" id="{00000000-0008-0000-0000-000029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514" name="Text Box 3084">
          <a:extLst>
            <a:ext uri="{FF2B5EF4-FFF2-40B4-BE49-F238E27FC236}">
              <a16:creationId xmlns:a16="http://schemas.microsoft.com/office/drawing/2014/main" xmlns="" id="{00000000-0008-0000-0000-00002A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515" name="Text Box 3085">
          <a:extLst>
            <a:ext uri="{FF2B5EF4-FFF2-40B4-BE49-F238E27FC236}">
              <a16:creationId xmlns:a16="http://schemas.microsoft.com/office/drawing/2014/main" xmlns="" id="{00000000-0008-0000-0000-00002B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516" name="Text Box 3086">
          <a:extLst>
            <a:ext uri="{FF2B5EF4-FFF2-40B4-BE49-F238E27FC236}">
              <a16:creationId xmlns:a16="http://schemas.microsoft.com/office/drawing/2014/main" xmlns="" id="{00000000-0008-0000-0000-00002C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517" name="Text Box 3087">
          <a:extLst>
            <a:ext uri="{FF2B5EF4-FFF2-40B4-BE49-F238E27FC236}">
              <a16:creationId xmlns:a16="http://schemas.microsoft.com/office/drawing/2014/main" xmlns="" id="{00000000-0008-0000-0000-00002D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518" name="Text Box 3088">
          <a:extLst>
            <a:ext uri="{FF2B5EF4-FFF2-40B4-BE49-F238E27FC236}">
              <a16:creationId xmlns:a16="http://schemas.microsoft.com/office/drawing/2014/main" xmlns="" id="{00000000-0008-0000-0000-00002E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519" name="Text Box 3089">
          <a:extLst>
            <a:ext uri="{FF2B5EF4-FFF2-40B4-BE49-F238E27FC236}">
              <a16:creationId xmlns:a16="http://schemas.microsoft.com/office/drawing/2014/main" xmlns="" id="{00000000-0008-0000-0000-00002F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520" name="Text Box 3090">
          <a:extLst>
            <a:ext uri="{FF2B5EF4-FFF2-40B4-BE49-F238E27FC236}">
              <a16:creationId xmlns:a16="http://schemas.microsoft.com/office/drawing/2014/main" xmlns="" id="{00000000-0008-0000-0000-000030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521" name="Text Box 3091">
          <a:extLst>
            <a:ext uri="{FF2B5EF4-FFF2-40B4-BE49-F238E27FC236}">
              <a16:creationId xmlns:a16="http://schemas.microsoft.com/office/drawing/2014/main" xmlns="" id="{00000000-0008-0000-0000-000031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522" name="Text Box 3092">
          <a:extLst>
            <a:ext uri="{FF2B5EF4-FFF2-40B4-BE49-F238E27FC236}">
              <a16:creationId xmlns:a16="http://schemas.microsoft.com/office/drawing/2014/main" xmlns="" id="{00000000-0008-0000-0000-000032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523" name="Text Box 3093">
          <a:extLst>
            <a:ext uri="{FF2B5EF4-FFF2-40B4-BE49-F238E27FC236}">
              <a16:creationId xmlns:a16="http://schemas.microsoft.com/office/drawing/2014/main" xmlns="" id="{00000000-0008-0000-0000-000033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524" name="Text Box 3094">
          <a:extLst>
            <a:ext uri="{FF2B5EF4-FFF2-40B4-BE49-F238E27FC236}">
              <a16:creationId xmlns:a16="http://schemas.microsoft.com/office/drawing/2014/main" xmlns="" id="{00000000-0008-0000-0000-000034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525" name="Text Box 3095">
          <a:extLst>
            <a:ext uri="{FF2B5EF4-FFF2-40B4-BE49-F238E27FC236}">
              <a16:creationId xmlns:a16="http://schemas.microsoft.com/office/drawing/2014/main" xmlns="" id="{00000000-0008-0000-0000-000035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526" name="Text Box 3096">
          <a:extLst>
            <a:ext uri="{FF2B5EF4-FFF2-40B4-BE49-F238E27FC236}">
              <a16:creationId xmlns:a16="http://schemas.microsoft.com/office/drawing/2014/main" xmlns="" id="{00000000-0008-0000-0000-000036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527" name="Text Box 3097">
          <a:extLst>
            <a:ext uri="{FF2B5EF4-FFF2-40B4-BE49-F238E27FC236}">
              <a16:creationId xmlns:a16="http://schemas.microsoft.com/office/drawing/2014/main" xmlns="" id="{00000000-0008-0000-0000-000037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528" name="Text Box 3098">
          <a:extLst>
            <a:ext uri="{FF2B5EF4-FFF2-40B4-BE49-F238E27FC236}">
              <a16:creationId xmlns:a16="http://schemas.microsoft.com/office/drawing/2014/main" xmlns="" id="{00000000-0008-0000-0000-000038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529" name="Text Box 3099">
          <a:extLst>
            <a:ext uri="{FF2B5EF4-FFF2-40B4-BE49-F238E27FC236}">
              <a16:creationId xmlns:a16="http://schemas.microsoft.com/office/drawing/2014/main" xmlns="" id="{00000000-0008-0000-0000-000039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530" name="Text Box 3100">
          <a:extLst>
            <a:ext uri="{FF2B5EF4-FFF2-40B4-BE49-F238E27FC236}">
              <a16:creationId xmlns:a16="http://schemas.microsoft.com/office/drawing/2014/main" xmlns="" id="{00000000-0008-0000-0000-00003A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531" name="Text Box 3101">
          <a:extLst>
            <a:ext uri="{FF2B5EF4-FFF2-40B4-BE49-F238E27FC236}">
              <a16:creationId xmlns:a16="http://schemas.microsoft.com/office/drawing/2014/main" xmlns="" id="{00000000-0008-0000-0000-00003B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9532" name="Text Box 3102">
          <a:extLst>
            <a:ext uri="{FF2B5EF4-FFF2-40B4-BE49-F238E27FC236}">
              <a16:creationId xmlns:a16="http://schemas.microsoft.com/office/drawing/2014/main" xmlns="" id="{00000000-0008-0000-0000-00003C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533" name="Text Box 59">
          <a:extLst>
            <a:ext uri="{FF2B5EF4-FFF2-40B4-BE49-F238E27FC236}">
              <a16:creationId xmlns:a16="http://schemas.microsoft.com/office/drawing/2014/main" xmlns="" id="{00000000-0008-0000-0000-00003D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534" name="Text Box 60">
          <a:extLst>
            <a:ext uri="{FF2B5EF4-FFF2-40B4-BE49-F238E27FC236}">
              <a16:creationId xmlns:a16="http://schemas.microsoft.com/office/drawing/2014/main" xmlns="" id="{00000000-0008-0000-0000-00003E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535" name="Text Box 61">
          <a:extLst>
            <a:ext uri="{FF2B5EF4-FFF2-40B4-BE49-F238E27FC236}">
              <a16:creationId xmlns:a16="http://schemas.microsoft.com/office/drawing/2014/main" xmlns="" id="{00000000-0008-0000-0000-00003F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536" name="Text Box 62">
          <a:extLst>
            <a:ext uri="{FF2B5EF4-FFF2-40B4-BE49-F238E27FC236}">
              <a16:creationId xmlns:a16="http://schemas.microsoft.com/office/drawing/2014/main" xmlns="" id="{00000000-0008-0000-0000-000040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537" name="Text Box 63">
          <a:extLst>
            <a:ext uri="{FF2B5EF4-FFF2-40B4-BE49-F238E27FC236}">
              <a16:creationId xmlns:a16="http://schemas.microsoft.com/office/drawing/2014/main" xmlns="" id="{00000000-0008-0000-0000-000041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538" name="Text Box 64">
          <a:extLst>
            <a:ext uri="{FF2B5EF4-FFF2-40B4-BE49-F238E27FC236}">
              <a16:creationId xmlns:a16="http://schemas.microsoft.com/office/drawing/2014/main" xmlns="" id="{00000000-0008-0000-0000-000042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539" name="Text Box 65">
          <a:extLst>
            <a:ext uri="{FF2B5EF4-FFF2-40B4-BE49-F238E27FC236}">
              <a16:creationId xmlns:a16="http://schemas.microsoft.com/office/drawing/2014/main" xmlns="" id="{00000000-0008-0000-0000-000043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540" name="Text Box 66">
          <a:extLst>
            <a:ext uri="{FF2B5EF4-FFF2-40B4-BE49-F238E27FC236}">
              <a16:creationId xmlns:a16="http://schemas.microsoft.com/office/drawing/2014/main" xmlns="" id="{00000000-0008-0000-0000-000044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541" name="Text Box 67">
          <a:extLst>
            <a:ext uri="{FF2B5EF4-FFF2-40B4-BE49-F238E27FC236}">
              <a16:creationId xmlns:a16="http://schemas.microsoft.com/office/drawing/2014/main" xmlns="" id="{00000000-0008-0000-0000-000045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542" name="Text Box 68">
          <a:extLst>
            <a:ext uri="{FF2B5EF4-FFF2-40B4-BE49-F238E27FC236}">
              <a16:creationId xmlns:a16="http://schemas.microsoft.com/office/drawing/2014/main" xmlns="" id="{00000000-0008-0000-0000-000046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543" name="Text Box 69">
          <a:extLst>
            <a:ext uri="{FF2B5EF4-FFF2-40B4-BE49-F238E27FC236}">
              <a16:creationId xmlns:a16="http://schemas.microsoft.com/office/drawing/2014/main" xmlns="" id="{00000000-0008-0000-0000-000047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544" name="Text Box 70">
          <a:extLst>
            <a:ext uri="{FF2B5EF4-FFF2-40B4-BE49-F238E27FC236}">
              <a16:creationId xmlns:a16="http://schemas.microsoft.com/office/drawing/2014/main" xmlns="" id="{00000000-0008-0000-0000-000048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545" name="Text Box 71">
          <a:extLst>
            <a:ext uri="{FF2B5EF4-FFF2-40B4-BE49-F238E27FC236}">
              <a16:creationId xmlns:a16="http://schemas.microsoft.com/office/drawing/2014/main" xmlns="" id="{00000000-0008-0000-0000-000049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546" name="Text Box 72">
          <a:extLst>
            <a:ext uri="{FF2B5EF4-FFF2-40B4-BE49-F238E27FC236}">
              <a16:creationId xmlns:a16="http://schemas.microsoft.com/office/drawing/2014/main" xmlns="" id="{00000000-0008-0000-0000-00004A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547" name="Text Box 73">
          <a:extLst>
            <a:ext uri="{FF2B5EF4-FFF2-40B4-BE49-F238E27FC236}">
              <a16:creationId xmlns:a16="http://schemas.microsoft.com/office/drawing/2014/main" xmlns="" id="{00000000-0008-0000-0000-00004B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548" name="Text Box 74">
          <a:extLst>
            <a:ext uri="{FF2B5EF4-FFF2-40B4-BE49-F238E27FC236}">
              <a16:creationId xmlns:a16="http://schemas.microsoft.com/office/drawing/2014/main" xmlns="" id="{00000000-0008-0000-0000-00004C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549" name="Text Box 75">
          <a:extLst>
            <a:ext uri="{FF2B5EF4-FFF2-40B4-BE49-F238E27FC236}">
              <a16:creationId xmlns:a16="http://schemas.microsoft.com/office/drawing/2014/main" xmlns="" id="{00000000-0008-0000-0000-00004D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550" name="Text Box 76">
          <a:extLst>
            <a:ext uri="{FF2B5EF4-FFF2-40B4-BE49-F238E27FC236}">
              <a16:creationId xmlns:a16="http://schemas.microsoft.com/office/drawing/2014/main" xmlns="" id="{00000000-0008-0000-0000-00004E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551" name="Text Box 77">
          <a:extLst>
            <a:ext uri="{FF2B5EF4-FFF2-40B4-BE49-F238E27FC236}">
              <a16:creationId xmlns:a16="http://schemas.microsoft.com/office/drawing/2014/main" xmlns="" id="{00000000-0008-0000-0000-00004F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552" name="Text Box 78">
          <a:extLst>
            <a:ext uri="{FF2B5EF4-FFF2-40B4-BE49-F238E27FC236}">
              <a16:creationId xmlns:a16="http://schemas.microsoft.com/office/drawing/2014/main" xmlns="" id="{00000000-0008-0000-0000-000050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553" name="Text Box 79">
          <a:extLst>
            <a:ext uri="{FF2B5EF4-FFF2-40B4-BE49-F238E27FC236}">
              <a16:creationId xmlns:a16="http://schemas.microsoft.com/office/drawing/2014/main" xmlns="" id="{00000000-0008-0000-0000-000051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554" name="Text Box 80">
          <a:extLst>
            <a:ext uri="{FF2B5EF4-FFF2-40B4-BE49-F238E27FC236}">
              <a16:creationId xmlns:a16="http://schemas.microsoft.com/office/drawing/2014/main" xmlns="" id="{00000000-0008-0000-0000-000052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555" name="Text Box 81">
          <a:extLst>
            <a:ext uri="{FF2B5EF4-FFF2-40B4-BE49-F238E27FC236}">
              <a16:creationId xmlns:a16="http://schemas.microsoft.com/office/drawing/2014/main" xmlns="" id="{00000000-0008-0000-0000-000053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556" name="Text Box 3079">
          <a:extLst>
            <a:ext uri="{FF2B5EF4-FFF2-40B4-BE49-F238E27FC236}">
              <a16:creationId xmlns:a16="http://schemas.microsoft.com/office/drawing/2014/main" xmlns="" id="{00000000-0008-0000-0000-000054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557" name="Text Box 3080">
          <a:extLst>
            <a:ext uri="{FF2B5EF4-FFF2-40B4-BE49-F238E27FC236}">
              <a16:creationId xmlns:a16="http://schemas.microsoft.com/office/drawing/2014/main" xmlns="" id="{00000000-0008-0000-0000-000055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558" name="Text Box 3081">
          <a:extLst>
            <a:ext uri="{FF2B5EF4-FFF2-40B4-BE49-F238E27FC236}">
              <a16:creationId xmlns:a16="http://schemas.microsoft.com/office/drawing/2014/main" xmlns="" id="{00000000-0008-0000-0000-000056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559" name="Text Box 3082">
          <a:extLst>
            <a:ext uri="{FF2B5EF4-FFF2-40B4-BE49-F238E27FC236}">
              <a16:creationId xmlns:a16="http://schemas.microsoft.com/office/drawing/2014/main" xmlns="" id="{00000000-0008-0000-0000-000057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560" name="Text Box 3083">
          <a:extLst>
            <a:ext uri="{FF2B5EF4-FFF2-40B4-BE49-F238E27FC236}">
              <a16:creationId xmlns:a16="http://schemas.microsoft.com/office/drawing/2014/main" xmlns="" id="{00000000-0008-0000-0000-000058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561" name="Text Box 3084">
          <a:extLst>
            <a:ext uri="{FF2B5EF4-FFF2-40B4-BE49-F238E27FC236}">
              <a16:creationId xmlns:a16="http://schemas.microsoft.com/office/drawing/2014/main" xmlns="" id="{00000000-0008-0000-0000-000059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562" name="Text Box 3085">
          <a:extLst>
            <a:ext uri="{FF2B5EF4-FFF2-40B4-BE49-F238E27FC236}">
              <a16:creationId xmlns:a16="http://schemas.microsoft.com/office/drawing/2014/main" xmlns="" id="{00000000-0008-0000-0000-00005A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563" name="Text Box 3086">
          <a:extLst>
            <a:ext uri="{FF2B5EF4-FFF2-40B4-BE49-F238E27FC236}">
              <a16:creationId xmlns:a16="http://schemas.microsoft.com/office/drawing/2014/main" xmlns="" id="{00000000-0008-0000-0000-00005B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564" name="Text Box 3087">
          <a:extLst>
            <a:ext uri="{FF2B5EF4-FFF2-40B4-BE49-F238E27FC236}">
              <a16:creationId xmlns:a16="http://schemas.microsoft.com/office/drawing/2014/main" xmlns="" id="{00000000-0008-0000-0000-00005C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565" name="Text Box 3088">
          <a:extLst>
            <a:ext uri="{FF2B5EF4-FFF2-40B4-BE49-F238E27FC236}">
              <a16:creationId xmlns:a16="http://schemas.microsoft.com/office/drawing/2014/main" xmlns="" id="{00000000-0008-0000-0000-00005D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566" name="Text Box 3089">
          <a:extLst>
            <a:ext uri="{FF2B5EF4-FFF2-40B4-BE49-F238E27FC236}">
              <a16:creationId xmlns:a16="http://schemas.microsoft.com/office/drawing/2014/main" xmlns="" id="{00000000-0008-0000-0000-00005E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567" name="Text Box 3090">
          <a:extLst>
            <a:ext uri="{FF2B5EF4-FFF2-40B4-BE49-F238E27FC236}">
              <a16:creationId xmlns:a16="http://schemas.microsoft.com/office/drawing/2014/main" xmlns="" id="{00000000-0008-0000-0000-00005F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568" name="Text Box 3091">
          <a:extLst>
            <a:ext uri="{FF2B5EF4-FFF2-40B4-BE49-F238E27FC236}">
              <a16:creationId xmlns:a16="http://schemas.microsoft.com/office/drawing/2014/main" xmlns="" id="{00000000-0008-0000-0000-000060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569" name="Text Box 3092">
          <a:extLst>
            <a:ext uri="{FF2B5EF4-FFF2-40B4-BE49-F238E27FC236}">
              <a16:creationId xmlns:a16="http://schemas.microsoft.com/office/drawing/2014/main" xmlns="" id="{00000000-0008-0000-0000-000061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570" name="Text Box 3093">
          <a:extLst>
            <a:ext uri="{FF2B5EF4-FFF2-40B4-BE49-F238E27FC236}">
              <a16:creationId xmlns:a16="http://schemas.microsoft.com/office/drawing/2014/main" xmlns="" id="{00000000-0008-0000-0000-000062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571" name="Text Box 3094">
          <a:extLst>
            <a:ext uri="{FF2B5EF4-FFF2-40B4-BE49-F238E27FC236}">
              <a16:creationId xmlns:a16="http://schemas.microsoft.com/office/drawing/2014/main" xmlns="" id="{00000000-0008-0000-0000-000063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572" name="Text Box 3095">
          <a:extLst>
            <a:ext uri="{FF2B5EF4-FFF2-40B4-BE49-F238E27FC236}">
              <a16:creationId xmlns:a16="http://schemas.microsoft.com/office/drawing/2014/main" xmlns="" id="{00000000-0008-0000-0000-000064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573" name="Text Box 3096">
          <a:extLst>
            <a:ext uri="{FF2B5EF4-FFF2-40B4-BE49-F238E27FC236}">
              <a16:creationId xmlns:a16="http://schemas.microsoft.com/office/drawing/2014/main" xmlns="" id="{00000000-0008-0000-0000-000065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574" name="Text Box 3097">
          <a:extLst>
            <a:ext uri="{FF2B5EF4-FFF2-40B4-BE49-F238E27FC236}">
              <a16:creationId xmlns:a16="http://schemas.microsoft.com/office/drawing/2014/main" xmlns="" id="{00000000-0008-0000-0000-000066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575" name="Text Box 3098">
          <a:extLst>
            <a:ext uri="{FF2B5EF4-FFF2-40B4-BE49-F238E27FC236}">
              <a16:creationId xmlns:a16="http://schemas.microsoft.com/office/drawing/2014/main" xmlns="" id="{00000000-0008-0000-0000-000067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576" name="Text Box 3099">
          <a:extLst>
            <a:ext uri="{FF2B5EF4-FFF2-40B4-BE49-F238E27FC236}">
              <a16:creationId xmlns:a16="http://schemas.microsoft.com/office/drawing/2014/main" xmlns="" id="{00000000-0008-0000-0000-000068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577" name="Text Box 3100">
          <a:extLst>
            <a:ext uri="{FF2B5EF4-FFF2-40B4-BE49-F238E27FC236}">
              <a16:creationId xmlns:a16="http://schemas.microsoft.com/office/drawing/2014/main" xmlns="" id="{00000000-0008-0000-0000-000069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578" name="Text Box 3101">
          <a:extLst>
            <a:ext uri="{FF2B5EF4-FFF2-40B4-BE49-F238E27FC236}">
              <a16:creationId xmlns:a16="http://schemas.microsoft.com/office/drawing/2014/main" xmlns="" id="{00000000-0008-0000-0000-00006A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9579" name="Text Box 3102">
          <a:extLst>
            <a:ext uri="{FF2B5EF4-FFF2-40B4-BE49-F238E27FC236}">
              <a16:creationId xmlns:a16="http://schemas.microsoft.com/office/drawing/2014/main" xmlns="" id="{00000000-0008-0000-0000-00006B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580" name="Text Box 59">
          <a:extLst>
            <a:ext uri="{FF2B5EF4-FFF2-40B4-BE49-F238E27FC236}">
              <a16:creationId xmlns:a16="http://schemas.microsoft.com/office/drawing/2014/main" xmlns="" id="{00000000-0008-0000-0000-00006C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581" name="Text Box 60">
          <a:extLst>
            <a:ext uri="{FF2B5EF4-FFF2-40B4-BE49-F238E27FC236}">
              <a16:creationId xmlns:a16="http://schemas.microsoft.com/office/drawing/2014/main" xmlns="" id="{00000000-0008-0000-0000-00006D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582" name="Text Box 61">
          <a:extLst>
            <a:ext uri="{FF2B5EF4-FFF2-40B4-BE49-F238E27FC236}">
              <a16:creationId xmlns:a16="http://schemas.microsoft.com/office/drawing/2014/main" xmlns="" id="{00000000-0008-0000-0000-00006E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583" name="Text Box 62">
          <a:extLst>
            <a:ext uri="{FF2B5EF4-FFF2-40B4-BE49-F238E27FC236}">
              <a16:creationId xmlns:a16="http://schemas.microsoft.com/office/drawing/2014/main" xmlns="" id="{00000000-0008-0000-0000-00006F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584" name="Text Box 63">
          <a:extLst>
            <a:ext uri="{FF2B5EF4-FFF2-40B4-BE49-F238E27FC236}">
              <a16:creationId xmlns:a16="http://schemas.microsoft.com/office/drawing/2014/main" xmlns="" id="{00000000-0008-0000-0000-000070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585" name="Text Box 64">
          <a:extLst>
            <a:ext uri="{FF2B5EF4-FFF2-40B4-BE49-F238E27FC236}">
              <a16:creationId xmlns:a16="http://schemas.microsoft.com/office/drawing/2014/main" xmlns="" id="{00000000-0008-0000-0000-000071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586" name="Text Box 65">
          <a:extLst>
            <a:ext uri="{FF2B5EF4-FFF2-40B4-BE49-F238E27FC236}">
              <a16:creationId xmlns:a16="http://schemas.microsoft.com/office/drawing/2014/main" xmlns="" id="{00000000-0008-0000-0000-000072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587" name="Text Box 66">
          <a:extLst>
            <a:ext uri="{FF2B5EF4-FFF2-40B4-BE49-F238E27FC236}">
              <a16:creationId xmlns:a16="http://schemas.microsoft.com/office/drawing/2014/main" xmlns="" id="{00000000-0008-0000-0000-000073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588" name="Text Box 67">
          <a:extLst>
            <a:ext uri="{FF2B5EF4-FFF2-40B4-BE49-F238E27FC236}">
              <a16:creationId xmlns:a16="http://schemas.microsoft.com/office/drawing/2014/main" xmlns="" id="{00000000-0008-0000-0000-000074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589" name="Text Box 68">
          <a:extLst>
            <a:ext uri="{FF2B5EF4-FFF2-40B4-BE49-F238E27FC236}">
              <a16:creationId xmlns:a16="http://schemas.microsoft.com/office/drawing/2014/main" xmlns="" id="{00000000-0008-0000-0000-000075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590" name="Text Box 69">
          <a:extLst>
            <a:ext uri="{FF2B5EF4-FFF2-40B4-BE49-F238E27FC236}">
              <a16:creationId xmlns:a16="http://schemas.microsoft.com/office/drawing/2014/main" xmlns="" id="{00000000-0008-0000-0000-000076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591" name="Text Box 70">
          <a:extLst>
            <a:ext uri="{FF2B5EF4-FFF2-40B4-BE49-F238E27FC236}">
              <a16:creationId xmlns:a16="http://schemas.microsoft.com/office/drawing/2014/main" xmlns="" id="{00000000-0008-0000-0000-000077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592" name="Text Box 71">
          <a:extLst>
            <a:ext uri="{FF2B5EF4-FFF2-40B4-BE49-F238E27FC236}">
              <a16:creationId xmlns:a16="http://schemas.microsoft.com/office/drawing/2014/main" xmlns="" id="{00000000-0008-0000-0000-000078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593" name="Text Box 72">
          <a:extLst>
            <a:ext uri="{FF2B5EF4-FFF2-40B4-BE49-F238E27FC236}">
              <a16:creationId xmlns:a16="http://schemas.microsoft.com/office/drawing/2014/main" xmlns="" id="{00000000-0008-0000-0000-000079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594" name="Text Box 73">
          <a:extLst>
            <a:ext uri="{FF2B5EF4-FFF2-40B4-BE49-F238E27FC236}">
              <a16:creationId xmlns:a16="http://schemas.microsoft.com/office/drawing/2014/main" xmlns="" id="{00000000-0008-0000-0000-00007A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595" name="Text Box 74">
          <a:extLst>
            <a:ext uri="{FF2B5EF4-FFF2-40B4-BE49-F238E27FC236}">
              <a16:creationId xmlns:a16="http://schemas.microsoft.com/office/drawing/2014/main" xmlns="" id="{00000000-0008-0000-0000-00007B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596" name="Text Box 75">
          <a:extLst>
            <a:ext uri="{FF2B5EF4-FFF2-40B4-BE49-F238E27FC236}">
              <a16:creationId xmlns:a16="http://schemas.microsoft.com/office/drawing/2014/main" xmlns="" id="{00000000-0008-0000-0000-00007C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597" name="Text Box 76">
          <a:extLst>
            <a:ext uri="{FF2B5EF4-FFF2-40B4-BE49-F238E27FC236}">
              <a16:creationId xmlns:a16="http://schemas.microsoft.com/office/drawing/2014/main" xmlns="" id="{00000000-0008-0000-0000-00007D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598" name="Text Box 77">
          <a:extLst>
            <a:ext uri="{FF2B5EF4-FFF2-40B4-BE49-F238E27FC236}">
              <a16:creationId xmlns:a16="http://schemas.microsoft.com/office/drawing/2014/main" xmlns="" id="{00000000-0008-0000-0000-00007E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599" name="Text Box 78">
          <a:extLst>
            <a:ext uri="{FF2B5EF4-FFF2-40B4-BE49-F238E27FC236}">
              <a16:creationId xmlns:a16="http://schemas.microsoft.com/office/drawing/2014/main" xmlns="" id="{00000000-0008-0000-0000-00007F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600" name="Text Box 79">
          <a:extLst>
            <a:ext uri="{FF2B5EF4-FFF2-40B4-BE49-F238E27FC236}">
              <a16:creationId xmlns:a16="http://schemas.microsoft.com/office/drawing/2014/main" xmlns="" id="{00000000-0008-0000-0000-000080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601" name="Text Box 80">
          <a:extLst>
            <a:ext uri="{FF2B5EF4-FFF2-40B4-BE49-F238E27FC236}">
              <a16:creationId xmlns:a16="http://schemas.microsoft.com/office/drawing/2014/main" xmlns="" id="{00000000-0008-0000-0000-000081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602" name="Text Box 81">
          <a:extLst>
            <a:ext uri="{FF2B5EF4-FFF2-40B4-BE49-F238E27FC236}">
              <a16:creationId xmlns:a16="http://schemas.microsoft.com/office/drawing/2014/main" xmlns="" id="{00000000-0008-0000-0000-000082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47625"/>
    <xdr:sp macro="" textlink="">
      <xdr:nvSpPr>
        <xdr:cNvPr id="9603" name="Text Box 82">
          <a:extLst>
            <a:ext uri="{FF2B5EF4-FFF2-40B4-BE49-F238E27FC236}">
              <a16:creationId xmlns:a16="http://schemas.microsoft.com/office/drawing/2014/main" xmlns="" id="{00000000-0008-0000-0000-000083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604" name="Text Box 3079">
          <a:extLst>
            <a:ext uri="{FF2B5EF4-FFF2-40B4-BE49-F238E27FC236}">
              <a16:creationId xmlns:a16="http://schemas.microsoft.com/office/drawing/2014/main" xmlns="" id="{00000000-0008-0000-0000-000084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605" name="Text Box 3080">
          <a:extLst>
            <a:ext uri="{FF2B5EF4-FFF2-40B4-BE49-F238E27FC236}">
              <a16:creationId xmlns:a16="http://schemas.microsoft.com/office/drawing/2014/main" xmlns="" id="{00000000-0008-0000-0000-000085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606" name="Text Box 3081">
          <a:extLst>
            <a:ext uri="{FF2B5EF4-FFF2-40B4-BE49-F238E27FC236}">
              <a16:creationId xmlns:a16="http://schemas.microsoft.com/office/drawing/2014/main" xmlns="" id="{00000000-0008-0000-0000-000086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607" name="Text Box 3082">
          <a:extLst>
            <a:ext uri="{FF2B5EF4-FFF2-40B4-BE49-F238E27FC236}">
              <a16:creationId xmlns:a16="http://schemas.microsoft.com/office/drawing/2014/main" xmlns="" id="{00000000-0008-0000-0000-000087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608" name="Text Box 3083">
          <a:extLst>
            <a:ext uri="{FF2B5EF4-FFF2-40B4-BE49-F238E27FC236}">
              <a16:creationId xmlns:a16="http://schemas.microsoft.com/office/drawing/2014/main" xmlns="" id="{00000000-0008-0000-0000-000088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609" name="Text Box 3084">
          <a:extLst>
            <a:ext uri="{FF2B5EF4-FFF2-40B4-BE49-F238E27FC236}">
              <a16:creationId xmlns:a16="http://schemas.microsoft.com/office/drawing/2014/main" xmlns="" id="{00000000-0008-0000-0000-000089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610" name="Text Box 3085">
          <a:extLst>
            <a:ext uri="{FF2B5EF4-FFF2-40B4-BE49-F238E27FC236}">
              <a16:creationId xmlns:a16="http://schemas.microsoft.com/office/drawing/2014/main" xmlns="" id="{00000000-0008-0000-0000-00008A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611" name="Text Box 3086">
          <a:extLst>
            <a:ext uri="{FF2B5EF4-FFF2-40B4-BE49-F238E27FC236}">
              <a16:creationId xmlns:a16="http://schemas.microsoft.com/office/drawing/2014/main" xmlns="" id="{00000000-0008-0000-0000-00008B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612" name="Text Box 3087">
          <a:extLst>
            <a:ext uri="{FF2B5EF4-FFF2-40B4-BE49-F238E27FC236}">
              <a16:creationId xmlns:a16="http://schemas.microsoft.com/office/drawing/2014/main" xmlns="" id="{00000000-0008-0000-0000-00008C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613" name="Text Box 3088">
          <a:extLst>
            <a:ext uri="{FF2B5EF4-FFF2-40B4-BE49-F238E27FC236}">
              <a16:creationId xmlns:a16="http://schemas.microsoft.com/office/drawing/2014/main" xmlns="" id="{00000000-0008-0000-0000-00008D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614" name="Text Box 3089">
          <a:extLst>
            <a:ext uri="{FF2B5EF4-FFF2-40B4-BE49-F238E27FC236}">
              <a16:creationId xmlns:a16="http://schemas.microsoft.com/office/drawing/2014/main" xmlns="" id="{00000000-0008-0000-0000-00008E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615" name="Text Box 3090">
          <a:extLst>
            <a:ext uri="{FF2B5EF4-FFF2-40B4-BE49-F238E27FC236}">
              <a16:creationId xmlns:a16="http://schemas.microsoft.com/office/drawing/2014/main" xmlns="" id="{00000000-0008-0000-0000-00008F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616" name="Text Box 3091">
          <a:extLst>
            <a:ext uri="{FF2B5EF4-FFF2-40B4-BE49-F238E27FC236}">
              <a16:creationId xmlns:a16="http://schemas.microsoft.com/office/drawing/2014/main" xmlns="" id="{00000000-0008-0000-0000-000090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617" name="Text Box 3092">
          <a:extLst>
            <a:ext uri="{FF2B5EF4-FFF2-40B4-BE49-F238E27FC236}">
              <a16:creationId xmlns:a16="http://schemas.microsoft.com/office/drawing/2014/main" xmlns="" id="{00000000-0008-0000-0000-000091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618" name="Text Box 3093">
          <a:extLst>
            <a:ext uri="{FF2B5EF4-FFF2-40B4-BE49-F238E27FC236}">
              <a16:creationId xmlns:a16="http://schemas.microsoft.com/office/drawing/2014/main" xmlns="" id="{00000000-0008-0000-0000-000092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619" name="Text Box 3094">
          <a:extLst>
            <a:ext uri="{FF2B5EF4-FFF2-40B4-BE49-F238E27FC236}">
              <a16:creationId xmlns:a16="http://schemas.microsoft.com/office/drawing/2014/main" xmlns="" id="{00000000-0008-0000-0000-000093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620" name="Text Box 3095">
          <a:extLst>
            <a:ext uri="{FF2B5EF4-FFF2-40B4-BE49-F238E27FC236}">
              <a16:creationId xmlns:a16="http://schemas.microsoft.com/office/drawing/2014/main" xmlns="" id="{00000000-0008-0000-0000-000094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621" name="Text Box 3096">
          <a:extLst>
            <a:ext uri="{FF2B5EF4-FFF2-40B4-BE49-F238E27FC236}">
              <a16:creationId xmlns:a16="http://schemas.microsoft.com/office/drawing/2014/main" xmlns="" id="{00000000-0008-0000-0000-000095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622" name="Text Box 3097">
          <a:extLst>
            <a:ext uri="{FF2B5EF4-FFF2-40B4-BE49-F238E27FC236}">
              <a16:creationId xmlns:a16="http://schemas.microsoft.com/office/drawing/2014/main" xmlns="" id="{00000000-0008-0000-0000-000096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623" name="Text Box 3098">
          <a:extLst>
            <a:ext uri="{FF2B5EF4-FFF2-40B4-BE49-F238E27FC236}">
              <a16:creationId xmlns:a16="http://schemas.microsoft.com/office/drawing/2014/main" xmlns="" id="{00000000-0008-0000-0000-000097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624" name="Text Box 3099">
          <a:extLst>
            <a:ext uri="{FF2B5EF4-FFF2-40B4-BE49-F238E27FC236}">
              <a16:creationId xmlns:a16="http://schemas.microsoft.com/office/drawing/2014/main" xmlns="" id="{00000000-0008-0000-0000-000098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625" name="Text Box 3100">
          <a:extLst>
            <a:ext uri="{FF2B5EF4-FFF2-40B4-BE49-F238E27FC236}">
              <a16:creationId xmlns:a16="http://schemas.microsoft.com/office/drawing/2014/main" xmlns="" id="{00000000-0008-0000-0000-000099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626" name="Text Box 3101">
          <a:extLst>
            <a:ext uri="{FF2B5EF4-FFF2-40B4-BE49-F238E27FC236}">
              <a16:creationId xmlns:a16="http://schemas.microsoft.com/office/drawing/2014/main" xmlns="" id="{00000000-0008-0000-0000-00009A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9627" name="Text Box 3102">
          <a:extLst>
            <a:ext uri="{FF2B5EF4-FFF2-40B4-BE49-F238E27FC236}">
              <a16:creationId xmlns:a16="http://schemas.microsoft.com/office/drawing/2014/main" xmlns="" id="{00000000-0008-0000-0000-00009B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628" name="Text Box 59">
          <a:extLst>
            <a:ext uri="{FF2B5EF4-FFF2-40B4-BE49-F238E27FC236}">
              <a16:creationId xmlns:a16="http://schemas.microsoft.com/office/drawing/2014/main" xmlns="" id="{00000000-0008-0000-0000-00009C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629" name="Text Box 60">
          <a:extLst>
            <a:ext uri="{FF2B5EF4-FFF2-40B4-BE49-F238E27FC236}">
              <a16:creationId xmlns:a16="http://schemas.microsoft.com/office/drawing/2014/main" xmlns="" id="{00000000-0008-0000-0000-00009D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630" name="Text Box 61">
          <a:extLst>
            <a:ext uri="{FF2B5EF4-FFF2-40B4-BE49-F238E27FC236}">
              <a16:creationId xmlns:a16="http://schemas.microsoft.com/office/drawing/2014/main" xmlns="" id="{00000000-0008-0000-0000-00009E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631" name="Text Box 62">
          <a:extLst>
            <a:ext uri="{FF2B5EF4-FFF2-40B4-BE49-F238E27FC236}">
              <a16:creationId xmlns:a16="http://schemas.microsoft.com/office/drawing/2014/main" xmlns="" id="{00000000-0008-0000-0000-00009F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632" name="Text Box 63">
          <a:extLst>
            <a:ext uri="{FF2B5EF4-FFF2-40B4-BE49-F238E27FC236}">
              <a16:creationId xmlns:a16="http://schemas.microsoft.com/office/drawing/2014/main" xmlns="" id="{00000000-0008-0000-0000-0000A0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633" name="Text Box 64">
          <a:extLst>
            <a:ext uri="{FF2B5EF4-FFF2-40B4-BE49-F238E27FC236}">
              <a16:creationId xmlns:a16="http://schemas.microsoft.com/office/drawing/2014/main" xmlns="" id="{00000000-0008-0000-0000-0000A1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634" name="Text Box 65">
          <a:extLst>
            <a:ext uri="{FF2B5EF4-FFF2-40B4-BE49-F238E27FC236}">
              <a16:creationId xmlns:a16="http://schemas.microsoft.com/office/drawing/2014/main" xmlns="" id="{00000000-0008-0000-0000-0000A2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635" name="Text Box 66">
          <a:extLst>
            <a:ext uri="{FF2B5EF4-FFF2-40B4-BE49-F238E27FC236}">
              <a16:creationId xmlns:a16="http://schemas.microsoft.com/office/drawing/2014/main" xmlns="" id="{00000000-0008-0000-0000-0000A3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636" name="Text Box 67">
          <a:extLst>
            <a:ext uri="{FF2B5EF4-FFF2-40B4-BE49-F238E27FC236}">
              <a16:creationId xmlns:a16="http://schemas.microsoft.com/office/drawing/2014/main" xmlns="" id="{00000000-0008-0000-0000-0000A4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637" name="Text Box 68">
          <a:extLst>
            <a:ext uri="{FF2B5EF4-FFF2-40B4-BE49-F238E27FC236}">
              <a16:creationId xmlns:a16="http://schemas.microsoft.com/office/drawing/2014/main" xmlns="" id="{00000000-0008-0000-0000-0000A5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638" name="Text Box 69">
          <a:extLst>
            <a:ext uri="{FF2B5EF4-FFF2-40B4-BE49-F238E27FC236}">
              <a16:creationId xmlns:a16="http://schemas.microsoft.com/office/drawing/2014/main" xmlns="" id="{00000000-0008-0000-0000-0000A6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639" name="Text Box 70">
          <a:extLst>
            <a:ext uri="{FF2B5EF4-FFF2-40B4-BE49-F238E27FC236}">
              <a16:creationId xmlns:a16="http://schemas.microsoft.com/office/drawing/2014/main" xmlns="" id="{00000000-0008-0000-0000-0000A7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640" name="Text Box 71">
          <a:extLst>
            <a:ext uri="{FF2B5EF4-FFF2-40B4-BE49-F238E27FC236}">
              <a16:creationId xmlns:a16="http://schemas.microsoft.com/office/drawing/2014/main" xmlns="" id="{00000000-0008-0000-0000-0000A8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641" name="Text Box 72">
          <a:extLst>
            <a:ext uri="{FF2B5EF4-FFF2-40B4-BE49-F238E27FC236}">
              <a16:creationId xmlns:a16="http://schemas.microsoft.com/office/drawing/2014/main" xmlns="" id="{00000000-0008-0000-0000-0000A9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642" name="Text Box 73">
          <a:extLst>
            <a:ext uri="{FF2B5EF4-FFF2-40B4-BE49-F238E27FC236}">
              <a16:creationId xmlns:a16="http://schemas.microsoft.com/office/drawing/2014/main" xmlns="" id="{00000000-0008-0000-0000-0000AA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643" name="Text Box 74">
          <a:extLst>
            <a:ext uri="{FF2B5EF4-FFF2-40B4-BE49-F238E27FC236}">
              <a16:creationId xmlns:a16="http://schemas.microsoft.com/office/drawing/2014/main" xmlns="" id="{00000000-0008-0000-0000-0000AB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644" name="Text Box 75">
          <a:extLst>
            <a:ext uri="{FF2B5EF4-FFF2-40B4-BE49-F238E27FC236}">
              <a16:creationId xmlns:a16="http://schemas.microsoft.com/office/drawing/2014/main" xmlns="" id="{00000000-0008-0000-0000-0000AC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645" name="Text Box 76">
          <a:extLst>
            <a:ext uri="{FF2B5EF4-FFF2-40B4-BE49-F238E27FC236}">
              <a16:creationId xmlns:a16="http://schemas.microsoft.com/office/drawing/2014/main" xmlns="" id="{00000000-0008-0000-0000-0000AD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646" name="Text Box 77">
          <a:extLst>
            <a:ext uri="{FF2B5EF4-FFF2-40B4-BE49-F238E27FC236}">
              <a16:creationId xmlns:a16="http://schemas.microsoft.com/office/drawing/2014/main" xmlns="" id="{00000000-0008-0000-0000-0000AE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647" name="Text Box 78">
          <a:extLst>
            <a:ext uri="{FF2B5EF4-FFF2-40B4-BE49-F238E27FC236}">
              <a16:creationId xmlns:a16="http://schemas.microsoft.com/office/drawing/2014/main" xmlns="" id="{00000000-0008-0000-0000-0000AF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648" name="Text Box 79">
          <a:extLst>
            <a:ext uri="{FF2B5EF4-FFF2-40B4-BE49-F238E27FC236}">
              <a16:creationId xmlns:a16="http://schemas.microsoft.com/office/drawing/2014/main" xmlns="" id="{00000000-0008-0000-0000-0000B0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649" name="Text Box 80">
          <a:extLst>
            <a:ext uri="{FF2B5EF4-FFF2-40B4-BE49-F238E27FC236}">
              <a16:creationId xmlns:a16="http://schemas.microsoft.com/office/drawing/2014/main" xmlns="" id="{00000000-0008-0000-0000-0000B1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650" name="Text Box 81">
          <a:extLst>
            <a:ext uri="{FF2B5EF4-FFF2-40B4-BE49-F238E27FC236}">
              <a16:creationId xmlns:a16="http://schemas.microsoft.com/office/drawing/2014/main" xmlns="" id="{00000000-0008-0000-0000-0000B2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651" name="Text Box 3079">
          <a:extLst>
            <a:ext uri="{FF2B5EF4-FFF2-40B4-BE49-F238E27FC236}">
              <a16:creationId xmlns:a16="http://schemas.microsoft.com/office/drawing/2014/main" xmlns="" id="{00000000-0008-0000-0000-0000B3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652" name="Text Box 3080">
          <a:extLst>
            <a:ext uri="{FF2B5EF4-FFF2-40B4-BE49-F238E27FC236}">
              <a16:creationId xmlns:a16="http://schemas.microsoft.com/office/drawing/2014/main" xmlns="" id="{00000000-0008-0000-0000-0000B4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653" name="Text Box 3081">
          <a:extLst>
            <a:ext uri="{FF2B5EF4-FFF2-40B4-BE49-F238E27FC236}">
              <a16:creationId xmlns:a16="http://schemas.microsoft.com/office/drawing/2014/main" xmlns="" id="{00000000-0008-0000-0000-0000B5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654" name="Text Box 3082">
          <a:extLst>
            <a:ext uri="{FF2B5EF4-FFF2-40B4-BE49-F238E27FC236}">
              <a16:creationId xmlns:a16="http://schemas.microsoft.com/office/drawing/2014/main" xmlns="" id="{00000000-0008-0000-0000-0000B6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655" name="Text Box 3083">
          <a:extLst>
            <a:ext uri="{FF2B5EF4-FFF2-40B4-BE49-F238E27FC236}">
              <a16:creationId xmlns:a16="http://schemas.microsoft.com/office/drawing/2014/main" xmlns="" id="{00000000-0008-0000-0000-0000B7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656" name="Text Box 3084">
          <a:extLst>
            <a:ext uri="{FF2B5EF4-FFF2-40B4-BE49-F238E27FC236}">
              <a16:creationId xmlns:a16="http://schemas.microsoft.com/office/drawing/2014/main" xmlns="" id="{00000000-0008-0000-0000-0000B8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657" name="Text Box 3085">
          <a:extLst>
            <a:ext uri="{FF2B5EF4-FFF2-40B4-BE49-F238E27FC236}">
              <a16:creationId xmlns:a16="http://schemas.microsoft.com/office/drawing/2014/main" xmlns="" id="{00000000-0008-0000-0000-0000B9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658" name="Text Box 3086">
          <a:extLst>
            <a:ext uri="{FF2B5EF4-FFF2-40B4-BE49-F238E27FC236}">
              <a16:creationId xmlns:a16="http://schemas.microsoft.com/office/drawing/2014/main" xmlns="" id="{00000000-0008-0000-0000-0000BA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659" name="Text Box 3087">
          <a:extLst>
            <a:ext uri="{FF2B5EF4-FFF2-40B4-BE49-F238E27FC236}">
              <a16:creationId xmlns:a16="http://schemas.microsoft.com/office/drawing/2014/main" xmlns="" id="{00000000-0008-0000-0000-0000BB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660" name="Text Box 3088">
          <a:extLst>
            <a:ext uri="{FF2B5EF4-FFF2-40B4-BE49-F238E27FC236}">
              <a16:creationId xmlns:a16="http://schemas.microsoft.com/office/drawing/2014/main" xmlns="" id="{00000000-0008-0000-0000-0000BC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661" name="Text Box 3089">
          <a:extLst>
            <a:ext uri="{FF2B5EF4-FFF2-40B4-BE49-F238E27FC236}">
              <a16:creationId xmlns:a16="http://schemas.microsoft.com/office/drawing/2014/main" xmlns="" id="{00000000-0008-0000-0000-0000BD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662" name="Text Box 3090">
          <a:extLst>
            <a:ext uri="{FF2B5EF4-FFF2-40B4-BE49-F238E27FC236}">
              <a16:creationId xmlns:a16="http://schemas.microsoft.com/office/drawing/2014/main" xmlns="" id="{00000000-0008-0000-0000-0000BE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663" name="Text Box 3091">
          <a:extLst>
            <a:ext uri="{FF2B5EF4-FFF2-40B4-BE49-F238E27FC236}">
              <a16:creationId xmlns:a16="http://schemas.microsoft.com/office/drawing/2014/main" xmlns="" id="{00000000-0008-0000-0000-0000BF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664" name="Text Box 3092">
          <a:extLst>
            <a:ext uri="{FF2B5EF4-FFF2-40B4-BE49-F238E27FC236}">
              <a16:creationId xmlns:a16="http://schemas.microsoft.com/office/drawing/2014/main" xmlns="" id="{00000000-0008-0000-0000-0000C0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665" name="Text Box 3093">
          <a:extLst>
            <a:ext uri="{FF2B5EF4-FFF2-40B4-BE49-F238E27FC236}">
              <a16:creationId xmlns:a16="http://schemas.microsoft.com/office/drawing/2014/main" xmlns="" id="{00000000-0008-0000-0000-0000C1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666" name="Text Box 3094">
          <a:extLst>
            <a:ext uri="{FF2B5EF4-FFF2-40B4-BE49-F238E27FC236}">
              <a16:creationId xmlns:a16="http://schemas.microsoft.com/office/drawing/2014/main" xmlns="" id="{00000000-0008-0000-0000-0000C2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667" name="Text Box 3095">
          <a:extLst>
            <a:ext uri="{FF2B5EF4-FFF2-40B4-BE49-F238E27FC236}">
              <a16:creationId xmlns:a16="http://schemas.microsoft.com/office/drawing/2014/main" xmlns="" id="{00000000-0008-0000-0000-0000C3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668" name="Text Box 3096">
          <a:extLst>
            <a:ext uri="{FF2B5EF4-FFF2-40B4-BE49-F238E27FC236}">
              <a16:creationId xmlns:a16="http://schemas.microsoft.com/office/drawing/2014/main" xmlns="" id="{00000000-0008-0000-0000-0000C4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669" name="Text Box 3097">
          <a:extLst>
            <a:ext uri="{FF2B5EF4-FFF2-40B4-BE49-F238E27FC236}">
              <a16:creationId xmlns:a16="http://schemas.microsoft.com/office/drawing/2014/main" xmlns="" id="{00000000-0008-0000-0000-0000C5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670" name="Text Box 3098">
          <a:extLst>
            <a:ext uri="{FF2B5EF4-FFF2-40B4-BE49-F238E27FC236}">
              <a16:creationId xmlns:a16="http://schemas.microsoft.com/office/drawing/2014/main" xmlns="" id="{00000000-0008-0000-0000-0000C6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671" name="Text Box 3099">
          <a:extLst>
            <a:ext uri="{FF2B5EF4-FFF2-40B4-BE49-F238E27FC236}">
              <a16:creationId xmlns:a16="http://schemas.microsoft.com/office/drawing/2014/main" xmlns="" id="{00000000-0008-0000-0000-0000C7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672" name="Text Box 3100">
          <a:extLst>
            <a:ext uri="{FF2B5EF4-FFF2-40B4-BE49-F238E27FC236}">
              <a16:creationId xmlns:a16="http://schemas.microsoft.com/office/drawing/2014/main" xmlns="" id="{00000000-0008-0000-0000-0000C8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673" name="Text Box 3101">
          <a:extLst>
            <a:ext uri="{FF2B5EF4-FFF2-40B4-BE49-F238E27FC236}">
              <a16:creationId xmlns:a16="http://schemas.microsoft.com/office/drawing/2014/main" xmlns="" id="{00000000-0008-0000-0000-0000C9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9674" name="Text Box 3102">
          <a:extLst>
            <a:ext uri="{FF2B5EF4-FFF2-40B4-BE49-F238E27FC236}">
              <a16:creationId xmlns:a16="http://schemas.microsoft.com/office/drawing/2014/main" xmlns="" id="{00000000-0008-0000-0000-0000CA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675" name="Text Box 59">
          <a:extLst>
            <a:ext uri="{FF2B5EF4-FFF2-40B4-BE49-F238E27FC236}">
              <a16:creationId xmlns:a16="http://schemas.microsoft.com/office/drawing/2014/main" xmlns="" id="{00000000-0008-0000-0000-0000CB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676" name="Text Box 60">
          <a:extLst>
            <a:ext uri="{FF2B5EF4-FFF2-40B4-BE49-F238E27FC236}">
              <a16:creationId xmlns:a16="http://schemas.microsoft.com/office/drawing/2014/main" xmlns="" id="{00000000-0008-0000-0000-0000CC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677" name="Text Box 61">
          <a:extLst>
            <a:ext uri="{FF2B5EF4-FFF2-40B4-BE49-F238E27FC236}">
              <a16:creationId xmlns:a16="http://schemas.microsoft.com/office/drawing/2014/main" xmlns="" id="{00000000-0008-0000-0000-0000CD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678" name="Text Box 62">
          <a:extLst>
            <a:ext uri="{FF2B5EF4-FFF2-40B4-BE49-F238E27FC236}">
              <a16:creationId xmlns:a16="http://schemas.microsoft.com/office/drawing/2014/main" xmlns="" id="{00000000-0008-0000-0000-0000CE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679" name="Text Box 63">
          <a:extLst>
            <a:ext uri="{FF2B5EF4-FFF2-40B4-BE49-F238E27FC236}">
              <a16:creationId xmlns:a16="http://schemas.microsoft.com/office/drawing/2014/main" xmlns="" id="{00000000-0008-0000-0000-0000CF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680" name="Text Box 64">
          <a:extLst>
            <a:ext uri="{FF2B5EF4-FFF2-40B4-BE49-F238E27FC236}">
              <a16:creationId xmlns:a16="http://schemas.microsoft.com/office/drawing/2014/main" xmlns="" id="{00000000-0008-0000-0000-0000D0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681" name="Text Box 65">
          <a:extLst>
            <a:ext uri="{FF2B5EF4-FFF2-40B4-BE49-F238E27FC236}">
              <a16:creationId xmlns:a16="http://schemas.microsoft.com/office/drawing/2014/main" xmlns="" id="{00000000-0008-0000-0000-0000D1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682" name="Text Box 66">
          <a:extLst>
            <a:ext uri="{FF2B5EF4-FFF2-40B4-BE49-F238E27FC236}">
              <a16:creationId xmlns:a16="http://schemas.microsoft.com/office/drawing/2014/main" xmlns="" id="{00000000-0008-0000-0000-0000D2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683" name="Text Box 67">
          <a:extLst>
            <a:ext uri="{FF2B5EF4-FFF2-40B4-BE49-F238E27FC236}">
              <a16:creationId xmlns:a16="http://schemas.microsoft.com/office/drawing/2014/main" xmlns="" id="{00000000-0008-0000-0000-0000D3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684" name="Text Box 68">
          <a:extLst>
            <a:ext uri="{FF2B5EF4-FFF2-40B4-BE49-F238E27FC236}">
              <a16:creationId xmlns:a16="http://schemas.microsoft.com/office/drawing/2014/main" xmlns="" id="{00000000-0008-0000-0000-0000D4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685" name="Text Box 69">
          <a:extLst>
            <a:ext uri="{FF2B5EF4-FFF2-40B4-BE49-F238E27FC236}">
              <a16:creationId xmlns:a16="http://schemas.microsoft.com/office/drawing/2014/main" xmlns="" id="{00000000-0008-0000-0000-0000D5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686" name="Text Box 70">
          <a:extLst>
            <a:ext uri="{FF2B5EF4-FFF2-40B4-BE49-F238E27FC236}">
              <a16:creationId xmlns:a16="http://schemas.microsoft.com/office/drawing/2014/main" xmlns="" id="{00000000-0008-0000-0000-0000D6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687" name="Text Box 71">
          <a:extLst>
            <a:ext uri="{FF2B5EF4-FFF2-40B4-BE49-F238E27FC236}">
              <a16:creationId xmlns:a16="http://schemas.microsoft.com/office/drawing/2014/main" xmlns="" id="{00000000-0008-0000-0000-0000D7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688" name="Text Box 72">
          <a:extLst>
            <a:ext uri="{FF2B5EF4-FFF2-40B4-BE49-F238E27FC236}">
              <a16:creationId xmlns:a16="http://schemas.microsoft.com/office/drawing/2014/main" xmlns="" id="{00000000-0008-0000-0000-0000D8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689" name="Text Box 73">
          <a:extLst>
            <a:ext uri="{FF2B5EF4-FFF2-40B4-BE49-F238E27FC236}">
              <a16:creationId xmlns:a16="http://schemas.microsoft.com/office/drawing/2014/main" xmlns="" id="{00000000-0008-0000-0000-0000D9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690" name="Text Box 74">
          <a:extLst>
            <a:ext uri="{FF2B5EF4-FFF2-40B4-BE49-F238E27FC236}">
              <a16:creationId xmlns:a16="http://schemas.microsoft.com/office/drawing/2014/main" xmlns="" id="{00000000-0008-0000-0000-0000DA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691" name="Text Box 75">
          <a:extLst>
            <a:ext uri="{FF2B5EF4-FFF2-40B4-BE49-F238E27FC236}">
              <a16:creationId xmlns:a16="http://schemas.microsoft.com/office/drawing/2014/main" xmlns="" id="{00000000-0008-0000-0000-0000DB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692" name="Text Box 76">
          <a:extLst>
            <a:ext uri="{FF2B5EF4-FFF2-40B4-BE49-F238E27FC236}">
              <a16:creationId xmlns:a16="http://schemas.microsoft.com/office/drawing/2014/main" xmlns="" id="{00000000-0008-0000-0000-0000DC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693" name="Text Box 77">
          <a:extLst>
            <a:ext uri="{FF2B5EF4-FFF2-40B4-BE49-F238E27FC236}">
              <a16:creationId xmlns:a16="http://schemas.microsoft.com/office/drawing/2014/main" xmlns="" id="{00000000-0008-0000-0000-0000DD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694" name="Text Box 78">
          <a:extLst>
            <a:ext uri="{FF2B5EF4-FFF2-40B4-BE49-F238E27FC236}">
              <a16:creationId xmlns:a16="http://schemas.microsoft.com/office/drawing/2014/main" xmlns="" id="{00000000-0008-0000-0000-0000DE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695" name="Text Box 79">
          <a:extLst>
            <a:ext uri="{FF2B5EF4-FFF2-40B4-BE49-F238E27FC236}">
              <a16:creationId xmlns:a16="http://schemas.microsoft.com/office/drawing/2014/main" xmlns="" id="{00000000-0008-0000-0000-0000DF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696" name="Text Box 80">
          <a:extLst>
            <a:ext uri="{FF2B5EF4-FFF2-40B4-BE49-F238E27FC236}">
              <a16:creationId xmlns:a16="http://schemas.microsoft.com/office/drawing/2014/main" xmlns="" id="{00000000-0008-0000-0000-0000E0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697" name="Text Box 81">
          <a:extLst>
            <a:ext uri="{FF2B5EF4-FFF2-40B4-BE49-F238E27FC236}">
              <a16:creationId xmlns:a16="http://schemas.microsoft.com/office/drawing/2014/main" xmlns="" id="{00000000-0008-0000-0000-0000E1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47625"/>
    <xdr:sp macro="" textlink="">
      <xdr:nvSpPr>
        <xdr:cNvPr id="9698" name="Text Box 82">
          <a:extLst>
            <a:ext uri="{FF2B5EF4-FFF2-40B4-BE49-F238E27FC236}">
              <a16:creationId xmlns:a16="http://schemas.microsoft.com/office/drawing/2014/main" xmlns="" id="{00000000-0008-0000-0000-0000E2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699" name="Text Box 3079">
          <a:extLst>
            <a:ext uri="{FF2B5EF4-FFF2-40B4-BE49-F238E27FC236}">
              <a16:creationId xmlns:a16="http://schemas.microsoft.com/office/drawing/2014/main" xmlns="" id="{00000000-0008-0000-0000-0000E3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700" name="Text Box 3080">
          <a:extLst>
            <a:ext uri="{FF2B5EF4-FFF2-40B4-BE49-F238E27FC236}">
              <a16:creationId xmlns:a16="http://schemas.microsoft.com/office/drawing/2014/main" xmlns="" id="{00000000-0008-0000-0000-0000E4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701" name="Text Box 3081">
          <a:extLst>
            <a:ext uri="{FF2B5EF4-FFF2-40B4-BE49-F238E27FC236}">
              <a16:creationId xmlns:a16="http://schemas.microsoft.com/office/drawing/2014/main" xmlns="" id="{00000000-0008-0000-0000-0000E5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702" name="Text Box 3082">
          <a:extLst>
            <a:ext uri="{FF2B5EF4-FFF2-40B4-BE49-F238E27FC236}">
              <a16:creationId xmlns:a16="http://schemas.microsoft.com/office/drawing/2014/main" xmlns="" id="{00000000-0008-0000-0000-0000E6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703" name="Text Box 3083">
          <a:extLst>
            <a:ext uri="{FF2B5EF4-FFF2-40B4-BE49-F238E27FC236}">
              <a16:creationId xmlns:a16="http://schemas.microsoft.com/office/drawing/2014/main" xmlns="" id="{00000000-0008-0000-0000-0000E7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704" name="Text Box 3084">
          <a:extLst>
            <a:ext uri="{FF2B5EF4-FFF2-40B4-BE49-F238E27FC236}">
              <a16:creationId xmlns:a16="http://schemas.microsoft.com/office/drawing/2014/main" xmlns="" id="{00000000-0008-0000-0000-0000E8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705" name="Text Box 3085">
          <a:extLst>
            <a:ext uri="{FF2B5EF4-FFF2-40B4-BE49-F238E27FC236}">
              <a16:creationId xmlns:a16="http://schemas.microsoft.com/office/drawing/2014/main" xmlns="" id="{00000000-0008-0000-0000-0000E9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706" name="Text Box 3086">
          <a:extLst>
            <a:ext uri="{FF2B5EF4-FFF2-40B4-BE49-F238E27FC236}">
              <a16:creationId xmlns:a16="http://schemas.microsoft.com/office/drawing/2014/main" xmlns="" id="{00000000-0008-0000-0000-0000EA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707" name="Text Box 3087">
          <a:extLst>
            <a:ext uri="{FF2B5EF4-FFF2-40B4-BE49-F238E27FC236}">
              <a16:creationId xmlns:a16="http://schemas.microsoft.com/office/drawing/2014/main" xmlns="" id="{00000000-0008-0000-0000-0000EB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708" name="Text Box 3088">
          <a:extLst>
            <a:ext uri="{FF2B5EF4-FFF2-40B4-BE49-F238E27FC236}">
              <a16:creationId xmlns:a16="http://schemas.microsoft.com/office/drawing/2014/main" xmlns="" id="{00000000-0008-0000-0000-0000EC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709" name="Text Box 3089">
          <a:extLst>
            <a:ext uri="{FF2B5EF4-FFF2-40B4-BE49-F238E27FC236}">
              <a16:creationId xmlns:a16="http://schemas.microsoft.com/office/drawing/2014/main" xmlns="" id="{00000000-0008-0000-0000-0000ED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710" name="Text Box 3090">
          <a:extLst>
            <a:ext uri="{FF2B5EF4-FFF2-40B4-BE49-F238E27FC236}">
              <a16:creationId xmlns:a16="http://schemas.microsoft.com/office/drawing/2014/main" xmlns="" id="{00000000-0008-0000-0000-0000EE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711" name="Text Box 3091">
          <a:extLst>
            <a:ext uri="{FF2B5EF4-FFF2-40B4-BE49-F238E27FC236}">
              <a16:creationId xmlns:a16="http://schemas.microsoft.com/office/drawing/2014/main" xmlns="" id="{00000000-0008-0000-0000-0000EF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712" name="Text Box 3092">
          <a:extLst>
            <a:ext uri="{FF2B5EF4-FFF2-40B4-BE49-F238E27FC236}">
              <a16:creationId xmlns:a16="http://schemas.microsoft.com/office/drawing/2014/main" xmlns="" id="{00000000-0008-0000-0000-0000F0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713" name="Text Box 3093">
          <a:extLst>
            <a:ext uri="{FF2B5EF4-FFF2-40B4-BE49-F238E27FC236}">
              <a16:creationId xmlns:a16="http://schemas.microsoft.com/office/drawing/2014/main" xmlns="" id="{00000000-0008-0000-0000-0000F1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714" name="Text Box 3094">
          <a:extLst>
            <a:ext uri="{FF2B5EF4-FFF2-40B4-BE49-F238E27FC236}">
              <a16:creationId xmlns:a16="http://schemas.microsoft.com/office/drawing/2014/main" xmlns="" id="{00000000-0008-0000-0000-0000F2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715" name="Text Box 3095">
          <a:extLst>
            <a:ext uri="{FF2B5EF4-FFF2-40B4-BE49-F238E27FC236}">
              <a16:creationId xmlns:a16="http://schemas.microsoft.com/office/drawing/2014/main" xmlns="" id="{00000000-0008-0000-0000-0000F3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716" name="Text Box 3096">
          <a:extLst>
            <a:ext uri="{FF2B5EF4-FFF2-40B4-BE49-F238E27FC236}">
              <a16:creationId xmlns:a16="http://schemas.microsoft.com/office/drawing/2014/main" xmlns="" id="{00000000-0008-0000-0000-0000F4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717" name="Text Box 3097">
          <a:extLst>
            <a:ext uri="{FF2B5EF4-FFF2-40B4-BE49-F238E27FC236}">
              <a16:creationId xmlns:a16="http://schemas.microsoft.com/office/drawing/2014/main" xmlns="" id="{00000000-0008-0000-0000-0000F5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718" name="Text Box 3098">
          <a:extLst>
            <a:ext uri="{FF2B5EF4-FFF2-40B4-BE49-F238E27FC236}">
              <a16:creationId xmlns:a16="http://schemas.microsoft.com/office/drawing/2014/main" xmlns="" id="{00000000-0008-0000-0000-0000F6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719" name="Text Box 3099">
          <a:extLst>
            <a:ext uri="{FF2B5EF4-FFF2-40B4-BE49-F238E27FC236}">
              <a16:creationId xmlns:a16="http://schemas.microsoft.com/office/drawing/2014/main" xmlns="" id="{00000000-0008-0000-0000-0000F7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720" name="Text Box 3100">
          <a:extLst>
            <a:ext uri="{FF2B5EF4-FFF2-40B4-BE49-F238E27FC236}">
              <a16:creationId xmlns:a16="http://schemas.microsoft.com/office/drawing/2014/main" xmlns="" id="{00000000-0008-0000-0000-0000F8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721" name="Text Box 3101">
          <a:extLst>
            <a:ext uri="{FF2B5EF4-FFF2-40B4-BE49-F238E27FC236}">
              <a16:creationId xmlns:a16="http://schemas.microsoft.com/office/drawing/2014/main" xmlns="" id="{00000000-0008-0000-0000-0000F9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9722" name="Text Box 3102">
          <a:extLst>
            <a:ext uri="{FF2B5EF4-FFF2-40B4-BE49-F238E27FC236}">
              <a16:creationId xmlns:a16="http://schemas.microsoft.com/office/drawing/2014/main" xmlns="" id="{00000000-0008-0000-0000-0000FA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723" name="Text Box 59">
          <a:extLst>
            <a:ext uri="{FF2B5EF4-FFF2-40B4-BE49-F238E27FC236}">
              <a16:creationId xmlns:a16="http://schemas.microsoft.com/office/drawing/2014/main" xmlns="" id="{00000000-0008-0000-0000-0000FB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724" name="Text Box 60">
          <a:extLst>
            <a:ext uri="{FF2B5EF4-FFF2-40B4-BE49-F238E27FC236}">
              <a16:creationId xmlns:a16="http://schemas.microsoft.com/office/drawing/2014/main" xmlns="" id="{00000000-0008-0000-0000-0000FC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725" name="Text Box 61">
          <a:extLst>
            <a:ext uri="{FF2B5EF4-FFF2-40B4-BE49-F238E27FC236}">
              <a16:creationId xmlns:a16="http://schemas.microsoft.com/office/drawing/2014/main" xmlns="" id="{00000000-0008-0000-0000-0000FD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726" name="Text Box 62">
          <a:extLst>
            <a:ext uri="{FF2B5EF4-FFF2-40B4-BE49-F238E27FC236}">
              <a16:creationId xmlns:a16="http://schemas.microsoft.com/office/drawing/2014/main" xmlns="" id="{00000000-0008-0000-0000-0000FE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727" name="Text Box 63">
          <a:extLst>
            <a:ext uri="{FF2B5EF4-FFF2-40B4-BE49-F238E27FC236}">
              <a16:creationId xmlns:a16="http://schemas.microsoft.com/office/drawing/2014/main" xmlns="" id="{00000000-0008-0000-0000-0000FF25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728" name="Text Box 64">
          <a:extLst>
            <a:ext uri="{FF2B5EF4-FFF2-40B4-BE49-F238E27FC236}">
              <a16:creationId xmlns:a16="http://schemas.microsoft.com/office/drawing/2014/main" xmlns="" id="{00000000-0008-0000-0000-000000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729" name="Text Box 65">
          <a:extLst>
            <a:ext uri="{FF2B5EF4-FFF2-40B4-BE49-F238E27FC236}">
              <a16:creationId xmlns:a16="http://schemas.microsoft.com/office/drawing/2014/main" xmlns="" id="{00000000-0008-0000-0000-000001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730" name="Text Box 66">
          <a:extLst>
            <a:ext uri="{FF2B5EF4-FFF2-40B4-BE49-F238E27FC236}">
              <a16:creationId xmlns:a16="http://schemas.microsoft.com/office/drawing/2014/main" xmlns="" id="{00000000-0008-0000-0000-000002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731" name="Text Box 67">
          <a:extLst>
            <a:ext uri="{FF2B5EF4-FFF2-40B4-BE49-F238E27FC236}">
              <a16:creationId xmlns:a16="http://schemas.microsoft.com/office/drawing/2014/main" xmlns="" id="{00000000-0008-0000-0000-000003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732" name="Text Box 68">
          <a:extLst>
            <a:ext uri="{FF2B5EF4-FFF2-40B4-BE49-F238E27FC236}">
              <a16:creationId xmlns:a16="http://schemas.microsoft.com/office/drawing/2014/main" xmlns="" id="{00000000-0008-0000-0000-000004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733" name="Text Box 69">
          <a:extLst>
            <a:ext uri="{FF2B5EF4-FFF2-40B4-BE49-F238E27FC236}">
              <a16:creationId xmlns:a16="http://schemas.microsoft.com/office/drawing/2014/main" xmlns="" id="{00000000-0008-0000-0000-000005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734" name="Text Box 70">
          <a:extLst>
            <a:ext uri="{FF2B5EF4-FFF2-40B4-BE49-F238E27FC236}">
              <a16:creationId xmlns:a16="http://schemas.microsoft.com/office/drawing/2014/main" xmlns="" id="{00000000-0008-0000-0000-000006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735" name="Text Box 71">
          <a:extLst>
            <a:ext uri="{FF2B5EF4-FFF2-40B4-BE49-F238E27FC236}">
              <a16:creationId xmlns:a16="http://schemas.microsoft.com/office/drawing/2014/main" xmlns="" id="{00000000-0008-0000-0000-000007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736" name="Text Box 72">
          <a:extLst>
            <a:ext uri="{FF2B5EF4-FFF2-40B4-BE49-F238E27FC236}">
              <a16:creationId xmlns:a16="http://schemas.microsoft.com/office/drawing/2014/main" xmlns="" id="{00000000-0008-0000-0000-000008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737" name="Text Box 73">
          <a:extLst>
            <a:ext uri="{FF2B5EF4-FFF2-40B4-BE49-F238E27FC236}">
              <a16:creationId xmlns:a16="http://schemas.microsoft.com/office/drawing/2014/main" xmlns="" id="{00000000-0008-0000-0000-000009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738" name="Text Box 74">
          <a:extLst>
            <a:ext uri="{FF2B5EF4-FFF2-40B4-BE49-F238E27FC236}">
              <a16:creationId xmlns:a16="http://schemas.microsoft.com/office/drawing/2014/main" xmlns="" id="{00000000-0008-0000-0000-00000A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739" name="Text Box 75">
          <a:extLst>
            <a:ext uri="{FF2B5EF4-FFF2-40B4-BE49-F238E27FC236}">
              <a16:creationId xmlns:a16="http://schemas.microsoft.com/office/drawing/2014/main" xmlns="" id="{00000000-0008-0000-0000-00000B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740" name="Text Box 76">
          <a:extLst>
            <a:ext uri="{FF2B5EF4-FFF2-40B4-BE49-F238E27FC236}">
              <a16:creationId xmlns:a16="http://schemas.microsoft.com/office/drawing/2014/main" xmlns="" id="{00000000-0008-0000-0000-00000C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741" name="Text Box 77">
          <a:extLst>
            <a:ext uri="{FF2B5EF4-FFF2-40B4-BE49-F238E27FC236}">
              <a16:creationId xmlns:a16="http://schemas.microsoft.com/office/drawing/2014/main" xmlns="" id="{00000000-0008-0000-0000-00000D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742" name="Text Box 78">
          <a:extLst>
            <a:ext uri="{FF2B5EF4-FFF2-40B4-BE49-F238E27FC236}">
              <a16:creationId xmlns:a16="http://schemas.microsoft.com/office/drawing/2014/main" xmlns="" id="{00000000-0008-0000-0000-00000E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743" name="Text Box 79">
          <a:extLst>
            <a:ext uri="{FF2B5EF4-FFF2-40B4-BE49-F238E27FC236}">
              <a16:creationId xmlns:a16="http://schemas.microsoft.com/office/drawing/2014/main" xmlns="" id="{00000000-0008-0000-0000-00000F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744" name="Text Box 80">
          <a:extLst>
            <a:ext uri="{FF2B5EF4-FFF2-40B4-BE49-F238E27FC236}">
              <a16:creationId xmlns:a16="http://schemas.microsoft.com/office/drawing/2014/main" xmlns="" id="{00000000-0008-0000-0000-000010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745" name="Text Box 81">
          <a:extLst>
            <a:ext uri="{FF2B5EF4-FFF2-40B4-BE49-F238E27FC236}">
              <a16:creationId xmlns:a16="http://schemas.microsoft.com/office/drawing/2014/main" xmlns="" id="{00000000-0008-0000-0000-000011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746" name="Text Box 3079">
          <a:extLst>
            <a:ext uri="{FF2B5EF4-FFF2-40B4-BE49-F238E27FC236}">
              <a16:creationId xmlns:a16="http://schemas.microsoft.com/office/drawing/2014/main" xmlns="" id="{00000000-0008-0000-0000-000012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747" name="Text Box 3080">
          <a:extLst>
            <a:ext uri="{FF2B5EF4-FFF2-40B4-BE49-F238E27FC236}">
              <a16:creationId xmlns:a16="http://schemas.microsoft.com/office/drawing/2014/main" xmlns="" id="{00000000-0008-0000-0000-000013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748" name="Text Box 3081">
          <a:extLst>
            <a:ext uri="{FF2B5EF4-FFF2-40B4-BE49-F238E27FC236}">
              <a16:creationId xmlns:a16="http://schemas.microsoft.com/office/drawing/2014/main" xmlns="" id="{00000000-0008-0000-0000-000014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749" name="Text Box 3082">
          <a:extLst>
            <a:ext uri="{FF2B5EF4-FFF2-40B4-BE49-F238E27FC236}">
              <a16:creationId xmlns:a16="http://schemas.microsoft.com/office/drawing/2014/main" xmlns="" id="{00000000-0008-0000-0000-000015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750" name="Text Box 3083">
          <a:extLst>
            <a:ext uri="{FF2B5EF4-FFF2-40B4-BE49-F238E27FC236}">
              <a16:creationId xmlns:a16="http://schemas.microsoft.com/office/drawing/2014/main" xmlns="" id="{00000000-0008-0000-0000-000016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751" name="Text Box 3084">
          <a:extLst>
            <a:ext uri="{FF2B5EF4-FFF2-40B4-BE49-F238E27FC236}">
              <a16:creationId xmlns:a16="http://schemas.microsoft.com/office/drawing/2014/main" xmlns="" id="{00000000-0008-0000-0000-000017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752" name="Text Box 3085">
          <a:extLst>
            <a:ext uri="{FF2B5EF4-FFF2-40B4-BE49-F238E27FC236}">
              <a16:creationId xmlns:a16="http://schemas.microsoft.com/office/drawing/2014/main" xmlns="" id="{00000000-0008-0000-0000-000018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753" name="Text Box 3086">
          <a:extLst>
            <a:ext uri="{FF2B5EF4-FFF2-40B4-BE49-F238E27FC236}">
              <a16:creationId xmlns:a16="http://schemas.microsoft.com/office/drawing/2014/main" xmlns="" id="{00000000-0008-0000-0000-000019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754" name="Text Box 3087">
          <a:extLst>
            <a:ext uri="{FF2B5EF4-FFF2-40B4-BE49-F238E27FC236}">
              <a16:creationId xmlns:a16="http://schemas.microsoft.com/office/drawing/2014/main" xmlns="" id="{00000000-0008-0000-0000-00001A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755" name="Text Box 3088">
          <a:extLst>
            <a:ext uri="{FF2B5EF4-FFF2-40B4-BE49-F238E27FC236}">
              <a16:creationId xmlns:a16="http://schemas.microsoft.com/office/drawing/2014/main" xmlns="" id="{00000000-0008-0000-0000-00001B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756" name="Text Box 3089">
          <a:extLst>
            <a:ext uri="{FF2B5EF4-FFF2-40B4-BE49-F238E27FC236}">
              <a16:creationId xmlns:a16="http://schemas.microsoft.com/office/drawing/2014/main" xmlns="" id="{00000000-0008-0000-0000-00001C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757" name="Text Box 3090">
          <a:extLst>
            <a:ext uri="{FF2B5EF4-FFF2-40B4-BE49-F238E27FC236}">
              <a16:creationId xmlns:a16="http://schemas.microsoft.com/office/drawing/2014/main" xmlns="" id="{00000000-0008-0000-0000-00001D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758" name="Text Box 3091">
          <a:extLst>
            <a:ext uri="{FF2B5EF4-FFF2-40B4-BE49-F238E27FC236}">
              <a16:creationId xmlns:a16="http://schemas.microsoft.com/office/drawing/2014/main" xmlns="" id="{00000000-0008-0000-0000-00001E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759" name="Text Box 3092">
          <a:extLst>
            <a:ext uri="{FF2B5EF4-FFF2-40B4-BE49-F238E27FC236}">
              <a16:creationId xmlns:a16="http://schemas.microsoft.com/office/drawing/2014/main" xmlns="" id="{00000000-0008-0000-0000-00001F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760" name="Text Box 3093">
          <a:extLst>
            <a:ext uri="{FF2B5EF4-FFF2-40B4-BE49-F238E27FC236}">
              <a16:creationId xmlns:a16="http://schemas.microsoft.com/office/drawing/2014/main" xmlns="" id="{00000000-0008-0000-0000-000020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761" name="Text Box 3094">
          <a:extLst>
            <a:ext uri="{FF2B5EF4-FFF2-40B4-BE49-F238E27FC236}">
              <a16:creationId xmlns:a16="http://schemas.microsoft.com/office/drawing/2014/main" xmlns="" id="{00000000-0008-0000-0000-000021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762" name="Text Box 3095">
          <a:extLst>
            <a:ext uri="{FF2B5EF4-FFF2-40B4-BE49-F238E27FC236}">
              <a16:creationId xmlns:a16="http://schemas.microsoft.com/office/drawing/2014/main" xmlns="" id="{00000000-0008-0000-0000-000022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763" name="Text Box 3096">
          <a:extLst>
            <a:ext uri="{FF2B5EF4-FFF2-40B4-BE49-F238E27FC236}">
              <a16:creationId xmlns:a16="http://schemas.microsoft.com/office/drawing/2014/main" xmlns="" id="{00000000-0008-0000-0000-000023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764" name="Text Box 3097">
          <a:extLst>
            <a:ext uri="{FF2B5EF4-FFF2-40B4-BE49-F238E27FC236}">
              <a16:creationId xmlns:a16="http://schemas.microsoft.com/office/drawing/2014/main" xmlns="" id="{00000000-0008-0000-0000-000024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765" name="Text Box 3098">
          <a:extLst>
            <a:ext uri="{FF2B5EF4-FFF2-40B4-BE49-F238E27FC236}">
              <a16:creationId xmlns:a16="http://schemas.microsoft.com/office/drawing/2014/main" xmlns="" id="{00000000-0008-0000-0000-000025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766" name="Text Box 3099">
          <a:extLst>
            <a:ext uri="{FF2B5EF4-FFF2-40B4-BE49-F238E27FC236}">
              <a16:creationId xmlns:a16="http://schemas.microsoft.com/office/drawing/2014/main" xmlns="" id="{00000000-0008-0000-0000-000026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767" name="Text Box 3100">
          <a:extLst>
            <a:ext uri="{FF2B5EF4-FFF2-40B4-BE49-F238E27FC236}">
              <a16:creationId xmlns:a16="http://schemas.microsoft.com/office/drawing/2014/main" xmlns="" id="{00000000-0008-0000-0000-000027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768" name="Text Box 3101">
          <a:extLst>
            <a:ext uri="{FF2B5EF4-FFF2-40B4-BE49-F238E27FC236}">
              <a16:creationId xmlns:a16="http://schemas.microsoft.com/office/drawing/2014/main" xmlns="" id="{00000000-0008-0000-0000-000028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9769" name="Text Box 3102">
          <a:extLst>
            <a:ext uri="{FF2B5EF4-FFF2-40B4-BE49-F238E27FC236}">
              <a16:creationId xmlns:a16="http://schemas.microsoft.com/office/drawing/2014/main" xmlns="" id="{00000000-0008-0000-0000-000029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770" name="Text Box 59">
          <a:extLst>
            <a:ext uri="{FF2B5EF4-FFF2-40B4-BE49-F238E27FC236}">
              <a16:creationId xmlns:a16="http://schemas.microsoft.com/office/drawing/2014/main" xmlns="" id="{00000000-0008-0000-0000-00002A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771" name="Text Box 60">
          <a:extLst>
            <a:ext uri="{FF2B5EF4-FFF2-40B4-BE49-F238E27FC236}">
              <a16:creationId xmlns:a16="http://schemas.microsoft.com/office/drawing/2014/main" xmlns="" id="{00000000-0008-0000-0000-00002B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772" name="Text Box 61">
          <a:extLst>
            <a:ext uri="{FF2B5EF4-FFF2-40B4-BE49-F238E27FC236}">
              <a16:creationId xmlns:a16="http://schemas.microsoft.com/office/drawing/2014/main" xmlns="" id="{00000000-0008-0000-0000-00002C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773" name="Text Box 62">
          <a:extLst>
            <a:ext uri="{FF2B5EF4-FFF2-40B4-BE49-F238E27FC236}">
              <a16:creationId xmlns:a16="http://schemas.microsoft.com/office/drawing/2014/main" xmlns="" id="{00000000-0008-0000-0000-00002D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774" name="Text Box 63">
          <a:extLst>
            <a:ext uri="{FF2B5EF4-FFF2-40B4-BE49-F238E27FC236}">
              <a16:creationId xmlns:a16="http://schemas.microsoft.com/office/drawing/2014/main" xmlns="" id="{00000000-0008-0000-0000-00002E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775" name="Text Box 64">
          <a:extLst>
            <a:ext uri="{FF2B5EF4-FFF2-40B4-BE49-F238E27FC236}">
              <a16:creationId xmlns:a16="http://schemas.microsoft.com/office/drawing/2014/main" xmlns="" id="{00000000-0008-0000-0000-00002F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776" name="Text Box 65">
          <a:extLst>
            <a:ext uri="{FF2B5EF4-FFF2-40B4-BE49-F238E27FC236}">
              <a16:creationId xmlns:a16="http://schemas.microsoft.com/office/drawing/2014/main" xmlns="" id="{00000000-0008-0000-0000-000030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777" name="Text Box 66">
          <a:extLst>
            <a:ext uri="{FF2B5EF4-FFF2-40B4-BE49-F238E27FC236}">
              <a16:creationId xmlns:a16="http://schemas.microsoft.com/office/drawing/2014/main" xmlns="" id="{00000000-0008-0000-0000-000031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778" name="Text Box 67">
          <a:extLst>
            <a:ext uri="{FF2B5EF4-FFF2-40B4-BE49-F238E27FC236}">
              <a16:creationId xmlns:a16="http://schemas.microsoft.com/office/drawing/2014/main" xmlns="" id="{00000000-0008-0000-0000-000032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779" name="Text Box 68">
          <a:extLst>
            <a:ext uri="{FF2B5EF4-FFF2-40B4-BE49-F238E27FC236}">
              <a16:creationId xmlns:a16="http://schemas.microsoft.com/office/drawing/2014/main" xmlns="" id="{00000000-0008-0000-0000-000033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780" name="Text Box 69">
          <a:extLst>
            <a:ext uri="{FF2B5EF4-FFF2-40B4-BE49-F238E27FC236}">
              <a16:creationId xmlns:a16="http://schemas.microsoft.com/office/drawing/2014/main" xmlns="" id="{00000000-0008-0000-0000-000034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781" name="Text Box 70">
          <a:extLst>
            <a:ext uri="{FF2B5EF4-FFF2-40B4-BE49-F238E27FC236}">
              <a16:creationId xmlns:a16="http://schemas.microsoft.com/office/drawing/2014/main" xmlns="" id="{00000000-0008-0000-0000-000035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782" name="Text Box 71">
          <a:extLst>
            <a:ext uri="{FF2B5EF4-FFF2-40B4-BE49-F238E27FC236}">
              <a16:creationId xmlns:a16="http://schemas.microsoft.com/office/drawing/2014/main" xmlns="" id="{00000000-0008-0000-0000-000036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783" name="Text Box 72">
          <a:extLst>
            <a:ext uri="{FF2B5EF4-FFF2-40B4-BE49-F238E27FC236}">
              <a16:creationId xmlns:a16="http://schemas.microsoft.com/office/drawing/2014/main" xmlns="" id="{00000000-0008-0000-0000-000037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784" name="Text Box 73">
          <a:extLst>
            <a:ext uri="{FF2B5EF4-FFF2-40B4-BE49-F238E27FC236}">
              <a16:creationId xmlns:a16="http://schemas.microsoft.com/office/drawing/2014/main" xmlns="" id="{00000000-0008-0000-0000-000038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785" name="Text Box 74">
          <a:extLst>
            <a:ext uri="{FF2B5EF4-FFF2-40B4-BE49-F238E27FC236}">
              <a16:creationId xmlns:a16="http://schemas.microsoft.com/office/drawing/2014/main" xmlns="" id="{00000000-0008-0000-0000-000039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786" name="Text Box 75">
          <a:extLst>
            <a:ext uri="{FF2B5EF4-FFF2-40B4-BE49-F238E27FC236}">
              <a16:creationId xmlns:a16="http://schemas.microsoft.com/office/drawing/2014/main" xmlns="" id="{00000000-0008-0000-0000-00003A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787" name="Text Box 76">
          <a:extLst>
            <a:ext uri="{FF2B5EF4-FFF2-40B4-BE49-F238E27FC236}">
              <a16:creationId xmlns:a16="http://schemas.microsoft.com/office/drawing/2014/main" xmlns="" id="{00000000-0008-0000-0000-00003B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788" name="Text Box 77">
          <a:extLst>
            <a:ext uri="{FF2B5EF4-FFF2-40B4-BE49-F238E27FC236}">
              <a16:creationId xmlns:a16="http://schemas.microsoft.com/office/drawing/2014/main" xmlns="" id="{00000000-0008-0000-0000-00003C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789" name="Text Box 78">
          <a:extLst>
            <a:ext uri="{FF2B5EF4-FFF2-40B4-BE49-F238E27FC236}">
              <a16:creationId xmlns:a16="http://schemas.microsoft.com/office/drawing/2014/main" xmlns="" id="{00000000-0008-0000-0000-00003D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790" name="Text Box 79">
          <a:extLst>
            <a:ext uri="{FF2B5EF4-FFF2-40B4-BE49-F238E27FC236}">
              <a16:creationId xmlns:a16="http://schemas.microsoft.com/office/drawing/2014/main" xmlns="" id="{00000000-0008-0000-0000-00003E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791" name="Text Box 80">
          <a:extLst>
            <a:ext uri="{FF2B5EF4-FFF2-40B4-BE49-F238E27FC236}">
              <a16:creationId xmlns:a16="http://schemas.microsoft.com/office/drawing/2014/main" xmlns="" id="{00000000-0008-0000-0000-00003F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792" name="Text Box 81">
          <a:extLst>
            <a:ext uri="{FF2B5EF4-FFF2-40B4-BE49-F238E27FC236}">
              <a16:creationId xmlns:a16="http://schemas.microsoft.com/office/drawing/2014/main" xmlns="" id="{00000000-0008-0000-0000-000040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47625"/>
    <xdr:sp macro="" textlink="">
      <xdr:nvSpPr>
        <xdr:cNvPr id="9793" name="Text Box 82">
          <a:extLst>
            <a:ext uri="{FF2B5EF4-FFF2-40B4-BE49-F238E27FC236}">
              <a16:creationId xmlns:a16="http://schemas.microsoft.com/office/drawing/2014/main" xmlns="" id="{00000000-0008-0000-0000-000041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794" name="Text Box 3079">
          <a:extLst>
            <a:ext uri="{FF2B5EF4-FFF2-40B4-BE49-F238E27FC236}">
              <a16:creationId xmlns:a16="http://schemas.microsoft.com/office/drawing/2014/main" xmlns="" id="{00000000-0008-0000-0000-000042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795" name="Text Box 3080">
          <a:extLst>
            <a:ext uri="{FF2B5EF4-FFF2-40B4-BE49-F238E27FC236}">
              <a16:creationId xmlns:a16="http://schemas.microsoft.com/office/drawing/2014/main" xmlns="" id="{00000000-0008-0000-0000-000043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796" name="Text Box 3081">
          <a:extLst>
            <a:ext uri="{FF2B5EF4-FFF2-40B4-BE49-F238E27FC236}">
              <a16:creationId xmlns:a16="http://schemas.microsoft.com/office/drawing/2014/main" xmlns="" id="{00000000-0008-0000-0000-000044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797" name="Text Box 3082">
          <a:extLst>
            <a:ext uri="{FF2B5EF4-FFF2-40B4-BE49-F238E27FC236}">
              <a16:creationId xmlns:a16="http://schemas.microsoft.com/office/drawing/2014/main" xmlns="" id="{00000000-0008-0000-0000-000045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798" name="Text Box 3083">
          <a:extLst>
            <a:ext uri="{FF2B5EF4-FFF2-40B4-BE49-F238E27FC236}">
              <a16:creationId xmlns:a16="http://schemas.microsoft.com/office/drawing/2014/main" xmlns="" id="{00000000-0008-0000-0000-000046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799" name="Text Box 3084">
          <a:extLst>
            <a:ext uri="{FF2B5EF4-FFF2-40B4-BE49-F238E27FC236}">
              <a16:creationId xmlns:a16="http://schemas.microsoft.com/office/drawing/2014/main" xmlns="" id="{00000000-0008-0000-0000-000047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800" name="Text Box 3085">
          <a:extLst>
            <a:ext uri="{FF2B5EF4-FFF2-40B4-BE49-F238E27FC236}">
              <a16:creationId xmlns:a16="http://schemas.microsoft.com/office/drawing/2014/main" xmlns="" id="{00000000-0008-0000-0000-000048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801" name="Text Box 3086">
          <a:extLst>
            <a:ext uri="{FF2B5EF4-FFF2-40B4-BE49-F238E27FC236}">
              <a16:creationId xmlns:a16="http://schemas.microsoft.com/office/drawing/2014/main" xmlns="" id="{00000000-0008-0000-0000-000049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802" name="Text Box 3087">
          <a:extLst>
            <a:ext uri="{FF2B5EF4-FFF2-40B4-BE49-F238E27FC236}">
              <a16:creationId xmlns:a16="http://schemas.microsoft.com/office/drawing/2014/main" xmlns="" id="{00000000-0008-0000-0000-00004A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803" name="Text Box 3088">
          <a:extLst>
            <a:ext uri="{FF2B5EF4-FFF2-40B4-BE49-F238E27FC236}">
              <a16:creationId xmlns:a16="http://schemas.microsoft.com/office/drawing/2014/main" xmlns="" id="{00000000-0008-0000-0000-00004B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804" name="Text Box 3089">
          <a:extLst>
            <a:ext uri="{FF2B5EF4-FFF2-40B4-BE49-F238E27FC236}">
              <a16:creationId xmlns:a16="http://schemas.microsoft.com/office/drawing/2014/main" xmlns="" id="{00000000-0008-0000-0000-00004C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805" name="Text Box 3090">
          <a:extLst>
            <a:ext uri="{FF2B5EF4-FFF2-40B4-BE49-F238E27FC236}">
              <a16:creationId xmlns:a16="http://schemas.microsoft.com/office/drawing/2014/main" xmlns="" id="{00000000-0008-0000-0000-00004D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806" name="Text Box 3091">
          <a:extLst>
            <a:ext uri="{FF2B5EF4-FFF2-40B4-BE49-F238E27FC236}">
              <a16:creationId xmlns:a16="http://schemas.microsoft.com/office/drawing/2014/main" xmlns="" id="{00000000-0008-0000-0000-00004E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807" name="Text Box 3092">
          <a:extLst>
            <a:ext uri="{FF2B5EF4-FFF2-40B4-BE49-F238E27FC236}">
              <a16:creationId xmlns:a16="http://schemas.microsoft.com/office/drawing/2014/main" xmlns="" id="{00000000-0008-0000-0000-00004F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808" name="Text Box 3093">
          <a:extLst>
            <a:ext uri="{FF2B5EF4-FFF2-40B4-BE49-F238E27FC236}">
              <a16:creationId xmlns:a16="http://schemas.microsoft.com/office/drawing/2014/main" xmlns="" id="{00000000-0008-0000-0000-000050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809" name="Text Box 3094">
          <a:extLst>
            <a:ext uri="{FF2B5EF4-FFF2-40B4-BE49-F238E27FC236}">
              <a16:creationId xmlns:a16="http://schemas.microsoft.com/office/drawing/2014/main" xmlns="" id="{00000000-0008-0000-0000-000051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810" name="Text Box 3095">
          <a:extLst>
            <a:ext uri="{FF2B5EF4-FFF2-40B4-BE49-F238E27FC236}">
              <a16:creationId xmlns:a16="http://schemas.microsoft.com/office/drawing/2014/main" xmlns="" id="{00000000-0008-0000-0000-000052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811" name="Text Box 3096">
          <a:extLst>
            <a:ext uri="{FF2B5EF4-FFF2-40B4-BE49-F238E27FC236}">
              <a16:creationId xmlns:a16="http://schemas.microsoft.com/office/drawing/2014/main" xmlns="" id="{00000000-0008-0000-0000-000053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812" name="Text Box 3097">
          <a:extLst>
            <a:ext uri="{FF2B5EF4-FFF2-40B4-BE49-F238E27FC236}">
              <a16:creationId xmlns:a16="http://schemas.microsoft.com/office/drawing/2014/main" xmlns="" id="{00000000-0008-0000-0000-000054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813" name="Text Box 3098">
          <a:extLst>
            <a:ext uri="{FF2B5EF4-FFF2-40B4-BE49-F238E27FC236}">
              <a16:creationId xmlns:a16="http://schemas.microsoft.com/office/drawing/2014/main" xmlns="" id="{00000000-0008-0000-0000-000055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814" name="Text Box 3099">
          <a:extLst>
            <a:ext uri="{FF2B5EF4-FFF2-40B4-BE49-F238E27FC236}">
              <a16:creationId xmlns:a16="http://schemas.microsoft.com/office/drawing/2014/main" xmlns="" id="{00000000-0008-0000-0000-000056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815" name="Text Box 3100">
          <a:extLst>
            <a:ext uri="{FF2B5EF4-FFF2-40B4-BE49-F238E27FC236}">
              <a16:creationId xmlns:a16="http://schemas.microsoft.com/office/drawing/2014/main" xmlns="" id="{00000000-0008-0000-0000-000057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816" name="Text Box 3101">
          <a:extLst>
            <a:ext uri="{FF2B5EF4-FFF2-40B4-BE49-F238E27FC236}">
              <a16:creationId xmlns:a16="http://schemas.microsoft.com/office/drawing/2014/main" xmlns="" id="{00000000-0008-0000-0000-000058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9817" name="Text Box 3102">
          <a:extLst>
            <a:ext uri="{FF2B5EF4-FFF2-40B4-BE49-F238E27FC236}">
              <a16:creationId xmlns:a16="http://schemas.microsoft.com/office/drawing/2014/main" xmlns="" id="{00000000-0008-0000-0000-000059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818" name="Text Box 59">
          <a:extLst>
            <a:ext uri="{FF2B5EF4-FFF2-40B4-BE49-F238E27FC236}">
              <a16:creationId xmlns:a16="http://schemas.microsoft.com/office/drawing/2014/main" xmlns="" id="{00000000-0008-0000-0000-00005A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819" name="Text Box 60">
          <a:extLst>
            <a:ext uri="{FF2B5EF4-FFF2-40B4-BE49-F238E27FC236}">
              <a16:creationId xmlns:a16="http://schemas.microsoft.com/office/drawing/2014/main" xmlns="" id="{00000000-0008-0000-0000-00005B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820" name="Text Box 61">
          <a:extLst>
            <a:ext uri="{FF2B5EF4-FFF2-40B4-BE49-F238E27FC236}">
              <a16:creationId xmlns:a16="http://schemas.microsoft.com/office/drawing/2014/main" xmlns="" id="{00000000-0008-0000-0000-00005C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821" name="Text Box 62">
          <a:extLst>
            <a:ext uri="{FF2B5EF4-FFF2-40B4-BE49-F238E27FC236}">
              <a16:creationId xmlns:a16="http://schemas.microsoft.com/office/drawing/2014/main" xmlns="" id="{00000000-0008-0000-0000-00005D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822" name="Text Box 63">
          <a:extLst>
            <a:ext uri="{FF2B5EF4-FFF2-40B4-BE49-F238E27FC236}">
              <a16:creationId xmlns:a16="http://schemas.microsoft.com/office/drawing/2014/main" xmlns="" id="{00000000-0008-0000-0000-00005E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823" name="Text Box 64">
          <a:extLst>
            <a:ext uri="{FF2B5EF4-FFF2-40B4-BE49-F238E27FC236}">
              <a16:creationId xmlns:a16="http://schemas.microsoft.com/office/drawing/2014/main" xmlns="" id="{00000000-0008-0000-0000-00005F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824" name="Text Box 65">
          <a:extLst>
            <a:ext uri="{FF2B5EF4-FFF2-40B4-BE49-F238E27FC236}">
              <a16:creationId xmlns:a16="http://schemas.microsoft.com/office/drawing/2014/main" xmlns="" id="{00000000-0008-0000-0000-000060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825" name="Text Box 66">
          <a:extLst>
            <a:ext uri="{FF2B5EF4-FFF2-40B4-BE49-F238E27FC236}">
              <a16:creationId xmlns:a16="http://schemas.microsoft.com/office/drawing/2014/main" xmlns="" id="{00000000-0008-0000-0000-000061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826" name="Text Box 67">
          <a:extLst>
            <a:ext uri="{FF2B5EF4-FFF2-40B4-BE49-F238E27FC236}">
              <a16:creationId xmlns:a16="http://schemas.microsoft.com/office/drawing/2014/main" xmlns="" id="{00000000-0008-0000-0000-000062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827" name="Text Box 68">
          <a:extLst>
            <a:ext uri="{FF2B5EF4-FFF2-40B4-BE49-F238E27FC236}">
              <a16:creationId xmlns:a16="http://schemas.microsoft.com/office/drawing/2014/main" xmlns="" id="{00000000-0008-0000-0000-000063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828" name="Text Box 69">
          <a:extLst>
            <a:ext uri="{FF2B5EF4-FFF2-40B4-BE49-F238E27FC236}">
              <a16:creationId xmlns:a16="http://schemas.microsoft.com/office/drawing/2014/main" xmlns="" id="{00000000-0008-0000-0000-000064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829" name="Text Box 70">
          <a:extLst>
            <a:ext uri="{FF2B5EF4-FFF2-40B4-BE49-F238E27FC236}">
              <a16:creationId xmlns:a16="http://schemas.microsoft.com/office/drawing/2014/main" xmlns="" id="{00000000-0008-0000-0000-000065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830" name="Text Box 71">
          <a:extLst>
            <a:ext uri="{FF2B5EF4-FFF2-40B4-BE49-F238E27FC236}">
              <a16:creationId xmlns:a16="http://schemas.microsoft.com/office/drawing/2014/main" xmlns="" id="{00000000-0008-0000-0000-000066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831" name="Text Box 72">
          <a:extLst>
            <a:ext uri="{FF2B5EF4-FFF2-40B4-BE49-F238E27FC236}">
              <a16:creationId xmlns:a16="http://schemas.microsoft.com/office/drawing/2014/main" xmlns="" id="{00000000-0008-0000-0000-000067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832" name="Text Box 73">
          <a:extLst>
            <a:ext uri="{FF2B5EF4-FFF2-40B4-BE49-F238E27FC236}">
              <a16:creationId xmlns:a16="http://schemas.microsoft.com/office/drawing/2014/main" xmlns="" id="{00000000-0008-0000-0000-000068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833" name="Text Box 74">
          <a:extLst>
            <a:ext uri="{FF2B5EF4-FFF2-40B4-BE49-F238E27FC236}">
              <a16:creationId xmlns:a16="http://schemas.microsoft.com/office/drawing/2014/main" xmlns="" id="{00000000-0008-0000-0000-000069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834" name="Text Box 75">
          <a:extLst>
            <a:ext uri="{FF2B5EF4-FFF2-40B4-BE49-F238E27FC236}">
              <a16:creationId xmlns:a16="http://schemas.microsoft.com/office/drawing/2014/main" xmlns="" id="{00000000-0008-0000-0000-00006A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835" name="Text Box 76">
          <a:extLst>
            <a:ext uri="{FF2B5EF4-FFF2-40B4-BE49-F238E27FC236}">
              <a16:creationId xmlns:a16="http://schemas.microsoft.com/office/drawing/2014/main" xmlns="" id="{00000000-0008-0000-0000-00006B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836" name="Text Box 77">
          <a:extLst>
            <a:ext uri="{FF2B5EF4-FFF2-40B4-BE49-F238E27FC236}">
              <a16:creationId xmlns:a16="http://schemas.microsoft.com/office/drawing/2014/main" xmlns="" id="{00000000-0008-0000-0000-00006C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837" name="Text Box 78">
          <a:extLst>
            <a:ext uri="{FF2B5EF4-FFF2-40B4-BE49-F238E27FC236}">
              <a16:creationId xmlns:a16="http://schemas.microsoft.com/office/drawing/2014/main" xmlns="" id="{00000000-0008-0000-0000-00006D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838" name="Text Box 79">
          <a:extLst>
            <a:ext uri="{FF2B5EF4-FFF2-40B4-BE49-F238E27FC236}">
              <a16:creationId xmlns:a16="http://schemas.microsoft.com/office/drawing/2014/main" xmlns="" id="{00000000-0008-0000-0000-00006E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839" name="Text Box 80">
          <a:extLst>
            <a:ext uri="{FF2B5EF4-FFF2-40B4-BE49-F238E27FC236}">
              <a16:creationId xmlns:a16="http://schemas.microsoft.com/office/drawing/2014/main" xmlns="" id="{00000000-0008-0000-0000-00006F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840" name="Text Box 81">
          <a:extLst>
            <a:ext uri="{FF2B5EF4-FFF2-40B4-BE49-F238E27FC236}">
              <a16:creationId xmlns:a16="http://schemas.microsoft.com/office/drawing/2014/main" xmlns="" id="{00000000-0008-0000-0000-000070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841" name="Text Box 3079">
          <a:extLst>
            <a:ext uri="{FF2B5EF4-FFF2-40B4-BE49-F238E27FC236}">
              <a16:creationId xmlns:a16="http://schemas.microsoft.com/office/drawing/2014/main" xmlns="" id="{00000000-0008-0000-0000-000071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842" name="Text Box 3080">
          <a:extLst>
            <a:ext uri="{FF2B5EF4-FFF2-40B4-BE49-F238E27FC236}">
              <a16:creationId xmlns:a16="http://schemas.microsoft.com/office/drawing/2014/main" xmlns="" id="{00000000-0008-0000-0000-000072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843" name="Text Box 3081">
          <a:extLst>
            <a:ext uri="{FF2B5EF4-FFF2-40B4-BE49-F238E27FC236}">
              <a16:creationId xmlns:a16="http://schemas.microsoft.com/office/drawing/2014/main" xmlns="" id="{00000000-0008-0000-0000-000073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844" name="Text Box 3082">
          <a:extLst>
            <a:ext uri="{FF2B5EF4-FFF2-40B4-BE49-F238E27FC236}">
              <a16:creationId xmlns:a16="http://schemas.microsoft.com/office/drawing/2014/main" xmlns="" id="{00000000-0008-0000-0000-000074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845" name="Text Box 3083">
          <a:extLst>
            <a:ext uri="{FF2B5EF4-FFF2-40B4-BE49-F238E27FC236}">
              <a16:creationId xmlns:a16="http://schemas.microsoft.com/office/drawing/2014/main" xmlns="" id="{00000000-0008-0000-0000-000075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846" name="Text Box 3084">
          <a:extLst>
            <a:ext uri="{FF2B5EF4-FFF2-40B4-BE49-F238E27FC236}">
              <a16:creationId xmlns:a16="http://schemas.microsoft.com/office/drawing/2014/main" xmlns="" id="{00000000-0008-0000-0000-000076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847" name="Text Box 3085">
          <a:extLst>
            <a:ext uri="{FF2B5EF4-FFF2-40B4-BE49-F238E27FC236}">
              <a16:creationId xmlns:a16="http://schemas.microsoft.com/office/drawing/2014/main" xmlns="" id="{00000000-0008-0000-0000-000077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848" name="Text Box 3086">
          <a:extLst>
            <a:ext uri="{FF2B5EF4-FFF2-40B4-BE49-F238E27FC236}">
              <a16:creationId xmlns:a16="http://schemas.microsoft.com/office/drawing/2014/main" xmlns="" id="{00000000-0008-0000-0000-000078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849" name="Text Box 3087">
          <a:extLst>
            <a:ext uri="{FF2B5EF4-FFF2-40B4-BE49-F238E27FC236}">
              <a16:creationId xmlns:a16="http://schemas.microsoft.com/office/drawing/2014/main" xmlns="" id="{00000000-0008-0000-0000-000079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850" name="Text Box 3088">
          <a:extLst>
            <a:ext uri="{FF2B5EF4-FFF2-40B4-BE49-F238E27FC236}">
              <a16:creationId xmlns:a16="http://schemas.microsoft.com/office/drawing/2014/main" xmlns="" id="{00000000-0008-0000-0000-00007A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851" name="Text Box 3089">
          <a:extLst>
            <a:ext uri="{FF2B5EF4-FFF2-40B4-BE49-F238E27FC236}">
              <a16:creationId xmlns:a16="http://schemas.microsoft.com/office/drawing/2014/main" xmlns="" id="{00000000-0008-0000-0000-00007B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852" name="Text Box 3090">
          <a:extLst>
            <a:ext uri="{FF2B5EF4-FFF2-40B4-BE49-F238E27FC236}">
              <a16:creationId xmlns:a16="http://schemas.microsoft.com/office/drawing/2014/main" xmlns="" id="{00000000-0008-0000-0000-00007C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853" name="Text Box 3091">
          <a:extLst>
            <a:ext uri="{FF2B5EF4-FFF2-40B4-BE49-F238E27FC236}">
              <a16:creationId xmlns:a16="http://schemas.microsoft.com/office/drawing/2014/main" xmlns="" id="{00000000-0008-0000-0000-00007D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854" name="Text Box 3092">
          <a:extLst>
            <a:ext uri="{FF2B5EF4-FFF2-40B4-BE49-F238E27FC236}">
              <a16:creationId xmlns:a16="http://schemas.microsoft.com/office/drawing/2014/main" xmlns="" id="{00000000-0008-0000-0000-00007E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855" name="Text Box 3093">
          <a:extLst>
            <a:ext uri="{FF2B5EF4-FFF2-40B4-BE49-F238E27FC236}">
              <a16:creationId xmlns:a16="http://schemas.microsoft.com/office/drawing/2014/main" xmlns="" id="{00000000-0008-0000-0000-00007F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856" name="Text Box 3094">
          <a:extLst>
            <a:ext uri="{FF2B5EF4-FFF2-40B4-BE49-F238E27FC236}">
              <a16:creationId xmlns:a16="http://schemas.microsoft.com/office/drawing/2014/main" xmlns="" id="{00000000-0008-0000-0000-000080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857" name="Text Box 3095">
          <a:extLst>
            <a:ext uri="{FF2B5EF4-FFF2-40B4-BE49-F238E27FC236}">
              <a16:creationId xmlns:a16="http://schemas.microsoft.com/office/drawing/2014/main" xmlns="" id="{00000000-0008-0000-0000-000081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858" name="Text Box 3096">
          <a:extLst>
            <a:ext uri="{FF2B5EF4-FFF2-40B4-BE49-F238E27FC236}">
              <a16:creationId xmlns:a16="http://schemas.microsoft.com/office/drawing/2014/main" xmlns="" id="{00000000-0008-0000-0000-000082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859" name="Text Box 3097">
          <a:extLst>
            <a:ext uri="{FF2B5EF4-FFF2-40B4-BE49-F238E27FC236}">
              <a16:creationId xmlns:a16="http://schemas.microsoft.com/office/drawing/2014/main" xmlns="" id="{00000000-0008-0000-0000-000083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860" name="Text Box 3098">
          <a:extLst>
            <a:ext uri="{FF2B5EF4-FFF2-40B4-BE49-F238E27FC236}">
              <a16:creationId xmlns:a16="http://schemas.microsoft.com/office/drawing/2014/main" xmlns="" id="{00000000-0008-0000-0000-000084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861" name="Text Box 3099">
          <a:extLst>
            <a:ext uri="{FF2B5EF4-FFF2-40B4-BE49-F238E27FC236}">
              <a16:creationId xmlns:a16="http://schemas.microsoft.com/office/drawing/2014/main" xmlns="" id="{00000000-0008-0000-0000-000085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862" name="Text Box 3100">
          <a:extLst>
            <a:ext uri="{FF2B5EF4-FFF2-40B4-BE49-F238E27FC236}">
              <a16:creationId xmlns:a16="http://schemas.microsoft.com/office/drawing/2014/main" xmlns="" id="{00000000-0008-0000-0000-000086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863" name="Text Box 3101">
          <a:extLst>
            <a:ext uri="{FF2B5EF4-FFF2-40B4-BE49-F238E27FC236}">
              <a16:creationId xmlns:a16="http://schemas.microsoft.com/office/drawing/2014/main" xmlns="" id="{00000000-0008-0000-0000-000087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9864" name="Text Box 3102">
          <a:extLst>
            <a:ext uri="{FF2B5EF4-FFF2-40B4-BE49-F238E27FC236}">
              <a16:creationId xmlns:a16="http://schemas.microsoft.com/office/drawing/2014/main" xmlns="" id="{00000000-0008-0000-0000-000088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865" name="Text Box 59">
          <a:extLst>
            <a:ext uri="{FF2B5EF4-FFF2-40B4-BE49-F238E27FC236}">
              <a16:creationId xmlns:a16="http://schemas.microsoft.com/office/drawing/2014/main" xmlns="" id="{00000000-0008-0000-0000-000089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866" name="Text Box 60">
          <a:extLst>
            <a:ext uri="{FF2B5EF4-FFF2-40B4-BE49-F238E27FC236}">
              <a16:creationId xmlns:a16="http://schemas.microsoft.com/office/drawing/2014/main" xmlns="" id="{00000000-0008-0000-0000-00008A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867" name="Text Box 61">
          <a:extLst>
            <a:ext uri="{FF2B5EF4-FFF2-40B4-BE49-F238E27FC236}">
              <a16:creationId xmlns:a16="http://schemas.microsoft.com/office/drawing/2014/main" xmlns="" id="{00000000-0008-0000-0000-00008B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868" name="Text Box 62">
          <a:extLst>
            <a:ext uri="{FF2B5EF4-FFF2-40B4-BE49-F238E27FC236}">
              <a16:creationId xmlns:a16="http://schemas.microsoft.com/office/drawing/2014/main" xmlns="" id="{00000000-0008-0000-0000-00008C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869" name="Text Box 63">
          <a:extLst>
            <a:ext uri="{FF2B5EF4-FFF2-40B4-BE49-F238E27FC236}">
              <a16:creationId xmlns:a16="http://schemas.microsoft.com/office/drawing/2014/main" xmlns="" id="{00000000-0008-0000-0000-00008D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870" name="Text Box 64">
          <a:extLst>
            <a:ext uri="{FF2B5EF4-FFF2-40B4-BE49-F238E27FC236}">
              <a16:creationId xmlns:a16="http://schemas.microsoft.com/office/drawing/2014/main" xmlns="" id="{00000000-0008-0000-0000-00008E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871" name="Text Box 65">
          <a:extLst>
            <a:ext uri="{FF2B5EF4-FFF2-40B4-BE49-F238E27FC236}">
              <a16:creationId xmlns:a16="http://schemas.microsoft.com/office/drawing/2014/main" xmlns="" id="{00000000-0008-0000-0000-00008F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872" name="Text Box 66">
          <a:extLst>
            <a:ext uri="{FF2B5EF4-FFF2-40B4-BE49-F238E27FC236}">
              <a16:creationId xmlns:a16="http://schemas.microsoft.com/office/drawing/2014/main" xmlns="" id="{00000000-0008-0000-0000-000090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873" name="Text Box 67">
          <a:extLst>
            <a:ext uri="{FF2B5EF4-FFF2-40B4-BE49-F238E27FC236}">
              <a16:creationId xmlns:a16="http://schemas.microsoft.com/office/drawing/2014/main" xmlns="" id="{00000000-0008-0000-0000-000091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874" name="Text Box 68">
          <a:extLst>
            <a:ext uri="{FF2B5EF4-FFF2-40B4-BE49-F238E27FC236}">
              <a16:creationId xmlns:a16="http://schemas.microsoft.com/office/drawing/2014/main" xmlns="" id="{00000000-0008-0000-0000-000092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875" name="Text Box 69">
          <a:extLst>
            <a:ext uri="{FF2B5EF4-FFF2-40B4-BE49-F238E27FC236}">
              <a16:creationId xmlns:a16="http://schemas.microsoft.com/office/drawing/2014/main" xmlns="" id="{00000000-0008-0000-0000-000093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876" name="Text Box 70">
          <a:extLst>
            <a:ext uri="{FF2B5EF4-FFF2-40B4-BE49-F238E27FC236}">
              <a16:creationId xmlns:a16="http://schemas.microsoft.com/office/drawing/2014/main" xmlns="" id="{00000000-0008-0000-0000-000094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877" name="Text Box 71">
          <a:extLst>
            <a:ext uri="{FF2B5EF4-FFF2-40B4-BE49-F238E27FC236}">
              <a16:creationId xmlns:a16="http://schemas.microsoft.com/office/drawing/2014/main" xmlns="" id="{00000000-0008-0000-0000-000095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878" name="Text Box 72">
          <a:extLst>
            <a:ext uri="{FF2B5EF4-FFF2-40B4-BE49-F238E27FC236}">
              <a16:creationId xmlns:a16="http://schemas.microsoft.com/office/drawing/2014/main" xmlns="" id="{00000000-0008-0000-0000-000096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879" name="Text Box 73">
          <a:extLst>
            <a:ext uri="{FF2B5EF4-FFF2-40B4-BE49-F238E27FC236}">
              <a16:creationId xmlns:a16="http://schemas.microsoft.com/office/drawing/2014/main" xmlns="" id="{00000000-0008-0000-0000-000097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880" name="Text Box 74">
          <a:extLst>
            <a:ext uri="{FF2B5EF4-FFF2-40B4-BE49-F238E27FC236}">
              <a16:creationId xmlns:a16="http://schemas.microsoft.com/office/drawing/2014/main" xmlns="" id="{00000000-0008-0000-0000-000098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881" name="Text Box 75">
          <a:extLst>
            <a:ext uri="{FF2B5EF4-FFF2-40B4-BE49-F238E27FC236}">
              <a16:creationId xmlns:a16="http://schemas.microsoft.com/office/drawing/2014/main" xmlns="" id="{00000000-0008-0000-0000-000099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882" name="Text Box 76">
          <a:extLst>
            <a:ext uri="{FF2B5EF4-FFF2-40B4-BE49-F238E27FC236}">
              <a16:creationId xmlns:a16="http://schemas.microsoft.com/office/drawing/2014/main" xmlns="" id="{00000000-0008-0000-0000-00009A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883" name="Text Box 77">
          <a:extLst>
            <a:ext uri="{FF2B5EF4-FFF2-40B4-BE49-F238E27FC236}">
              <a16:creationId xmlns:a16="http://schemas.microsoft.com/office/drawing/2014/main" xmlns="" id="{00000000-0008-0000-0000-00009B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884" name="Text Box 78">
          <a:extLst>
            <a:ext uri="{FF2B5EF4-FFF2-40B4-BE49-F238E27FC236}">
              <a16:creationId xmlns:a16="http://schemas.microsoft.com/office/drawing/2014/main" xmlns="" id="{00000000-0008-0000-0000-00009C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885" name="Text Box 79">
          <a:extLst>
            <a:ext uri="{FF2B5EF4-FFF2-40B4-BE49-F238E27FC236}">
              <a16:creationId xmlns:a16="http://schemas.microsoft.com/office/drawing/2014/main" xmlns="" id="{00000000-0008-0000-0000-00009D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886" name="Text Box 80">
          <a:extLst>
            <a:ext uri="{FF2B5EF4-FFF2-40B4-BE49-F238E27FC236}">
              <a16:creationId xmlns:a16="http://schemas.microsoft.com/office/drawing/2014/main" xmlns="" id="{00000000-0008-0000-0000-00009E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887" name="Text Box 81">
          <a:extLst>
            <a:ext uri="{FF2B5EF4-FFF2-40B4-BE49-F238E27FC236}">
              <a16:creationId xmlns:a16="http://schemas.microsoft.com/office/drawing/2014/main" xmlns="" id="{00000000-0008-0000-0000-00009F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47625"/>
    <xdr:sp macro="" textlink="">
      <xdr:nvSpPr>
        <xdr:cNvPr id="9888" name="Text Box 82">
          <a:extLst>
            <a:ext uri="{FF2B5EF4-FFF2-40B4-BE49-F238E27FC236}">
              <a16:creationId xmlns:a16="http://schemas.microsoft.com/office/drawing/2014/main" xmlns="" id="{00000000-0008-0000-0000-0000A0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889" name="Text Box 3079">
          <a:extLst>
            <a:ext uri="{FF2B5EF4-FFF2-40B4-BE49-F238E27FC236}">
              <a16:creationId xmlns:a16="http://schemas.microsoft.com/office/drawing/2014/main" xmlns="" id="{00000000-0008-0000-0000-0000A1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890" name="Text Box 3080">
          <a:extLst>
            <a:ext uri="{FF2B5EF4-FFF2-40B4-BE49-F238E27FC236}">
              <a16:creationId xmlns:a16="http://schemas.microsoft.com/office/drawing/2014/main" xmlns="" id="{00000000-0008-0000-0000-0000A2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891" name="Text Box 3081">
          <a:extLst>
            <a:ext uri="{FF2B5EF4-FFF2-40B4-BE49-F238E27FC236}">
              <a16:creationId xmlns:a16="http://schemas.microsoft.com/office/drawing/2014/main" xmlns="" id="{00000000-0008-0000-0000-0000A3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892" name="Text Box 3082">
          <a:extLst>
            <a:ext uri="{FF2B5EF4-FFF2-40B4-BE49-F238E27FC236}">
              <a16:creationId xmlns:a16="http://schemas.microsoft.com/office/drawing/2014/main" xmlns="" id="{00000000-0008-0000-0000-0000A4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893" name="Text Box 3083">
          <a:extLst>
            <a:ext uri="{FF2B5EF4-FFF2-40B4-BE49-F238E27FC236}">
              <a16:creationId xmlns:a16="http://schemas.microsoft.com/office/drawing/2014/main" xmlns="" id="{00000000-0008-0000-0000-0000A5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894" name="Text Box 3084">
          <a:extLst>
            <a:ext uri="{FF2B5EF4-FFF2-40B4-BE49-F238E27FC236}">
              <a16:creationId xmlns:a16="http://schemas.microsoft.com/office/drawing/2014/main" xmlns="" id="{00000000-0008-0000-0000-0000A6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895" name="Text Box 3085">
          <a:extLst>
            <a:ext uri="{FF2B5EF4-FFF2-40B4-BE49-F238E27FC236}">
              <a16:creationId xmlns:a16="http://schemas.microsoft.com/office/drawing/2014/main" xmlns="" id="{00000000-0008-0000-0000-0000A7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896" name="Text Box 3086">
          <a:extLst>
            <a:ext uri="{FF2B5EF4-FFF2-40B4-BE49-F238E27FC236}">
              <a16:creationId xmlns:a16="http://schemas.microsoft.com/office/drawing/2014/main" xmlns="" id="{00000000-0008-0000-0000-0000A8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897" name="Text Box 3087">
          <a:extLst>
            <a:ext uri="{FF2B5EF4-FFF2-40B4-BE49-F238E27FC236}">
              <a16:creationId xmlns:a16="http://schemas.microsoft.com/office/drawing/2014/main" xmlns="" id="{00000000-0008-0000-0000-0000A9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898" name="Text Box 3088">
          <a:extLst>
            <a:ext uri="{FF2B5EF4-FFF2-40B4-BE49-F238E27FC236}">
              <a16:creationId xmlns:a16="http://schemas.microsoft.com/office/drawing/2014/main" xmlns="" id="{00000000-0008-0000-0000-0000AA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899" name="Text Box 3089">
          <a:extLst>
            <a:ext uri="{FF2B5EF4-FFF2-40B4-BE49-F238E27FC236}">
              <a16:creationId xmlns:a16="http://schemas.microsoft.com/office/drawing/2014/main" xmlns="" id="{00000000-0008-0000-0000-0000AB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900" name="Text Box 3090">
          <a:extLst>
            <a:ext uri="{FF2B5EF4-FFF2-40B4-BE49-F238E27FC236}">
              <a16:creationId xmlns:a16="http://schemas.microsoft.com/office/drawing/2014/main" xmlns="" id="{00000000-0008-0000-0000-0000AC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901" name="Text Box 3091">
          <a:extLst>
            <a:ext uri="{FF2B5EF4-FFF2-40B4-BE49-F238E27FC236}">
              <a16:creationId xmlns:a16="http://schemas.microsoft.com/office/drawing/2014/main" xmlns="" id="{00000000-0008-0000-0000-0000AD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902" name="Text Box 3092">
          <a:extLst>
            <a:ext uri="{FF2B5EF4-FFF2-40B4-BE49-F238E27FC236}">
              <a16:creationId xmlns:a16="http://schemas.microsoft.com/office/drawing/2014/main" xmlns="" id="{00000000-0008-0000-0000-0000AE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903" name="Text Box 3093">
          <a:extLst>
            <a:ext uri="{FF2B5EF4-FFF2-40B4-BE49-F238E27FC236}">
              <a16:creationId xmlns:a16="http://schemas.microsoft.com/office/drawing/2014/main" xmlns="" id="{00000000-0008-0000-0000-0000AF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904" name="Text Box 3094">
          <a:extLst>
            <a:ext uri="{FF2B5EF4-FFF2-40B4-BE49-F238E27FC236}">
              <a16:creationId xmlns:a16="http://schemas.microsoft.com/office/drawing/2014/main" xmlns="" id="{00000000-0008-0000-0000-0000B0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905" name="Text Box 3095">
          <a:extLst>
            <a:ext uri="{FF2B5EF4-FFF2-40B4-BE49-F238E27FC236}">
              <a16:creationId xmlns:a16="http://schemas.microsoft.com/office/drawing/2014/main" xmlns="" id="{00000000-0008-0000-0000-0000B1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906" name="Text Box 3096">
          <a:extLst>
            <a:ext uri="{FF2B5EF4-FFF2-40B4-BE49-F238E27FC236}">
              <a16:creationId xmlns:a16="http://schemas.microsoft.com/office/drawing/2014/main" xmlns="" id="{00000000-0008-0000-0000-0000B2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907" name="Text Box 3097">
          <a:extLst>
            <a:ext uri="{FF2B5EF4-FFF2-40B4-BE49-F238E27FC236}">
              <a16:creationId xmlns:a16="http://schemas.microsoft.com/office/drawing/2014/main" xmlns="" id="{00000000-0008-0000-0000-0000B3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908" name="Text Box 3098">
          <a:extLst>
            <a:ext uri="{FF2B5EF4-FFF2-40B4-BE49-F238E27FC236}">
              <a16:creationId xmlns:a16="http://schemas.microsoft.com/office/drawing/2014/main" xmlns="" id="{00000000-0008-0000-0000-0000B4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909" name="Text Box 3099">
          <a:extLst>
            <a:ext uri="{FF2B5EF4-FFF2-40B4-BE49-F238E27FC236}">
              <a16:creationId xmlns:a16="http://schemas.microsoft.com/office/drawing/2014/main" xmlns="" id="{00000000-0008-0000-0000-0000B5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910" name="Text Box 3100">
          <a:extLst>
            <a:ext uri="{FF2B5EF4-FFF2-40B4-BE49-F238E27FC236}">
              <a16:creationId xmlns:a16="http://schemas.microsoft.com/office/drawing/2014/main" xmlns="" id="{00000000-0008-0000-0000-0000B6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911" name="Text Box 3101">
          <a:extLst>
            <a:ext uri="{FF2B5EF4-FFF2-40B4-BE49-F238E27FC236}">
              <a16:creationId xmlns:a16="http://schemas.microsoft.com/office/drawing/2014/main" xmlns="" id="{00000000-0008-0000-0000-0000B7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9912" name="Text Box 3102">
          <a:extLst>
            <a:ext uri="{FF2B5EF4-FFF2-40B4-BE49-F238E27FC236}">
              <a16:creationId xmlns:a16="http://schemas.microsoft.com/office/drawing/2014/main" xmlns="" id="{00000000-0008-0000-0000-0000B8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913" name="Text Box 59">
          <a:extLst>
            <a:ext uri="{FF2B5EF4-FFF2-40B4-BE49-F238E27FC236}">
              <a16:creationId xmlns:a16="http://schemas.microsoft.com/office/drawing/2014/main" xmlns="" id="{00000000-0008-0000-0000-0000B9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914" name="Text Box 60">
          <a:extLst>
            <a:ext uri="{FF2B5EF4-FFF2-40B4-BE49-F238E27FC236}">
              <a16:creationId xmlns:a16="http://schemas.microsoft.com/office/drawing/2014/main" xmlns="" id="{00000000-0008-0000-0000-0000BA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915" name="Text Box 61">
          <a:extLst>
            <a:ext uri="{FF2B5EF4-FFF2-40B4-BE49-F238E27FC236}">
              <a16:creationId xmlns:a16="http://schemas.microsoft.com/office/drawing/2014/main" xmlns="" id="{00000000-0008-0000-0000-0000BB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916" name="Text Box 62">
          <a:extLst>
            <a:ext uri="{FF2B5EF4-FFF2-40B4-BE49-F238E27FC236}">
              <a16:creationId xmlns:a16="http://schemas.microsoft.com/office/drawing/2014/main" xmlns="" id="{00000000-0008-0000-0000-0000BC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917" name="Text Box 63">
          <a:extLst>
            <a:ext uri="{FF2B5EF4-FFF2-40B4-BE49-F238E27FC236}">
              <a16:creationId xmlns:a16="http://schemas.microsoft.com/office/drawing/2014/main" xmlns="" id="{00000000-0008-0000-0000-0000BD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918" name="Text Box 64">
          <a:extLst>
            <a:ext uri="{FF2B5EF4-FFF2-40B4-BE49-F238E27FC236}">
              <a16:creationId xmlns:a16="http://schemas.microsoft.com/office/drawing/2014/main" xmlns="" id="{00000000-0008-0000-0000-0000BE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919" name="Text Box 65">
          <a:extLst>
            <a:ext uri="{FF2B5EF4-FFF2-40B4-BE49-F238E27FC236}">
              <a16:creationId xmlns:a16="http://schemas.microsoft.com/office/drawing/2014/main" xmlns="" id="{00000000-0008-0000-0000-0000BF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920" name="Text Box 66">
          <a:extLst>
            <a:ext uri="{FF2B5EF4-FFF2-40B4-BE49-F238E27FC236}">
              <a16:creationId xmlns:a16="http://schemas.microsoft.com/office/drawing/2014/main" xmlns="" id="{00000000-0008-0000-0000-0000C0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921" name="Text Box 67">
          <a:extLst>
            <a:ext uri="{FF2B5EF4-FFF2-40B4-BE49-F238E27FC236}">
              <a16:creationId xmlns:a16="http://schemas.microsoft.com/office/drawing/2014/main" xmlns="" id="{00000000-0008-0000-0000-0000C1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922" name="Text Box 68">
          <a:extLst>
            <a:ext uri="{FF2B5EF4-FFF2-40B4-BE49-F238E27FC236}">
              <a16:creationId xmlns:a16="http://schemas.microsoft.com/office/drawing/2014/main" xmlns="" id="{00000000-0008-0000-0000-0000C2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923" name="Text Box 69">
          <a:extLst>
            <a:ext uri="{FF2B5EF4-FFF2-40B4-BE49-F238E27FC236}">
              <a16:creationId xmlns:a16="http://schemas.microsoft.com/office/drawing/2014/main" xmlns="" id="{00000000-0008-0000-0000-0000C3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924" name="Text Box 70">
          <a:extLst>
            <a:ext uri="{FF2B5EF4-FFF2-40B4-BE49-F238E27FC236}">
              <a16:creationId xmlns:a16="http://schemas.microsoft.com/office/drawing/2014/main" xmlns="" id="{00000000-0008-0000-0000-0000C4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925" name="Text Box 71">
          <a:extLst>
            <a:ext uri="{FF2B5EF4-FFF2-40B4-BE49-F238E27FC236}">
              <a16:creationId xmlns:a16="http://schemas.microsoft.com/office/drawing/2014/main" xmlns="" id="{00000000-0008-0000-0000-0000C5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926" name="Text Box 72">
          <a:extLst>
            <a:ext uri="{FF2B5EF4-FFF2-40B4-BE49-F238E27FC236}">
              <a16:creationId xmlns:a16="http://schemas.microsoft.com/office/drawing/2014/main" xmlns="" id="{00000000-0008-0000-0000-0000C6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927" name="Text Box 73">
          <a:extLst>
            <a:ext uri="{FF2B5EF4-FFF2-40B4-BE49-F238E27FC236}">
              <a16:creationId xmlns:a16="http://schemas.microsoft.com/office/drawing/2014/main" xmlns="" id="{00000000-0008-0000-0000-0000C7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928" name="Text Box 74">
          <a:extLst>
            <a:ext uri="{FF2B5EF4-FFF2-40B4-BE49-F238E27FC236}">
              <a16:creationId xmlns:a16="http://schemas.microsoft.com/office/drawing/2014/main" xmlns="" id="{00000000-0008-0000-0000-0000C8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929" name="Text Box 75">
          <a:extLst>
            <a:ext uri="{FF2B5EF4-FFF2-40B4-BE49-F238E27FC236}">
              <a16:creationId xmlns:a16="http://schemas.microsoft.com/office/drawing/2014/main" xmlns="" id="{00000000-0008-0000-0000-0000C9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930" name="Text Box 76">
          <a:extLst>
            <a:ext uri="{FF2B5EF4-FFF2-40B4-BE49-F238E27FC236}">
              <a16:creationId xmlns:a16="http://schemas.microsoft.com/office/drawing/2014/main" xmlns="" id="{00000000-0008-0000-0000-0000CA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931" name="Text Box 77">
          <a:extLst>
            <a:ext uri="{FF2B5EF4-FFF2-40B4-BE49-F238E27FC236}">
              <a16:creationId xmlns:a16="http://schemas.microsoft.com/office/drawing/2014/main" xmlns="" id="{00000000-0008-0000-0000-0000CB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932" name="Text Box 78">
          <a:extLst>
            <a:ext uri="{FF2B5EF4-FFF2-40B4-BE49-F238E27FC236}">
              <a16:creationId xmlns:a16="http://schemas.microsoft.com/office/drawing/2014/main" xmlns="" id="{00000000-0008-0000-0000-0000CC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933" name="Text Box 79">
          <a:extLst>
            <a:ext uri="{FF2B5EF4-FFF2-40B4-BE49-F238E27FC236}">
              <a16:creationId xmlns:a16="http://schemas.microsoft.com/office/drawing/2014/main" xmlns="" id="{00000000-0008-0000-0000-0000CD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934" name="Text Box 80">
          <a:extLst>
            <a:ext uri="{FF2B5EF4-FFF2-40B4-BE49-F238E27FC236}">
              <a16:creationId xmlns:a16="http://schemas.microsoft.com/office/drawing/2014/main" xmlns="" id="{00000000-0008-0000-0000-0000CE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935" name="Text Box 81">
          <a:extLst>
            <a:ext uri="{FF2B5EF4-FFF2-40B4-BE49-F238E27FC236}">
              <a16:creationId xmlns:a16="http://schemas.microsoft.com/office/drawing/2014/main" xmlns="" id="{00000000-0008-0000-0000-0000CF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936" name="Text Box 3079">
          <a:extLst>
            <a:ext uri="{FF2B5EF4-FFF2-40B4-BE49-F238E27FC236}">
              <a16:creationId xmlns:a16="http://schemas.microsoft.com/office/drawing/2014/main" xmlns="" id="{00000000-0008-0000-0000-0000D0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937" name="Text Box 3080">
          <a:extLst>
            <a:ext uri="{FF2B5EF4-FFF2-40B4-BE49-F238E27FC236}">
              <a16:creationId xmlns:a16="http://schemas.microsoft.com/office/drawing/2014/main" xmlns="" id="{00000000-0008-0000-0000-0000D1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938" name="Text Box 3081">
          <a:extLst>
            <a:ext uri="{FF2B5EF4-FFF2-40B4-BE49-F238E27FC236}">
              <a16:creationId xmlns:a16="http://schemas.microsoft.com/office/drawing/2014/main" xmlns="" id="{00000000-0008-0000-0000-0000D2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939" name="Text Box 3082">
          <a:extLst>
            <a:ext uri="{FF2B5EF4-FFF2-40B4-BE49-F238E27FC236}">
              <a16:creationId xmlns:a16="http://schemas.microsoft.com/office/drawing/2014/main" xmlns="" id="{00000000-0008-0000-0000-0000D3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940" name="Text Box 3083">
          <a:extLst>
            <a:ext uri="{FF2B5EF4-FFF2-40B4-BE49-F238E27FC236}">
              <a16:creationId xmlns:a16="http://schemas.microsoft.com/office/drawing/2014/main" xmlns="" id="{00000000-0008-0000-0000-0000D4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941" name="Text Box 3084">
          <a:extLst>
            <a:ext uri="{FF2B5EF4-FFF2-40B4-BE49-F238E27FC236}">
              <a16:creationId xmlns:a16="http://schemas.microsoft.com/office/drawing/2014/main" xmlns="" id="{00000000-0008-0000-0000-0000D5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942" name="Text Box 3085">
          <a:extLst>
            <a:ext uri="{FF2B5EF4-FFF2-40B4-BE49-F238E27FC236}">
              <a16:creationId xmlns:a16="http://schemas.microsoft.com/office/drawing/2014/main" xmlns="" id="{00000000-0008-0000-0000-0000D6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943" name="Text Box 3086">
          <a:extLst>
            <a:ext uri="{FF2B5EF4-FFF2-40B4-BE49-F238E27FC236}">
              <a16:creationId xmlns:a16="http://schemas.microsoft.com/office/drawing/2014/main" xmlns="" id="{00000000-0008-0000-0000-0000D7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944" name="Text Box 3087">
          <a:extLst>
            <a:ext uri="{FF2B5EF4-FFF2-40B4-BE49-F238E27FC236}">
              <a16:creationId xmlns:a16="http://schemas.microsoft.com/office/drawing/2014/main" xmlns="" id="{00000000-0008-0000-0000-0000D8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945" name="Text Box 3088">
          <a:extLst>
            <a:ext uri="{FF2B5EF4-FFF2-40B4-BE49-F238E27FC236}">
              <a16:creationId xmlns:a16="http://schemas.microsoft.com/office/drawing/2014/main" xmlns="" id="{00000000-0008-0000-0000-0000D9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946" name="Text Box 3089">
          <a:extLst>
            <a:ext uri="{FF2B5EF4-FFF2-40B4-BE49-F238E27FC236}">
              <a16:creationId xmlns:a16="http://schemas.microsoft.com/office/drawing/2014/main" xmlns="" id="{00000000-0008-0000-0000-0000DA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947" name="Text Box 3090">
          <a:extLst>
            <a:ext uri="{FF2B5EF4-FFF2-40B4-BE49-F238E27FC236}">
              <a16:creationId xmlns:a16="http://schemas.microsoft.com/office/drawing/2014/main" xmlns="" id="{00000000-0008-0000-0000-0000DB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948" name="Text Box 3091">
          <a:extLst>
            <a:ext uri="{FF2B5EF4-FFF2-40B4-BE49-F238E27FC236}">
              <a16:creationId xmlns:a16="http://schemas.microsoft.com/office/drawing/2014/main" xmlns="" id="{00000000-0008-0000-0000-0000DC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949" name="Text Box 3092">
          <a:extLst>
            <a:ext uri="{FF2B5EF4-FFF2-40B4-BE49-F238E27FC236}">
              <a16:creationId xmlns:a16="http://schemas.microsoft.com/office/drawing/2014/main" xmlns="" id="{00000000-0008-0000-0000-0000DD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950" name="Text Box 3093">
          <a:extLst>
            <a:ext uri="{FF2B5EF4-FFF2-40B4-BE49-F238E27FC236}">
              <a16:creationId xmlns:a16="http://schemas.microsoft.com/office/drawing/2014/main" xmlns="" id="{00000000-0008-0000-0000-0000DE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951" name="Text Box 3094">
          <a:extLst>
            <a:ext uri="{FF2B5EF4-FFF2-40B4-BE49-F238E27FC236}">
              <a16:creationId xmlns:a16="http://schemas.microsoft.com/office/drawing/2014/main" xmlns="" id="{00000000-0008-0000-0000-0000DF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952" name="Text Box 3095">
          <a:extLst>
            <a:ext uri="{FF2B5EF4-FFF2-40B4-BE49-F238E27FC236}">
              <a16:creationId xmlns:a16="http://schemas.microsoft.com/office/drawing/2014/main" xmlns="" id="{00000000-0008-0000-0000-0000E0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953" name="Text Box 3096">
          <a:extLst>
            <a:ext uri="{FF2B5EF4-FFF2-40B4-BE49-F238E27FC236}">
              <a16:creationId xmlns:a16="http://schemas.microsoft.com/office/drawing/2014/main" xmlns="" id="{00000000-0008-0000-0000-0000E1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954" name="Text Box 3097">
          <a:extLst>
            <a:ext uri="{FF2B5EF4-FFF2-40B4-BE49-F238E27FC236}">
              <a16:creationId xmlns:a16="http://schemas.microsoft.com/office/drawing/2014/main" xmlns="" id="{00000000-0008-0000-0000-0000E2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955" name="Text Box 3098">
          <a:extLst>
            <a:ext uri="{FF2B5EF4-FFF2-40B4-BE49-F238E27FC236}">
              <a16:creationId xmlns:a16="http://schemas.microsoft.com/office/drawing/2014/main" xmlns="" id="{00000000-0008-0000-0000-0000E3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956" name="Text Box 3099">
          <a:extLst>
            <a:ext uri="{FF2B5EF4-FFF2-40B4-BE49-F238E27FC236}">
              <a16:creationId xmlns:a16="http://schemas.microsoft.com/office/drawing/2014/main" xmlns="" id="{00000000-0008-0000-0000-0000E4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957" name="Text Box 3100">
          <a:extLst>
            <a:ext uri="{FF2B5EF4-FFF2-40B4-BE49-F238E27FC236}">
              <a16:creationId xmlns:a16="http://schemas.microsoft.com/office/drawing/2014/main" xmlns="" id="{00000000-0008-0000-0000-0000E5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958" name="Text Box 3101">
          <a:extLst>
            <a:ext uri="{FF2B5EF4-FFF2-40B4-BE49-F238E27FC236}">
              <a16:creationId xmlns:a16="http://schemas.microsoft.com/office/drawing/2014/main" xmlns="" id="{00000000-0008-0000-0000-0000E6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9959" name="Text Box 3102">
          <a:extLst>
            <a:ext uri="{FF2B5EF4-FFF2-40B4-BE49-F238E27FC236}">
              <a16:creationId xmlns:a16="http://schemas.microsoft.com/office/drawing/2014/main" xmlns="" id="{00000000-0008-0000-0000-0000E7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960" name="Text Box 59">
          <a:extLst>
            <a:ext uri="{FF2B5EF4-FFF2-40B4-BE49-F238E27FC236}">
              <a16:creationId xmlns:a16="http://schemas.microsoft.com/office/drawing/2014/main" xmlns="" id="{00000000-0008-0000-0000-0000E8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961" name="Text Box 60">
          <a:extLst>
            <a:ext uri="{FF2B5EF4-FFF2-40B4-BE49-F238E27FC236}">
              <a16:creationId xmlns:a16="http://schemas.microsoft.com/office/drawing/2014/main" xmlns="" id="{00000000-0008-0000-0000-0000E9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962" name="Text Box 61">
          <a:extLst>
            <a:ext uri="{FF2B5EF4-FFF2-40B4-BE49-F238E27FC236}">
              <a16:creationId xmlns:a16="http://schemas.microsoft.com/office/drawing/2014/main" xmlns="" id="{00000000-0008-0000-0000-0000EA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963" name="Text Box 62">
          <a:extLst>
            <a:ext uri="{FF2B5EF4-FFF2-40B4-BE49-F238E27FC236}">
              <a16:creationId xmlns:a16="http://schemas.microsoft.com/office/drawing/2014/main" xmlns="" id="{00000000-0008-0000-0000-0000EB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964" name="Text Box 63">
          <a:extLst>
            <a:ext uri="{FF2B5EF4-FFF2-40B4-BE49-F238E27FC236}">
              <a16:creationId xmlns:a16="http://schemas.microsoft.com/office/drawing/2014/main" xmlns="" id="{00000000-0008-0000-0000-0000EC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965" name="Text Box 64">
          <a:extLst>
            <a:ext uri="{FF2B5EF4-FFF2-40B4-BE49-F238E27FC236}">
              <a16:creationId xmlns:a16="http://schemas.microsoft.com/office/drawing/2014/main" xmlns="" id="{00000000-0008-0000-0000-0000ED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966" name="Text Box 65">
          <a:extLst>
            <a:ext uri="{FF2B5EF4-FFF2-40B4-BE49-F238E27FC236}">
              <a16:creationId xmlns:a16="http://schemas.microsoft.com/office/drawing/2014/main" xmlns="" id="{00000000-0008-0000-0000-0000EE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967" name="Text Box 66">
          <a:extLst>
            <a:ext uri="{FF2B5EF4-FFF2-40B4-BE49-F238E27FC236}">
              <a16:creationId xmlns:a16="http://schemas.microsoft.com/office/drawing/2014/main" xmlns="" id="{00000000-0008-0000-0000-0000EF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968" name="Text Box 67">
          <a:extLst>
            <a:ext uri="{FF2B5EF4-FFF2-40B4-BE49-F238E27FC236}">
              <a16:creationId xmlns:a16="http://schemas.microsoft.com/office/drawing/2014/main" xmlns="" id="{00000000-0008-0000-0000-0000F0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969" name="Text Box 68">
          <a:extLst>
            <a:ext uri="{FF2B5EF4-FFF2-40B4-BE49-F238E27FC236}">
              <a16:creationId xmlns:a16="http://schemas.microsoft.com/office/drawing/2014/main" xmlns="" id="{00000000-0008-0000-0000-0000F1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970" name="Text Box 69">
          <a:extLst>
            <a:ext uri="{FF2B5EF4-FFF2-40B4-BE49-F238E27FC236}">
              <a16:creationId xmlns:a16="http://schemas.microsoft.com/office/drawing/2014/main" xmlns="" id="{00000000-0008-0000-0000-0000F2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971" name="Text Box 70">
          <a:extLst>
            <a:ext uri="{FF2B5EF4-FFF2-40B4-BE49-F238E27FC236}">
              <a16:creationId xmlns:a16="http://schemas.microsoft.com/office/drawing/2014/main" xmlns="" id="{00000000-0008-0000-0000-0000F3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972" name="Text Box 71">
          <a:extLst>
            <a:ext uri="{FF2B5EF4-FFF2-40B4-BE49-F238E27FC236}">
              <a16:creationId xmlns:a16="http://schemas.microsoft.com/office/drawing/2014/main" xmlns="" id="{00000000-0008-0000-0000-0000F4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973" name="Text Box 72">
          <a:extLst>
            <a:ext uri="{FF2B5EF4-FFF2-40B4-BE49-F238E27FC236}">
              <a16:creationId xmlns:a16="http://schemas.microsoft.com/office/drawing/2014/main" xmlns="" id="{00000000-0008-0000-0000-0000F5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974" name="Text Box 73">
          <a:extLst>
            <a:ext uri="{FF2B5EF4-FFF2-40B4-BE49-F238E27FC236}">
              <a16:creationId xmlns:a16="http://schemas.microsoft.com/office/drawing/2014/main" xmlns="" id="{00000000-0008-0000-0000-0000F6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975" name="Text Box 74">
          <a:extLst>
            <a:ext uri="{FF2B5EF4-FFF2-40B4-BE49-F238E27FC236}">
              <a16:creationId xmlns:a16="http://schemas.microsoft.com/office/drawing/2014/main" xmlns="" id="{00000000-0008-0000-0000-0000F7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976" name="Text Box 75">
          <a:extLst>
            <a:ext uri="{FF2B5EF4-FFF2-40B4-BE49-F238E27FC236}">
              <a16:creationId xmlns:a16="http://schemas.microsoft.com/office/drawing/2014/main" xmlns="" id="{00000000-0008-0000-0000-0000F8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977" name="Text Box 76">
          <a:extLst>
            <a:ext uri="{FF2B5EF4-FFF2-40B4-BE49-F238E27FC236}">
              <a16:creationId xmlns:a16="http://schemas.microsoft.com/office/drawing/2014/main" xmlns="" id="{00000000-0008-0000-0000-0000F9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978" name="Text Box 77">
          <a:extLst>
            <a:ext uri="{FF2B5EF4-FFF2-40B4-BE49-F238E27FC236}">
              <a16:creationId xmlns:a16="http://schemas.microsoft.com/office/drawing/2014/main" xmlns="" id="{00000000-0008-0000-0000-0000FA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979" name="Text Box 78">
          <a:extLst>
            <a:ext uri="{FF2B5EF4-FFF2-40B4-BE49-F238E27FC236}">
              <a16:creationId xmlns:a16="http://schemas.microsoft.com/office/drawing/2014/main" xmlns="" id="{00000000-0008-0000-0000-0000FB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980" name="Text Box 79">
          <a:extLst>
            <a:ext uri="{FF2B5EF4-FFF2-40B4-BE49-F238E27FC236}">
              <a16:creationId xmlns:a16="http://schemas.microsoft.com/office/drawing/2014/main" xmlns="" id="{00000000-0008-0000-0000-0000FC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981" name="Text Box 80">
          <a:extLst>
            <a:ext uri="{FF2B5EF4-FFF2-40B4-BE49-F238E27FC236}">
              <a16:creationId xmlns:a16="http://schemas.microsoft.com/office/drawing/2014/main" xmlns="" id="{00000000-0008-0000-0000-0000FD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9982" name="Text Box 81">
          <a:extLst>
            <a:ext uri="{FF2B5EF4-FFF2-40B4-BE49-F238E27FC236}">
              <a16:creationId xmlns:a16="http://schemas.microsoft.com/office/drawing/2014/main" xmlns="" id="{00000000-0008-0000-0000-0000FE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47625"/>
    <xdr:sp macro="" textlink="">
      <xdr:nvSpPr>
        <xdr:cNvPr id="9983" name="Text Box 82">
          <a:extLst>
            <a:ext uri="{FF2B5EF4-FFF2-40B4-BE49-F238E27FC236}">
              <a16:creationId xmlns:a16="http://schemas.microsoft.com/office/drawing/2014/main" xmlns="" id="{00000000-0008-0000-0000-0000FF26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984" name="Text Box 3079">
          <a:extLst>
            <a:ext uri="{FF2B5EF4-FFF2-40B4-BE49-F238E27FC236}">
              <a16:creationId xmlns:a16="http://schemas.microsoft.com/office/drawing/2014/main" xmlns="" id="{00000000-0008-0000-0000-000000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985" name="Text Box 3080">
          <a:extLst>
            <a:ext uri="{FF2B5EF4-FFF2-40B4-BE49-F238E27FC236}">
              <a16:creationId xmlns:a16="http://schemas.microsoft.com/office/drawing/2014/main" xmlns="" id="{00000000-0008-0000-0000-000001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986" name="Text Box 3081">
          <a:extLst>
            <a:ext uri="{FF2B5EF4-FFF2-40B4-BE49-F238E27FC236}">
              <a16:creationId xmlns:a16="http://schemas.microsoft.com/office/drawing/2014/main" xmlns="" id="{00000000-0008-0000-0000-000002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987" name="Text Box 3082">
          <a:extLst>
            <a:ext uri="{FF2B5EF4-FFF2-40B4-BE49-F238E27FC236}">
              <a16:creationId xmlns:a16="http://schemas.microsoft.com/office/drawing/2014/main" xmlns="" id="{00000000-0008-0000-0000-000003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988" name="Text Box 3083">
          <a:extLst>
            <a:ext uri="{FF2B5EF4-FFF2-40B4-BE49-F238E27FC236}">
              <a16:creationId xmlns:a16="http://schemas.microsoft.com/office/drawing/2014/main" xmlns="" id="{00000000-0008-0000-0000-000004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989" name="Text Box 3084">
          <a:extLst>
            <a:ext uri="{FF2B5EF4-FFF2-40B4-BE49-F238E27FC236}">
              <a16:creationId xmlns:a16="http://schemas.microsoft.com/office/drawing/2014/main" xmlns="" id="{00000000-0008-0000-0000-000005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990" name="Text Box 3085">
          <a:extLst>
            <a:ext uri="{FF2B5EF4-FFF2-40B4-BE49-F238E27FC236}">
              <a16:creationId xmlns:a16="http://schemas.microsoft.com/office/drawing/2014/main" xmlns="" id="{00000000-0008-0000-0000-000006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991" name="Text Box 3086">
          <a:extLst>
            <a:ext uri="{FF2B5EF4-FFF2-40B4-BE49-F238E27FC236}">
              <a16:creationId xmlns:a16="http://schemas.microsoft.com/office/drawing/2014/main" xmlns="" id="{00000000-0008-0000-0000-000007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992" name="Text Box 3087">
          <a:extLst>
            <a:ext uri="{FF2B5EF4-FFF2-40B4-BE49-F238E27FC236}">
              <a16:creationId xmlns:a16="http://schemas.microsoft.com/office/drawing/2014/main" xmlns="" id="{00000000-0008-0000-0000-000008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993" name="Text Box 3088">
          <a:extLst>
            <a:ext uri="{FF2B5EF4-FFF2-40B4-BE49-F238E27FC236}">
              <a16:creationId xmlns:a16="http://schemas.microsoft.com/office/drawing/2014/main" xmlns="" id="{00000000-0008-0000-0000-000009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994" name="Text Box 3089">
          <a:extLst>
            <a:ext uri="{FF2B5EF4-FFF2-40B4-BE49-F238E27FC236}">
              <a16:creationId xmlns:a16="http://schemas.microsoft.com/office/drawing/2014/main" xmlns="" id="{00000000-0008-0000-0000-00000A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995" name="Text Box 3090">
          <a:extLst>
            <a:ext uri="{FF2B5EF4-FFF2-40B4-BE49-F238E27FC236}">
              <a16:creationId xmlns:a16="http://schemas.microsoft.com/office/drawing/2014/main" xmlns="" id="{00000000-0008-0000-0000-00000B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996" name="Text Box 3091">
          <a:extLst>
            <a:ext uri="{FF2B5EF4-FFF2-40B4-BE49-F238E27FC236}">
              <a16:creationId xmlns:a16="http://schemas.microsoft.com/office/drawing/2014/main" xmlns="" id="{00000000-0008-0000-0000-00000C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997" name="Text Box 3092">
          <a:extLst>
            <a:ext uri="{FF2B5EF4-FFF2-40B4-BE49-F238E27FC236}">
              <a16:creationId xmlns:a16="http://schemas.microsoft.com/office/drawing/2014/main" xmlns="" id="{00000000-0008-0000-0000-00000D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998" name="Text Box 3093">
          <a:extLst>
            <a:ext uri="{FF2B5EF4-FFF2-40B4-BE49-F238E27FC236}">
              <a16:creationId xmlns:a16="http://schemas.microsoft.com/office/drawing/2014/main" xmlns="" id="{00000000-0008-0000-0000-00000E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9999" name="Text Box 3094">
          <a:extLst>
            <a:ext uri="{FF2B5EF4-FFF2-40B4-BE49-F238E27FC236}">
              <a16:creationId xmlns:a16="http://schemas.microsoft.com/office/drawing/2014/main" xmlns="" id="{00000000-0008-0000-0000-00000F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000" name="Text Box 3095">
          <a:extLst>
            <a:ext uri="{FF2B5EF4-FFF2-40B4-BE49-F238E27FC236}">
              <a16:creationId xmlns:a16="http://schemas.microsoft.com/office/drawing/2014/main" xmlns="" id="{00000000-0008-0000-0000-000010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001" name="Text Box 3096">
          <a:extLst>
            <a:ext uri="{FF2B5EF4-FFF2-40B4-BE49-F238E27FC236}">
              <a16:creationId xmlns:a16="http://schemas.microsoft.com/office/drawing/2014/main" xmlns="" id="{00000000-0008-0000-0000-000011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002" name="Text Box 3097">
          <a:extLst>
            <a:ext uri="{FF2B5EF4-FFF2-40B4-BE49-F238E27FC236}">
              <a16:creationId xmlns:a16="http://schemas.microsoft.com/office/drawing/2014/main" xmlns="" id="{00000000-0008-0000-0000-000012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003" name="Text Box 3098">
          <a:extLst>
            <a:ext uri="{FF2B5EF4-FFF2-40B4-BE49-F238E27FC236}">
              <a16:creationId xmlns:a16="http://schemas.microsoft.com/office/drawing/2014/main" xmlns="" id="{00000000-0008-0000-0000-000013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004" name="Text Box 3099">
          <a:extLst>
            <a:ext uri="{FF2B5EF4-FFF2-40B4-BE49-F238E27FC236}">
              <a16:creationId xmlns:a16="http://schemas.microsoft.com/office/drawing/2014/main" xmlns="" id="{00000000-0008-0000-0000-000014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005" name="Text Box 3100">
          <a:extLst>
            <a:ext uri="{FF2B5EF4-FFF2-40B4-BE49-F238E27FC236}">
              <a16:creationId xmlns:a16="http://schemas.microsoft.com/office/drawing/2014/main" xmlns="" id="{00000000-0008-0000-0000-000015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006" name="Text Box 3101">
          <a:extLst>
            <a:ext uri="{FF2B5EF4-FFF2-40B4-BE49-F238E27FC236}">
              <a16:creationId xmlns:a16="http://schemas.microsoft.com/office/drawing/2014/main" xmlns="" id="{00000000-0008-0000-0000-000016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10007" name="Text Box 3102">
          <a:extLst>
            <a:ext uri="{FF2B5EF4-FFF2-40B4-BE49-F238E27FC236}">
              <a16:creationId xmlns:a16="http://schemas.microsoft.com/office/drawing/2014/main" xmlns="" id="{00000000-0008-0000-0000-000017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008" name="Text Box 59">
          <a:extLst>
            <a:ext uri="{FF2B5EF4-FFF2-40B4-BE49-F238E27FC236}">
              <a16:creationId xmlns:a16="http://schemas.microsoft.com/office/drawing/2014/main" xmlns="" id="{00000000-0008-0000-0000-000018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009" name="Text Box 60">
          <a:extLst>
            <a:ext uri="{FF2B5EF4-FFF2-40B4-BE49-F238E27FC236}">
              <a16:creationId xmlns:a16="http://schemas.microsoft.com/office/drawing/2014/main" xmlns="" id="{00000000-0008-0000-0000-000019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010" name="Text Box 61">
          <a:extLst>
            <a:ext uri="{FF2B5EF4-FFF2-40B4-BE49-F238E27FC236}">
              <a16:creationId xmlns:a16="http://schemas.microsoft.com/office/drawing/2014/main" xmlns="" id="{00000000-0008-0000-0000-00001A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011" name="Text Box 62">
          <a:extLst>
            <a:ext uri="{FF2B5EF4-FFF2-40B4-BE49-F238E27FC236}">
              <a16:creationId xmlns:a16="http://schemas.microsoft.com/office/drawing/2014/main" xmlns="" id="{00000000-0008-0000-0000-00001B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012" name="Text Box 63">
          <a:extLst>
            <a:ext uri="{FF2B5EF4-FFF2-40B4-BE49-F238E27FC236}">
              <a16:creationId xmlns:a16="http://schemas.microsoft.com/office/drawing/2014/main" xmlns="" id="{00000000-0008-0000-0000-00001C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013" name="Text Box 64">
          <a:extLst>
            <a:ext uri="{FF2B5EF4-FFF2-40B4-BE49-F238E27FC236}">
              <a16:creationId xmlns:a16="http://schemas.microsoft.com/office/drawing/2014/main" xmlns="" id="{00000000-0008-0000-0000-00001D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014" name="Text Box 65">
          <a:extLst>
            <a:ext uri="{FF2B5EF4-FFF2-40B4-BE49-F238E27FC236}">
              <a16:creationId xmlns:a16="http://schemas.microsoft.com/office/drawing/2014/main" xmlns="" id="{00000000-0008-0000-0000-00001E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015" name="Text Box 66">
          <a:extLst>
            <a:ext uri="{FF2B5EF4-FFF2-40B4-BE49-F238E27FC236}">
              <a16:creationId xmlns:a16="http://schemas.microsoft.com/office/drawing/2014/main" xmlns="" id="{00000000-0008-0000-0000-00001F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016" name="Text Box 67">
          <a:extLst>
            <a:ext uri="{FF2B5EF4-FFF2-40B4-BE49-F238E27FC236}">
              <a16:creationId xmlns:a16="http://schemas.microsoft.com/office/drawing/2014/main" xmlns="" id="{00000000-0008-0000-0000-000020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017" name="Text Box 68">
          <a:extLst>
            <a:ext uri="{FF2B5EF4-FFF2-40B4-BE49-F238E27FC236}">
              <a16:creationId xmlns:a16="http://schemas.microsoft.com/office/drawing/2014/main" xmlns="" id="{00000000-0008-0000-0000-000021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018" name="Text Box 69">
          <a:extLst>
            <a:ext uri="{FF2B5EF4-FFF2-40B4-BE49-F238E27FC236}">
              <a16:creationId xmlns:a16="http://schemas.microsoft.com/office/drawing/2014/main" xmlns="" id="{00000000-0008-0000-0000-000022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019" name="Text Box 70">
          <a:extLst>
            <a:ext uri="{FF2B5EF4-FFF2-40B4-BE49-F238E27FC236}">
              <a16:creationId xmlns:a16="http://schemas.microsoft.com/office/drawing/2014/main" xmlns="" id="{00000000-0008-0000-0000-000023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020" name="Text Box 71">
          <a:extLst>
            <a:ext uri="{FF2B5EF4-FFF2-40B4-BE49-F238E27FC236}">
              <a16:creationId xmlns:a16="http://schemas.microsoft.com/office/drawing/2014/main" xmlns="" id="{00000000-0008-0000-0000-000024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021" name="Text Box 72">
          <a:extLst>
            <a:ext uri="{FF2B5EF4-FFF2-40B4-BE49-F238E27FC236}">
              <a16:creationId xmlns:a16="http://schemas.microsoft.com/office/drawing/2014/main" xmlns="" id="{00000000-0008-0000-0000-000025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022" name="Text Box 73">
          <a:extLst>
            <a:ext uri="{FF2B5EF4-FFF2-40B4-BE49-F238E27FC236}">
              <a16:creationId xmlns:a16="http://schemas.microsoft.com/office/drawing/2014/main" xmlns="" id="{00000000-0008-0000-0000-000026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023" name="Text Box 74">
          <a:extLst>
            <a:ext uri="{FF2B5EF4-FFF2-40B4-BE49-F238E27FC236}">
              <a16:creationId xmlns:a16="http://schemas.microsoft.com/office/drawing/2014/main" xmlns="" id="{00000000-0008-0000-0000-000027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024" name="Text Box 75">
          <a:extLst>
            <a:ext uri="{FF2B5EF4-FFF2-40B4-BE49-F238E27FC236}">
              <a16:creationId xmlns:a16="http://schemas.microsoft.com/office/drawing/2014/main" xmlns="" id="{00000000-0008-0000-0000-000028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025" name="Text Box 76">
          <a:extLst>
            <a:ext uri="{FF2B5EF4-FFF2-40B4-BE49-F238E27FC236}">
              <a16:creationId xmlns:a16="http://schemas.microsoft.com/office/drawing/2014/main" xmlns="" id="{00000000-0008-0000-0000-000029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026" name="Text Box 77">
          <a:extLst>
            <a:ext uri="{FF2B5EF4-FFF2-40B4-BE49-F238E27FC236}">
              <a16:creationId xmlns:a16="http://schemas.microsoft.com/office/drawing/2014/main" xmlns="" id="{00000000-0008-0000-0000-00002A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027" name="Text Box 78">
          <a:extLst>
            <a:ext uri="{FF2B5EF4-FFF2-40B4-BE49-F238E27FC236}">
              <a16:creationId xmlns:a16="http://schemas.microsoft.com/office/drawing/2014/main" xmlns="" id="{00000000-0008-0000-0000-00002B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028" name="Text Box 79">
          <a:extLst>
            <a:ext uri="{FF2B5EF4-FFF2-40B4-BE49-F238E27FC236}">
              <a16:creationId xmlns:a16="http://schemas.microsoft.com/office/drawing/2014/main" xmlns="" id="{00000000-0008-0000-0000-00002C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029" name="Text Box 80">
          <a:extLst>
            <a:ext uri="{FF2B5EF4-FFF2-40B4-BE49-F238E27FC236}">
              <a16:creationId xmlns:a16="http://schemas.microsoft.com/office/drawing/2014/main" xmlns="" id="{00000000-0008-0000-0000-00002D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030" name="Text Box 81">
          <a:extLst>
            <a:ext uri="{FF2B5EF4-FFF2-40B4-BE49-F238E27FC236}">
              <a16:creationId xmlns:a16="http://schemas.microsoft.com/office/drawing/2014/main" xmlns="" id="{00000000-0008-0000-0000-00002E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031" name="Text Box 3079">
          <a:extLst>
            <a:ext uri="{FF2B5EF4-FFF2-40B4-BE49-F238E27FC236}">
              <a16:creationId xmlns:a16="http://schemas.microsoft.com/office/drawing/2014/main" xmlns="" id="{00000000-0008-0000-0000-00002F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032" name="Text Box 3080">
          <a:extLst>
            <a:ext uri="{FF2B5EF4-FFF2-40B4-BE49-F238E27FC236}">
              <a16:creationId xmlns:a16="http://schemas.microsoft.com/office/drawing/2014/main" xmlns="" id="{00000000-0008-0000-0000-000030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033" name="Text Box 3081">
          <a:extLst>
            <a:ext uri="{FF2B5EF4-FFF2-40B4-BE49-F238E27FC236}">
              <a16:creationId xmlns:a16="http://schemas.microsoft.com/office/drawing/2014/main" xmlns="" id="{00000000-0008-0000-0000-000031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034" name="Text Box 3082">
          <a:extLst>
            <a:ext uri="{FF2B5EF4-FFF2-40B4-BE49-F238E27FC236}">
              <a16:creationId xmlns:a16="http://schemas.microsoft.com/office/drawing/2014/main" xmlns="" id="{00000000-0008-0000-0000-000032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035" name="Text Box 3083">
          <a:extLst>
            <a:ext uri="{FF2B5EF4-FFF2-40B4-BE49-F238E27FC236}">
              <a16:creationId xmlns:a16="http://schemas.microsoft.com/office/drawing/2014/main" xmlns="" id="{00000000-0008-0000-0000-000033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036" name="Text Box 3084">
          <a:extLst>
            <a:ext uri="{FF2B5EF4-FFF2-40B4-BE49-F238E27FC236}">
              <a16:creationId xmlns:a16="http://schemas.microsoft.com/office/drawing/2014/main" xmlns="" id="{00000000-0008-0000-0000-000034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037" name="Text Box 3085">
          <a:extLst>
            <a:ext uri="{FF2B5EF4-FFF2-40B4-BE49-F238E27FC236}">
              <a16:creationId xmlns:a16="http://schemas.microsoft.com/office/drawing/2014/main" xmlns="" id="{00000000-0008-0000-0000-000035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038" name="Text Box 3086">
          <a:extLst>
            <a:ext uri="{FF2B5EF4-FFF2-40B4-BE49-F238E27FC236}">
              <a16:creationId xmlns:a16="http://schemas.microsoft.com/office/drawing/2014/main" xmlns="" id="{00000000-0008-0000-0000-000036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039" name="Text Box 3087">
          <a:extLst>
            <a:ext uri="{FF2B5EF4-FFF2-40B4-BE49-F238E27FC236}">
              <a16:creationId xmlns:a16="http://schemas.microsoft.com/office/drawing/2014/main" xmlns="" id="{00000000-0008-0000-0000-000037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040" name="Text Box 3088">
          <a:extLst>
            <a:ext uri="{FF2B5EF4-FFF2-40B4-BE49-F238E27FC236}">
              <a16:creationId xmlns:a16="http://schemas.microsoft.com/office/drawing/2014/main" xmlns="" id="{00000000-0008-0000-0000-000038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041" name="Text Box 3089">
          <a:extLst>
            <a:ext uri="{FF2B5EF4-FFF2-40B4-BE49-F238E27FC236}">
              <a16:creationId xmlns:a16="http://schemas.microsoft.com/office/drawing/2014/main" xmlns="" id="{00000000-0008-0000-0000-000039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042" name="Text Box 3090">
          <a:extLst>
            <a:ext uri="{FF2B5EF4-FFF2-40B4-BE49-F238E27FC236}">
              <a16:creationId xmlns:a16="http://schemas.microsoft.com/office/drawing/2014/main" xmlns="" id="{00000000-0008-0000-0000-00003A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043" name="Text Box 3091">
          <a:extLst>
            <a:ext uri="{FF2B5EF4-FFF2-40B4-BE49-F238E27FC236}">
              <a16:creationId xmlns:a16="http://schemas.microsoft.com/office/drawing/2014/main" xmlns="" id="{00000000-0008-0000-0000-00003B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044" name="Text Box 3092">
          <a:extLst>
            <a:ext uri="{FF2B5EF4-FFF2-40B4-BE49-F238E27FC236}">
              <a16:creationId xmlns:a16="http://schemas.microsoft.com/office/drawing/2014/main" xmlns="" id="{00000000-0008-0000-0000-00003C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045" name="Text Box 3093">
          <a:extLst>
            <a:ext uri="{FF2B5EF4-FFF2-40B4-BE49-F238E27FC236}">
              <a16:creationId xmlns:a16="http://schemas.microsoft.com/office/drawing/2014/main" xmlns="" id="{00000000-0008-0000-0000-00003D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046" name="Text Box 3094">
          <a:extLst>
            <a:ext uri="{FF2B5EF4-FFF2-40B4-BE49-F238E27FC236}">
              <a16:creationId xmlns:a16="http://schemas.microsoft.com/office/drawing/2014/main" xmlns="" id="{00000000-0008-0000-0000-00003E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047" name="Text Box 3095">
          <a:extLst>
            <a:ext uri="{FF2B5EF4-FFF2-40B4-BE49-F238E27FC236}">
              <a16:creationId xmlns:a16="http://schemas.microsoft.com/office/drawing/2014/main" xmlns="" id="{00000000-0008-0000-0000-00003F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048" name="Text Box 3096">
          <a:extLst>
            <a:ext uri="{FF2B5EF4-FFF2-40B4-BE49-F238E27FC236}">
              <a16:creationId xmlns:a16="http://schemas.microsoft.com/office/drawing/2014/main" xmlns="" id="{00000000-0008-0000-0000-000040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049" name="Text Box 3097">
          <a:extLst>
            <a:ext uri="{FF2B5EF4-FFF2-40B4-BE49-F238E27FC236}">
              <a16:creationId xmlns:a16="http://schemas.microsoft.com/office/drawing/2014/main" xmlns="" id="{00000000-0008-0000-0000-000041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050" name="Text Box 3098">
          <a:extLst>
            <a:ext uri="{FF2B5EF4-FFF2-40B4-BE49-F238E27FC236}">
              <a16:creationId xmlns:a16="http://schemas.microsoft.com/office/drawing/2014/main" xmlns="" id="{00000000-0008-0000-0000-000042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051" name="Text Box 3099">
          <a:extLst>
            <a:ext uri="{FF2B5EF4-FFF2-40B4-BE49-F238E27FC236}">
              <a16:creationId xmlns:a16="http://schemas.microsoft.com/office/drawing/2014/main" xmlns="" id="{00000000-0008-0000-0000-000043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052" name="Text Box 3100">
          <a:extLst>
            <a:ext uri="{FF2B5EF4-FFF2-40B4-BE49-F238E27FC236}">
              <a16:creationId xmlns:a16="http://schemas.microsoft.com/office/drawing/2014/main" xmlns="" id="{00000000-0008-0000-0000-000044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053" name="Text Box 3101">
          <a:extLst>
            <a:ext uri="{FF2B5EF4-FFF2-40B4-BE49-F238E27FC236}">
              <a16:creationId xmlns:a16="http://schemas.microsoft.com/office/drawing/2014/main" xmlns="" id="{00000000-0008-0000-0000-000045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10054" name="Text Box 3102">
          <a:extLst>
            <a:ext uri="{FF2B5EF4-FFF2-40B4-BE49-F238E27FC236}">
              <a16:creationId xmlns:a16="http://schemas.microsoft.com/office/drawing/2014/main" xmlns="" id="{00000000-0008-0000-0000-000046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055" name="Text Box 59">
          <a:extLst>
            <a:ext uri="{FF2B5EF4-FFF2-40B4-BE49-F238E27FC236}">
              <a16:creationId xmlns:a16="http://schemas.microsoft.com/office/drawing/2014/main" xmlns="" id="{00000000-0008-0000-0000-000047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056" name="Text Box 60">
          <a:extLst>
            <a:ext uri="{FF2B5EF4-FFF2-40B4-BE49-F238E27FC236}">
              <a16:creationId xmlns:a16="http://schemas.microsoft.com/office/drawing/2014/main" xmlns="" id="{00000000-0008-0000-0000-000048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057" name="Text Box 61">
          <a:extLst>
            <a:ext uri="{FF2B5EF4-FFF2-40B4-BE49-F238E27FC236}">
              <a16:creationId xmlns:a16="http://schemas.microsoft.com/office/drawing/2014/main" xmlns="" id="{00000000-0008-0000-0000-000049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058" name="Text Box 62">
          <a:extLst>
            <a:ext uri="{FF2B5EF4-FFF2-40B4-BE49-F238E27FC236}">
              <a16:creationId xmlns:a16="http://schemas.microsoft.com/office/drawing/2014/main" xmlns="" id="{00000000-0008-0000-0000-00004A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059" name="Text Box 63">
          <a:extLst>
            <a:ext uri="{FF2B5EF4-FFF2-40B4-BE49-F238E27FC236}">
              <a16:creationId xmlns:a16="http://schemas.microsoft.com/office/drawing/2014/main" xmlns="" id="{00000000-0008-0000-0000-00004B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060" name="Text Box 64">
          <a:extLst>
            <a:ext uri="{FF2B5EF4-FFF2-40B4-BE49-F238E27FC236}">
              <a16:creationId xmlns:a16="http://schemas.microsoft.com/office/drawing/2014/main" xmlns="" id="{00000000-0008-0000-0000-00004C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061" name="Text Box 65">
          <a:extLst>
            <a:ext uri="{FF2B5EF4-FFF2-40B4-BE49-F238E27FC236}">
              <a16:creationId xmlns:a16="http://schemas.microsoft.com/office/drawing/2014/main" xmlns="" id="{00000000-0008-0000-0000-00004D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062" name="Text Box 66">
          <a:extLst>
            <a:ext uri="{FF2B5EF4-FFF2-40B4-BE49-F238E27FC236}">
              <a16:creationId xmlns:a16="http://schemas.microsoft.com/office/drawing/2014/main" xmlns="" id="{00000000-0008-0000-0000-00004E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063" name="Text Box 67">
          <a:extLst>
            <a:ext uri="{FF2B5EF4-FFF2-40B4-BE49-F238E27FC236}">
              <a16:creationId xmlns:a16="http://schemas.microsoft.com/office/drawing/2014/main" xmlns="" id="{00000000-0008-0000-0000-00004F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064" name="Text Box 68">
          <a:extLst>
            <a:ext uri="{FF2B5EF4-FFF2-40B4-BE49-F238E27FC236}">
              <a16:creationId xmlns:a16="http://schemas.microsoft.com/office/drawing/2014/main" xmlns="" id="{00000000-0008-0000-0000-000050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065" name="Text Box 69">
          <a:extLst>
            <a:ext uri="{FF2B5EF4-FFF2-40B4-BE49-F238E27FC236}">
              <a16:creationId xmlns:a16="http://schemas.microsoft.com/office/drawing/2014/main" xmlns="" id="{00000000-0008-0000-0000-000051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066" name="Text Box 70">
          <a:extLst>
            <a:ext uri="{FF2B5EF4-FFF2-40B4-BE49-F238E27FC236}">
              <a16:creationId xmlns:a16="http://schemas.microsoft.com/office/drawing/2014/main" xmlns="" id="{00000000-0008-0000-0000-000052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067" name="Text Box 71">
          <a:extLst>
            <a:ext uri="{FF2B5EF4-FFF2-40B4-BE49-F238E27FC236}">
              <a16:creationId xmlns:a16="http://schemas.microsoft.com/office/drawing/2014/main" xmlns="" id="{00000000-0008-0000-0000-000053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068" name="Text Box 72">
          <a:extLst>
            <a:ext uri="{FF2B5EF4-FFF2-40B4-BE49-F238E27FC236}">
              <a16:creationId xmlns:a16="http://schemas.microsoft.com/office/drawing/2014/main" xmlns="" id="{00000000-0008-0000-0000-000054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069" name="Text Box 73">
          <a:extLst>
            <a:ext uri="{FF2B5EF4-FFF2-40B4-BE49-F238E27FC236}">
              <a16:creationId xmlns:a16="http://schemas.microsoft.com/office/drawing/2014/main" xmlns="" id="{00000000-0008-0000-0000-000055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070" name="Text Box 74">
          <a:extLst>
            <a:ext uri="{FF2B5EF4-FFF2-40B4-BE49-F238E27FC236}">
              <a16:creationId xmlns:a16="http://schemas.microsoft.com/office/drawing/2014/main" xmlns="" id="{00000000-0008-0000-0000-000056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071" name="Text Box 75">
          <a:extLst>
            <a:ext uri="{FF2B5EF4-FFF2-40B4-BE49-F238E27FC236}">
              <a16:creationId xmlns:a16="http://schemas.microsoft.com/office/drawing/2014/main" xmlns="" id="{00000000-0008-0000-0000-000057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072" name="Text Box 76">
          <a:extLst>
            <a:ext uri="{FF2B5EF4-FFF2-40B4-BE49-F238E27FC236}">
              <a16:creationId xmlns:a16="http://schemas.microsoft.com/office/drawing/2014/main" xmlns="" id="{00000000-0008-0000-0000-000058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073" name="Text Box 77">
          <a:extLst>
            <a:ext uri="{FF2B5EF4-FFF2-40B4-BE49-F238E27FC236}">
              <a16:creationId xmlns:a16="http://schemas.microsoft.com/office/drawing/2014/main" xmlns="" id="{00000000-0008-0000-0000-000059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074" name="Text Box 78">
          <a:extLst>
            <a:ext uri="{FF2B5EF4-FFF2-40B4-BE49-F238E27FC236}">
              <a16:creationId xmlns:a16="http://schemas.microsoft.com/office/drawing/2014/main" xmlns="" id="{00000000-0008-0000-0000-00005A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075" name="Text Box 79">
          <a:extLst>
            <a:ext uri="{FF2B5EF4-FFF2-40B4-BE49-F238E27FC236}">
              <a16:creationId xmlns:a16="http://schemas.microsoft.com/office/drawing/2014/main" xmlns="" id="{00000000-0008-0000-0000-00005B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076" name="Text Box 80">
          <a:extLst>
            <a:ext uri="{FF2B5EF4-FFF2-40B4-BE49-F238E27FC236}">
              <a16:creationId xmlns:a16="http://schemas.microsoft.com/office/drawing/2014/main" xmlns="" id="{00000000-0008-0000-0000-00005C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077" name="Text Box 81">
          <a:extLst>
            <a:ext uri="{FF2B5EF4-FFF2-40B4-BE49-F238E27FC236}">
              <a16:creationId xmlns:a16="http://schemas.microsoft.com/office/drawing/2014/main" xmlns="" id="{00000000-0008-0000-0000-00005D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47625"/>
    <xdr:sp macro="" textlink="">
      <xdr:nvSpPr>
        <xdr:cNvPr id="10078" name="Text Box 82">
          <a:extLst>
            <a:ext uri="{FF2B5EF4-FFF2-40B4-BE49-F238E27FC236}">
              <a16:creationId xmlns:a16="http://schemas.microsoft.com/office/drawing/2014/main" xmlns="" id="{00000000-0008-0000-0000-00005E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079" name="Text Box 3079">
          <a:extLst>
            <a:ext uri="{FF2B5EF4-FFF2-40B4-BE49-F238E27FC236}">
              <a16:creationId xmlns:a16="http://schemas.microsoft.com/office/drawing/2014/main" xmlns="" id="{00000000-0008-0000-0000-00005F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080" name="Text Box 3080">
          <a:extLst>
            <a:ext uri="{FF2B5EF4-FFF2-40B4-BE49-F238E27FC236}">
              <a16:creationId xmlns:a16="http://schemas.microsoft.com/office/drawing/2014/main" xmlns="" id="{00000000-0008-0000-0000-000060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081" name="Text Box 3081">
          <a:extLst>
            <a:ext uri="{FF2B5EF4-FFF2-40B4-BE49-F238E27FC236}">
              <a16:creationId xmlns:a16="http://schemas.microsoft.com/office/drawing/2014/main" xmlns="" id="{00000000-0008-0000-0000-000061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082" name="Text Box 3082">
          <a:extLst>
            <a:ext uri="{FF2B5EF4-FFF2-40B4-BE49-F238E27FC236}">
              <a16:creationId xmlns:a16="http://schemas.microsoft.com/office/drawing/2014/main" xmlns="" id="{00000000-0008-0000-0000-000062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083" name="Text Box 3083">
          <a:extLst>
            <a:ext uri="{FF2B5EF4-FFF2-40B4-BE49-F238E27FC236}">
              <a16:creationId xmlns:a16="http://schemas.microsoft.com/office/drawing/2014/main" xmlns="" id="{00000000-0008-0000-0000-000063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084" name="Text Box 3084">
          <a:extLst>
            <a:ext uri="{FF2B5EF4-FFF2-40B4-BE49-F238E27FC236}">
              <a16:creationId xmlns:a16="http://schemas.microsoft.com/office/drawing/2014/main" xmlns="" id="{00000000-0008-0000-0000-000064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085" name="Text Box 3085">
          <a:extLst>
            <a:ext uri="{FF2B5EF4-FFF2-40B4-BE49-F238E27FC236}">
              <a16:creationId xmlns:a16="http://schemas.microsoft.com/office/drawing/2014/main" xmlns="" id="{00000000-0008-0000-0000-000065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086" name="Text Box 3086">
          <a:extLst>
            <a:ext uri="{FF2B5EF4-FFF2-40B4-BE49-F238E27FC236}">
              <a16:creationId xmlns:a16="http://schemas.microsoft.com/office/drawing/2014/main" xmlns="" id="{00000000-0008-0000-0000-000066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087" name="Text Box 3087">
          <a:extLst>
            <a:ext uri="{FF2B5EF4-FFF2-40B4-BE49-F238E27FC236}">
              <a16:creationId xmlns:a16="http://schemas.microsoft.com/office/drawing/2014/main" xmlns="" id="{00000000-0008-0000-0000-000067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088" name="Text Box 3088">
          <a:extLst>
            <a:ext uri="{FF2B5EF4-FFF2-40B4-BE49-F238E27FC236}">
              <a16:creationId xmlns:a16="http://schemas.microsoft.com/office/drawing/2014/main" xmlns="" id="{00000000-0008-0000-0000-000068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089" name="Text Box 3089">
          <a:extLst>
            <a:ext uri="{FF2B5EF4-FFF2-40B4-BE49-F238E27FC236}">
              <a16:creationId xmlns:a16="http://schemas.microsoft.com/office/drawing/2014/main" xmlns="" id="{00000000-0008-0000-0000-000069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090" name="Text Box 3090">
          <a:extLst>
            <a:ext uri="{FF2B5EF4-FFF2-40B4-BE49-F238E27FC236}">
              <a16:creationId xmlns:a16="http://schemas.microsoft.com/office/drawing/2014/main" xmlns="" id="{00000000-0008-0000-0000-00006A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091" name="Text Box 3091">
          <a:extLst>
            <a:ext uri="{FF2B5EF4-FFF2-40B4-BE49-F238E27FC236}">
              <a16:creationId xmlns:a16="http://schemas.microsoft.com/office/drawing/2014/main" xmlns="" id="{00000000-0008-0000-0000-00006B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092" name="Text Box 3092">
          <a:extLst>
            <a:ext uri="{FF2B5EF4-FFF2-40B4-BE49-F238E27FC236}">
              <a16:creationId xmlns:a16="http://schemas.microsoft.com/office/drawing/2014/main" xmlns="" id="{00000000-0008-0000-0000-00006C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093" name="Text Box 3093">
          <a:extLst>
            <a:ext uri="{FF2B5EF4-FFF2-40B4-BE49-F238E27FC236}">
              <a16:creationId xmlns:a16="http://schemas.microsoft.com/office/drawing/2014/main" xmlns="" id="{00000000-0008-0000-0000-00006D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094" name="Text Box 3094">
          <a:extLst>
            <a:ext uri="{FF2B5EF4-FFF2-40B4-BE49-F238E27FC236}">
              <a16:creationId xmlns:a16="http://schemas.microsoft.com/office/drawing/2014/main" xmlns="" id="{00000000-0008-0000-0000-00006E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095" name="Text Box 3095">
          <a:extLst>
            <a:ext uri="{FF2B5EF4-FFF2-40B4-BE49-F238E27FC236}">
              <a16:creationId xmlns:a16="http://schemas.microsoft.com/office/drawing/2014/main" xmlns="" id="{00000000-0008-0000-0000-00006F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096" name="Text Box 3096">
          <a:extLst>
            <a:ext uri="{FF2B5EF4-FFF2-40B4-BE49-F238E27FC236}">
              <a16:creationId xmlns:a16="http://schemas.microsoft.com/office/drawing/2014/main" xmlns="" id="{00000000-0008-0000-0000-000070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097" name="Text Box 3097">
          <a:extLst>
            <a:ext uri="{FF2B5EF4-FFF2-40B4-BE49-F238E27FC236}">
              <a16:creationId xmlns:a16="http://schemas.microsoft.com/office/drawing/2014/main" xmlns="" id="{00000000-0008-0000-0000-000071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098" name="Text Box 3098">
          <a:extLst>
            <a:ext uri="{FF2B5EF4-FFF2-40B4-BE49-F238E27FC236}">
              <a16:creationId xmlns:a16="http://schemas.microsoft.com/office/drawing/2014/main" xmlns="" id="{00000000-0008-0000-0000-000072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099" name="Text Box 3099">
          <a:extLst>
            <a:ext uri="{FF2B5EF4-FFF2-40B4-BE49-F238E27FC236}">
              <a16:creationId xmlns:a16="http://schemas.microsoft.com/office/drawing/2014/main" xmlns="" id="{00000000-0008-0000-0000-000073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100" name="Text Box 3100">
          <a:extLst>
            <a:ext uri="{FF2B5EF4-FFF2-40B4-BE49-F238E27FC236}">
              <a16:creationId xmlns:a16="http://schemas.microsoft.com/office/drawing/2014/main" xmlns="" id="{00000000-0008-0000-0000-000074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101" name="Text Box 3101">
          <a:extLst>
            <a:ext uri="{FF2B5EF4-FFF2-40B4-BE49-F238E27FC236}">
              <a16:creationId xmlns:a16="http://schemas.microsoft.com/office/drawing/2014/main" xmlns="" id="{00000000-0008-0000-0000-000075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10102" name="Text Box 3102">
          <a:extLst>
            <a:ext uri="{FF2B5EF4-FFF2-40B4-BE49-F238E27FC236}">
              <a16:creationId xmlns:a16="http://schemas.microsoft.com/office/drawing/2014/main" xmlns="" id="{00000000-0008-0000-0000-000076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103" name="Text Box 59">
          <a:extLst>
            <a:ext uri="{FF2B5EF4-FFF2-40B4-BE49-F238E27FC236}">
              <a16:creationId xmlns:a16="http://schemas.microsoft.com/office/drawing/2014/main" xmlns="" id="{00000000-0008-0000-0000-000077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104" name="Text Box 60">
          <a:extLst>
            <a:ext uri="{FF2B5EF4-FFF2-40B4-BE49-F238E27FC236}">
              <a16:creationId xmlns:a16="http://schemas.microsoft.com/office/drawing/2014/main" xmlns="" id="{00000000-0008-0000-0000-000078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105" name="Text Box 61">
          <a:extLst>
            <a:ext uri="{FF2B5EF4-FFF2-40B4-BE49-F238E27FC236}">
              <a16:creationId xmlns:a16="http://schemas.microsoft.com/office/drawing/2014/main" xmlns="" id="{00000000-0008-0000-0000-000079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106" name="Text Box 62">
          <a:extLst>
            <a:ext uri="{FF2B5EF4-FFF2-40B4-BE49-F238E27FC236}">
              <a16:creationId xmlns:a16="http://schemas.microsoft.com/office/drawing/2014/main" xmlns="" id="{00000000-0008-0000-0000-00007A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107" name="Text Box 63">
          <a:extLst>
            <a:ext uri="{FF2B5EF4-FFF2-40B4-BE49-F238E27FC236}">
              <a16:creationId xmlns:a16="http://schemas.microsoft.com/office/drawing/2014/main" xmlns="" id="{00000000-0008-0000-0000-00007B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108" name="Text Box 64">
          <a:extLst>
            <a:ext uri="{FF2B5EF4-FFF2-40B4-BE49-F238E27FC236}">
              <a16:creationId xmlns:a16="http://schemas.microsoft.com/office/drawing/2014/main" xmlns="" id="{00000000-0008-0000-0000-00007C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109" name="Text Box 65">
          <a:extLst>
            <a:ext uri="{FF2B5EF4-FFF2-40B4-BE49-F238E27FC236}">
              <a16:creationId xmlns:a16="http://schemas.microsoft.com/office/drawing/2014/main" xmlns="" id="{00000000-0008-0000-0000-00007D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110" name="Text Box 66">
          <a:extLst>
            <a:ext uri="{FF2B5EF4-FFF2-40B4-BE49-F238E27FC236}">
              <a16:creationId xmlns:a16="http://schemas.microsoft.com/office/drawing/2014/main" xmlns="" id="{00000000-0008-0000-0000-00007E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111" name="Text Box 67">
          <a:extLst>
            <a:ext uri="{FF2B5EF4-FFF2-40B4-BE49-F238E27FC236}">
              <a16:creationId xmlns:a16="http://schemas.microsoft.com/office/drawing/2014/main" xmlns="" id="{00000000-0008-0000-0000-00007F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112" name="Text Box 68">
          <a:extLst>
            <a:ext uri="{FF2B5EF4-FFF2-40B4-BE49-F238E27FC236}">
              <a16:creationId xmlns:a16="http://schemas.microsoft.com/office/drawing/2014/main" xmlns="" id="{00000000-0008-0000-0000-000080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113" name="Text Box 69">
          <a:extLst>
            <a:ext uri="{FF2B5EF4-FFF2-40B4-BE49-F238E27FC236}">
              <a16:creationId xmlns:a16="http://schemas.microsoft.com/office/drawing/2014/main" xmlns="" id="{00000000-0008-0000-0000-000081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114" name="Text Box 70">
          <a:extLst>
            <a:ext uri="{FF2B5EF4-FFF2-40B4-BE49-F238E27FC236}">
              <a16:creationId xmlns:a16="http://schemas.microsoft.com/office/drawing/2014/main" xmlns="" id="{00000000-0008-0000-0000-000082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115" name="Text Box 71">
          <a:extLst>
            <a:ext uri="{FF2B5EF4-FFF2-40B4-BE49-F238E27FC236}">
              <a16:creationId xmlns:a16="http://schemas.microsoft.com/office/drawing/2014/main" xmlns="" id="{00000000-0008-0000-0000-000083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116" name="Text Box 72">
          <a:extLst>
            <a:ext uri="{FF2B5EF4-FFF2-40B4-BE49-F238E27FC236}">
              <a16:creationId xmlns:a16="http://schemas.microsoft.com/office/drawing/2014/main" xmlns="" id="{00000000-0008-0000-0000-000084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117" name="Text Box 73">
          <a:extLst>
            <a:ext uri="{FF2B5EF4-FFF2-40B4-BE49-F238E27FC236}">
              <a16:creationId xmlns:a16="http://schemas.microsoft.com/office/drawing/2014/main" xmlns="" id="{00000000-0008-0000-0000-000085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118" name="Text Box 74">
          <a:extLst>
            <a:ext uri="{FF2B5EF4-FFF2-40B4-BE49-F238E27FC236}">
              <a16:creationId xmlns:a16="http://schemas.microsoft.com/office/drawing/2014/main" xmlns="" id="{00000000-0008-0000-0000-000086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119" name="Text Box 75">
          <a:extLst>
            <a:ext uri="{FF2B5EF4-FFF2-40B4-BE49-F238E27FC236}">
              <a16:creationId xmlns:a16="http://schemas.microsoft.com/office/drawing/2014/main" xmlns="" id="{00000000-0008-0000-0000-000087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120" name="Text Box 76">
          <a:extLst>
            <a:ext uri="{FF2B5EF4-FFF2-40B4-BE49-F238E27FC236}">
              <a16:creationId xmlns:a16="http://schemas.microsoft.com/office/drawing/2014/main" xmlns="" id="{00000000-0008-0000-0000-000088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121" name="Text Box 77">
          <a:extLst>
            <a:ext uri="{FF2B5EF4-FFF2-40B4-BE49-F238E27FC236}">
              <a16:creationId xmlns:a16="http://schemas.microsoft.com/office/drawing/2014/main" xmlns="" id="{00000000-0008-0000-0000-000089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122" name="Text Box 78">
          <a:extLst>
            <a:ext uri="{FF2B5EF4-FFF2-40B4-BE49-F238E27FC236}">
              <a16:creationId xmlns:a16="http://schemas.microsoft.com/office/drawing/2014/main" xmlns="" id="{00000000-0008-0000-0000-00008A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123" name="Text Box 79">
          <a:extLst>
            <a:ext uri="{FF2B5EF4-FFF2-40B4-BE49-F238E27FC236}">
              <a16:creationId xmlns:a16="http://schemas.microsoft.com/office/drawing/2014/main" xmlns="" id="{00000000-0008-0000-0000-00008B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124" name="Text Box 80">
          <a:extLst>
            <a:ext uri="{FF2B5EF4-FFF2-40B4-BE49-F238E27FC236}">
              <a16:creationId xmlns:a16="http://schemas.microsoft.com/office/drawing/2014/main" xmlns="" id="{00000000-0008-0000-0000-00008C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125" name="Text Box 81">
          <a:extLst>
            <a:ext uri="{FF2B5EF4-FFF2-40B4-BE49-F238E27FC236}">
              <a16:creationId xmlns:a16="http://schemas.microsoft.com/office/drawing/2014/main" xmlns="" id="{00000000-0008-0000-0000-00008D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126" name="Text Box 3079">
          <a:extLst>
            <a:ext uri="{FF2B5EF4-FFF2-40B4-BE49-F238E27FC236}">
              <a16:creationId xmlns:a16="http://schemas.microsoft.com/office/drawing/2014/main" xmlns="" id="{00000000-0008-0000-0000-00008E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127" name="Text Box 3080">
          <a:extLst>
            <a:ext uri="{FF2B5EF4-FFF2-40B4-BE49-F238E27FC236}">
              <a16:creationId xmlns:a16="http://schemas.microsoft.com/office/drawing/2014/main" xmlns="" id="{00000000-0008-0000-0000-00008F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128" name="Text Box 3081">
          <a:extLst>
            <a:ext uri="{FF2B5EF4-FFF2-40B4-BE49-F238E27FC236}">
              <a16:creationId xmlns:a16="http://schemas.microsoft.com/office/drawing/2014/main" xmlns="" id="{00000000-0008-0000-0000-000090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129" name="Text Box 3082">
          <a:extLst>
            <a:ext uri="{FF2B5EF4-FFF2-40B4-BE49-F238E27FC236}">
              <a16:creationId xmlns:a16="http://schemas.microsoft.com/office/drawing/2014/main" xmlns="" id="{00000000-0008-0000-0000-000091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130" name="Text Box 3083">
          <a:extLst>
            <a:ext uri="{FF2B5EF4-FFF2-40B4-BE49-F238E27FC236}">
              <a16:creationId xmlns:a16="http://schemas.microsoft.com/office/drawing/2014/main" xmlns="" id="{00000000-0008-0000-0000-000092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131" name="Text Box 3084">
          <a:extLst>
            <a:ext uri="{FF2B5EF4-FFF2-40B4-BE49-F238E27FC236}">
              <a16:creationId xmlns:a16="http://schemas.microsoft.com/office/drawing/2014/main" xmlns="" id="{00000000-0008-0000-0000-000093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132" name="Text Box 3085">
          <a:extLst>
            <a:ext uri="{FF2B5EF4-FFF2-40B4-BE49-F238E27FC236}">
              <a16:creationId xmlns:a16="http://schemas.microsoft.com/office/drawing/2014/main" xmlns="" id="{00000000-0008-0000-0000-000094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133" name="Text Box 3086">
          <a:extLst>
            <a:ext uri="{FF2B5EF4-FFF2-40B4-BE49-F238E27FC236}">
              <a16:creationId xmlns:a16="http://schemas.microsoft.com/office/drawing/2014/main" xmlns="" id="{00000000-0008-0000-0000-000095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134" name="Text Box 3087">
          <a:extLst>
            <a:ext uri="{FF2B5EF4-FFF2-40B4-BE49-F238E27FC236}">
              <a16:creationId xmlns:a16="http://schemas.microsoft.com/office/drawing/2014/main" xmlns="" id="{00000000-0008-0000-0000-000096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135" name="Text Box 3088">
          <a:extLst>
            <a:ext uri="{FF2B5EF4-FFF2-40B4-BE49-F238E27FC236}">
              <a16:creationId xmlns:a16="http://schemas.microsoft.com/office/drawing/2014/main" xmlns="" id="{00000000-0008-0000-0000-000097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136" name="Text Box 3089">
          <a:extLst>
            <a:ext uri="{FF2B5EF4-FFF2-40B4-BE49-F238E27FC236}">
              <a16:creationId xmlns:a16="http://schemas.microsoft.com/office/drawing/2014/main" xmlns="" id="{00000000-0008-0000-0000-000098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137" name="Text Box 3090">
          <a:extLst>
            <a:ext uri="{FF2B5EF4-FFF2-40B4-BE49-F238E27FC236}">
              <a16:creationId xmlns:a16="http://schemas.microsoft.com/office/drawing/2014/main" xmlns="" id="{00000000-0008-0000-0000-000099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138" name="Text Box 3091">
          <a:extLst>
            <a:ext uri="{FF2B5EF4-FFF2-40B4-BE49-F238E27FC236}">
              <a16:creationId xmlns:a16="http://schemas.microsoft.com/office/drawing/2014/main" xmlns="" id="{00000000-0008-0000-0000-00009A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139" name="Text Box 3092">
          <a:extLst>
            <a:ext uri="{FF2B5EF4-FFF2-40B4-BE49-F238E27FC236}">
              <a16:creationId xmlns:a16="http://schemas.microsoft.com/office/drawing/2014/main" xmlns="" id="{00000000-0008-0000-0000-00009B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140" name="Text Box 3093">
          <a:extLst>
            <a:ext uri="{FF2B5EF4-FFF2-40B4-BE49-F238E27FC236}">
              <a16:creationId xmlns:a16="http://schemas.microsoft.com/office/drawing/2014/main" xmlns="" id="{00000000-0008-0000-0000-00009C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141" name="Text Box 3094">
          <a:extLst>
            <a:ext uri="{FF2B5EF4-FFF2-40B4-BE49-F238E27FC236}">
              <a16:creationId xmlns:a16="http://schemas.microsoft.com/office/drawing/2014/main" xmlns="" id="{00000000-0008-0000-0000-00009D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142" name="Text Box 3095">
          <a:extLst>
            <a:ext uri="{FF2B5EF4-FFF2-40B4-BE49-F238E27FC236}">
              <a16:creationId xmlns:a16="http://schemas.microsoft.com/office/drawing/2014/main" xmlns="" id="{00000000-0008-0000-0000-00009E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143" name="Text Box 3096">
          <a:extLst>
            <a:ext uri="{FF2B5EF4-FFF2-40B4-BE49-F238E27FC236}">
              <a16:creationId xmlns:a16="http://schemas.microsoft.com/office/drawing/2014/main" xmlns="" id="{00000000-0008-0000-0000-00009F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144" name="Text Box 3097">
          <a:extLst>
            <a:ext uri="{FF2B5EF4-FFF2-40B4-BE49-F238E27FC236}">
              <a16:creationId xmlns:a16="http://schemas.microsoft.com/office/drawing/2014/main" xmlns="" id="{00000000-0008-0000-0000-0000A0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145" name="Text Box 3098">
          <a:extLst>
            <a:ext uri="{FF2B5EF4-FFF2-40B4-BE49-F238E27FC236}">
              <a16:creationId xmlns:a16="http://schemas.microsoft.com/office/drawing/2014/main" xmlns="" id="{00000000-0008-0000-0000-0000A1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146" name="Text Box 3099">
          <a:extLst>
            <a:ext uri="{FF2B5EF4-FFF2-40B4-BE49-F238E27FC236}">
              <a16:creationId xmlns:a16="http://schemas.microsoft.com/office/drawing/2014/main" xmlns="" id="{00000000-0008-0000-0000-0000A2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147" name="Text Box 3100">
          <a:extLst>
            <a:ext uri="{FF2B5EF4-FFF2-40B4-BE49-F238E27FC236}">
              <a16:creationId xmlns:a16="http://schemas.microsoft.com/office/drawing/2014/main" xmlns="" id="{00000000-0008-0000-0000-0000A3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148" name="Text Box 3101">
          <a:extLst>
            <a:ext uri="{FF2B5EF4-FFF2-40B4-BE49-F238E27FC236}">
              <a16:creationId xmlns:a16="http://schemas.microsoft.com/office/drawing/2014/main" xmlns="" id="{00000000-0008-0000-0000-0000A4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10149" name="Text Box 3102">
          <a:extLst>
            <a:ext uri="{FF2B5EF4-FFF2-40B4-BE49-F238E27FC236}">
              <a16:creationId xmlns:a16="http://schemas.microsoft.com/office/drawing/2014/main" xmlns="" id="{00000000-0008-0000-0000-0000A5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150" name="Text Box 59">
          <a:extLst>
            <a:ext uri="{FF2B5EF4-FFF2-40B4-BE49-F238E27FC236}">
              <a16:creationId xmlns:a16="http://schemas.microsoft.com/office/drawing/2014/main" xmlns="" id="{00000000-0008-0000-0000-0000A6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151" name="Text Box 60">
          <a:extLst>
            <a:ext uri="{FF2B5EF4-FFF2-40B4-BE49-F238E27FC236}">
              <a16:creationId xmlns:a16="http://schemas.microsoft.com/office/drawing/2014/main" xmlns="" id="{00000000-0008-0000-0000-0000A7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152" name="Text Box 61">
          <a:extLst>
            <a:ext uri="{FF2B5EF4-FFF2-40B4-BE49-F238E27FC236}">
              <a16:creationId xmlns:a16="http://schemas.microsoft.com/office/drawing/2014/main" xmlns="" id="{00000000-0008-0000-0000-0000A8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153" name="Text Box 62">
          <a:extLst>
            <a:ext uri="{FF2B5EF4-FFF2-40B4-BE49-F238E27FC236}">
              <a16:creationId xmlns:a16="http://schemas.microsoft.com/office/drawing/2014/main" xmlns="" id="{00000000-0008-0000-0000-0000A9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154" name="Text Box 63">
          <a:extLst>
            <a:ext uri="{FF2B5EF4-FFF2-40B4-BE49-F238E27FC236}">
              <a16:creationId xmlns:a16="http://schemas.microsoft.com/office/drawing/2014/main" xmlns="" id="{00000000-0008-0000-0000-0000AA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155" name="Text Box 64">
          <a:extLst>
            <a:ext uri="{FF2B5EF4-FFF2-40B4-BE49-F238E27FC236}">
              <a16:creationId xmlns:a16="http://schemas.microsoft.com/office/drawing/2014/main" xmlns="" id="{00000000-0008-0000-0000-0000AB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156" name="Text Box 65">
          <a:extLst>
            <a:ext uri="{FF2B5EF4-FFF2-40B4-BE49-F238E27FC236}">
              <a16:creationId xmlns:a16="http://schemas.microsoft.com/office/drawing/2014/main" xmlns="" id="{00000000-0008-0000-0000-0000AC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157" name="Text Box 66">
          <a:extLst>
            <a:ext uri="{FF2B5EF4-FFF2-40B4-BE49-F238E27FC236}">
              <a16:creationId xmlns:a16="http://schemas.microsoft.com/office/drawing/2014/main" xmlns="" id="{00000000-0008-0000-0000-0000AD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158" name="Text Box 67">
          <a:extLst>
            <a:ext uri="{FF2B5EF4-FFF2-40B4-BE49-F238E27FC236}">
              <a16:creationId xmlns:a16="http://schemas.microsoft.com/office/drawing/2014/main" xmlns="" id="{00000000-0008-0000-0000-0000AE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159" name="Text Box 68">
          <a:extLst>
            <a:ext uri="{FF2B5EF4-FFF2-40B4-BE49-F238E27FC236}">
              <a16:creationId xmlns:a16="http://schemas.microsoft.com/office/drawing/2014/main" xmlns="" id="{00000000-0008-0000-0000-0000AF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160" name="Text Box 69">
          <a:extLst>
            <a:ext uri="{FF2B5EF4-FFF2-40B4-BE49-F238E27FC236}">
              <a16:creationId xmlns:a16="http://schemas.microsoft.com/office/drawing/2014/main" xmlns="" id="{00000000-0008-0000-0000-0000B0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161" name="Text Box 70">
          <a:extLst>
            <a:ext uri="{FF2B5EF4-FFF2-40B4-BE49-F238E27FC236}">
              <a16:creationId xmlns:a16="http://schemas.microsoft.com/office/drawing/2014/main" xmlns="" id="{00000000-0008-0000-0000-0000B1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162" name="Text Box 71">
          <a:extLst>
            <a:ext uri="{FF2B5EF4-FFF2-40B4-BE49-F238E27FC236}">
              <a16:creationId xmlns:a16="http://schemas.microsoft.com/office/drawing/2014/main" xmlns="" id="{00000000-0008-0000-0000-0000B2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163" name="Text Box 72">
          <a:extLst>
            <a:ext uri="{FF2B5EF4-FFF2-40B4-BE49-F238E27FC236}">
              <a16:creationId xmlns:a16="http://schemas.microsoft.com/office/drawing/2014/main" xmlns="" id="{00000000-0008-0000-0000-0000B3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164" name="Text Box 73">
          <a:extLst>
            <a:ext uri="{FF2B5EF4-FFF2-40B4-BE49-F238E27FC236}">
              <a16:creationId xmlns:a16="http://schemas.microsoft.com/office/drawing/2014/main" xmlns="" id="{00000000-0008-0000-0000-0000B4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165" name="Text Box 74">
          <a:extLst>
            <a:ext uri="{FF2B5EF4-FFF2-40B4-BE49-F238E27FC236}">
              <a16:creationId xmlns:a16="http://schemas.microsoft.com/office/drawing/2014/main" xmlns="" id="{00000000-0008-0000-0000-0000B5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166" name="Text Box 75">
          <a:extLst>
            <a:ext uri="{FF2B5EF4-FFF2-40B4-BE49-F238E27FC236}">
              <a16:creationId xmlns:a16="http://schemas.microsoft.com/office/drawing/2014/main" xmlns="" id="{00000000-0008-0000-0000-0000B6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167" name="Text Box 76">
          <a:extLst>
            <a:ext uri="{FF2B5EF4-FFF2-40B4-BE49-F238E27FC236}">
              <a16:creationId xmlns:a16="http://schemas.microsoft.com/office/drawing/2014/main" xmlns="" id="{00000000-0008-0000-0000-0000B7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168" name="Text Box 77">
          <a:extLst>
            <a:ext uri="{FF2B5EF4-FFF2-40B4-BE49-F238E27FC236}">
              <a16:creationId xmlns:a16="http://schemas.microsoft.com/office/drawing/2014/main" xmlns="" id="{00000000-0008-0000-0000-0000B8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169" name="Text Box 78">
          <a:extLst>
            <a:ext uri="{FF2B5EF4-FFF2-40B4-BE49-F238E27FC236}">
              <a16:creationId xmlns:a16="http://schemas.microsoft.com/office/drawing/2014/main" xmlns="" id="{00000000-0008-0000-0000-0000B9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170" name="Text Box 79">
          <a:extLst>
            <a:ext uri="{FF2B5EF4-FFF2-40B4-BE49-F238E27FC236}">
              <a16:creationId xmlns:a16="http://schemas.microsoft.com/office/drawing/2014/main" xmlns="" id="{00000000-0008-0000-0000-0000BA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171" name="Text Box 80">
          <a:extLst>
            <a:ext uri="{FF2B5EF4-FFF2-40B4-BE49-F238E27FC236}">
              <a16:creationId xmlns:a16="http://schemas.microsoft.com/office/drawing/2014/main" xmlns="" id="{00000000-0008-0000-0000-0000BB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172" name="Text Box 81">
          <a:extLst>
            <a:ext uri="{FF2B5EF4-FFF2-40B4-BE49-F238E27FC236}">
              <a16:creationId xmlns:a16="http://schemas.microsoft.com/office/drawing/2014/main" xmlns="" id="{00000000-0008-0000-0000-0000BC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47625"/>
    <xdr:sp macro="" textlink="">
      <xdr:nvSpPr>
        <xdr:cNvPr id="10173" name="Text Box 82">
          <a:extLst>
            <a:ext uri="{FF2B5EF4-FFF2-40B4-BE49-F238E27FC236}">
              <a16:creationId xmlns:a16="http://schemas.microsoft.com/office/drawing/2014/main" xmlns="" id="{00000000-0008-0000-0000-0000BD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174" name="Text Box 3079">
          <a:extLst>
            <a:ext uri="{FF2B5EF4-FFF2-40B4-BE49-F238E27FC236}">
              <a16:creationId xmlns:a16="http://schemas.microsoft.com/office/drawing/2014/main" xmlns="" id="{00000000-0008-0000-0000-0000BE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175" name="Text Box 3080">
          <a:extLst>
            <a:ext uri="{FF2B5EF4-FFF2-40B4-BE49-F238E27FC236}">
              <a16:creationId xmlns:a16="http://schemas.microsoft.com/office/drawing/2014/main" xmlns="" id="{00000000-0008-0000-0000-0000BF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176" name="Text Box 3081">
          <a:extLst>
            <a:ext uri="{FF2B5EF4-FFF2-40B4-BE49-F238E27FC236}">
              <a16:creationId xmlns:a16="http://schemas.microsoft.com/office/drawing/2014/main" xmlns="" id="{00000000-0008-0000-0000-0000C0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177" name="Text Box 3082">
          <a:extLst>
            <a:ext uri="{FF2B5EF4-FFF2-40B4-BE49-F238E27FC236}">
              <a16:creationId xmlns:a16="http://schemas.microsoft.com/office/drawing/2014/main" xmlns="" id="{00000000-0008-0000-0000-0000C1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178" name="Text Box 3083">
          <a:extLst>
            <a:ext uri="{FF2B5EF4-FFF2-40B4-BE49-F238E27FC236}">
              <a16:creationId xmlns:a16="http://schemas.microsoft.com/office/drawing/2014/main" xmlns="" id="{00000000-0008-0000-0000-0000C2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179" name="Text Box 3084">
          <a:extLst>
            <a:ext uri="{FF2B5EF4-FFF2-40B4-BE49-F238E27FC236}">
              <a16:creationId xmlns:a16="http://schemas.microsoft.com/office/drawing/2014/main" xmlns="" id="{00000000-0008-0000-0000-0000C3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180" name="Text Box 3085">
          <a:extLst>
            <a:ext uri="{FF2B5EF4-FFF2-40B4-BE49-F238E27FC236}">
              <a16:creationId xmlns:a16="http://schemas.microsoft.com/office/drawing/2014/main" xmlns="" id="{00000000-0008-0000-0000-0000C4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181" name="Text Box 3086">
          <a:extLst>
            <a:ext uri="{FF2B5EF4-FFF2-40B4-BE49-F238E27FC236}">
              <a16:creationId xmlns:a16="http://schemas.microsoft.com/office/drawing/2014/main" xmlns="" id="{00000000-0008-0000-0000-0000C5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182" name="Text Box 3087">
          <a:extLst>
            <a:ext uri="{FF2B5EF4-FFF2-40B4-BE49-F238E27FC236}">
              <a16:creationId xmlns:a16="http://schemas.microsoft.com/office/drawing/2014/main" xmlns="" id="{00000000-0008-0000-0000-0000C6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183" name="Text Box 3088">
          <a:extLst>
            <a:ext uri="{FF2B5EF4-FFF2-40B4-BE49-F238E27FC236}">
              <a16:creationId xmlns:a16="http://schemas.microsoft.com/office/drawing/2014/main" xmlns="" id="{00000000-0008-0000-0000-0000C7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184" name="Text Box 3089">
          <a:extLst>
            <a:ext uri="{FF2B5EF4-FFF2-40B4-BE49-F238E27FC236}">
              <a16:creationId xmlns:a16="http://schemas.microsoft.com/office/drawing/2014/main" xmlns="" id="{00000000-0008-0000-0000-0000C8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185" name="Text Box 3090">
          <a:extLst>
            <a:ext uri="{FF2B5EF4-FFF2-40B4-BE49-F238E27FC236}">
              <a16:creationId xmlns:a16="http://schemas.microsoft.com/office/drawing/2014/main" xmlns="" id="{00000000-0008-0000-0000-0000C9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186" name="Text Box 3091">
          <a:extLst>
            <a:ext uri="{FF2B5EF4-FFF2-40B4-BE49-F238E27FC236}">
              <a16:creationId xmlns:a16="http://schemas.microsoft.com/office/drawing/2014/main" xmlns="" id="{00000000-0008-0000-0000-0000CA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187" name="Text Box 3092">
          <a:extLst>
            <a:ext uri="{FF2B5EF4-FFF2-40B4-BE49-F238E27FC236}">
              <a16:creationId xmlns:a16="http://schemas.microsoft.com/office/drawing/2014/main" xmlns="" id="{00000000-0008-0000-0000-0000CB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188" name="Text Box 3093">
          <a:extLst>
            <a:ext uri="{FF2B5EF4-FFF2-40B4-BE49-F238E27FC236}">
              <a16:creationId xmlns:a16="http://schemas.microsoft.com/office/drawing/2014/main" xmlns="" id="{00000000-0008-0000-0000-0000CC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189" name="Text Box 3094">
          <a:extLst>
            <a:ext uri="{FF2B5EF4-FFF2-40B4-BE49-F238E27FC236}">
              <a16:creationId xmlns:a16="http://schemas.microsoft.com/office/drawing/2014/main" xmlns="" id="{00000000-0008-0000-0000-0000CD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190" name="Text Box 3095">
          <a:extLst>
            <a:ext uri="{FF2B5EF4-FFF2-40B4-BE49-F238E27FC236}">
              <a16:creationId xmlns:a16="http://schemas.microsoft.com/office/drawing/2014/main" xmlns="" id="{00000000-0008-0000-0000-0000CE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191" name="Text Box 3096">
          <a:extLst>
            <a:ext uri="{FF2B5EF4-FFF2-40B4-BE49-F238E27FC236}">
              <a16:creationId xmlns:a16="http://schemas.microsoft.com/office/drawing/2014/main" xmlns="" id="{00000000-0008-0000-0000-0000CF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192" name="Text Box 3097">
          <a:extLst>
            <a:ext uri="{FF2B5EF4-FFF2-40B4-BE49-F238E27FC236}">
              <a16:creationId xmlns:a16="http://schemas.microsoft.com/office/drawing/2014/main" xmlns="" id="{00000000-0008-0000-0000-0000D0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193" name="Text Box 3098">
          <a:extLst>
            <a:ext uri="{FF2B5EF4-FFF2-40B4-BE49-F238E27FC236}">
              <a16:creationId xmlns:a16="http://schemas.microsoft.com/office/drawing/2014/main" xmlns="" id="{00000000-0008-0000-0000-0000D1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194" name="Text Box 3099">
          <a:extLst>
            <a:ext uri="{FF2B5EF4-FFF2-40B4-BE49-F238E27FC236}">
              <a16:creationId xmlns:a16="http://schemas.microsoft.com/office/drawing/2014/main" xmlns="" id="{00000000-0008-0000-0000-0000D2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195" name="Text Box 3100">
          <a:extLst>
            <a:ext uri="{FF2B5EF4-FFF2-40B4-BE49-F238E27FC236}">
              <a16:creationId xmlns:a16="http://schemas.microsoft.com/office/drawing/2014/main" xmlns="" id="{00000000-0008-0000-0000-0000D3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196" name="Text Box 3101">
          <a:extLst>
            <a:ext uri="{FF2B5EF4-FFF2-40B4-BE49-F238E27FC236}">
              <a16:creationId xmlns:a16="http://schemas.microsoft.com/office/drawing/2014/main" xmlns="" id="{00000000-0008-0000-0000-0000D4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10197" name="Text Box 3102">
          <a:extLst>
            <a:ext uri="{FF2B5EF4-FFF2-40B4-BE49-F238E27FC236}">
              <a16:creationId xmlns:a16="http://schemas.microsoft.com/office/drawing/2014/main" xmlns="" id="{00000000-0008-0000-0000-0000D5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198" name="Text Box 59">
          <a:extLst>
            <a:ext uri="{FF2B5EF4-FFF2-40B4-BE49-F238E27FC236}">
              <a16:creationId xmlns:a16="http://schemas.microsoft.com/office/drawing/2014/main" xmlns="" id="{00000000-0008-0000-0000-0000D6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199" name="Text Box 60">
          <a:extLst>
            <a:ext uri="{FF2B5EF4-FFF2-40B4-BE49-F238E27FC236}">
              <a16:creationId xmlns:a16="http://schemas.microsoft.com/office/drawing/2014/main" xmlns="" id="{00000000-0008-0000-0000-0000D7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200" name="Text Box 61">
          <a:extLst>
            <a:ext uri="{FF2B5EF4-FFF2-40B4-BE49-F238E27FC236}">
              <a16:creationId xmlns:a16="http://schemas.microsoft.com/office/drawing/2014/main" xmlns="" id="{00000000-0008-0000-0000-0000D8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201" name="Text Box 62">
          <a:extLst>
            <a:ext uri="{FF2B5EF4-FFF2-40B4-BE49-F238E27FC236}">
              <a16:creationId xmlns:a16="http://schemas.microsoft.com/office/drawing/2014/main" xmlns="" id="{00000000-0008-0000-0000-0000D9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202" name="Text Box 63">
          <a:extLst>
            <a:ext uri="{FF2B5EF4-FFF2-40B4-BE49-F238E27FC236}">
              <a16:creationId xmlns:a16="http://schemas.microsoft.com/office/drawing/2014/main" xmlns="" id="{00000000-0008-0000-0000-0000DA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203" name="Text Box 64">
          <a:extLst>
            <a:ext uri="{FF2B5EF4-FFF2-40B4-BE49-F238E27FC236}">
              <a16:creationId xmlns:a16="http://schemas.microsoft.com/office/drawing/2014/main" xmlns="" id="{00000000-0008-0000-0000-0000DB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204" name="Text Box 65">
          <a:extLst>
            <a:ext uri="{FF2B5EF4-FFF2-40B4-BE49-F238E27FC236}">
              <a16:creationId xmlns:a16="http://schemas.microsoft.com/office/drawing/2014/main" xmlns="" id="{00000000-0008-0000-0000-0000DC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205" name="Text Box 66">
          <a:extLst>
            <a:ext uri="{FF2B5EF4-FFF2-40B4-BE49-F238E27FC236}">
              <a16:creationId xmlns:a16="http://schemas.microsoft.com/office/drawing/2014/main" xmlns="" id="{00000000-0008-0000-0000-0000DD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206" name="Text Box 67">
          <a:extLst>
            <a:ext uri="{FF2B5EF4-FFF2-40B4-BE49-F238E27FC236}">
              <a16:creationId xmlns:a16="http://schemas.microsoft.com/office/drawing/2014/main" xmlns="" id="{00000000-0008-0000-0000-0000DE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207" name="Text Box 68">
          <a:extLst>
            <a:ext uri="{FF2B5EF4-FFF2-40B4-BE49-F238E27FC236}">
              <a16:creationId xmlns:a16="http://schemas.microsoft.com/office/drawing/2014/main" xmlns="" id="{00000000-0008-0000-0000-0000DF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208" name="Text Box 69">
          <a:extLst>
            <a:ext uri="{FF2B5EF4-FFF2-40B4-BE49-F238E27FC236}">
              <a16:creationId xmlns:a16="http://schemas.microsoft.com/office/drawing/2014/main" xmlns="" id="{00000000-0008-0000-0000-0000E0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209" name="Text Box 70">
          <a:extLst>
            <a:ext uri="{FF2B5EF4-FFF2-40B4-BE49-F238E27FC236}">
              <a16:creationId xmlns:a16="http://schemas.microsoft.com/office/drawing/2014/main" xmlns="" id="{00000000-0008-0000-0000-0000E1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210" name="Text Box 71">
          <a:extLst>
            <a:ext uri="{FF2B5EF4-FFF2-40B4-BE49-F238E27FC236}">
              <a16:creationId xmlns:a16="http://schemas.microsoft.com/office/drawing/2014/main" xmlns="" id="{00000000-0008-0000-0000-0000E2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211" name="Text Box 72">
          <a:extLst>
            <a:ext uri="{FF2B5EF4-FFF2-40B4-BE49-F238E27FC236}">
              <a16:creationId xmlns:a16="http://schemas.microsoft.com/office/drawing/2014/main" xmlns="" id="{00000000-0008-0000-0000-0000E3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212" name="Text Box 73">
          <a:extLst>
            <a:ext uri="{FF2B5EF4-FFF2-40B4-BE49-F238E27FC236}">
              <a16:creationId xmlns:a16="http://schemas.microsoft.com/office/drawing/2014/main" xmlns="" id="{00000000-0008-0000-0000-0000E4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213" name="Text Box 74">
          <a:extLst>
            <a:ext uri="{FF2B5EF4-FFF2-40B4-BE49-F238E27FC236}">
              <a16:creationId xmlns:a16="http://schemas.microsoft.com/office/drawing/2014/main" xmlns="" id="{00000000-0008-0000-0000-0000E5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214" name="Text Box 75">
          <a:extLst>
            <a:ext uri="{FF2B5EF4-FFF2-40B4-BE49-F238E27FC236}">
              <a16:creationId xmlns:a16="http://schemas.microsoft.com/office/drawing/2014/main" xmlns="" id="{00000000-0008-0000-0000-0000E6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215" name="Text Box 76">
          <a:extLst>
            <a:ext uri="{FF2B5EF4-FFF2-40B4-BE49-F238E27FC236}">
              <a16:creationId xmlns:a16="http://schemas.microsoft.com/office/drawing/2014/main" xmlns="" id="{00000000-0008-0000-0000-0000E7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216" name="Text Box 77">
          <a:extLst>
            <a:ext uri="{FF2B5EF4-FFF2-40B4-BE49-F238E27FC236}">
              <a16:creationId xmlns:a16="http://schemas.microsoft.com/office/drawing/2014/main" xmlns="" id="{00000000-0008-0000-0000-0000E8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217" name="Text Box 78">
          <a:extLst>
            <a:ext uri="{FF2B5EF4-FFF2-40B4-BE49-F238E27FC236}">
              <a16:creationId xmlns:a16="http://schemas.microsoft.com/office/drawing/2014/main" xmlns="" id="{00000000-0008-0000-0000-0000E9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218" name="Text Box 79">
          <a:extLst>
            <a:ext uri="{FF2B5EF4-FFF2-40B4-BE49-F238E27FC236}">
              <a16:creationId xmlns:a16="http://schemas.microsoft.com/office/drawing/2014/main" xmlns="" id="{00000000-0008-0000-0000-0000EA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219" name="Text Box 80">
          <a:extLst>
            <a:ext uri="{FF2B5EF4-FFF2-40B4-BE49-F238E27FC236}">
              <a16:creationId xmlns:a16="http://schemas.microsoft.com/office/drawing/2014/main" xmlns="" id="{00000000-0008-0000-0000-0000EB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220" name="Text Box 81">
          <a:extLst>
            <a:ext uri="{FF2B5EF4-FFF2-40B4-BE49-F238E27FC236}">
              <a16:creationId xmlns:a16="http://schemas.microsoft.com/office/drawing/2014/main" xmlns="" id="{00000000-0008-0000-0000-0000EC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221" name="Text Box 3079">
          <a:extLst>
            <a:ext uri="{FF2B5EF4-FFF2-40B4-BE49-F238E27FC236}">
              <a16:creationId xmlns:a16="http://schemas.microsoft.com/office/drawing/2014/main" xmlns="" id="{00000000-0008-0000-0000-0000ED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222" name="Text Box 3080">
          <a:extLst>
            <a:ext uri="{FF2B5EF4-FFF2-40B4-BE49-F238E27FC236}">
              <a16:creationId xmlns:a16="http://schemas.microsoft.com/office/drawing/2014/main" xmlns="" id="{00000000-0008-0000-0000-0000EE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223" name="Text Box 3081">
          <a:extLst>
            <a:ext uri="{FF2B5EF4-FFF2-40B4-BE49-F238E27FC236}">
              <a16:creationId xmlns:a16="http://schemas.microsoft.com/office/drawing/2014/main" xmlns="" id="{00000000-0008-0000-0000-0000EF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224" name="Text Box 3082">
          <a:extLst>
            <a:ext uri="{FF2B5EF4-FFF2-40B4-BE49-F238E27FC236}">
              <a16:creationId xmlns:a16="http://schemas.microsoft.com/office/drawing/2014/main" xmlns="" id="{00000000-0008-0000-0000-0000F0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225" name="Text Box 3083">
          <a:extLst>
            <a:ext uri="{FF2B5EF4-FFF2-40B4-BE49-F238E27FC236}">
              <a16:creationId xmlns:a16="http://schemas.microsoft.com/office/drawing/2014/main" xmlns="" id="{00000000-0008-0000-0000-0000F1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226" name="Text Box 3084">
          <a:extLst>
            <a:ext uri="{FF2B5EF4-FFF2-40B4-BE49-F238E27FC236}">
              <a16:creationId xmlns:a16="http://schemas.microsoft.com/office/drawing/2014/main" xmlns="" id="{00000000-0008-0000-0000-0000F2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227" name="Text Box 3085">
          <a:extLst>
            <a:ext uri="{FF2B5EF4-FFF2-40B4-BE49-F238E27FC236}">
              <a16:creationId xmlns:a16="http://schemas.microsoft.com/office/drawing/2014/main" xmlns="" id="{00000000-0008-0000-0000-0000F3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228" name="Text Box 3086">
          <a:extLst>
            <a:ext uri="{FF2B5EF4-FFF2-40B4-BE49-F238E27FC236}">
              <a16:creationId xmlns:a16="http://schemas.microsoft.com/office/drawing/2014/main" xmlns="" id="{00000000-0008-0000-0000-0000F4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229" name="Text Box 3087">
          <a:extLst>
            <a:ext uri="{FF2B5EF4-FFF2-40B4-BE49-F238E27FC236}">
              <a16:creationId xmlns:a16="http://schemas.microsoft.com/office/drawing/2014/main" xmlns="" id="{00000000-0008-0000-0000-0000F5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230" name="Text Box 3088">
          <a:extLst>
            <a:ext uri="{FF2B5EF4-FFF2-40B4-BE49-F238E27FC236}">
              <a16:creationId xmlns:a16="http://schemas.microsoft.com/office/drawing/2014/main" xmlns="" id="{00000000-0008-0000-0000-0000F6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231" name="Text Box 3089">
          <a:extLst>
            <a:ext uri="{FF2B5EF4-FFF2-40B4-BE49-F238E27FC236}">
              <a16:creationId xmlns:a16="http://schemas.microsoft.com/office/drawing/2014/main" xmlns="" id="{00000000-0008-0000-0000-0000F7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232" name="Text Box 3090">
          <a:extLst>
            <a:ext uri="{FF2B5EF4-FFF2-40B4-BE49-F238E27FC236}">
              <a16:creationId xmlns:a16="http://schemas.microsoft.com/office/drawing/2014/main" xmlns="" id="{00000000-0008-0000-0000-0000F8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233" name="Text Box 3091">
          <a:extLst>
            <a:ext uri="{FF2B5EF4-FFF2-40B4-BE49-F238E27FC236}">
              <a16:creationId xmlns:a16="http://schemas.microsoft.com/office/drawing/2014/main" xmlns="" id="{00000000-0008-0000-0000-0000F9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234" name="Text Box 3092">
          <a:extLst>
            <a:ext uri="{FF2B5EF4-FFF2-40B4-BE49-F238E27FC236}">
              <a16:creationId xmlns:a16="http://schemas.microsoft.com/office/drawing/2014/main" xmlns="" id="{00000000-0008-0000-0000-0000FA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235" name="Text Box 3093">
          <a:extLst>
            <a:ext uri="{FF2B5EF4-FFF2-40B4-BE49-F238E27FC236}">
              <a16:creationId xmlns:a16="http://schemas.microsoft.com/office/drawing/2014/main" xmlns="" id="{00000000-0008-0000-0000-0000FB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236" name="Text Box 3094">
          <a:extLst>
            <a:ext uri="{FF2B5EF4-FFF2-40B4-BE49-F238E27FC236}">
              <a16:creationId xmlns:a16="http://schemas.microsoft.com/office/drawing/2014/main" xmlns="" id="{00000000-0008-0000-0000-0000FC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237" name="Text Box 3095">
          <a:extLst>
            <a:ext uri="{FF2B5EF4-FFF2-40B4-BE49-F238E27FC236}">
              <a16:creationId xmlns:a16="http://schemas.microsoft.com/office/drawing/2014/main" xmlns="" id="{00000000-0008-0000-0000-0000FD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238" name="Text Box 3096">
          <a:extLst>
            <a:ext uri="{FF2B5EF4-FFF2-40B4-BE49-F238E27FC236}">
              <a16:creationId xmlns:a16="http://schemas.microsoft.com/office/drawing/2014/main" xmlns="" id="{00000000-0008-0000-0000-0000FE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239" name="Text Box 3097">
          <a:extLst>
            <a:ext uri="{FF2B5EF4-FFF2-40B4-BE49-F238E27FC236}">
              <a16:creationId xmlns:a16="http://schemas.microsoft.com/office/drawing/2014/main" xmlns="" id="{00000000-0008-0000-0000-0000FF27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240" name="Text Box 3098">
          <a:extLst>
            <a:ext uri="{FF2B5EF4-FFF2-40B4-BE49-F238E27FC236}">
              <a16:creationId xmlns:a16="http://schemas.microsoft.com/office/drawing/2014/main" xmlns="" id="{00000000-0008-0000-0000-000000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241" name="Text Box 3099">
          <a:extLst>
            <a:ext uri="{FF2B5EF4-FFF2-40B4-BE49-F238E27FC236}">
              <a16:creationId xmlns:a16="http://schemas.microsoft.com/office/drawing/2014/main" xmlns="" id="{00000000-0008-0000-0000-000001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242" name="Text Box 3100">
          <a:extLst>
            <a:ext uri="{FF2B5EF4-FFF2-40B4-BE49-F238E27FC236}">
              <a16:creationId xmlns:a16="http://schemas.microsoft.com/office/drawing/2014/main" xmlns="" id="{00000000-0008-0000-0000-000002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243" name="Text Box 3101">
          <a:extLst>
            <a:ext uri="{FF2B5EF4-FFF2-40B4-BE49-F238E27FC236}">
              <a16:creationId xmlns:a16="http://schemas.microsoft.com/office/drawing/2014/main" xmlns="" id="{00000000-0008-0000-0000-000003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10244" name="Text Box 3102">
          <a:extLst>
            <a:ext uri="{FF2B5EF4-FFF2-40B4-BE49-F238E27FC236}">
              <a16:creationId xmlns:a16="http://schemas.microsoft.com/office/drawing/2014/main" xmlns="" id="{00000000-0008-0000-0000-000004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245" name="Text Box 59">
          <a:extLst>
            <a:ext uri="{FF2B5EF4-FFF2-40B4-BE49-F238E27FC236}">
              <a16:creationId xmlns:a16="http://schemas.microsoft.com/office/drawing/2014/main" xmlns="" id="{00000000-0008-0000-0000-000005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246" name="Text Box 60">
          <a:extLst>
            <a:ext uri="{FF2B5EF4-FFF2-40B4-BE49-F238E27FC236}">
              <a16:creationId xmlns:a16="http://schemas.microsoft.com/office/drawing/2014/main" xmlns="" id="{00000000-0008-0000-0000-000006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247" name="Text Box 61">
          <a:extLst>
            <a:ext uri="{FF2B5EF4-FFF2-40B4-BE49-F238E27FC236}">
              <a16:creationId xmlns:a16="http://schemas.microsoft.com/office/drawing/2014/main" xmlns="" id="{00000000-0008-0000-0000-000007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248" name="Text Box 62">
          <a:extLst>
            <a:ext uri="{FF2B5EF4-FFF2-40B4-BE49-F238E27FC236}">
              <a16:creationId xmlns:a16="http://schemas.microsoft.com/office/drawing/2014/main" xmlns="" id="{00000000-0008-0000-0000-000008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249" name="Text Box 63">
          <a:extLst>
            <a:ext uri="{FF2B5EF4-FFF2-40B4-BE49-F238E27FC236}">
              <a16:creationId xmlns:a16="http://schemas.microsoft.com/office/drawing/2014/main" xmlns="" id="{00000000-0008-0000-0000-000009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250" name="Text Box 64">
          <a:extLst>
            <a:ext uri="{FF2B5EF4-FFF2-40B4-BE49-F238E27FC236}">
              <a16:creationId xmlns:a16="http://schemas.microsoft.com/office/drawing/2014/main" xmlns="" id="{00000000-0008-0000-0000-00000A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251" name="Text Box 65">
          <a:extLst>
            <a:ext uri="{FF2B5EF4-FFF2-40B4-BE49-F238E27FC236}">
              <a16:creationId xmlns:a16="http://schemas.microsoft.com/office/drawing/2014/main" xmlns="" id="{00000000-0008-0000-0000-00000B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252" name="Text Box 66">
          <a:extLst>
            <a:ext uri="{FF2B5EF4-FFF2-40B4-BE49-F238E27FC236}">
              <a16:creationId xmlns:a16="http://schemas.microsoft.com/office/drawing/2014/main" xmlns="" id="{00000000-0008-0000-0000-00000C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253" name="Text Box 67">
          <a:extLst>
            <a:ext uri="{FF2B5EF4-FFF2-40B4-BE49-F238E27FC236}">
              <a16:creationId xmlns:a16="http://schemas.microsoft.com/office/drawing/2014/main" xmlns="" id="{00000000-0008-0000-0000-00000D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254" name="Text Box 68">
          <a:extLst>
            <a:ext uri="{FF2B5EF4-FFF2-40B4-BE49-F238E27FC236}">
              <a16:creationId xmlns:a16="http://schemas.microsoft.com/office/drawing/2014/main" xmlns="" id="{00000000-0008-0000-0000-00000E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255" name="Text Box 69">
          <a:extLst>
            <a:ext uri="{FF2B5EF4-FFF2-40B4-BE49-F238E27FC236}">
              <a16:creationId xmlns:a16="http://schemas.microsoft.com/office/drawing/2014/main" xmlns="" id="{00000000-0008-0000-0000-00000F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256" name="Text Box 70">
          <a:extLst>
            <a:ext uri="{FF2B5EF4-FFF2-40B4-BE49-F238E27FC236}">
              <a16:creationId xmlns:a16="http://schemas.microsoft.com/office/drawing/2014/main" xmlns="" id="{00000000-0008-0000-0000-000010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257" name="Text Box 71">
          <a:extLst>
            <a:ext uri="{FF2B5EF4-FFF2-40B4-BE49-F238E27FC236}">
              <a16:creationId xmlns:a16="http://schemas.microsoft.com/office/drawing/2014/main" xmlns="" id="{00000000-0008-0000-0000-000011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258" name="Text Box 72">
          <a:extLst>
            <a:ext uri="{FF2B5EF4-FFF2-40B4-BE49-F238E27FC236}">
              <a16:creationId xmlns:a16="http://schemas.microsoft.com/office/drawing/2014/main" xmlns="" id="{00000000-0008-0000-0000-000012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259" name="Text Box 73">
          <a:extLst>
            <a:ext uri="{FF2B5EF4-FFF2-40B4-BE49-F238E27FC236}">
              <a16:creationId xmlns:a16="http://schemas.microsoft.com/office/drawing/2014/main" xmlns="" id="{00000000-0008-0000-0000-000013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260" name="Text Box 74">
          <a:extLst>
            <a:ext uri="{FF2B5EF4-FFF2-40B4-BE49-F238E27FC236}">
              <a16:creationId xmlns:a16="http://schemas.microsoft.com/office/drawing/2014/main" xmlns="" id="{00000000-0008-0000-0000-000014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261" name="Text Box 75">
          <a:extLst>
            <a:ext uri="{FF2B5EF4-FFF2-40B4-BE49-F238E27FC236}">
              <a16:creationId xmlns:a16="http://schemas.microsoft.com/office/drawing/2014/main" xmlns="" id="{00000000-0008-0000-0000-000015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262" name="Text Box 76">
          <a:extLst>
            <a:ext uri="{FF2B5EF4-FFF2-40B4-BE49-F238E27FC236}">
              <a16:creationId xmlns:a16="http://schemas.microsoft.com/office/drawing/2014/main" xmlns="" id="{00000000-0008-0000-0000-000016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263" name="Text Box 77">
          <a:extLst>
            <a:ext uri="{FF2B5EF4-FFF2-40B4-BE49-F238E27FC236}">
              <a16:creationId xmlns:a16="http://schemas.microsoft.com/office/drawing/2014/main" xmlns="" id="{00000000-0008-0000-0000-000017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264" name="Text Box 78">
          <a:extLst>
            <a:ext uri="{FF2B5EF4-FFF2-40B4-BE49-F238E27FC236}">
              <a16:creationId xmlns:a16="http://schemas.microsoft.com/office/drawing/2014/main" xmlns="" id="{00000000-0008-0000-0000-000018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265" name="Text Box 79">
          <a:extLst>
            <a:ext uri="{FF2B5EF4-FFF2-40B4-BE49-F238E27FC236}">
              <a16:creationId xmlns:a16="http://schemas.microsoft.com/office/drawing/2014/main" xmlns="" id="{00000000-0008-0000-0000-000019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266" name="Text Box 80">
          <a:extLst>
            <a:ext uri="{FF2B5EF4-FFF2-40B4-BE49-F238E27FC236}">
              <a16:creationId xmlns:a16="http://schemas.microsoft.com/office/drawing/2014/main" xmlns="" id="{00000000-0008-0000-0000-00001A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267" name="Text Box 81">
          <a:extLst>
            <a:ext uri="{FF2B5EF4-FFF2-40B4-BE49-F238E27FC236}">
              <a16:creationId xmlns:a16="http://schemas.microsoft.com/office/drawing/2014/main" xmlns="" id="{00000000-0008-0000-0000-00001B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47625"/>
    <xdr:sp macro="" textlink="">
      <xdr:nvSpPr>
        <xdr:cNvPr id="10268" name="Text Box 82">
          <a:extLst>
            <a:ext uri="{FF2B5EF4-FFF2-40B4-BE49-F238E27FC236}">
              <a16:creationId xmlns:a16="http://schemas.microsoft.com/office/drawing/2014/main" xmlns="" id="{00000000-0008-0000-0000-00001C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269" name="Text Box 3079">
          <a:extLst>
            <a:ext uri="{FF2B5EF4-FFF2-40B4-BE49-F238E27FC236}">
              <a16:creationId xmlns:a16="http://schemas.microsoft.com/office/drawing/2014/main" xmlns="" id="{00000000-0008-0000-0000-00001D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270" name="Text Box 3080">
          <a:extLst>
            <a:ext uri="{FF2B5EF4-FFF2-40B4-BE49-F238E27FC236}">
              <a16:creationId xmlns:a16="http://schemas.microsoft.com/office/drawing/2014/main" xmlns="" id="{00000000-0008-0000-0000-00001E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271" name="Text Box 3081">
          <a:extLst>
            <a:ext uri="{FF2B5EF4-FFF2-40B4-BE49-F238E27FC236}">
              <a16:creationId xmlns:a16="http://schemas.microsoft.com/office/drawing/2014/main" xmlns="" id="{00000000-0008-0000-0000-00001F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272" name="Text Box 3082">
          <a:extLst>
            <a:ext uri="{FF2B5EF4-FFF2-40B4-BE49-F238E27FC236}">
              <a16:creationId xmlns:a16="http://schemas.microsoft.com/office/drawing/2014/main" xmlns="" id="{00000000-0008-0000-0000-000020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273" name="Text Box 3083">
          <a:extLst>
            <a:ext uri="{FF2B5EF4-FFF2-40B4-BE49-F238E27FC236}">
              <a16:creationId xmlns:a16="http://schemas.microsoft.com/office/drawing/2014/main" xmlns="" id="{00000000-0008-0000-0000-000021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274" name="Text Box 3084">
          <a:extLst>
            <a:ext uri="{FF2B5EF4-FFF2-40B4-BE49-F238E27FC236}">
              <a16:creationId xmlns:a16="http://schemas.microsoft.com/office/drawing/2014/main" xmlns="" id="{00000000-0008-0000-0000-000022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275" name="Text Box 3085">
          <a:extLst>
            <a:ext uri="{FF2B5EF4-FFF2-40B4-BE49-F238E27FC236}">
              <a16:creationId xmlns:a16="http://schemas.microsoft.com/office/drawing/2014/main" xmlns="" id="{00000000-0008-0000-0000-000023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276" name="Text Box 3086">
          <a:extLst>
            <a:ext uri="{FF2B5EF4-FFF2-40B4-BE49-F238E27FC236}">
              <a16:creationId xmlns:a16="http://schemas.microsoft.com/office/drawing/2014/main" xmlns="" id="{00000000-0008-0000-0000-000024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277" name="Text Box 3087">
          <a:extLst>
            <a:ext uri="{FF2B5EF4-FFF2-40B4-BE49-F238E27FC236}">
              <a16:creationId xmlns:a16="http://schemas.microsoft.com/office/drawing/2014/main" xmlns="" id="{00000000-0008-0000-0000-000025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278" name="Text Box 3088">
          <a:extLst>
            <a:ext uri="{FF2B5EF4-FFF2-40B4-BE49-F238E27FC236}">
              <a16:creationId xmlns:a16="http://schemas.microsoft.com/office/drawing/2014/main" xmlns="" id="{00000000-0008-0000-0000-000026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279" name="Text Box 3089">
          <a:extLst>
            <a:ext uri="{FF2B5EF4-FFF2-40B4-BE49-F238E27FC236}">
              <a16:creationId xmlns:a16="http://schemas.microsoft.com/office/drawing/2014/main" xmlns="" id="{00000000-0008-0000-0000-000027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280" name="Text Box 3090">
          <a:extLst>
            <a:ext uri="{FF2B5EF4-FFF2-40B4-BE49-F238E27FC236}">
              <a16:creationId xmlns:a16="http://schemas.microsoft.com/office/drawing/2014/main" xmlns="" id="{00000000-0008-0000-0000-000028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281" name="Text Box 3091">
          <a:extLst>
            <a:ext uri="{FF2B5EF4-FFF2-40B4-BE49-F238E27FC236}">
              <a16:creationId xmlns:a16="http://schemas.microsoft.com/office/drawing/2014/main" xmlns="" id="{00000000-0008-0000-0000-000029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282" name="Text Box 3092">
          <a:extLst>
            <a:ext uri="{FF2B5EF4-FFF2-40B4-BE49-F238E27FC236}">
              <a16:creationId xmlns:a16="http://schemas.microsoft.com/office/drawing/2014/main" xmlns="" id="{00000000-0008-0000-0000-00002A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283" name="Text Box 3093">
          <a:extLst>
            <a:ext uri="{FF2B5EF4-FFF2-40B4-BE49-F238E27FC236}">
              <a16:creationId xmlns:a16="http://schemas.microsoft.com/office/drawing/2014/main" xmlns="" id="{00000000-0008-0000-0000-00002B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284" name="Text Box 3094">
          <a:extLst>
            <a:ext uri="{FF2B5EF4-FFF2-40B4-BE49-F238E27FC236}">
              <a16:creationId xmlns:a16="http://schemas.microsoft.com/office/drawing/2014/main" xmlns="" id="{00000000-0008-0000-0000-00002C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285" name="Text Box 3095">
          <a:extLst>
            <a:ext uri="{FF2B5EF4-FFF2-40B4-BE49-F238E27FC236}">
              <a16:creationId xmlns:a16="http://schemas.microsoft.com/office/drawing/2014/main" xmlns="" id="{00000000-0008-0000-0000-00002D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286" name="Text Box 3096">
          <a:extLst>
            <a:ext uri="{FF2B5EF4-FFF2-40B4-BE49-F238E27FC236}">
              <a16:creationId xmlns:a16="http://schemas.microsoft.com/office/drawing/2014/main" xmlns="" id="{00000000-0008-0000-0000-00002E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287" name="Text Box 3097">
          <a:extLst>
            <a:ext uri="{FF2B5EF4-FFF2-40B4-BE49-F238E27FC236}">
              <a16:creationId xmlns:a16="http://schemas.microsoft.com/office/drawing/2014/main" xmlns="" id="{00000000-0008-0000-0000-00002F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288" name="Text Box 3098">
          <a:extLst>
            <a:ext uri="{FF2B5EF4-FFF2-40B4-BE49-F238E27FC236}">
              <a16:creationId xmlns:a16="http://schemas.microsoft.com/office/drawing/2014/main" xmlns="" id="{00000000-0008-0000-0000-000030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289" name="Text Box 3099">
          <a:extLst>
            <a:ext uri="{FF2B5EF4-FFF2-40B4-BE49-F238E27FC236}">
              <a16:creationId xmlns:a16="http://schemas.microsoft.com/office/drawing/2014/main" xmlns="" id="{00000000-0008-0000-0000-000031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290" name="Text Box 3100">
          <a:extLst>
            <a:ext uri="{FF2B5EF4-FFF2-40B4-BE49-F238E27FC236}">
              <a16:creationId xmlns:a16="http://schemas.microsoft.com/office/drawing/2014/main" xmlns="" id="{00000000-0008-0000-0000-000032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291" name="Text Box 3101">
          <a:extLst>
            <a:ext uri="{FF2B5EF4-FFF2-40B4-BE49-F238E27FC236}">
              <a16:creationId xmlns:a16="http://schemas.microsoft.com/office/drawing/2014/main" xmlns="" id="{00000000-0008-0000-0000-000033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10292" name="Text Box 3102">
          <a:extLst>
            <a:ext uri="{FF2B5EF4-FFF2-40B4-BE49-F238E27FC236}">
              <a16:creationId xmlns:a16="http://schemas.microsoft.com/office/drawing/2014/main" xmlns="" id="{00000000-0008-0000-0000-000034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293" name="Text Box 59">
          <a:extLst>
            <a:ext uri="{FF2B5EF4-FFF2-40B4-BE49-F238E27FC236}">
              <a16:creationId xmlns:a16="http://schemas.microsoft.com/office/drawing/2014/main" xmlns="" id="{00000000-0008-0000-0000-000035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294" name="Text Box 60">
          <a:extLst>
            <a:ext uri="{FF2B5EF4-FFF2-40B4-BE49-F238E27FC236}">
              <a16:creationId xmlns:a16="http://schemas.microsoft.com/office/drawing/2014/main" xmlns="" id="{00000000-0008-0000-0000-000036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295" name="Text Box 61">
          <a:extLst>
            <a:ext uri="{FF2B5EF4-FFF2-40B4-BE49-F238E27FC236}">
              <a16:creationId xmlns:a16="http://schemas.microsoft.com/office/drawing/2014/main" xmlns="" id="{00000000-0008-0000-0000-000037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296" name="Text Box 62">
          <a:extLst>
            <a:ext uri="{FF2B5EF4-FFF2-40B4-BE49-F238E27FC236}">
              <a16:creationId xmlns:a16="http://schemas.microsoft.com/office/drawing/2014/main" xmlns="" id="{00000000-0008-0000-0000-000038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297" name="Text Box 63">
          <a:extLst>
            <a:ext uri="{FF2B5EF4-FFF2-40B4-BE49-F238E27FC236}">
              <a16:creationId xmlns:a16="http://schemas.microsoft.com/office/drawing/2014/main" xmlns="" id="{00000000-0008-0000-0000-000039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298" name="Text Box 64">
          <a:extLst>
            <a:ext uri="{FF2B5EF4-FFF2-40B4-BE49-F238E27FC236}">
              <a16:creationId xmlns:a16="http://schemas.microsoft.com/office/drawing/2014/main" xmlns="" id="{00000000-0008-0000-0000-00003A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299" name="Text Box 65">
          <a:extLst>
            <a:ext uri="{FF2B5EF4-FFF2-40B4-BE49-F238E27FC236}">
              <a16:creationId xmlns:a16="http://schemas.microsoft.com/office/drawing/2014/main" xmlns="" id="{00000000-0008-0000-0000-00003B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300" name="Text Box 66">
          <a:extLst>
            <a:ext uri="{FF2B5EF4-FFF2-40B4-BE49-F238E27FC236}">
              <a16:creationId xmlns:a16="http://schemas.microsoft.com/office/drawing/2014/main" xmlns="" id="{00000000-0008-0000-0000-00003C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301" name="Text Box 67">
          <a:extLst>
            <a:ext uri="{FF2B5EF4-FFF2-40B4-BE49-F238E27FC236}">
              <a16:creationId xmlns:a16="http://schemas.microsoft.com/office/drawing/2014/main" xmlns="" id="{00000000-0008-0000-0000-00003D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302" name="Text Box 68">
          <a:extLst>
            <a:ext uri="{FF2B5EF4-FFF2-40B4-BE49-F238E27FC236}">
              <a16:creationId xmlns:a16="http://schemas.microsoft.com/office/drawing/2014/main" xmlns="" id="{00000000-0008-0000-0000-00003E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303" name="Text Box 69">
          <a:extLst>
            <a:ext uri="{FF2B5EF4-FFF2-40B4-BE49-F238E27FC236}">
              <a16:creationId xmlns:a16="http://schemas.microsoft.com/office/drawing/2014/main" xmlns="" id="{00000000-0008-0000-0000-00003F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304" name="Text Box 70">
          <a:extLst>
            <a:ext uri="{FF2B5EF4-FFF2-40B4-BE49-F238E27FC236}">
              <a16:creationId xmlns:a16="http://schemas.microsoft.com/office/drawing/2014/main" xmlns="" id="{00000000-0008-0000-0000-000040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305" name="Text Box 71">
          <a:extLst>
            <a:ext uri="{FF2B5EF4-FFF2-40B4-BE49-F238E27FC236}">
              <a16:creationId xmlns:a16="http://schemas.microsoft.com/office/drawing/2014/main" xmlns="" id="{00000000-0008-0000-0000-000041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306" name="Text Box 72">
          <a:extLst>
            <a:ext uri="{FF2B5EF4-FFF2-40B4-BE49-F238E27FC236}">
              <a16:creationId xmlns:a16="http://schemas.microsoft.com/office/drawing/2014/main" xmlns="" id="{00000000-0008-0000-0000-000042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307" name="Text Box 73">
          <a:extLst>
            <a:ext uri="{FF2B5EF4-FFF2-40B4-BE49-F238E27FC236}">
              <a16:creationId xmlns:a16="http://schemas.microsoft.com/office/drawing/2014/main" xmlns="" id="{00000000-0008-0000-0000-000043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308" name="Text Box 74">
          <a:extLst>
            <a:ext uri="{FF2B5EF4-FFF2-40B4-BE49-F238E27FC236}">
              <a16:creationId xmlns:a16="http://schemas.microsoft.com/office/drawing/2014/main" xmlns="" id="{00000000-0008-0000-0000-000044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309" name="Text Box 75">
          <a:extLst>
            <a:ext uri="{FF2B5EF4-FFF2-40B4-BE49-F238E27FC236}">
              <a16:creationId xmlns:a16="http://schemas.microsoft.com/office/drawing/2014/main" xmlns="" id="{00000000-0008-0000-0000-000045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310" name="Text Box 76">
          <a:extLst>
            <a:ext uri="{FF2B5EF4-FFF2-40B4-BE49-F238E27FC236}">
              <a16:creationId xmlns:a16="http://schemas.microsoft.com/office/drawing/2014/main" xmlns="" id="{00000000-0008-0000-0000-000046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311" name="Text Box 77">
          <a:extLst>
            <a:ext uri="{FF2B5EF4-FFF2-40B4-BE49-F238E27FC236}">
              <a16:creationId xmlns:a16="http://schemas.microsoft.com/office/drawing/2014/main" xmlns="" id="{00000000-0008-0000-0000-000047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312" name="Text Box 78">
          <a:extLst>
            <a:ext uri="{FF2B5EF4-FFF2-40B4-BE49-F238E27FC236}">
              <a16:creationId xmlns:a16="http://schemas.microsoft.com/office/drawing/2014/main" xmlns="" id="{00000000-0008-0000-0000-000048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313" name="Text Box 79">
          <a:extLst>
            <a:ext uri="{FF2B5EF4-FFF2-40B4-BE49-F238E27FC236}">
              <a16:creationId xmlns:a16="http://schemas.microsoft.com/office/drawing/2014/main" xmlns="" id="{00000000-0008-0000-0000-000049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314" name="Text Box 80">
          <a:extLst>
            <a:ext uri="{FF2B5EF4-FFF2-40B4-BE49-F238E27FC236}">
              <a16:creationId xmlns:a16="http://schemas.microsoft.com/office/drawing/2014/main" xmlns="" id="{00000000-0008-0000-0000-00004A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315" name="Text Box 81">
          <a:extLst>
            <a:ext uri="{FF2B5EF4-FFF2-40B4-BE49-F238E27FC236}">
              <a16:creationId xmlns:a16="http://schemas.microsoft.com/office/drawing/2014/main" xmlns="" id="{00000000-0008-0000-0000-00004B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316" name="Text Box 3079">
          <a:extLst>
            <a:ext uri="{FF2B5EF4-FFF2-40B4-BE49-F238E27FC236}">
              <a16:creationId xmlns:a16="http://schemas.microsoft.com/office/drawing/2014/main" xmlns="" id="{00000000-0008-0000-0000-00004C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317" name="Text Box 3080">
          <a:extLst>
            <a:ext uri="{FF2B5EF4-FFF2-40B4-BE49-F238E27FC236}">
              <a16:creationId xmlns:a16="http://schemas.microsoft.com/office/drawing/2014/main" xmlns="" id="{00000000-0008-0000-0000-00004D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318" name="Text Box 3081">
          <a:extLst>
            <a:ext uri="{FF2B5EF4-FFF2-40B4-BE49-F238E27FC236}">
              <a16:creationId xmlns:a16="http://schemas.microsoft.com/office/drawing/2014/main" xmlns="" id="{00000000-0008-0000-0000-00004E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319" name="Text Box 3082">
          <a:extLst>
            <a:ext uri="{FF2B5EF4-FFF2-40B4-BE49-F238E27FC236}">
              <a16:creationId xmlns:a16="http://schemas.microsoft.com/office/drawing/2014/main" xmlns="" id="{00000000-0008-0000-0000-00004F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320" name="Text Box 3083">
          <a:extLst>
            <a:ext uri="{FF2B5EF4-FFF2-40B4-BE49-F238E27FC236}">
              <a16:creationId xmlns:a16="http://schemas.microsoft.com/office/drawing/2014/main" xmlns="" id="{00000000-0008-0000-0000-000050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321" name="Text Box 3084">
          <a:extLst>
            <a:ext uri="{FF2B5EF4-FFF2-40B4-BE49-F238E27FC236}">
              <a16:creationId xmlns:a16="http://schemas.microsoft.com/office/drawing/2014/main" xmlns="" id="{00000000-0008-0000-0000-000051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322" name="Text Box 3085">
          <a:extLst>
            <a:ext uri="{FF2B5EF4-FFF2-40B4-BE49-F238E27FC236}">
              <a16:creationId xmlns:a16="http://schemas.microsoft.com/office/drawing/2014/main" xmlns="" id="{00000000-0008-0000-0000-000052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323" name="Text Box 3086">
          <a:extLst>
            <a:ext uri="{FF2B5EF4-FFF2-40B4-BE49-F238E27FC236}">
              <a16:creationId xmlns:a16="http://schemas.microsoft.com/office/drawing/2014/main" xmlns="" id="{00000000-0008-0000-0000-000053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324" name="Text Box 3087">
          <a:extLst>
            <a:ext uri="{FF2B5EF4-FFF2-40B4-BE49-F238E27FC236}">
              <a16:creationId xmlns:a16="http://schemas.microsoft.com/office/drawing/2014/main" xmlns="" id="{00000000-0008-0000-0000-000054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325" name="Text Box 3088">
          <a:extLst>
            <a:ext uri="{FF2B5EF4-FFF2-40B4-BE49-F238E27FC236}">
              <a16:creationId xmlns:a16="http://schemas.microsoft.com/office/drawing/2014/main" xmlns="" id="{00000000-0008-0000-0000-000055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326" name="Text Box 3089">
          <a:extLst>
            <a:ext uri="{FF2B5EF4-FFF2-40B4-BE49-F238E27FC236}">
              <a16:creationId xmlns:a16="http://schemas.microsoft.com/office/drawing/2014/main" xmlns="" id="{00000000-0008-0000-0000-000056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327" name="Text Box 3090">
          <a:extLst>
            <a:ext uri="{FF2B5EF4-FFF2-40B4-BE49-F238E27FC236}">
              <a16:creationId xmlns:a16="http://schemas.microsoft.com/office/drawing/2014/main" xmlns="" id="{00000000-0008-0000-0000-000057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328" name="Text Box 3091">
          <a:extLst>
            <a:ext uri="{FF2B5EF4-FFF2-40B4-BE49-F238E27FC236}">
              <a16:creationId xmlns:a16="http://schemas.microsoft.com/office/drawing/2014/main" xmlns="" id="{00000000-0008-0000-0000-000058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329" name="Text Box 3092">
          <a:extLst>
            <a:ext uri="{FF2B5EF4-FFF2-40B4-BE49-F238E27FC236}">
              <a16:creationId xmlns:a16="http://schemas.microsoft.com/office/drawing/2014/main" xmlns="" id="{00000000-0008-0000-0000-000059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330" name="Text Box 3093">
          <a:extLst>
            <a:ext uri="{FF2B5EF4-FFF2-40B4-BE49-F238E27FC236}">
              <a16:creationId xmlns:a16="http://schemas.microsoft.com/office/drawing/2014/main" xmlns="" id="{00000000-0008-0000-0000-00005A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331" name="Text Box 3094">
          <a:extLst>
            <a:ext uri="{FF2B5EF4-FFF2-40B4-BE49-F238E27FC236}">
              <a16:creationId xmlns:a16="http://schemas.microsoft.com/office/drawing/2014/main" xmlns="" id="{00000000-0008-0000-0000-00005B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332" name="Text Box 3095">
          <a:extLst>
            <a:ext uri="{FF2B5EF4-FFF2-40B4-BE49-F238E27FC236}">
              <a16:creationId xmlns:a16="http://schemas.microsoft.com/office/drawing/2014/main" xmlns="" id="{00000000-0008-0000-0000-00005C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333" name="Text Box 3096">
          <a:extLst>
            <a:ext uri="{FF2B5EF4-FFF2-40B4-BE49-F238E27FC236}">
              <a16:creationId xmlns:a16="http://schemas.microsoft.com/office/drawing/2014/main" xmlns="" id="{00000000-0008-0000-0000-00005D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334" name="Text Box 3097">
          <a:extLst>
            <a:ext uri="{FF2B5EF4-FFF2-40B4-BE49-F238E27FC236}">
              <a16:creationId xmlns:a16="http://schemas.microsoft.com/office/drawing/2014/main" xmlns="" id="{00000000-0008-0000-0000-00005E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335" name="Text Box 3098">
          <a:extLst>
            <a:ext uri="{FF2B5EF4-FFF2-40B4-BE49-F238E27FC236}">
              <a16:creationId xmlns:a16="http://schemas.microsoft.com/office/drawing/2014/main" xmlns="" id="{00000000-0008-0000-0000-00005F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336" name="Text Box 3099">
          <a:extLst>
            <a:ext uri="{FF2B5EF4-FFF2-40B4-BE49-F238E27FC236}">
              <a16:creationId xmlns:a16="http://schemas.microsoft.com/office/drawing/2014/main" xmlns="" id="{00000000-0008-0000-0000-000060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337" name="Text Box 3100">
          <a:extLst>
            <a:ext uri="{FF2B5EF4-FFF2-40B4-BE49-F238E27FC236}">
              <a16:creationId xmlns:a16="http://schemas.microsoft.com/office/drawing/2014/main" xmlns="" id="{00000000-0008-0000-0000-000061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338" name="Text Box 3101">
          <a:extLst>
            <a:ext uri="{FF2B5EF4-FFF2-40B4-BE49-F238E27FC236}">
              <a16:creationId xmlns:a16="http://schemas.microsoft.com/office/drawing/2014/main" xmlns="" id="{00000000-0008-0000-0000-000062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28575"/>
    <xdr:sp macro="" textlink="">
      <xdr:nvSpPr>
        <xdr:cNvPr id="10339" name="Text Box 3102">
          <a:extLst>
            <a:ext uri="{FF2B5EF4-FFF2-40B4-BE49-F238E27FC236}">
              <a16:creationId xmlns:a16="http://schemas.microsoft.com/office/drawing/2014/main" xmlns="" id="{00000000-0008-0000-0000-000063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340" name="Text Box 59">
          <a:extLst>
            <a:ext uri="{FF2B5EF4-FFF2-40B4-BE49-F238E27FC236}">
              <a16:creationId xmlns:a16="http://schemas.microsoft.com/office/drawing/2014/main" xmlns="" id="{00000000-0008-0000-0000-000064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341" name="Text Box 60">
          <a:extLst>
            <a:ext uri="{FF2B5EF4-FFF2-40B4-BE49-F238E27FC236}">
              <a16:creationId xmlns:a16="http://schemas.microsoft.com/office/drawing/2014/main" xmlns="" id="{00000000-0008-0000-0000-000065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342" name="Text Box 61">
          <a:extLst>
            <a:ext uri="{FF2B5EF4-FFF2-40B4-BE49-F238E27FC236}">
              <a16:creationId xmlns:a16="http://schemas.microsoft.com/office/drawing/2014/main" xmlns="" id="{00000000-0008-0000-0000-000066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343" name="Text Box 62">
          <a:extLst>
            <a:ext uri="{FF2B5EF4-FFF2-40B4-BE49-F238E27FC236}">
              <a16:creationId xmlns:a16="http://schemas.microsoft.com/office/drawing/2014/main" xmlns="" id="{00000000-0008-0000-0000-000067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344" name="Text Box 63">
          <a:extLst>
            <a:ext uri="{FF2B5EF4-FFF2-40B4-BE49-F238E27FC236}">
              <a16:creationId xmlns:a16="http://schemas.microsoft.com/office/drawing/2014/main" xmlns="" id="{00000000-0008-0000-0000-000068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345" name="Text Box 64">
          <a:extLst>
            <a:ext uri="{FF2B5EF4-FFF2-40B4-BE49-F238E27FC236}">
              <a16:creationId xmlns:a16="http://schemas.microsoft.com/office/drawing/2014/main" xmlns="" id="{00000000-0008-0000-0000-000069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346" name="Text Box 65">
          <a:extLst>
            <a:ext uri="{FF2B5EF4-FFF2-40B4-BE49-F238E27FC236}">
              <a16:creationId xmlns:a16="http://schemas.microsoft.com/office/drawing/2014/main" xmlns="" id="{00000000-0008-0000-0000-00006A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347" name="Text Box 66">
          <a:extLst>
            <a:ext uri="{FF2B5EF4-FFF2-40B4-BE49-F238E27FC236}">
              <a16:creationId xmlns:a16="http://schemas.microsoft.com/office/drawing/2014/main" xmlns="" id="{00000000-0008-0000-0000-00006B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348" name="Text Box 67">
          <a:extLst>
            <a:ext uri="{FF2B5EF4-FFF2-40B4-BE49-F238E27FC236}">
              <a16:creationId xmlns:a16="http://schemas.microsoft.com/office/drawing/2014/main" xmlns="" id="{00000000-0008-0000-0000-00006C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349" name="Text Box 68">
          <a:extLst>
            <a:ext uri="{FF2B5EF4-FFF2-40B4-BE49-F238E27FC236}">
              <a16:creationId xmlns:a16="http://schemas.microsoft.com/office/drawing/2014/main" xmlns="" id="{00000000-0008-0000-0000-00006D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350" name="Text Box 69">
          <a:extLst>
            <a:ext uri="{FF2B5EF4-FFF2-40B4-BE49-F238E27FC236}">
              <a16:creationId xmlns:a16="http://schemas.microsoft.com/office/drawing/2014/main" xmlns="" id="{00000000-0008-0000-0000-00006E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351" name="Text Box 70">
          <a:extLst>
            <a:ext uri="{FF2B5EF4-FFF2-40B4-BE49-F238E27FC236}">
              <a16:creationId xmlns:a16="http://schemas.microsoft.com/office/drawing/2014/main" xmlns="" id="{00000000-0008-0000-0000-00006F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352" name="Text Box 71">
          <a:extLst>
            <a:ext uri="{FF2B5EF4-FFF2-40B4-BE49-F238E27FC236}">
              <a16:creationId xmlns:a16="http://schemas.microsoft.com/office/drawing/2014/main" xmlns="" id="{00000000-0008-0000-0000-000070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353" name="Text Box 72">
          <a:extLst>
            <a:ext uri="{FF2B5EF4-FFF2-40B4-BE49-F238E27FC236}">
              <a16:creationId xmlns:a16="http://schemas.microsoft.com/office/drawing/2014/main" xmlns="" id="{00000000-0008-0000-0000-000071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354" name="Text Box 73">
          <a:extLst>
            <a:ext uri="{FF2B5EF4-FFF2-40B4-BE49-F238E27FC236}">
              <a16:creationId xmlns:a16="http://schemas.microsoft.com/office/drawing/2014/main" xmlns="" id="{00000000-0008-0000-0000-000072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355" name="Text Box 74">
          <a:extLst>
            <a:ext uri="{FF2B5EF4-FFF2-40B4-BE49-F238E27FC236}">
              <a16:creationId xmlns:a16="http://schemas.microsoft.com/office/drawing/2014/main" xmlns="" id="{00000000-0008-0000-0000-000073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356" name="Text Box 75">
          <a:extLst>
            <a:ext uri="{FF2B5EF4-FFF2-40B4-BE49-F238E27FC236}">
              <a16:creationId xmlns:a16="http://schemas.microsoft.com/office/drawing/2014/main" xmlns="" id="{00000000-0008-0000-0000-000074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357" name="Text Box 76">
          <a:extLst>
            <a:ext uri="{FF2B5EF4-FFF2-40B4-BE49-F238E27FC236}">
              <a16:creationId xmlns:a16="http://schemas.microsoft.com/office/drawing/2014/main" xmlns="" id="{00000000-0008-0000-0000-000075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358" name="Text Box 77">
          <a:extLst>
            <a:ext uri="{FF2B5EF4-FFF2-40B4-BE49-F238E27FC236}">
              <a16:creationId xmlns:a16="http://schemas.microsoft.com/office/drawing/2014/main" xmlns="" id="{00000000-0008-0000-0000-000076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359" name="Text Box 78">
          <a:extLst>
            <a:ext uri="{FF2B5EF4-FFF2-40B4-BE49-F238E27FC236}">
              <a16:creationId xmlns:a16="http://schemas.microsoft.com/office/drawing/2014/main" xmlns="" id="{00000000-0008-0000-0000-000077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360" name="Text Box 79">
          <a:extLst>
            <a:ext uri="{FF2B5EF4-FFF2-40B4-BE49-F238E27FC236}">
              <a16:creationId xmlns:a16="http://schemas.microsoft.com/office/drawing/2014/main" xmlns="" id="{00000000-0008-0000-0000-000078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361" name="Text Box 80">
          <a:extLst>
            <a:ext uri="{FF2B5EF4-FFF2-40B4-BE49-F238E27FC236}">
              <a16:creationId xmlns:a16="http://schemas.microsoft.com/office/drawing/2014/main" xmlns="" id="{00000000-0008-0000-0000-000079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47625"/>
    <xdr:sp macro="" textlink="">
      <xdr:nvSpPr>
        <xdr:cNvPr id="10362" name="Text Box 81">
          <a:extLst>
            <a:ext uri="{FF2B5EF4-FFF2-40B4-BE49-F238E27FC236}">
              <a16:creationId xmlns:a16="http://schemas.microsoft.com/office/drawing/2014/main" xmlns="" id="{00000000-0008-0000-0000-00007A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104775" cy="47625"/>
    <xdr:sp macro="" textlink="">
      <xdr:nvSpPr>
        <xdr:cNvPr id="10363" name="Text Box 82">
          <a:extLst>
            <a:ext uri="{FF2B5EF4-FFF2-40B4-BE49-F238E27FC236}">
              <a16:creationId xmlns:a16="http://schemas.microsoft.com/office/drawing/2014/main" xmlns="" id="{00000000-0008-0000-0000-00007B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104775" cy="47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364" name="Text Box 3079">
          <a:extLst>
            <a:ext uri="{FF2B5EF4-FFF2-40B4-BE49-F238E27FC236}">
              <a16:creationId xmlns:a16="http://schemas.microsoft.com/office/drawing/2014/main" xmlns="" id="{00000000-0008-0000-0000-00007C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365" name="Text Box 3080">
          <a:extLst>
            <a:ext uri="{FF2B5EF4-FFF2-40B4-BE49-F238E27FC236}">
              <a16:creationId xmlns:a16="http://schemas.microsoft.com/office/drawing/2014/main" xmlns="" id="{00000000-0008-0000-0000-00007D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366" name="Text Box 3081">
          <a:extLst>
            <a:ext uri="{FF2B5EF4-FFF2-40B4-BE49-F238E27FC236}">
              <a16:creationId xmlns:a16="http://schemas.microsoft.com/office/drawing/2014/main" xmlns="" id="{00000000-0008-0000-0000-00007E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367" name="Text Box 3082">
          <a:extLst>
            <a:ext uri="{FF2B5EF4-FFF2-40B4-BE49-F238E27FC236}">
              <a16:creationId xmlns:a16="http://schemas.microsoft.com/office/drawing/2014/main" xmlns="" id="{00000000-0008-0000-0000-00007F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1</xdr:col>
      <xdr:colOff>0</xdr:colOff>
      <xdr:row>3</xdr:row>
      <xdr:rowOff>0</xdr:rowOff>
    </xdr:from>
    <xdr:ext cx="57150" cy="28575"/>
    <xdr:sp macro="" textlink="">
      <xdr:nvSpPr>
        <xdr:cNvPr id="10368" name="Text Box 3083">
          <a:extLst>
            <a:ext uri="{FF2B5EF4-FFF2-40B4-BE49-F238E27FC236}">
              <a16:creationId xmlns:a16="http://schemas.microsoft.com/office/drawing/2014/main" xmlns="" id="{00000000-0008-0000-0000-000080280000}"/>
            </a:ext>
          </a:extLst>
        </xdr:cNvPr>
        <xdr:cNvSpPr txBox="1">
          <a:spLocks noChangeArrowheads="1"/>
        </xdr:cNvSpPr>
      </xdr:nvSpPr>
      <xdr:spPr bwMode="auto">
        <a:xfrm>
          <a:off x="609600" y="1600200"/>
          <a:ext cx="57150" cy="28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mc:Ignorable="x14ac xr">
  <sheetPr codeName="Sheet1"/>
  <dimension ref="A1:BC10"/>
  <sheetViews>
    <sheetView tabSelected="1" topLeftCell="AG1" zoomScaleNormal="100" workbookViewId="0">
      <selection activeCell="AP10" sqref="A3:AP10"/>
    </sheetView>
  </sheetViews>
  <sheetFormatPr defaultColWidth="9.109375" defaultRowHeight="15.6" x14ac:dyDescent="0.3"/>
  <cols>
    <col min="1" max="1" bestFit="1" width="6.5546875" customWidth="1" style="18"/>
    <col min="2" max="2" bestFit="1" width="11.88671875" customWidth="1" style="19"/>
    <col min="3" max="3" bestFit="1" width="69" customWidth="1" style="20"/>
    <col min="4" max="4" bestFit="1" width="10" customWidth="1" style="18"/>
    <col min="5" max="5" bestFit="1" width="26.44140625" customWidth="1" style="18"/>
    <col min="6" max="6" bestFit="1" width="31.33203125" customWidth="1" style="18"/>
    <col min="7" max="7" bestFit="1" width="23.44140625" customWidth="1" style="18"/>
    <col min="8" max="8" width="13.109375" customWidth="1" style="21"/>
    <col min="9" max="10" bestFit="1" width="13.33203125" customWidth="1" style="18"/>
    <col min="11" max="11" bestFit="1" width="19.88671875" customWidth="1" style="24"/>
    <col min="12" max="12" bestFit="1" width="16.44140625" customWidth="1" style="18"/>
    <col min="13" max="13" bestFit="1" width="13.44140625" customWidth="1" style="18"/>
    <col min="14" max="14" bestFit="1" width="16.33203125" customWidth="1" style="18"/>
    <col min="15" max="15" bestFit="1" width="11.6640625" customWidth="1" style="22"/>
    <col min="16" max="16" bestFit="1" width="27" customWidth="1" style="23"/>
    <col min="17" max="17" bestFit="1" width="17.109375" customWidth="1" style="23"/>
    <col min="18" max="18" bestFit="1" width="16" customWidth="1" style="18"/>
    <col min="19" max="19" bestFit="1" width="22" customWidth="1" style="18"/>
    <col min="20" max="20" bestFit="1" width="18.88671875" customWidth="1" style="18"/>
    <col min="21" max="21" bestFit="1" width="32.33203125" customWidth="1" style="23"/>
    <col min="22" max="22" bestFit="1" width="22.6640625" customWidth="1" style="18"/>
    <col min="23" max="23" bestFit="1" width="16.6640625" customWidth="1" style="18"/>
    <col min="24" max="24" bestFit="1" width="23.33203125" customWidth="1" style="18"/>
    <col min="25" max="25" bestFit="1" width="15.33203125" customWidth="1" style="18"/>
    <col min="26" max="27" bestFit="1" width="13.88671875" customWidth="1" style="18"/>
    <col min="28" max="28" bestFit="1" width="13.44140625" customWidth="1" style="18"/>
    <col min="29" max="29" bestFit="1" width="12.33203125" customWidth="1" style="18"/>
    <col min="30" max="30" bestFit="1" width="12.88671875" customWidth="1" style="18"/>
    <col min="31" max="31" bestFit="1" width="5" customWidth="1" style="18"/>
    <col min="32" max="32" bestFit="1" width="7.6640625" customWidth="1" style="18"/>
    <col min="33" max="33" bestFit="1" width="12.88671875" customWidth="1" style="18"/>
    <col min="34" max="34" bestFit="1" width="13.44140625" customWidth="1" style="18"/>
    <col min="35" max="35" width="8" customWidth="1" style="18"/>
    <col min="36" max="36" width="9.109375" customWidth="1" style="18"/>
    <col min="37" max="37" width="14.5546875" customWidth="1" style="18"/>
    <col min="38" max="38" width="13.88671875" customWidth="1" style="18"/>
    <col min="39" max="42" width="9.109375" customWidth="1" style="18"/>
    <col min="43" max="43" width="1.6640625" customWidth="1" style="38"/>
    <col min="44" max="55" width="8.109375" customWidth="1" style="18"/>
    <col min="56" max="16384" width="9.109375" customWidth="1" style="18"/>
  </cols>
  <sheetData>
    <row r="1" ht="55.2" s="15" customFormat="1">
      <c r="A1" s="46" t="s">
        <v>0</v>
      </c>
      <c r="B1" s="47" t="s">
        <v>81</v>
      </c>
      <c r="C1" s="47" t="s">
        <v>82</v>
      </c>
      <c r="D1" s="46" t="s">
        <v>83</v>
      </c>
      <c r="E1" s="46" t="s">
        <v>84</v>
      </c>
      <c r="F1" s="46" t="s">
        <v>85</v>
      </c>
      <c r="G1" s="46" t="s">
        <v>86</v>
      </c>
      <c r="H1" s="48" t="s">
        <v>87</v>
      </c>
      <c r="I1" s="48" t="s">
        <v>88</v>
      </c>
      <c r="J1" s="48" t="s">
        <v>89</v>
      </c>
      <c r="K1" s="49" t="s">
        <v>90</v>
      </c>
      <c r="L1" s="46" t="s">
        <v>91</v>
      </c>
      <c r="M1" s="46" t="s">
        <v>92</v>
      </c>
      <c r="N1" s="46" t="s">
        <v>93</v>
      </c>
      <c r="O1" s="50" t="s">
        <v>94</v>
      </c>
      <c r="P1" s="46" t="s">
        <v>95</v>
      </c>
      <c r="Q1" s="46" t="s">
        <v>96</v>
      </c>
      <c r="R1" s="46" t="s">
        <v>97</v>
      </c>
      <c r="S1" s="51" t="s">
        <v>98</v>
      </c>
      <c r="T1" s="46" t="s">
        <v>99</v>
      </c>
      <c r="U1" s="46" t="s">
        <v>100</v>
      </c>
      <c r="V1" s="46" t="s">
        <v>101</v>
      </c>
      <c r="W1" s="46" t="s">
        <v>102</v>
      </c>
      <c r="X1" s="46" t="s">
        <v>103</v>
      </c>
      <c r="Y1" s="46" t="s">
        <v>3</v>
      </c>
      <c r="Z1" s="52" t="s">
        <v>104</v>
      </c>
      <c r="AA1" s="52" t="s">
        <v>105</v>
      </c>
      <c r="AB1" s="46" t="s">
        <v>106</v>
      </c>
      <c r="AC1" s="46" t="s">
        <v>107</v>
      </c>
      <c r="AD1" s="46" t="s">
        <v>108</v>
      </c>
      <c r="AE1" s="46" t="s">
        <v>109</v>
      </c>
      <c r="AF1" s="53" t="s">
        <v>110</v>
      </c>
      <c r="AG1" s="46" t="s">
        <v>111</v>
      </c>
      <c r="AH1" s="46" t="s">
        <v>112</v>
      </c>
      <c r="AI1" s="54" t="s">
        <v>113</v>
      </c>
      <c r="AJ1" s="39" t="s">
        <v>114</v>
      </c>
      <c r="AK1" s="39" t="s">
        <v>115</v>
      </c>
      <c r="AL1" s="39" t="s">
        <v>116</v>
      </c>
      <c r="AM1" s="40" t="s">
        <v>117</v>
      </c>
      <c r="AN1" s="41" t="s">
        <v>118</v>
      </c>
      <c r="AO1" s="41" t="s">
        <v>119</v>
      </c>
      <c r="AP1" s="41" t="s">
        <v>120</v>
      </c>
      <c r="AQ1" s="35"/>
      <c r="AR1" s="45" t="s">
        <v>121</v>
      </c>
      <c r="AS1" s="45" t="s">
        <v>122</v>
      </c>
      <c r="AT1" s="45" t="s">
        <v>123</v>
      </c>
      <c r="AU1" s="45" t="s">
        <v>124</v>
      </c>
      <c r="AV1" s="45" t="s">
        <v>125</v>
      </c>
      <c r="AW1" s="45" t="s">
        <v>126</v>
      </c>
      <c r="AX1" s="45" t="s">
        <v>127</v>
      </c>
      <c r="AY1" s="45" t="s">
        <v>128</v>
      </c>
      <c r="AZ1" s="45" t="s">
        <v>129</v>
      </c>
      <c r="BA1" s="45" t="s">
        <v>130</v>
      </c>
      <c r="BB1" s="45" t="s">
        <v>131</v>
      </c>
      <c r="BC1" s="45" t="s">
        <v>132</v>
      </c>
    </row>
    <row r="2" ht="129.6" s="16" customFormat="1">
      <c r="A2" s="55" t="s">
        <v>133</v>
      </c>
      <c r="B2" s="56" t="s">
        <v>134</v>
      </c>
      <c r="C2" s="56" t="s">
        <v>135</v>
      </c>
      <c r="D2" s="55" t="s">
        <v>136</v>
      </c>
      <c r="E2" s="55" t="s">
        <v>137</v>
      </c>
      <c r="F2" s="55" t="s">
        <v>138</v>
      </c>
      <c r="G2" s="55" t="s">
        <v>139</v>
      </c>
      <c r="H2" s="57"/>
      <c r="I2" s="57"/>
      <c r="J2" s="57"/>
      <c r="K2" s="55" t="s">
        <v>140</v>
      </c>
      <c r="L2" s="55" t="s">
        <v>141</v>
      </c>
      <c r="M2" s="55" t="s">
        <v>142</v>
      </c>
      <c r="N2" s="55" t="s">
        <v>143</v>
      </c>
      <c r="O2" s="58" t="s">
        <v>144</v>
      </c>
      <c r="P2" s="55" t="s">
        <v>145</v>
      </c>
      <c r="Q2" s="55" t="s">
        <v>146</v>
      </c>
      <c r="R2" s="55" t="s">
        <v>147</v>
      </c>
      <c r="S2" s="55" t="s">
        <v>148</v>
      </c>
      <c r="T2" s="55" t="s">
        <v>149</v>
      </c>
      <c r="U2" s="55" t="s">
        <v>150</v>
      </c>
      <c r="V2" s="55" t="s">
        <v>151</v>
      </c>
      <c r="W2" s="55" t="s">
        <v>152</v>
      </c>
      <c r="X2" s="55" t="s">
        <v>153</v>
      </c>
      <c r="Y2" s="55" t="s">
        <v>154</v>
      </c>
      <c r="Z2" s="59" t="s">
        <v>155</v>
      </c>
      <c r="AA2" s="59" t="s">
        <v>156</v>
      </c>
      <c r="AB2" s="55" t="s">
        <v>157</v>
      </c>
      <c r="AC2" s="55" t="s">
        <v>158</v>
      </c>
      <c r="AD2" s="55" t="s">
        <v>159</v>
      </c>
      <c r="AE2" s="55"/>
      <c r="AF2" s="60"/>
      <c r="AG2" s="55" t="s">
        <v>160</v>
      </c>
      <c r="AH2" s="55" t="s">
        <v>161</v>
      </c>
      <c r="AI2" s="55" t="s">
        <v>162</v>
      </c>
      <c r="AJ2" s="42" t="s">
        <v>163</v>
      </c>
      <c r="AK2" s="42" t="s">
        <v>164</v>
      </c>
      <c r="AL2" s="42" t="s">
        <v>165</v>
      </c>
      <c r="AM2" s="43" t="s">
        <v>166</v>
      </c>
      <c r="AN2" s="43" t="s">
        <v>167</v>
      </c>
      <c r="AO2" s="43" t="s">
        <v>168</v>
      </c>
      <c r="AP2" s="44" t="s">
        <v>169</v>
      </c>
      <c r="AQ2" s="36"/>
      <c r="AR2" s="34" t="s">
        <v>170</v>
      </c>
      <c r="AS2" s="34" t="s">
        <v>171</v>
      </c>
      <c r="AT2" s="34" t="s">
        <v>172</v>
      </c>
      <c r="AU2" s="34" t="s">
        <v>173</v>
      </c>
      <c r="AV2" s="34" t="s">
        <v>174</v>
      </c>
      <c r="AW2" s="34" t="s">
        <v>175</v>
      </c>
      <c r="AX2" s="34" t="s">
        <v>176</v>
      </c>
      <c r="AY2" s="34" t="s">
        <v>177</v>
      </c>
      <c r="AZ2" s="34" t="s">
        <v>178</v>
      </c>
      <c r="BA2" s="34" t="s">
        <v>179</v>
      </c>
      <c r="BB2" s="34" t="s">
        <v>180</v>
      </c>
      <c r="BC2" s="34" t="s">
        <v>181</v>
      </c>
    </row>
    <row r="3" s="17" customFormat="1">
      <c r="A3" s="12">
        <v>1</v>
      </c>
      <c r="B3" s="11">
        <v>209089</v>
      </c>
      <c r="C3" s="7" t="s">
        <v>182</v>
      </c>
      <c r="D3" s="6" t="s">
        <v>183</v>
      </c>
      <c r="E3" s="7" t="s">
        <v>184</v>
      </c>
      <c r="F3" s="25" t="s">
        <v>185</v>
      </c>
      <c r="G3" s="26" t="s">
        <v>186</v>
      </c>
      <c r="H3" s="27" t="s">
        <v>187</v>
      </c>
      <c r="I3" s="12" t="s">
        <v>188</v>
      </c>
      <c r="J3" s="12" t="s">
        <v>189</v>
      </c>
      <c r="K3" s="13">
        <v>45</v>
      </c>
      <c r="L3" s="12">
        <v>0</v>
      </c>
      <c r="M3" s="8">
        <v>900</v>
      </c>
      <c r="N3" s="9">
        <v>42</v>
      </c>
      <c r="O3" s="14">
        <v>100</v>
      </c>
      <c r="P3" s="6" t="s">
        <v>190</v>
      </c>
      <c r="Q3" s="6" t="s">
        <v>191</v>
      </c>
      <c r="R3" s="12" t="s">
        <v>192</v>
      </c>
      <c r="S3" s="8" t="s">
        <v>193</v>
      </c>
      <c r="T3" s="8">
        <v>3</v>
      </c>
      <c r="U3" s="6" t="s">
        <v>194</v>
      </c>
      <c r="V3" s="5" t="s">
        <v>195</v>
      </c>
      <c r="W3" s="9" t="s">
        <v>196</v>
      </c>
      <c r="X3" s="8" t="s">
        <v>48</v>
      </c>
      <c r="Y3" s="10" t="s">
        <v>197</v>
      </c>
      <c r="Z3" s="9">
        <v>6</v>
      </c>
      <c r="AA3" s="12">
        <v>39</v>
      </c>
      <c r="AB3" s="12" t="s">
        <v>198</v>
      </c>
      <c r="AC3" s="6">
        <v>2</v>
      </c>
      <c r="AD3" s="12" t="s">
        <v>199</v>
      </c>
      <c r="AE3" s="12" t="s">
        <v>200</v>
      </c>
      <c r="AF3" s="12"/>
      <c r="AG3" s="6">
        <v>4</v>
      </c>
      <c r="AH3" s="12">
        <v>42</v>
      </c>
      <c r="AI3" s="28">
        <v>13</v>
      </c>
      <c r="AJ3" s="61">
        <v>1</v>
      </c>
      <c r="AK3" s="61" t="str">
        <f>ConcateNTimes(N3,"/",T3)</f>
        <v>42/42/42</v>
      </c>
      <c r="AL3" s="62" t="str">
        <f>ConcateMultiple($AX3:$BC3,"/",T3)</f>
        <v>90/90/90</v>
      </c>
      <c r="AM3" s="62" t="b">
        <v>1</v>
      </c>
      <c r="AN3" s="62" t="b">
        <f>L3=0</f>
        <v>1</v>
      </c>
      <c r="AO3" s="62" t="b">
        <v>1</v>
      </c>
      <c r="AP3" s="62"/>
      <c r="AQ3" s="37"/>
      <c r="AR3" s="17">
        <f>IF(T3&gt;=1,MID(Y3,1,IFERROR(FIND("~",SUBSTITUTE(Y3,"/","~",1))-1,LEN(Y3))),"0")*1</f>
        <v>1</v>
      </c>
      <c r="AS3" s="17">
        <f>IF(T3&gt;=2,MID(Y3,FIND("~",SUBSTITUTE(Y3,"/","~",1))+1,IFERROR(FIND("~",SUBSTITUTE(Y3,"/","~",2))-1,LEN(Y3))- FIND("~",SUBSTITUTE(Y3,"/","~",1))),"0")*1</f>
        <v>1</v>
      </c>
      <c r="AT3" s="17">
        <f>IF(T3&gt;=3,MID(Y3,FIND("~",SUBSTITUTE(Y3,"/","~",2))+1,IFERROR(FIND("~",SUBSTITUTE(Y3,"/","~",3))-1,LEN(Y3))- FIND("~",SUBSTITUTE(Y3,"/","~",2))),"0")*1</f>
        <v>1</v>
      </c>
      <c r="AU3" s="17">
        <f>IF(T3&gt;=4,MID(Y3,FIND("~",SUBSTITUTE(Y3,"/","~",3))+1,IFERROR(FIND("~",SUBSTITUTE(Y3,"/","~",4))-1,LEN(Y3))- FIND("~",SUBSTITUTE(Y3,"/","~",3))),"0")*1</f>
        <v>0</v>
      </c>
      <c r="AV3" s="17">
        <f>IF(T3&gt;=5,MID(Y3,FIND("~",SUBSTITUTE(Y3,"/","~",4))+1,IFERROR(FIND("~",SUBSTITUTE(Y3,"/","~",5))-1,LEN(Y3))- FIND("~",SUBSTITUTE(Y3,"/","~",4))),"0")*1</f>
        <v>0</v>
      </c>
      <c r="AW3" s="17">
        <f ref="AW3:AW10" t="shared" si="0">IF(T3&gt;=6,MID(Y3,FIND("~",SUBSTITUTE(Y3,"/","~",5))+1,IFERROR(FIND("~",SUBSTITUTE(Y3,"/","~",6))-1,LEN(Y3))- FIND("~",SUBSTITUTE(Y3,"/","~",5))),"0")*1</f>
        <v>0</v>
      </c>
      <c r="AX3" s="17">
        <f>GetEquPower(BTS!$F$1,Sheet1!$X3,Sheet1!AR3,Sheet1!$M3)</f>
        <v>90</v>
      </c>
      <c r="AY3" s="17">
        <f>GetEquPower(BTS!$F$1,Sheet1!$X3,Sheet1!AS3,Sheet1!$M3)</f>
        <v>90</v>
      </c>
      <c r="AZ3" s="17">
        <f>GetEquPower(BTS!$F$1,Sheet1!$X3,Sheet1!AT3,Sheet1!$M3)</f>
        <v>90</v>
      </c>
      <c r="BA3" s="17">
        <f>GetEquPower(BTS!$F$1,Sheet1!$X3,Sheet1!AU3,Sheet1!$M3)</f>
        <v>0</v>
      </c>
      <c r="BB3" s="17">
        <f>GetEquPower(BTS!$F$1,Sheet1!$X3,Sheet1!AV3,Sheet1!$M3)</f>
        <v>0</v>
      </c>
      <c r="BC3" s="17">
        <f>GetEquPower(BTS!$F$1,Sheet1!$X3,Sheet1!AW3,Sheet1!$M3)</f>
        <v>0</v>
      </c>
    </row>
    <row r="4" s="17" customFormat="1">
      <c r="A4" s="12">
        <v>2</v>
      </c>
      <c r="B4" s="11">
        <v>216115</v>
      </c>
      <c r="C4" s="7" t="s">
        <v>201</v>
      </c>
      <c r="D4" s="6" t="s">
        <v>202</v>
      </c>
      <c r="E4" s="7" t="s">
        <v>203</v>
      </c>
      <c r="F4" s="25" t="s">
        <v>204</v>
      </c>
      <c r="G4" s="26" t="s">
        <v>205</v>
      </c>
      <c r="H4" s="27" t="s">
        <v>187</v>
      </c>
      <c r="I4" s="12" t="s">
        <v>188</v>
      </c>
      <c r="J4" s="12" t="s">
        <v>189</v>
      </c>
      <c r="K4" s="13">
        <v>45</v>
      </c>
      <c r="L4" s="12">
        <v>0</v>
      </c>
      <c r="M4" s="8">
        <v>900</v>
      </c>
      <c r="N4" s="9">
        <v>42</v>
      </c>
      <c r="O4" s="14">
        <v>50</v>
      </c>
      <c r="P4" s="6" t="s">
        <v>190</v>
      </c>
      <c r="Q4" s="6" t="s">
        <v>191</v>
      </c>
      <c r="R4" s="12" t="s">
        <v>206</v>
      </c>
      <c r="S4" s="8" t="s">
        <v>193</v>
      </c>
      <c r="T4" s="8">
        <v>3</v>
      </c>
      <c r="U4" s="6" t="s">
        <v>194</v>
      </c>
      <c r="V4" s="5" t="s">
        <v>195</v>
      </c>
      <c r="W4" s="9" t="s">
        <v>207</v>
      </c>
      <c r="X4" s="8" t="s">
        <v>48</v>
      </c>
      <c r="Y4" s="10" t="s">
        <v>197</v>
      </c>
      <c r="Z4" s="9">
        <v>6</v>
      </c>
      <c r="AA4" s="12">
        <v>39</v>
      </c>
      <c r="AB4" s="12" t="s">
        <v>198</v>
      </c>
      <c r="AC4" s="6">
        <v>2</v>
      </c>
      <c r="AD4" s="12" t="s">
        <v>199</v>
      </c>
      <c r="AE4" s="12" t="s">
        <v>200</v>
      </c>
      <c r="AF4" s="12"/>
      <c r="AG4" s="6">
        <v>4</v>
      </c>
      <c r="AH4" s="12">
        <v>42</v>
      </c>
      <c r="AI4" s="28">
        <v>0</v>
      </c>
      <c r="AJ4" s="61">
        <v>2</v>
      </c>
      <c r="AK4" s="61" t="str">
        <f ref="AK4:AK10" t="shared" si="1">ConcateNTimes(N4,"/",T4)</f>
        <v>42/42/42</v>
      </c>
      <c r="AL4" s="62" t="str">
        <f ref="AL4:AL10" t="shared" si="2">ConcateMultiple($AX4:$BC4,"/",T4)</f>
        <v>90/90/90</v>
      </c>
      <c r="AM4" s="62" t="b">
        <v>1</v>
      </c>
      <c r="AN4" s="62" t="b">
        <f ref="AN4:AN10" t="shared" si="3">L4=0</f>
        <v>1</v>
      </c>
      <c r="AO4" s="62" t="b">
        <v>1</v>
      </c>
      <c r="AP4" s="62"/>
      <c r="AQ4" s="37"/>
      <c r="AR4" s="17">
        <f ref="AR4:AR10" t="shared" si="4">IF(T4&gt;=1,MID(Y4,1,IFERROR(FIND("~",SUBSTITUTE(Y4,"/","~",1))-1,LEN(Y4))),"0")*1</f>
        <v>1</v>
      </c>
      <c r="AS4" s="17">
        <f ref="AS4:AS10" t="shared" si="5">IF(T4&gt;=2,MID(Y4,FIND("~",SUBSTITUTE(Y4,"/","~",1))+1,IFERROR(FIND("~",SUBSTITUTE(Y4,"/","~",2))-1,LEN(Y4))- FIND("~",SUBSTITUTE(Y4,"/","~",1))),"0")*1</f>
        <v>1</v>
      </c>
      <c r="AT4" s="17">
        <f ref="AT4:AT10" t="shared" si="6">IF(T4&gt;=3,MID(Y4,FIND("~",SUBSTITUTE(Y4,"/","~",2))+1,IFERROR(FIND("~",SUBSTITUTE(Y4,"/","~",3))-1,LEN(Y4))- FIND("~",SUBSTITUTE(Y4,"/","~",2))),"0")*1</f>
        <v>1</v>
      </c>
      <c r="AU4" s="17">
        <f ref="AU4:AU10" t="shared" si="7">IF(T4&gt;=4,MID(Y4,FIND("~",SUBSTITUTE(Y4,"/","~",3))+1,IFERROR(FIND("~",SUBSTITUTE(Y4,"/","~",4))-1,LEN(Y4))- FIND("~",SUBSTITUTE(Y4,"/","~",3))),"0")*1</f>
        <v>0</v>
      </c>
      <c r="AV4" s="17">
        <f ref="AV4:AV10" t="shared" si="8">IF(T4&gt;=5,MID(Y4,FIND("~",SUBSTITUTE(Y4,"/","~",4))+1,IFERROR(FIND("~",SUBSTITUTE(Y4,"/","~",5))-1,LEN(Y4))- FIND("~",SUBSTITUTE(Y4,"/","~",4))),"0")*1</f>
        <v>0</v>
      </c>
      <c r="AW4" s="17">
        <f t="shared" si="0"/>
        <v>0</v>
      </c>
      <c r="AX4" s="17">
        <f>GetEquPower(BTS!$F$1,Sheet1!$X4,Sheet1!AR4,Sheet1!$M4)</f>
        <v>90</v>
      </c>
      <c r="AY4" s="17">
        <f>GetEquPower(BTS!$F$1,Sheet1!$X4,Sheet1!AS4,Sheet1!$M4)</f>
        <v>90</v>
      </c>
      <c r="AZ4" s="17">
        <f>GetEquPower(BTS!$F$1,Sheet1!$X4,Sheet1!AT4,Sheet1!$M4)</f>
        <v>90</v>
      </c>
      <c r="BA4" s="17">
        <f>GetEquPower(BTS!$F$1,Sheet1!$X4,Sheet1!AU4,Sheet1!$M4)</f>
        <v>0</v>
      </c>
      <c r="BB4" s="17">
        <f>GetEquPower(BTS!$F$1,Sheet1!$X4,Sheet1!AV4,Sheet1!$M4)</f>
        <v>0</v>
      </c>
      <c r="BC4" s="17">
        <f>GetEquPower(BTS!$F$1,Sheet1!$X4,Sheet1!AW4,Sheet1!$M4)</f>
        <v>0</v>
      </c>
    </row>
    <row r="5" s="17" customFormat="1">
      <c r="A5" s="12">
        <v>3</v>
      </c>
      <c r="B5" s="11">
        <v>216501</v>
      </c>
      <c r="C5" s="7" t="s">
        <v>208</v>
      </c>
      <c r="D5" s="6" t="s">
        <v>202</v>
      </c>
      <c r="E5" s="7" t="s">
        <v>209</v>
      </c>
      <c r="F5" s="25" t="s">
        <v>210</v>
      </c>
      <c r="G5" s="26" t="s">
        <v>211</v>
      </c>
      <c r="H5" s="27" t="s">
        <v>187</v>
      </c>
      <c r="I5" s="12" t="s">
        <v>188</v>
      </c>
      <c r="J5" s="12" t="s">
        <v>189</v>
      </c>
      <c r="K5" s="13">
        <v>45</v>
      </c>
      <c r="L5" s="12">
        <v>0</v>
      </c>
      <c r="M5" s="8">
        <v>900</v>
      </c>
      <c r="N5" s="9">
        <v>42</v>
      </c>
      <c r="O5" s="14">
        <v>-40</v>
      </c>
      <c r="P5" s="6" t="s">
        <v>190</v>
      </c>
      <c r="Q5" s="6" t="s">
        <v>191</v>
      </c>
      <c r="R5" s="12" t="s">
        <v>212</v>
      </c>
      <c r="S5" s="8" t="s">
        <v>193</v>
      </c>
      <c r="T5" s="8">
        <v>3</v>
      </c>
      <c r="U5" s="6" t="s">
        <v>194</v>
      </c>
      <c r="V5" s="5" t="s">
        <v>195</v>
      </c>
      <c r="W5" s="9" t="s">
        <v>213</v>
      </c>
      <c r="X5" s="8" t="s">
        <v>48</v>
      </c>
      <c r="Y5" s="10" t="s">
        <v>197</v>
      </c>
      <c r="Z5" s="9">
        <v>6</v>
      </c>
      <c r="AA5" s="12">
        <v>39</v>
      </c>
      <c r="AB5" s="12" t="s">
        <v>198</v>
      </c>
      <c r="AC5" s="6">
        <v>2</v>
      </c>
      <c r="AD5" s="12" t="s">
        <v>199</v>
      </c>
      <c r="AE5" s="12" t="s">
        <v>200</v>
      </c>
      <c r="AF5" s="12"/>
      <c r="AG5" s="6">
        <v>4</v>
      </c>
      <c r="AH5" s="12">
        <v>42</v>
      </c>
      <c r="AI5" s="28">
        <v>0</v>
      </c>
      <c r="AJ5" s="61">
        <v>3</v>
      </c>
      <c r="AK5" s="61" t="str">
        <f t="shared" si="1"/>
        <v>42/42/42</v>
      </c>
      <c r="AL5" s="62" t="str">
        <f t="shared" si="2"/>
        <v>90/90/90</v>
      </c>
      <c r="AM5" s="62" t="b">
        <v>1</v>
      </c>
      <c r="AN5" s="62" t="b">
        <f t="shared" si="3"/>
        <v>1</v>
      </c>
      <c r="AO5" s="62" t="b">
        <v>1</v>
      </c>
      <c r="AP5" s="62"/>
      <c r="AQ5" s="37"/>
      <c r="AR5" s="17">
        <f t="shared" si="4"/>
        <v>1</v>
      </c>
      <c r="AS5" s="17">
        <f t="shared" si="5"/>
        <v>1</v>
      </c>
      <c r="AT5" s="17">
        <f t="shared" si="6"/>
        <v>1</v>
      </c>
      <c r="AU5" s="17">
        <f t="shared" si="7"/>
        <v>0</v>
      </c>
      <c r="AV5" s="17">
        <f t="shared" si="8"/>
        <v>0</v>
      </c>
      <c r="AW5" s="17">
        <f t="shared" si="0"/>
        <v>0</v>
      </c>
      <c r="AX5" s="17">
        <f>GetEquPower(BTS!$F$1,Sheet1!$X5,Sheet1!AR5,Sheet1!$M5)</f>
        <v>90</v>
      </c>
      <c r="AY5" s="17">
        <f>GetEquPower(BTS!$F$1,Sheet1!$X5,Sheet1!AS5,Sheet1!$M5)</f>
        <v>90</v>
      </c>
      <c r="AZ5" s="17">
        <f>GetEquPower(BTS!$F$1,Sheet1!$X5,Sheet1!AT5,Sheet1!$M5)</f>
        <v>90</v>
      </c>
      <c r="BA5" s="17">
        <f>GetEquPower(BTS!$F$1,Sheet1!$X5,Sheet1!AU5,Sheet1!$M5)</f>
        <v>0</v>
      </c>
      <c r="BB5" s="17">
        <f>GetEquPower(BTS!$F$1,Sheet1!$X5,Sheet1!AV5,Sheet1!$M5)</f>
        <v>0</v>
      </c>
      <c r="BC5" s="17">
        <f>GetEquPower(BTS!$F$1,Sheet1!$X5,Sheet1!AW5,Sheet1!$M5)</f>
        <v>0</v>
      </c>
    </row>
    <row r="6" s="17" customFormat="1">
      <c r="A6" s="12">
        <v>4</v>
      </c>
      <c r="B6" s="11">
        <v>216502</v>
      </c>
      <c r="C6" s="7" t="s">
        <v>214</v>
      </c>
      <c r="D6" s="6" t="s">
        <v>202</v>
      </c>
      <c r="E6" s="7" t="s">
        <v>215</v>
      </c>
      <c r="F6" s="25" t="s">
        <v>216</v>
      </c>
      <c r="G6" s="26" t="s">
        <v>217</v>
      </c>
      <c r="H6" s="27" t="s">
        <v>187</v>
      </c>
      <c r="I6" s="12" t="s">
        <v>188</v>
      </c>
      <c r="J6" s="12" t="s">
        <v>189</v>
      </c>
      <c r="K6" s="13">
        <v>45</v>
      </c>
      <c r="L6" s="12">
        <v>0</v>
      </c>
      <c r="M6" s="8">
        <v>900</v>
      </c>
      <c r="N6" s="9">
        <v>42</v>
      </c>
      <c r="O6" s="14">
        <v>-160</v>
      </c>
      <c r="P6" s="6" t="s">
        <v>190</v>
      </c>
      <c r="Q6" s="6" t="s">
        <v>191</v>
      </c>
      <c r="R6" s="12" t="s">
        <v>218</v>
      </c>
      <c r="S6" s="8" t="s">
        <v>193</v>
      </c>
      <c r="T6" s="8">
        <v>3</v>
      </c>
      <c r="U6" s="6" t="s">
        <v>194</v>
      </c>
      <c r="V6" s="5" t="s">
        <v>195</v>
      </c>
      <c r="W6" s="9" t="s">
        <v>219</v>
      </c>
      <c r="X6" s="8" t="s">
        <v>48</v>
      </c>
      <c r="Y6" s="10" t="s">
        <v>197</v>
      </c>
      <c r="Z6" s="9">
        <v>6</v>
      </c>
      <c r="AA6" s="12">
        <v>39</v>
      </c>
      <c r="AB6" s="12" t="s">
        <v>198</v>
      </c>
      <c r="AC6" s="6">
        <v>2</v>
      </c>
      <c r="AD6" s="12" t="s">
        <v>199</v>
      </c>
      <c r="AE6" s="12" t="s">
        <v>200</v>
      </c>
      <c r="AF6" s="12"/>
      <c r="AG6" s="6">
        <v>4</v>
      </c>
      <c r="AH6" s="12">
        <v>42</v>
      </c>
      <c r="AI6" s="28">
        <v>27</v>
      </c>
      <c r="AJ6" s="61">
        <v>4</v>
      </c>
      <c r="AK6" s="61" t="str">
        <f t="shared" si="1"/>
        <v>42/42/42</v>
      </c>
      <c r="AL6" s="62" t="str">
        <f t="shared" si="2"/>
        <v>90/90/90</v>
      </c>
      <c r="AM6" s="62" t="b">
        <v>1</v>
      </c>
      <c r="AN6" s="62" t="b">
        <f t="shared" si="3"/>
        <v>1</v>
      </c>
      <c r="AO6" s="62" t="b">
        <v>1</v>
      </c>
      <c r="AP6" s="62"/>
      <c r="AQ6" s="37"/>
      <c r="AR6" s="17">
        <f t="shared" si="4"/>
        <v>1</v>
      </c>
      <c r="AS6" s="17">
        <f t="shared" si="5"/>
        <v>1</v>
      </c>
      <c r="AT6" s="17">
        <f t="shared" si="6"/>
        <v>1</v>
      </c>
      <c r="AU6" s="17">
        <f t="shared" si="7"/>
        <v>0</v>
      </c>
      <c r="AV6" s="17">
        <f t="shared" si="8"/>
        <v>0</v>
      </c>
      <c r="AW6" s="17">
        <f t="shared" si="0"/>
        <v>0</v>
      </c>
      <c r="AX6" s="17">
        <f>GetEquPower(BTS!$F$1,Sheet1!$X6,Sheet1!AR6,Sheet1!$M6)</f>
        <v>90</v>
      </c>
      <c r="AY6" s="17">
        <f>GetEquPower(BTS!$F$1,Sheet1!$X6,Sheet1!AS6,Sheet1!$M6)</f>
        <v>90</v>
      </c>
      <c r="AZ6" s="17">
        <f>GetEquPower(BTS!$F$1,Sheet1!$X6,Sheet1!AT6,Sheet1!$M6)</f>
        <v>90</v>
      </c>
      <c r="BA6" s="17">
        <f>GetEquPower(BTS!$F$1,Sheet1!$X6,Sheet1!AU6,Sheet1!$M6)</f>
        <v>0</v>
      </c>
      <c r="BB6" s="17">
        <f>GetEquPower(BTS!$F$1,Sheet1!$X6,Sheet1!AV6,Sheet1!$M6)</f>
        <v>0</v>
      </c>
      <c r="BC6" s="17">
        <f>GetEquPower(BTS!$F$1,Sheet1!$X6,Sheet1!AW6,Sheet1!$M6)</f>
        <v>0</v>
      </c>
    </row>
    <row r="7" s="17" customFormat="1">
      <c r="A7" s="12">
        <v>5</v>
      </c>
      <c r="B7" s="11">
        <v>217501</v>
      </c>
      <c r="C7" s="7" t="s">
        <v>220</v>
      </c>
      <c r="D7" s="6" t="s">
        <v>221</v>
      </c>
      <c r="E7" s="7" t="s">
        <v>222</v>
      </c>
      <c r="F7" s="25" t="s">
        <v>223</v>
      </c>
      <c r="G7" s="26" t="s">
        <v>224</v>
      </c>
      <c r="H7" s="27" t="s">
        <v>187</v>
      </c>
      <c r="I7" s="12" t="s">
        <v>188</v>
      </c>
      <c r="J7" s="12" t="s">
        <v>189</v>
      </c>
      <c r="K7" s="13">
        <v>45</v>
      </c>
      <c r="L7" s="12">
        <v>0</v>
      </c>
      <c r="M7" s="8">
        <v>900</v>
      </c>
      <c r="N7" s="9">
        <v>42</v>
      </c>
      <c r="O7" s="14">
        <v>60</v>
      </c>
      <c r="P7" s="6" t="s">
        <v>190</v>
      </c>
      <c r="Q7" s="6" t="s">
        <v>191</v>
      </c>
      <c r="R7" s="12" t="s">
        <v>225</v>
      </c>
      <c r="S7" s="8" t="s">
        <v>193</v>
      </c>
      <c r="T7" s="8">
        <v>3</v>
      </c>
      <c r="U7" s="6" t="s">
        <v>194</v>
      </c>
      <c r="V7" s="5" t="s">
        <v>195</v>
      </c>
      <c r="W7" s="9" t="s">
        <v>226</v>
      </c>
      <c r="X7" s="8" t="s">
        <v>48</v>
      </c>
      <c r="Y7" s="10" t="s">
        <v>197</v>
      </c>
      <c r="Z7" s="9">
        <v>6</v>
      </c>
      <c r="AA7" s="12">
        <v>39</v>
      </c>
      <c r="AB7" s="12" t="s">
        <v>198</v>
      </c>
      <c r="AC7" s="6">
        <v>2</v>
      </c>
      <c r="AD7" s="12" t="s">
        <v>199</v>
      </c>
      <c r="AE7" s="12" t="s">
        <v>200</v>
      </c>
      <c r="AF7" s="12"/>
      <c r="AG7" s="6">
        <v>4</v>
      </c>
      <c r="AH7" s="12">
        <v>42</v>
      </c>
      <c r="AI7" s="28">
        <v>0</v>
      </c>
      <c r="AJ7" s="61">
        <v>5</v>
      </c>
      <c r="AK7" s="61" t="str">
        <f t="shared" si="1"/>
        <v>42/42/42</v>
      </c>
      <c r="AL7" s="62" t="str">
        <f t="shared" si="2"/>
        <v>90/90/90</v>
      </c>
      <c r="AM7" s="62" t="b">
        <v>1</v>
      </c>
      <c r="AN7" s="62" t="b">
        <f t="shared" si="3"/>
        <v>1</v>
      </c>
      <c r="AO7" s="62" t="b">
        <v>1</v>
      </c>
      <c r="AP7" s="62"/>
      <c r="AQ7" s="37"/>
      <c r="AR7" s="17">
        <f t="shared" si="4"/>
        <v>1</v>
      </c>
      <c r="AS7" s="17">
        <f t="shared" si="5"/>
        <v>1</v>
      </c>
      <c r="AT7" s="17">
        <f t="shared" si="6"/>
        <v>1</v>
      </c>
      <c r="AU7" s="17">
        <f t="shared" si="7"/>
        <v>0</v>
      </c>
      <c r="AV7" s="17">
        <f t="shared" si="8"/>
        <v>0</v>
      </c>
      <c r="AW7" s="17">
        <f t="shared" si="0"/>
        <v>0</v>
      </c>
      <c r="AX7" s="17">
        <f>GetEquPower(BTS!$F$1,Sheet1!$X7,Sheet1!AR7,Sheet1!$M7)</f>
        <v>90</v>
      </c>
      <c r="AY7" s="17">
        <f>GetEquPower(BTS!$F$1,Sheet1!$X7,Sheet1!AS7,Sheet1!$M7)</f>
        <v>90</v>
      </c>
      <c r="AZ7" s="17">
        <f>GetEquPower(BTS!$F$1,Sheet1!$X7,Sheet1!AT7,Sheet1!$M7)</f>
        <v>90</v>
      </c>
      <c r="BA7" s="17">
        <f>GetEquPower(BTS!$F$1,Sheet1!$X7,Sheet1!AU7,Sheet1!$M7)</f>
        <v>0</v>
      </c>
      <c r="BB7" s="17">
        <f>GetEquPower(BTS!$F$1,Sheet1!$X7,Sheet1!AV7,Sheet1!$M7)</f>
        <v>0</v>
      </c>
      <c r="BC7" s="17">
        <f>GetEquPower(BTS!$F$1,Sheet1!$X7,Sheet1!AW7,Sheet1!$M7)</f>
        <v>0</v>
      </c>
    </row>
    <row r="8" s="17" customFormat="1">
      <c r="A8" s="12">
        <v>6</v>
      </c>
      <c r="B8" s="11">
        <v>221501</v>
      </c>
      <c r="C8" s="7" t="s">
        <v>227</v>
      </c>
      <c r="D8" s="6" t="s">
        <v>228</v>
      </c>
      <c r="E8" s="7" t="s">
        <v>229</v>
      </c>
      <c r="F8" s="25" t="s">
        <v>230</v>
      </c>
      <c r="G8" s="26" t="s">
        <v>231</v>
      </c>
      <c r="H8" s="27" t="s">
        <v>187</v>
      </c>
      <c r="I8" s="12" t="s">
        <v>188</v>
      </c>
      <c r="J8" s="12" t="s">
        <v>189</v>
      </c>
      <c r="K8" s="13">
        <v>45</v>
      </c>
      <c r="L8" s="12">
        <v>0</v>
      </c>
      <c r="M8" s="8">
        <v>900</v>
      </c>
      <c r="N8" s="9">
        <v>42</v>
      </c>
      <c r="O8" s="14">
        <v>-50</v>
      </c>
      <c r="P8" s="6" t="s">
        <v>190</v>
      </c>
      <c r="Q8" s="6" t="s">
        <v>191</v>
      </c>
      <c r="R8" s="12" t="s">
        <v>232</v>
      </c>
      <c r="S8" s="8" t="s">
        <v>193</v>
      </c>
      <c r="T8" s="8">
        <v>2</v>
      </c>
      <c r="U8" s="6" t="s">
        <v>194</v>
      </c>
      <c r="V8" s="5" t="s">
        <v>233</v>
      </c>
      <c r="W8" s="9" t="s">
        <v>234</v>
      </c>
      <c r="X8" s="8" t="s">
        <v>48</v>
      </c>
      <c r="Y8" s="10" t="s">
        <v>235</v>
      </c>
      <c r="Z8" s="9">
        <v>6</v>
      </c>
      <c r="AA8" s="12">
        <v>39</v>
      </c>
      <c r="AB8" s="12" t="s">
        <v>198</v>
      </c>
      <c r="AC8" s="6">
        <v>2</v>
      </c>
      <c r="AD8" s="12" t="s">
        <v>199</v>
      </c>
      <c r="AE8" s="12" t="s">
        <v>200</v>
      </c>
      <c r="AF8" s="12"/>
      <c r="AG8" s="6">
        <v>4</v>
      </c>
      <c r="AH8" s="12">
        <v>42</v>
      </c>
      <c r="AI8" s="28">
        <v>0</v>
      </c>
      <c r="AJ8" s="61">
        <v>6</v>
      </c>
      <c r="AK8" s="61" t="str">
        <f t="shared" si="1"/>
        <v>42/42</v>
      </c>
      <c r="AL8" s="62" t="str">
        <f t="shared" si="2"/>
        <v>90/90</v>
      </c>
      <c r="AM8" s="62" t="b">
        <v>1</v>
      </c>
      <c r="AN8" s="62" t="b">
        <f t="shared" si="3"/>
        <v>1</v>
      </c>
      <c r="AO8" s="62" t="b">
        <v>1</v>
      </c>
      <c r="AP8" s="62"/>
      <c r="AQ8" s="37"/>
      <c r="AR8" s="17">
        <f t="shared" si="4"/>
        <v>1</v>
      </c>
      <c r="AS8" s="17">
        <f t="shared" si="5"/>
        <v>1</v>
      </c>
      <c r="AT8" s="17">
        <f t="shared" si="6"/>
        <v>0</v>
      </c>
      <c r="AU8" s="17">
        <f t="shared" si="7"/>
        <v>0</v>
      </c>
      <c r="AV8" s="17">
        <f t="shared" si="8"/>
        <v>0</v>
      </c>
      <c r="AW8" s="17">
        <f t="shared" si="0"/>
        <v>0</v>
      </c>
      <c r="AX8" s="17">
        <f>GetEquPower(BTS!$F$1,Sheet1!$X8,Sheet1!AR8,Sheet1!$M8)</f>
        <v>90</v>
      </c>
      <c r="AY8" s="17">
        <f>GetEquPower(BTS!$F$1,Sheet1!$X8,Sheet1!AS8,Sheet1!$M8)</f>
        <v>90</v>
      </c>
      <c r="AZ8" s="17">
        <f>GetEquPower(BTS!$F$1,Sheet1!$X8,Sheet1!AT8,Sheet1!$M8)</f>
        <v>0</v>
      </c>
      <c r="BA8" s="17">
        <f>GetEquPower(BTS!$F$1,Sheet1!$X8,Sheet1!AU8,Sheet1!$M8)</f>
        <v>0</v>
      </c>
      <c r="BB8" s="17">
        <f>GetEquPower(BTS!$F$1,Sheet1!$X8,Sheet1!AV8,Sheet1!$M8)</f>
        <v>0</v>
      </c>
      <c r="BC8" s="17">
        <f>GetEquPower(BTS!$F$1,Sheet1!$X8,Sheet1!AW8,Sheet1!$M8)</f>
        <v>0</v>
      </c>
    </row>
    <row r="9" ht="31.2" s="17" customFormat="1">
      <c r="A9" s="12">
        <v>7</v>
      </c>
      <c r="B9" s="11">
        <v>209050</v>
      </c>
      <c r="C9" s="7" t="s">
        <v>236</v>
      </c>
      <c r="D9" s="6" t="s">
        <v>183</v>
      </c>
      <c r="E9" s="7" t="s">
        <v>237</v>
      </c>
      <c r="F9" s="25" t="s">
        <v>238</v>
      </c>
      <c r="G9" s="26" t="s">
        <v>239</v>
      </c>
      <c r="H9" s="27" t="s">
        <v>187</v>
      </c>
      <c r="I9" s="12" t="s">
        <v>188</v>
      </c>
      <c r="J9" s="12" t="s">
        <v>189</v>
      </c>
      <c r="K9" s="13">
        <v>3</v>
      </c>
      <c r="L9" s="12">
        <v>20</v>
      </c>
      <c r="M9" s="8">
        <v>900</v>
      </c>
      <c r="N9" s="9">
        <v>21</v>
      </c>
      <c r="O9" s="14">
        <v>-160</v>
      </c>
      <c r="P9" s="6" t="s">
        <v>190</v>
      </c>
      <c r="Q9" s="6" t="s">
        <v>191</v>
      </c>
      <c r="R9" s="12" t="s">
        <v>240</v>
      </c>
      <c r="S9" s="8" t="s">
        <v>193</v>
      </c>
      <c r="T9" s="8">
        <v>3</v>
      </c>
      <c r="U9" s="6" t="s">
        <v>194</v>
      </c>
      <c r="V9" s="5" t="s">
        <v>195</v>
      </c>
      <c r="W9" s="9" t="s">
        <v>219</v>
      </c>
      <c r="X9" s="8" t="s">
        <v>48</v>
      </c>
      <c r="Y9" s="10" t="s">
        <v>219</v>
      </c>
      <c r="Z9" s="9">
        <v>6</v>
      </c>
      <c r="AA9" s="12">
        <v>0</v>
      </c>
      <c r="AB9" s="12" t="s">
        <v>198</v>
      </c>
      <c r="AC9" s="6">
        <v>2</v>
      </c>
      <c r="AD9" s="12" t="s">
        <v>198</v>
      </c>
      <c r="AE9" s="12" t="s">
        <v>241</v>
      </c>
      <c r="AF9" s="12"/>
      <c r="AG9" s="6">
        <v>8</v>
      </c>
      <c r="AH9" s="12">
        <v>21</v>
      </c>
      <c r="AI9" s="28">
        <v>14.5</v>
      </c>
      <c r="AJ9" s="61">
        <v>7</v>
      </c>
      <c r="AK9" s="61" t="str">
        <f t="shared" si="1"/>
        <v>21/21/21</v>
      </c>
      <c r="AL9" s="62" t="str">
        <f t="shared" si="2"/>
        <v>90/90/90</v>
      </c>
      <c r="AM9" s="62" t="b">
        <v>1</v>
      </c>
      <c r="AN9" s="62" t="b">
        <f t="shared" si="3"/>
        <v>0</v>
      </c>
      <c r="AO9" s="62" t="b">
        <v>1</v>
      </c>
      <c r="AP9" s="62"/>
      <c r="AQ9" s="37"/>
      <c r="AR9" s="17">
        <f t="shared" si="4"/>
        <v>2</v>
      </c>
      <c r="AS9" s="17">
        <f t="shared" si="5"/>
        <v>2</v>
      </c>
      <c r="AT9" s="17">
        <f t="shared" si="6"/>
        <v>2</v>
      </c>
      <c r="AU9" s="17">
        <f t="shared" si="7"/>
        <v>0</v>
      </c>
      <c r="AV9" s="17">
        <f t="shared" si="8"/>
        <v>0</v>
      </c>
      <c r="AW9" s="17">
        <f t="shared" si="0"/>
        <v>0</v>
      </c>
      <c r="AX9" s="17">
        <f>GetEquPower(BTS!$F$1,Sheet1!$X9,Sheet1!AR9,Sheet1!$M9)</f>
        <v>90</v>
      </c>
      <c r="AY9" s="17">
        <f>GetEquPower(BTS!$F$1,Sheet1!$X9,Sheet1!AS9,Sheet1!$M9)</f>
        <v>90</v>
      </c>
      <c r="AZ9" s="17">
        <f>GetEquPower(BTS!$F$1,Sheet1!$X9,Sheet1!AT9,Sheet1!$M9)</f>
        <v>90</v>
      </c>
      <c r="BA9" s="17">
        <f>GetEquPower(BTS!$F$1,Sheet1!$X9,Sheet1!AU9,Sheet1!$M9)</f>
        <v>0</v>
      </c>
      <c r="BB9" s="17">
        <f>GetEquPower(BTS!$F$1,Sheet1!$X9,Sheet1!AV9,Sheet1!$M9)</f>
        <v>0</v>
      </c>
      <c r="BC9" s="17">
        <f>GetEquPower(BTS!$F$1,Sheet1!$X9,Sheet1!AW9,Sheet1!$M9)</f>
        <v>0</v>
      </c>
    </row>
    <row r="10" s="17" customFormat="1">
      <c r="A10" s="12"/>
      <c r="B10" s="11"/>
      <c r="C10" s="7"/>
      <c r="D10" s="6"/>
      <c r="E10" s="7" t="s">
        <v>242</v>
      </c>
      <c r="F10" s="25"/>
      <c r="G10" s="26"/>
      <c r="H10" s="27"/>
      <c r="I10" s="12" t="s">
        <v>188</v>
      </c>
      <c r="J10" s="12" t="s">
        <v>189</v>
      </c>
      <c r="K10" s="13"/>
      <c r="L10" s="12"/>
      <c r="M10" s="8">
        <v>2100</v>
      </c>
      <c r="N10" s="9">
        <v>21</v>
      </c>
      <c r="O10" s="14"/>
      <c r="P10" s="6"/>
      <c r="Q10" s="6"/>
      <c r="R10" s="12" t="s">
        <v>243</v>
      </c>
      <c r="S10" s="8" t="s">
        <v>193</v>
      </c>
      <c r="T10" s="8">
        <v>3</v>
      </c>
      <c r="U10" s="6" t="s">
        <v>244</v>
      </c>
      <c r="V10" s="5" t="s">
        <v>195</v>
      </c>
      <c r="W10" s="9" t="s">
        <v>219</v>
      </c>
      <c r="X10" s="8" t="s">
        <v>70</v>
      </c>
      <c r="Y10" s="10" t="s">
        <v>197</v>
      </c>
      <c r="Z10" s="9">
        <v>3</v>
      </c>
      <c r="AA10" s="12">
        <v>0</v>
      </c>
      <c r="AB10" s="12" t="s">
        <v>198</v>
      </c>
      <c r="AC10" s="6"/>
      <c r="AD10" s="12"/>
      <c r="AE10" s="12"/>
      <c r="AF10" s="12"/>
      <c r="AG10" s="6"/>
      <c r="AH10" s="12"/>
      <c r="AI10" s="28">
        <v>0</v>
      </c>
      <c r="AJ10" s="61">
        <v>8</v>
      </c>
      <c r="AK10" s="61" t="str">
        <f t="shared" si="1"/>
        <v>21/21/21</v>
      </c>
      <c r="AL10" s="62" t="str">
        <f t="shared" si="2"/>
        <v>20/20/20</v>
      </c>
      <c r="AM10" s="62" t="b">
        <v>1</v>
      </c>
      <c r="AN10" s="62" t="b">
        <f t="shared" si="3"/>
        <v>1</v>
      </c>
      <c r="AO10" s="62" t="b">
        <v>1</v>
      </c>
      <c r="AP10" s="62"/>
      <c r="AQ10" s="37"/>
      <c r="AR10" s="17">
        <f t="shared" si="4"/>
        <v>1</v>
      </c>
      <c r="AS10" s="17">
        <f t="shared" si="5"/>
        <v>1</v>
      </c>
      <c r="AT10" s="17">
        <f t="shared" si="6"/>
        <v>1</v>
      </c>
      <c r="AU10" s="17">
        <f t="shared" si="7"/>
        <v>0</v>
      </c>
      <c r="AV10" s="17">
        <f t="shared" si="8"/>
        <v>0</v>
      </c>
      <c r="AW10" s="17">
        <f t="shared" si="0"/>
        <v>0</v>
      </c>
      <c r="AX10" s="17">
        <f>GetEquPower(BTS!$F$1,Sheet1!$X10,Sheet1!AR10,Sheet1!$M10)</f>
        <v>20</v>
      </c>
      <c r="AY10" s="17">
        <f>GetEquPower(BTS!$F$1,Sheet1!$X10,Sheet1!AS10,Sheet1!$M10)</f>
        <v>20</v>
      </c>
      <c r="AZ10" s="17">
        <f>GetEquPower(BTS!$F$1,Sheet1!$X10,Sheet1!AT10,Sheet1!$M10)</f>
        <v>20</v>
      </c>
      <c r="BA10" s="17">
        <f>GetEquPower(BTS!$F$1,Sheet1!$X10,Sheet1!AU10,Sheet1!$M10)</f>
        <v>0</v>
      </c>
      <c r="BB10" s="17">
        <f>GetEquPower(BTS!$F$1,Sheet1!$X10,Sheet1!AV10,Sheet1!$M10)</f>
        <v>0</v>
      </c>
      <c r="BC10" s="17">
        <f>GetEquPower(BTS!$F$1,Sheet1!$X10,Sheet1!AW10,Sheet1!$M10)</f>
        <v>0</v>
      </c>
    </row>
  </sheetData>
  <autoFilter ref="A2:AP10"/>
  <conditionalFormatting sqref="G3:G10">
    <cfRule type="duplicateValues" dxfId="0" priority="12"/>
  </conditionalFormatting>
  <conditionalFormatting sqref="F3:F10">
    <cfRule type="duplicateValues" dxfId="0" priority="13"/>
    <cfRule type="duplicateValues" dxfId="0" priority="14"/>
    <cfRule type="duplicateValues" dxfId="0" priority="15"/>
  </conditionalFormatting>
  <pageMargins left="0.7" right="0.7" top="0.75" bottom="0.75" header="0.3" footer="0.3"/>
  <pageSetup orientation="portrait"/>
  <headerFooter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2"/>
  <dimension ref="A1:K167"/>
  <sheetViews>
    <sheetView topLeftCell="A97" workbookViewId="0">
      <selection activeCell="D1" sqref="D1"/>
    </sheetView>
  </sheetViews>
  <sheetFormatPr defaultRowHeight="14.4" x14ac:dyDescent="0.3"/>
  <cols>
    <col min="1" max="1" bestFit="1" width="4" customWidth="1"/>
    <col min="2" max="2" bestFit="1" width="26.6640625" customWidth="1"/>
    <col min="3" max="3" width="11" customWidth="1"/>
    <col min="4" max="4" width="11.109375" customWidth="1"/>
    <col min="5" max="5" width="12.109375" customWidth="1"/>
    <col min="6" max="6" width="13.88671875" customWidth="1"/>
    <col min="7" max="7" width="18.44140625" customWidth="1"/>
    <col min="8" max="8" width="9.33203125" customWidth="1"/>
    <col min="9" max="9" width="14.33203125" customWidth="1"/>
    <col min="10" max="10" width="13.44140625" customWidth="1"/>
    <col min="11" max="11" bestFit="1" width="8.33203125" customWidth="1"/>
  </cols>
  <sheetData>
    <row r="1">
      <c r="A1" s="29" t="s">
        <v>0</v>
      </c>
      <c r="B1" s="29" t="s">
        <v>1</v>
      </c>
      <c r="C1" s="29" t="s">
        <v>2</v>
      </c>
      <c r="D1" s="29" t="s">
        <v>3</v>
      </c>
      <c r="E1" s="29" t="s">
        <v>4</v>
      </c>
      <c r="F1" s="29" t="s">
        <v>5</v>
      </c>
      <c r="G1" s="29" t="s">
        <v>6</v>
      </c>
      <c r="H1" s="29" t="s">
        <v>7</v>
      </c>
      <c r="I1" s="30" t="s">
        <v>7</v>
      </c>
      <c r="J1" s="30" t="s">
        <v>8</v>
      </c>
      <c r="K1" s="31"/>
    </row>
    <row r="2">
      <c r="A2" s="30">
        <v>1</v>
      </c>
      <c r="B2" s="30" t="s">
        <v>9</v>
      </c>
      <c r="C2" s="30">
        <v>900</v>
      </c>
      <c r="D2" s="31">
        <v>1</v>
      </c>
      <c r="E2" s="32">
        <v>45.53</v>
      </c>
      <c r="F2" s="32">
        <f ref="F2:F65" t="shared" si="0">ROUND(POWER(10,E2/10)/1000,2)</f>
        <v>35.73</v>
      </c>
      <c r="G2" s="32" t="s">
        <v>10</v>
      </c>
      <c r="H2" s="32"/>
      <c r="I2" s="31"/>
      <c r="J2" s="31"/>
      <c r="K2" s="31"/>
    </row>
    <row r="3">
      <c r="A3" s="30">
        <v>2</v>
      </c>
      <c r="B3" s="30" t="s">
        <v>9</v>
      </c>
      <c r="C3" s="31">
        <v>900</v>
      </c>
      <c r="D3" s="31">
        <v>2</v>
      </c>
      <c r="E3" s="32">
        <v>48.54</v>
      </c>
      <c r="F3" s="32">
        <f t="shared" si="0"/>
        <v>71.45</v>
      </c>
      <c r="G3" s="32" t="s">
        <v>10</v>
      </c>
      <c r="H3" s="32"/>
      <c r="I3" s="31"/>
      <c r="J3" s="31"/>
      <c r="K3" s="31"/>
    </row>
    <row r="4">
      <c r="A4" s="30">
        <v>3</v>
      </c>
      <c r="B4" s="30" t="s">
        <v>9</v>
      </c>
      <c r="C4" s="30">
        <v>900</v>
      </c>
      <c r="D4" s="31">
        <v>3</v>
      </c>
      <c r="E4" s="32">
        <v>45.14</v>
      </c>
      <c r="F4" s="32">
        <f t="shared" si="0"/>
        <v>32.66</v>
      </c>
      <c r="G4" s="32" t="s">
        <v>10</v>
      </c>
      <c r="H4" s="32"/>
      <c r="I4" s="31"/>
      <c r="J4" s="31"/>
      <c r="K4" s="31"/>
    </row>
    <row r="5">
      <c r="A5" s="30">
        <v>4</v>
      </c>
      <c r="B5" s="30" t="s">
        <v>9</v>
      </c>
      <c r="C5" s="31">
        <v>900</v>
      </c>
      <c r="D5" s="31">
        <v>4</v>
      </c>
      <c r="E5" s="32">
        <v>45.14</v>
      </c>
      <c r="F5" s="32">
        <f t="shared" si="0"/>
        <v>32.66</v>
      </c>
      <c r="G5" s="32" t="s">
        <v>10</v>
      </c>
      <c r="H5" s="32"/>
      <c r="I5" s="31"/>
      <c r="J5" s="31"/>
      <c r="K5" s="31"/>
    </row>
    <row r="6">
      <c r="A6" s="30">
        <v>5</v>
      </c>
      <c r="B6" s="30" t="s">
        <v>9</v>
      </c>
      <c r="C6" s="30">
        <v>1800</v>
      </c>
      <c r="D6" s="31">
        <v>1</v>
      </c>
      <c r="E6" s="32">
        <v>44.44</v>
      </c>
      <c r="F6" s="32">
        <f t="shared" si="0"/>
        <v>27.8</v>
      </c>
      <c r="G6" s="32" t="s">
        <v>10</v>
      </c>
      <c r="H6" s="32"/>
      <c r="I6" s="31"/>
      <c r="J6" s="31"/>
      <c r="K6" s="31"/>
    </row>
    <row r="7">
      <c r="A7" s="30">
        <v>6</v>
      </c>
      <c r="B7" s="30" t="s">
        <v>9</v>
      </c>
      <c r="C7" s="31">
        <v>1800</v>
      </c>
      <c r="D7" s="31">
        <v>2</v>
      </c>
      <c r="E7" s="32">
        <v>47.45</v>
      </c>
      <c r="F7" s="32">
        <f t="shared" si="0"/>
        <v>55.59</v>
      </c>
      <c r="G7" s="32" t="s">
        <v>10</v>
      </c>
      <c r="H7" s="32"/>
      <c r="I7" s="31"/>
      <c r="J7" s="31"/>
      <c r="K7" s="31"/>
    </row>
    <row r="8">
      <c r="A8" s="30">
        <v>7</v>
      </c>
      <c r="B8" s="30" t="s">
        <v>9</v>
      </c>
      <c r="C8" s="30">
        <v>1800</v>
      </c>
      <c r="D8" s="31">
        <v>3</v>
      </c>
      <c r="E8" s="32">
        <v>44.05</v>
      </c>
      <c r="F8" s="32">
        <f t="shared" si="0"/>
        <v>25.41</v>
      </c>
      <c r="G8" s="32" t="s">
        <v>10</v>
      </c>
      <c r="H8" s="32"/>
      <c r="I8" s="31"/>
      <c r="J8" s="31"/>
      <c r="K8" s="31"/>
    </row>
    <row r="9">
      <c r="A9" s="30">
        <v>8</v>
      </c>
      <c r="B9" s="30" t="s">
        <v>9</v>
      </c>
      <c r="C9" s="31">
        <v>1800</v>
      </c>
      <c r="D9" s="31">
        <v>4</v>
      </c>
      <c r="E9" s="32">
        <v>44.05</v>
      </c>
      <c r="F9" s="32">
        <f t="shared" si="0"/>
        <v>25.41</v>
      </c>
      <c r="G9" s="32" t="s">
        <v>10</v>
      </c>
      <c r="H9" s="32"/>
      <c r="I9" s="31"/>
      <c r="J9" s="31"/>
      <c r="K9" s="31"/>
    </row>
    <row r="10" ht="27.6">
      <c r="A10" s="30">
        <v>9</v>
      </c>
      <c r="B10" s="30" t="s">
        <v>11</v>
      </c>
      <c r="C10" s="31">
        <v>900</v>
      </c>
      <c r="D10" s="31">
        <v>1</v>
      </c>
      <c r="E10" s="32">
        <v>46.5</v>
      </c>
      <c r="F10" s="32">
        <f t="shared" si="0"/>
        <v>44.67</v>
      </c>
      <c r="G10" s="32" t="s">
        <v>12</v>
      </c>
      <c r="H10" s="32"/>
      <c r="I10" s="31"/>
      <c r="J10" s="31"/>
      <c r="K10" s="31"/>
    </row>
    <row r="11" ht="27.6">
      <c r="A11" s="30">
        <v>10</v>
      </c>
      <c r="B11" s="30" t="s">
        <v>11</v>
      </c>
      <c r="C11" s="31">
        <v>900</v>
      </c>
      <c r="D11" s="31">
        <v>2</v>
      </c>
      <c r="E11" s="32">
        <v>47.5205</v>
      </c>
      <c r="F11" s="32">
        <f t="shared" si="0"/>
        <v>56.5</v>
      </c>
      <c r="G11" s="32" t="s">
        <v>12</v>
      </c>
      <c r="H11" s="32"/>
      <c r="I11" s="31"/>
      <c r="J11" s="31"/>
      <c r="K11" s="31"/>
    </row>
    <row r="12" ht="27.6">
      <c r="A12" s="30">
        <v>11</v>
      </c>
      <c r="B12" s="30" t="s">
        <v>11</v>
      </c>
      <c r="C12" s="31">
        <v>900</v>
      </c>
      <c r="D12" s="31">
        <v>3</v>
      </c>
      <c r="E12" s="32">
        <v>48.37</v>
      </c>
      <c r="F12" s="32">
        <f t="shared" si="0"/>
        <v>68.71</v>
      </c>
      <c r="G12" s="32" t="s">
        <v>12</v>
      </c>
      <c r="H12" s="32"/>
      <c r="I12" s="31"/>
      <c r="J12" s="31"/>
      <c r="K12" s="31"/>
    </row>
    <row r="13" ht="27.6">
      <c r="A13" s="30">
        <v>12</v>
      </c>
      <c r="B13" s="30" t="s">
        <v>11</v>
      </c>
      <c r="C13" s="31">
        <v>900</v>
      </c>
      <c r="D13" s="31">
        <v>4</v>
      </c>
      <c r="E13" s="32">
        <v>45.140000000000008</v>
      </c>
      <c r="F13" s="32">
        <f t="shared" si="0"/>
        <v>32.66</v>
      </c>
      <c r="G13" s="32" t="s">
        <v>12</v>
      </c>
      <c r="H13" s="32"/>
      <c r="I13" s="31"/>
      <c r="J13" s="31"/>
      <c r="K13" s="31"/>
    </row>
    <row r="14" ht="27.6">
      <c r="A14" s="30">
        <v>13</v>
      </c>
      <c r="B14" s="30" t="s">
        <v>11</v>
      </c>
      <c r="C14" s="31">
        <v>1800</v>
      </c>
      <c r="D14" s="31">
        <v>1</v>
      </c>
      <c r="E14" s="32">
        <v>45.4</v>
      </c>
      <c r="F14" s="32">
        <f t="shared" si="0"/>
        <v>34.67</v>
      </c>
      <c r="G14" s="32" t="s">
        <v>13</v>
      </c>
      <c r="H14" s="32"/>
      <c r="I14" s="31"/>
      <c r="J14" s="31"/>
      <c r="K14" s="31"/>
    </row>
    <row r="15" ht="27.6">
      <c r="A15" s="30">
        <v>14</v>
      </c>
      <c r="B15" s="30" t="s">
        <v>11</v>
      </c>
      <c r="C15" s="31">
        <v>1800</v>
      </c>
      <c r="D15" s="31">
        <v>2</v>
      </c>
      <c r="E15" s="32">
        <v>46.42</v>
      </c>
      <c r="F15" s="32">
        <f t="shared" si="0"/>
        <v>43.85</v>
      </c>
      <c r="G15" s="32" t="s">
        <v>13</v>
      </c>
      <c r="H15" s="32"/>
      <c r="I15" s="31"/>
      <c r="J15" s="31"/>
      <c r="K15" s="31"/>
    </row>
    <row r="16" ht="27.6">
      <c r="A16" s="30">
        <v>15</v>
      </c>
      <c r="B16" s="30" t="s">
        <v>11</v>
      </c>
      <c r="C16" s="31">
        <v>1800</v>
      </c>
      <c r="D16" s="31">
        <v>3</v>
      </c>
      <c r="E16" s="32">
        <v>47.27</v>
      </c>
      <c r="F16" s="32">
        <f t="shared" si="0"/>
        <v>53.33</v>
      </c>
      <c r="G16" s="32" t="s">
        <v>13</v>
      </c>
      <c r="H16" s="32"/>
      <c r="I16" s="31"/>
      <c r="J16" s="31"/>
      <c r="K16" s="31"/>
    </row>
    <row r="17" ht="27.6">
      <c r="A17" s="30">
        <v>16</v>
      </c>
      <c r="B17" s="30" t="s">
        <v>11</v>
      </c>
      <c r="C17" s="31">
        <v>1800</v>
      </c>
      <c r="D17" s="31">
        <v>4</v>
      </c>
      <c r="E17" s="32">
        <v>44.04</v>
      </c>
      <c r="F17" s="32">
        <f t="shared" si="0"/>
        <v>25.35</v>
      </c>
      <c r="G17" s="32" t="s">
        <v>13</v>
      </c>
      <c r="H17" s="32"/>
      <c r="I17" s="31"/>
      <c r="J17" s="31"/>
      <c r="K17" s="31"/>
    </row>
    <row r="18">
      <c r="A18" s="30">
        <v>191</v>
      </c>
      <c r="B18" s="30" t="s">
        <v>14</v>
      </c>
      <c r="C18" s="31">
        <v>2100</v>
      </c>
      <c r="D18" s="31">
        <v>1</v>
      </c>
      <c r="E18" s="32">
        <v>36.99</v>
      </c>
      <c r="F18" s="32">
        <f t="shared" si="0"/>
        <v>5</v>
      </c>
      <c r="G18" s="31"/>
      <c r="H18" s="30" t="s">
        <v>15</v>
      </c>
      <c r="I18" s="30" t="s">
        <v>16</v>
      </c>
      <c r="J18" s="31"/>
      <c r="K18" s="31"/>
    </row>
    <row r="19">
      <c r="A19" s="30">
        <v>192</v>
      </c>
      <c r="B19" s="30" t="s">
        <v>14</v>
      </c>
      <c r="C19" s="31">
        <v>2100</v>
      </c>
      <c r="D19" s="31">
        <v>2</v>
      </c>
      <c r="E19" s="32">
        <v>36.99</v>
      </c>
      <c r="F19" s="32">
        <f t="shared" si="0"/>
        <v>5</v>
      </c>
      <c r="G19" s="31"/>
      <c r="H19" s="30" t="s">
        <v>15</v>
      </c>
      <c r="I19" s="30" t="s">
        <v>16</v>
      </c>
      <c r="J19" s="31"/>
      <c r="K19" s="31"/>
    </row>
    <row r="20">
      <c r="A20" s="30">
        <v>17</v>
      </c>
      <c r="B20" s="30" t="s">
        <v>17</v>
      </c>
      <c r="C20" s="31">
        <v>450</v>
      </c>
      <c r="D20" s="31">
        <v>1</v>
      </c>
      <c r="E20" s="32">
        <v>43.01</v>
      </c>
      <c r="F20" s="32">
        <f t="shared" si="0"/>
        <v>20</v>
      </c>
      <c r="G20" s="32" t="s">
        <v>18</v>
      </c>
      <c r="H20" s="32"/>
      <c r="I20" s="31"/>
      <c r="J20" s="31"/>
      <c r="K20" s="31"/>
    </row>
    <row r="21">
      <c r="A21" s="30">
        <v>18</v>
      </c>
      <c r="B21" s="30" t="s">
        <v>17</v>
      </c>
      <c r="C21" s="31">
        <v>450</v>
      </c>
      <c r="D21" s="31">
        <v>2</v>
      </c>
      <c r="E21" s="32">
        <v>46.021</v>
      </c>
      <c r="F21" s="32">
        <f t="shared" si="0"/>
        <v>40</v>
      </c>
      <c r="G21" s="32" t="s">
        <v>19</v>
      </c>
      <c r="H21" s="32"/>
      <c r="I21" s="31"/>
      <c r="J21" s="31"/>
      <c r="K21" s="31"/>
    </row>
    <row r="22">
      <c r="A22" s="30">
        <v>19</v>
      </c>
      <c r="B22" s="30" t="s">
        <v>20</v>
      </c>
      <c r="C22" s="31">
        <v>450</v>
      </c>
      <c r="D22" s="31">
        <v>1</v>
      </c>
      <c r="E22" s="32">
        <v>43.98</v>
      </c>
      <c r="F22" s="32">
        <f t="shared" si="0"/>
        <v>25</v>
      </c>
      <c r="G22" s="32" t="s">
        <v>21</v>
      </c>
      <c r="H22" s="32"/>
      <c r="I22" s="31"/>
      <c r="J22" s="31"/>
      <c r="K22" s="31"/>
    </row>
    <row r="23">
      <c r="A23" s="30">
        <v>20</v>
      </c>
      <c r="B23" s="30" t="s">
        <v>20</v>
      </c>
      <c r="C23" s="31">
        <v>450</v>
      </c>
      <c r="D23" s="31">
        <v>2</v>
      </c>
      <c r="E23" s="32">
        <v>46.99</v>
      </c>
      <c r="F23" s="32">
        <f t="shared" si="0"/>
        <v>50</v>
      </c>
      <c r="G23" s="32" t="s">
        <v>21</v>
      </c>
      <c r="H23" s="32"/>
      <c r="I23" s="31"/>
      <c r="J23" s="31"/>
      <c r="K23" s="31"/>
    </row>
    <row r="24">
      <c r="A24" s="30">
        <v>21</v>
      </c>
      <c r="B24" s="30" t="s">
        <v>22</v>
      </c>
      <c r="C24" s="30">
        <v>900</v>
      </c>
      <c r="D24" s="31">
        <v>2</v>
      </c>
      <c r="E24" s="32">
        <v>48.2995</v>
      </c>
      <c r="F24" s="32">
        <f t="shared" si="0"/>
        <v>67.6</v>
      </c>
      <c r="G24" s="32" t="s">
        <v>23</v>
      </c>
      <c r="H24" s="32"/>
      <c r="I24" s="31"/>
      <c r="J24" s="31"/>
      <c r="K24" s="31"/>
    </row>
    <row r="25">
      <c r="A25" s="30">
        <v>22</v>
      </c>
      <c r="B25" s="31" t="s">
        <v>22</v>
      </c>
      <c r="C25" s="31">
        <v>900</v>
      </c>
      <c r="D25" s="31">
        <v>4</v>
      </c>
      <c r="E25" s="32">
        <v>48.007</v>
      </c>
      <c r="F25" s="32">
        <f t="shared" si="0"/>
        <v>63.2</v>
      </c>
      <c r="G25" s="32" t="s">
        <v>23</v>
      </c>
      <c r="H25" s="32"/>
      <c r="I25" s="31"/>
      <c r="J25" s="31"/>
      <c r="K25" s="31"/>
    </row>
    <row r="26">
      <c r="A26" s="30">
        <v>23</v>
      </c>
      <c r="B26" s="30" t="s">
        <v>22</v>
      </c>
      <c r="C26" s="30">
        <v>1800</v>
      </c>
      <c r="D26" s="31">
        <v>2</v>
      </c>
      <c r="E26" s="32">
        <v>46.8</v>
      </c>
      <c r="F26" s="32">
        <f t="shared" si="0"/>
        <v>47.86</v>
      </c>
      <c r="G26" s="32" t="s">
        <v>23</v>
      </c>
      <c r="H26" s="32"/>
      <c r="I26" s="31"/>
      <c r="J26" s="31"/>
      <c r="K26" s="31"/>
    </row>
    <row r="27">
      <c r="A27" s="30">
        <v>24</v>
      </c>
      <c r="B27" s="31" t="s">
        <v>22</v>
      </c>
      <c r="C27" s="31">
        <v>1800</v>
      </c>
      <c r="D27" s="31">
        <v>4</v>
      </c>
      <c r="E27" s="32">
        <v>46.51</v>
      </c>
      <c r="F27" s="32">
        <f t="shared" si="0"/>
        <v>44.77</v>
      </c>
      <c r="G27" s="32" t="s">
        <v>23</v>
      </c>
      <c r="H27" s="32"/>
      <c r="I27" s="31"/>
      <c r="J27" s="31"/>
      <c r="K27" s="31"/>
    </row>
    <row r="28">
      <c r="A28" s="30">
        <v>25</v>
      </c>
      <c r="B28" s="30" t="s">
        <v>24</v>
      </c>
      <c r="C28" s="30">
        <v>900</v>
      </c>
      <c r="D28" s="31">
        <v>2</v>
      </c>
      <c r="E28" s="32">
        <v>48.51</v>
      </c>
      <c r="F28" s="32">
        <f t="shared" si="0"/>
        <v>70.96</v>
      </c>
      <c r="G28" s="32" t="s">
        <v>25</v>
      </c>
      <c r="H28" s="32"/>
      <c r="I28" s="31"/>
      <c r="J28" s="31"/>
      <c r="K28" s="31"/>
    </row>
    <row r="29">
      <c r="A29" s="30">
        <v>26</v>
      </c>
      <c r="B29" s="30" t="s">
        <v>24</v>
      </c>
      <c r="C29" s="30">
        <v>900</v>
      </c>
      <c r="D29" s="31">
        <v>3</v>
      </c>
      <c r="E29" s="32">
        <v>48.2725</v>
      </c>
      <c r="F29" s="32">
        <f t="shared" si="0"/>
        <v>67.18</v>
      </c>
      <c r="G29" s="32" t="s">
        <v>25</v>
      </c>
      <c r="H29" s="32"/>
      <c r="I29" s="31"/>
      <c r="J29" s="31"/>
      <c r="K29" s="31"/>
    </row>
    <row r="30">
      <c r="A30" s="30">
        <v>27</v>
      </c>
      <c r="B30" s="30" t="s">
        <v>24</v>
      </c>
      <c r="C30" s="31">
        <v>900</v>
      </c>
      <c r="D30" s="31">
        <v>4</v>
      </c>
      <c r="E30" s="32">
        <v>48.021</v>
      </c>
      <c r="F30" s="32">
        <f t="shared" si="0"/>
        <v>63.4</v>
      </c>
      <c r="G30" s="32" t="s">
        <v>25</v>
      </c>
      <c r="H30" s="32"/>
      <c r="I30" s="31"/>
      <c r="J30" s="31"/>
      <c r="K30" s="31"/>
    </row>
    <row r="31">
      <c r="A31" s="30">
        <v>28</v>
      </c>
      <c r="B31" s="30" t="s">
        <v>24</v>
      </c>
      <c r="C31" s="30">
        <v>1800</v>
      </c>
      <c r="D31" s="31">
        <v>2</v>
      </c>
      <c r="E31" s="32">
        <v>48.01</v>
      </c>
      <c r="F31" s="32">
        <f t="shared" si="0"/>
        <v>63.24</v>
      </c>
      <c r="G31" s="32" t="s">
        <v>25</v>
      </c>
      <c r="H31" s="32"/>
      <c r="I31" s="31"/>
      <c r="J31" s="31"/>
      <c r="K31" s="31"/>
    </row>
    <row r="32">
      <c r="A32" s="30">
        <v>29</v>
      </c>
      <c r="B32" s="30" t="s">
        <v>24</v>
      </c>
      <c r="C32" s="30">
        <v>1800</v>
      </c>
      <c r="D32" s="31">
        <v>3</v>
      </c>
      <c r="E32" s="32">
        <v>47.773</v>
      </c>
      <c r="F32" s="32">
        <f t="shared" si="0"/>
        <v>59.88</v>
      </c>
      <c r="G32" s="32" t="s">
        <v>25</v>
      </c>
      <c r="H32" s="32"/>
      <c r="I32" s="31"/>
      <c r="J32" s="31"/>
      <c r="K32" s="31"/>
    </row>
    <row r="33">
      <c r="A33" s="30">
        <v>30</v>
      </c>
      <c r="B33" s="30" t="s">
        <v>24</v>
      </c>
      <c r="C33" s="31">
        <v>1800</v>
      </c>
      <c r="D33" s="31">
        <v>4</v>
      </c>
      <c r="E33" s="32">
        <v>47.522</v>
      </c>
      <c r="F33" s="32">
        <f t="shared" si="0"/>
        <v>56.52</v>
      </c>
      <c r="G33" s="32" t="s">
        <v>25</v>
      </c>
      <c r="H33" s="32"/>
      <c r="I33" s="31"/>
      <c r="J33" s="31"/>
      <c r="K33" s="31"/>
    </row>
    <row r="34">
      <c r="A34" s="30">
        <v>31</v>
      </c>
      <c r="B34" s="30" t="s">
        <v>26</v>
      </c>
      <c r="C34" s="30">
        <v>900</v>
      </c>
      <c r="D34" s="31">
        <v>2</v>
      </c>
      <c r="E34" s="32">
        <v>48.2995</v>
      </c>
      <c r="F34" s="32">
        <f t="shared" si="0"/>
        <v>67.6</v>
      </c>
      <c r="G34" s="32" t="s">
        <v>27</v>
      </c>
      <c r="H34" s="32"/>
      <c r="I34" s="31"/>
      <c r="J34" s="31"/>
      <c r="K34" s="31"/>
    </row>
    <row r="35">
      <c r="A35" s="30">
        <v>32</v>
      </c>
      <c r="B35" s="30" t="s">
        <v>26</v>
      </c>
      <c r="C35" s="31">
        <v>900</v>
      </c>
      <c r="D35" s="31">
        <v>4</v>
      </c>
      <c r="E35" s="32">
        <v>48.007</v>
      </c>
      <c r="F35" s="32">
        <f t="shared" si="0"/>
        <v>63.2</v>
      </c>
      <c r="G35" s="32" t="s">
        <v>27</v>
      </c>
      <c r="H35" s="32"/>
      <c r="I35" s="31"/>
      <c r="J35" s="31"/>
      <c r="K35" s="31"/>
    </row>
    <row r="36">
      <c r="A36" s="30">
        <v>33</v>
      </c>
      <c r="B36" s="30" t="s">
        <v>26</v>
      </c>
      <c r="C36" s="30">
        <v>1800</v>
      </c>
      <c r="D36" s="31">
        <v>2</v>
      </c>
      <c r="E36" s="32">
        <v>46.8</v>
      </c>
      <c r="F36" s="32">
        <f t="shared" si="0"/>
        <v>47.86</v>
      </c>
      <c r="G36" s="32" t="s">
        <v>27</v>
      </c>
      <c r="H36" s="32"/>
      <c r="I36" s="31"/>
      <c r="J36" s="31"/>
      <c r="K36" s="31"/>
    </row>
    <row r="37">
      <c r="A37" s="30">
        <v>34</v>
      </c>
      <c r="B37" s="30" t="s">
        <v>26</v>
      </c>
      <c r="C37" s="31">
        <v>1800</v>
      </c>
      <c r="D37" s="31">
        <v>4</v>
      </c>
      <c r="E37" s="32">
        <v>46.51</v>
      </c>
      <c r="F37" s="32">
        <f t="shared" si="0"/>
        <v>44.77</v>
      </c>
      <c r="G37" s="32" t="s">
        <v>27</v>
      </c>
      <c r="H37" s="32"/>
      <c r="I37" s="31"/>
      <c r="J37" s="31"/>
      <c r="K37" s="31"/>
    </row>
    <row r="38">
      <c r="A38" s="30">
        <v>35</v>
      </c>
      <c r="B38" s="30" t="s">
        <v>28</v>
      </c>
      <c r="C38" s="30">
        <v>900</v>
      </c>
      <c r="D38" s="31">
        <v>2</v>
      </c>
      <c r="E38" s="32">
        <v>48.2995</v>
      </c>
      <c r="F38" s="32">
        <f t="shared" si="0"/>
        <v>67.6</v>
      </c>
      <c r="G38" s="32" t="s">
        <v>23</v>
      </c>
      <c r="H38" s="32"/>
      <c r="I38" s="31"/>
      <c r="J38" s="31"/>
      <c r="K38" s="31"/>
    </row>
    <row r="39">
      <c r="A39" s="30">
        <v>36</v>
      </c>
      <c r="B39" s="31" t="s">
        <v>28</v>
      </c>
      <c r="C39" s="31">
        <v>900</v>
      </c>
      <c r="D39" s="31">
        <v>4</v>
      </c>
      <c r="E39" s="32">
        <v>48.007</v>
      </c>
      <c r="F39" s="32">
        <f t="shared" si="0"/>
        <v>63.2</v>
      </c>
      <c r="G39" s="32" t="s">
        <v>23</v>
      </c>
      <c r="H39" s="32"/>
      <c r="I39" s="31"/>
      <c r="J39" s="31"/>
      <c r="K39" s="31"/>
    </row>
    <row r="40">
      <c r="A40" s="30">
        <v>37</v>
      </c>
      <c r="B40" s="30" t="s">
        <v>28</v>
      </c>
      <c r="C40" s="30">
        <v>1800</v>
      </c>
      <c r="D40" s="31">
        <v>2</v>
      </c>
      <c r="E40" s="32">
        <v>46.8</v>
      </c>
      <c r="F40" s="32">
        <f t="shared" si="0"/>
        <v>47.86</v>
      </c>
      <c r="G40" s="32" t="s">
        <v>23</v>
      </c>
      <c r="H40" s="32"/>
      <c r="I40" s="31"/>
      <c r="J40" s="31"/>
      <c r="K40" s="31"/>
    </row>
    <row r="41">
      <c r="A41" s="30">
        <v>38</v>
      </c>
      <c r="B41" s="31" t="s">
        <v>28</v>
      </c>
      <c r="C41" s="31">
        <v>1800</v>
      </c>
      <c r="D41" s="31">
        <v>4</v>
      </c>
      <c r="E41" s="32">
        <v>46.51</v>
      </c>
      <c r="F41" s="32">
        <f t="shared" si="0"/>
        <v>44.77</v>
      </c>
      <c r="G41" s="32" t="s">
        <v>23</v>
      </c>
      <c r="H41" s="32"/>
      <c r="I41" s="31"/>
      <c r="J41" s="31"/>
      <c r="K41" s="31"/>
    </row>
    <row r="42">
      <c r="A42" s="30">
        <v>39</v>
      </c>
      <c r="B42" s="30" t="s">
        <v>29</v>
      </c>
      <c r="C42" s="30">
        <v>900</v>
      </c>
      <c r="D42" s="31">
        <v>2</v>
      </c>
      <c r="E42" s="32">
        <v>48.2995</v>
      </c>
      <c r="F42" s="32">
        <f t="shared" si="0"/>
        <v>67.6</v>
      </c>
      <c r="G42" s="32" t="s">
        <v>23</v>
      </c>
      <c r="H42" s="32"/>
      <c r="I42" s="31"/>
      <c r="J42" s="31"/>
      <c r="K42" s="31"/>
    </row>
    <row r="43">
      <c r="A43" s="30">
        <v>40</v>
      </c>
      <c r="B43" s="30" t="s">
        <v>29</v>
      </c>
      <c r="C43" s="31">
        <v>900</v>
      </c>
      <c r="D43" s="31">
        <v>4</v>
      </c>
      <c r="E43" s="32">
        <v>48.007</v>
      </c>
      <c r="F43" s="32">
        <f t="shared" si="0"/>
        <v>63.2</v>
      </c>
      <c r="G43" s="32" t="s">
        <v>23</v>
      </c>
      <c r="H43" s="32"/>
      <c r="I43" s="31"/>
      <c r="J43" s="31"/>
      <c r="K43" s="31"/>
    </row>
    <row r="44">
      <c r="A44" s="30">
        <v>41</v>
      </c>
      <c r="B44" s="30" t="s">
        <v>29</v>
      </c>
      <c r="C44" s="30">
        <v>1800</v>
      </c>
      <c r="D44" s="31">
        <v>2</v>
      </c>
      <c r="E44" s="32">
        <v>46.8</v>
      </c>
      <c r="F44" s="32">
        <f t="shared" si="0"/>
        <v>47.86</v>
      </c>
      <c r="G44" s="32" t="s">
        <v>23</v>
      </c>
      <c r="H44" s="32"/>
      <c r="I44" s="31"/>
      <c r="J44" s="31"/>
      <c r="K44" s="31"/>
    </row>
    <row r="45">
      <c r="A45" s="30">
        <v>42</v>
      </c>
      <c r="B45" s="30" t="s">
        <v>29</v>
      </c>
      <c r="C45" s="31">
        <v>1800</v>
      </c>
      <c r="D45" s="31">
        <v>4</v>
      </c>
      <c r="E45" s="32">
        <v>46.51</v>
      </c>
      <c r="F45" s="32">
        <f t="shared" si="0"/>
        <v>44.77</v>
      </c>
      <c r="G45" s="32" t="s">
        <v>23</v>
      </c>
      <c r="H45" s="32"/>
      <c r="I45" s="31"/>
      <c r="J45" s="31"/>
      <c r="K45" s="31"/>
    </row>
    <row r="46">
      <c r="A46" s="30">
        <v>43</v>
      </c>
      <c r="B46" s="30" t="s">
        <v>30</v>
      </c>
      <c r="C46" s="30">
        <v>900</v>
      </c>
      <c r="D46" s="31">
        <v>2</v>
      </c>
      <c r="E46" s="32">
        <v>49.01</v>
      </c>
      <c r="F46" s="32">
        <f t="shared" si="0"/>
        <v>79.62</v>
      </c>
      <c r="G46" s="32" t="s">
        <v>25</v>
      </c>
      <c r="H46" s="32"/>
      <c r="I46" s="31"/>
      <c r="J46" s="31"/>
      <c r="K46" s="31"/>
    </row>
    <row r="47">
      <c r="A47" s="30">
        <v>44</v>
      </c>
      <c r="B47" s="30" t="s">
        <v>30</v>
      </c>
      <c r="C47" s="30">
        <v>900</v>
      </c>
      <c r="D47" s="31">
        <v>3</v>
      </c>
      <c r="E47" s="32">
        <v>48.772</v>
      </c>
      <c r="F47" s="32">
        <f t="shared" si="0"/>
        <v>75.37</v>
      </c>
      <c r="G47" s="32" t="s">
        <v>25</v>
      </c>
      <c r="H47" s="32"/>
      <c r="I47" s="31"/>
      <c r="J47" s="31"/>
      <c r="K47" s="31"/>
    </row>
    <row r="48">
      <c r="A48" s="30">
        <v>45</v>
      </c>
      <c r="B48" s="30" t="s">
        <v>30</v>
      </c>
      <c r="C48" s="31">
        <v>900</v>
      </c>
      <c r="D48" s="31">
        <v>4</v>
      </c>
      <c r="E48" s="32">
        <v>48.52</v>
      </c>
      <c r="F48" s="32">
        <f t="shared" si="0"/>
        <v>71.12</v>
      </c>
      <c r="G48" s="32" t="s">
        <v>25</v>
      </c>
      <c r="H48" s="32"/>
      <c r="I48" s="31"/>
      <c r="J48" s="31"/>
      <c r="K48" s="31"/>
    </row>
    <row r="49">
      <c r="A49" s="30">
        <v>46</v>
      </c>
      <c r="B49" s="30" t="s">
        <v>30</v>
      </c>
      <c r="C49" s="30">
        <v>1800</v>
      </c>
      <c r="D49" s="31">
        <v>2</v>
      </c>
      <c r="E49" s="32">
        <v>48.51</v>
      </c>
      <c r="F49" s="32">
        <f t="shared" si="0"/>
        <v>70.96</v>
      </c>
      <c r="G49" s="32" t="s">
        <v>25</v>
      </c>
      <c r="H49" s="32"/>
      <c r="I49" s="31"/>
      <c r="J49" s="31"/>
      <c r="K49" s="31"/>
    </row>
    <row r="50">
      <c r="A50" s="30">
        <v>47</v>
      </c>
      <c r="B50" s="30" t="s">
        <v>30</v>
      </c>
      <c r="C50" s="30">
        <v>1800</v>
      </c>
      <c r="D50" s="31">
        <v>3</v>
      </c>
      <c r="E50" s="32">
        <v>48.2725</v>
      </c>
      <c r="F50" s="32">
        <f t="shared" si="0"/>
        <v>67.18</v>
      </c>
      <c r="G50" s="32" t="s">
        <v>25</v>
      </c>
      <c r="H50" s="32"/>
      <c r="I50" s="31"/>
      <c r="J50" s="31"/>
      <c r="K50" s="31"/>
    </row>
    <row r="51">
      <c r="A51" s="30">
        <v>48</v>
      </c>
      <c r="B51" s="30" t="s">
        <v>30</v>
      </c>
      <c r="C51" s="31">
        <v>1800</v>
      </c>
      <c r="D51" s="31">
        <v>4</v>
      </c>
      <c r="E51" s="32">
        <v>48.021</v>
      </c>
      <c r="F51" s="32">
        <f t="shared" si="0"/>
        <v>63.4</v>
      </c>
      <c r="G51" s="32" t="s">
        <v>25</v>
      </c>
      <c r="H51" s="32"/>
      <c r="I51" s="31"/>
      <c r="J51" s="31"/>
      <c r="K51" s="31"/>
    </row>
    <row r="52">
      <c r="A52" s="30">
        <v>49</v>
      </c>
      <c r="B52" s="30" t="s">
        <v>31</v>
      </c>
      <c r="C52" s="31">
        <v>2100</v>
      </c>
      <c r="D52" s="31">
        <v>1</v>
      </c>
      <c r="E52" s="32">
        <v>43.01</v>
      </c>
      <c r="F52" s="32">
        <f t="shared" si="0"/>
        <v>20</v>
      </c>
      <c r="G52" s="32" t="s">
        <v>32</v>
      </c>
      <c r="H52" s="32" t="s">
        <v>15</v>
      </c>
      <c r="I52" s="31"/>
      <c r="J52" s="31"/>
      <c r="K52" s="31"/>
    </row>
    <row r="53">
      <c r="A53" s="30">
        <v>50</v>
      </c>
      <c r="B53" s="31" t="s">
        <v>31</v>
      </c>
      <c r="C53" s="31">
        <v>2100</v>
      </c>
      <c r="D53" s="31">
        <v>2</v>
      </c>
      <c r="E53" s="32">
        <v>46.021</v>
      </c>
      <c r="F53" s="32">
        <f t="shared" si="0"/>
        <v>40</v>
      </c>
      <c r="G53" s="32" t="s">
        <v>32</v>
      </c>
      <c r="H53" s="32" t="s">
        <v>15</v>
      </c>
      <c r="I53" s="31"/>
      <c r="J53" s="31"/>
      <c r="K53" s="31"/>
    </row>
    <row r="54">
      <c r="A54" s="30">
        <v>51</v>
      </c>
      <c r="B54" s="31" t="s">
        <v>31</v>
      </c>
      <c r="C54" s="31">
        <v>2100</v>
      </c>
      <c r="D54" s="31">
        <v>3</v>
      </c>
      <c r="E54" s="32">
        <v>47.7815</v>
      </c>
      <c r="F54" s="32">
        <f t="shared" si="0"/>
        <v>60</v>
      </c>
      <c r="G54" s="32" t="s">
        <v>32</v>
      </c>
      <c r="H54" s="32" t="s">
        <v>15</v>
      </c>
      <c r="I54" s="31"/>
      <c r="J54" s="31"/>
      <c r="K54" s="31"/>
    </row>
    <row r="55">
      <c r="A55" s="30">
        <v>52</v>
      </c>
      <c r="B55" s="30" t="s">
        <v>33</v>
      </c>
      <c r="C55" s="31">
        <v>2100</v>
      </c>
      <c r="D55" s="31">
        <v>1</v>
      </c>
      <c r="E55" s="32">
        <v>43.01</v>
      </c>
      <c r="F55" s="32">
        <f t="shared" si="0"/>
        <v>20</v>
      </c>
      <c r="G55" s="32" t="s">
        <v>34</v>
      </c>
      <c r="H55" s="32" t="s">
        <v>15</v>
      </c>
      <c r="I55" s="31"/>
      <c r="J55" s="31"/>
      <c r="K55" s="31"/>
    </row>
    <row r="56">
      <c r="A56" s="30">
        <v>53</v>
      </c>
      <c r="B56" s="31" t="s">
        <v>33</v>
      </c>
      <c r="C56" s="31">
        <v>2100</v>
      </c>
      <c r="D56" s="31">
        <v>2</v>
      </c>
      <c r="E56" s="32">
        <v>46.021</v>
      </c>
      <c r="F56" s="32">
        <f t="shared" si="0"/>
        <v>40</v>
      </c>
      <c r="G56" s="32" t="s">
        <v>34</v>
      </c>
      <c r="H56" s="32" t="s">
        <v>15</v>
      </c>
      <c r="I56" s="31"/>
      <c r="J56" s="31"/>
      <c r="K56" s="31"/>
    </row>
    <row r="57">
      <c r="A57" s="30">
        <v>54</v>
      </c>
      <c r="B57" s="31" t="s">
        <v>33</v>
      </c>
      <c r="C57" s="31">
        <v>2100</v>
      </c>
      <c r="D57" s="31">
        <v>3</v>
      </c>
      <c r="E57" s="32">
        <v>47.7815</v>
      </c>
      <c r="F57" s="32">
        <f t="shared" si="0"/>
        <v>60</v>
      </c>
      <c r="G57" s="32" t="s">
        <v>34</v>
      </c>
      <c r="H57" s="32" t="s">
        <v>15</v>
      </c>
      <c r="I57" s="31"/>
      <c r="J57" s="31"/>
      <c r="K57" s="31"/>
    </row>
    <row r="58" ht="27.6">
      <c r="A58" s="30">
        <v>55</v>
      </c>
      <c r="B58" s="30" t="s">
        <v>35</v>
      </c>
      <c r="C58" s="31">
        <v>900</v>
      </c>
      <c r="D58" s="31">
        <v>2</v>
      </c>
      <c r="E58" s="32">
        <v>49.031</v>
      </c>
      <c r="F58" s="32">
        <f t="shared" si="0"/>
        <v>80</v>
      </c>
      <c r="G58" s="32" t="s">
        <v>36</v>
      </c>
      <c r="H58" s="32" t="s">
        <v>37</v>
      </c>
      <c r="I58" s="31"/>
      <c r="J58" s="31"/>
      <c r="K58" s="31"/>
    </row>
    <row r="59">
      <c r="A59" s="30">
        <v>56</v>
      </c>
      <c r="B59" s="30" t="s">
        <v>35</v>
      </c>
      <c r="C59" s="31">
        <v>900</v>
      </c>
      <c r="D59" s="31">
        <v>4</v>
      </c>
      <c r="E59" s="32">
        <v>49.031</v>
      </c>
      <c r="F59" s="32">
        <f t="shared" si="0"/>
        <v>80</v>
      </c>
      <c r="G59" s="32" t="s">
        <v>36</v>
      </c>
      <c r="H59" s="32" t="s">
        <v>38</v>
      </c>
      <c r="I59" s="31"/>
      <c r="J59" s="31"/>
      <c r="K59" s="31"/>
    </row>
    <row r="60" ht="27.6">
      <c r="A60" s="30">
        <v>59</v>
      </c>
      <c r="B60" s="30" t="s">
        <v>35</v>
      </c>
      <c r="C60" s="31">
        <v>1800</v>
      </c>
      <c r="D60" s="31">
        <v>2</v>
      </c>
      <c r="E60" s="32">
        <v>48.531</v>
      </c>
      <c r="F60" s="32">
        <f t="shared" si="0"/>
        <v>71.3</v>
      </c>
      <c r="G60" s="32" t="s">
        <v>36</v>
      </c>
      <c r="H60" s="32" t="s">
        <v>37</v>
      </c>
      <c r="I60" s="31"/>
      <c r="J60" s="31"/>
      <c r="K60" s="31"/>
    </row>
    <row r="61">
      <c r="A61" s="30">
        <v>60</v>
      </c>
      <c r="B61" s="30" t="s">
        <v>35</v>
      </c>
      <c r="C61" s="31">
        <v>1800</v>
      </c>
      <c r="D61" s="31">
        <v>4</v>
      </c>
      <c r="E61" s="32">
        <v>48.531</v>
      </c>
      <c r="F61" s="32">
        <f t="shared" si="0"/>
        <v>71.3</v>
      </c>
      <c r="G61" s="32" t="s">
        <v>36</v>
      </c>
      <c r="H61" s="32" t="s">
        <v>38</v>
      </c>
      <c r="I61" s="31"/>
      <c r="J61" s="31"/>
      <c r="K61" s="31"/>
    </row>
    <row r="62">
      <c r="A62" s="30">
        <v>63</v>
      </c>
      <c r="B62" s="30" t="s">
        <v>35</v>
      </c>
      <c r="C62" s="31">
        <v>2100</v>
      </c>
      <c r="D62" s="31">
        <v>1</v>
      </c>
      <c r="E62" s="32">
        <v>43.01</v>
      </c>
      <c r="F62" s="32">
        <f t="shared" si="0"/>
        <v>20</v>
      </c>
      <c r="G62" s="32" t="s">
        <v>36</v>
      </c>
      <c r="H62" s="32"/>
      <c r="I62" s="31"/>
      <c r="J62" s="31"/>
      <c r="K62" s="31"/>
    </row>
    <row r="63">
      <c r="A63" s="30">
        <v>64</v>
      </c>
      <c r="B63" s="30" t="s">
        <v>35</v>
      </c>
      <c r="C63" s="31">
        <v>2100</v>
      </c>
      <c r="D63" s="31">
        <v>2</v>
      </c>
      <c r="E63" s="32">
        <v>46.021</v>
      </c>
      <c r="F63" s="32">
        <f t="shared" si="0"/>
        <v>40</v>
      </c>
      <c r="G63" s="32" t="s">
        <v>36</v>
      </c>
      <c r="H63" s="32"/>
      <c r="I63" s="31"/>
      <c r="J63" s="31"/>
      <c r="K63" s="31"/>
    </row>
    <row r="64">
      <c r="A64" s="30">
        <v>65</v>
      </c>
      <c r="B64" s="30" t="s">
        <v>35</v>
      </c>
      <c r="C64" s="31">
        <v>2100</v>
      </c>
      <c r="D64" s="31">
        <v>3</v>
      </c>
      <c r="E64" s="32">
        <v>47.7815</v>
      </c>
      <c r="F64" s="32">
        <f t="shared" si="0"/>
        <v>60</v>
      </c>
      <c r="G64" s="32" t="s">
        <v>36</v>
      </c>
      <c r="H64" s="32"/>
      <c r="I64" s="31"/>
      <c r="J64" s="31"/>
      <c r="K64" s="31"/>
    </row>
    <row r="65" ht="27.6">
      <c r="A65" s="30">
        <v>57</v>
      </c>
      <c r="B65" s="30" t="s">
        <v>39</v>
      </c>
      <c r="C65" s="31">
        <v>900</v>
      </c>
      <c r="D65" s="31">
        <v>2</v>
      </c>
      <c r="E65" s="32">
        <v>49.031</v>
      </c>
      <c r="F65" s="32">
        <f t="shared" si="0"/>
        <v>80</v>
      </c>
      <c r="G65" s="32" t="s">
        <v>36</v>
      </c>
      <c r="H65" s="32" t="s">
        <v>37</v>
      </c>
      <c r="I65" s="31"/>
      <c r="J65" s="31"/>
      <c r="K65" s="31"/>
    </row>
    <row r="66">
      <c r="A66" s="30">
        <v>58</v>
      </c>
      <c r="B66" s="30" t="s">
        <v>39</v>
      </c>
      <c r="C66" s="31">
        <v>900</v>
      </c>
      <c r="D66" s="31">
        <v>4</v>
      </c>
      <c r="E66" s="32">
        <v>49.031</v>
      </c>
      <c r="F66" s="32">
        <f ref="F66:F130" t="shared" si="1">ROUND(POWER(10,E66/10)/1000,2)</f>
        <v>80</v>
      </c>
      <c r="G66" s="32" t="s">
        <v>36</v>
      </c>
      <c r="H66" s="32" t="s">
        <v>38</v>
      </c>
      <c r="I66" s="31"/>
      <c r="J66" s="31"/>
      <c r="K66" s="31"/>
    </row>
    <row r="67" ht="27.6">
      <c r="A67" s="30">
        <v>61</v>
      </c>
      <c r="B67" s="30" t="s">
        <v>39</v>
      </c>
      <c r="C67" s="31">
        <v>1800</v>
      </c>
      <c r="D67" s="31">
        <v>2</v>
      </c>
      <c r="E67" s="32">
        <v>48.531</v>
      </c>
      <c r="F67" s="32">
        <f t="shared" si="1"/>
        <v>71.3</v>
      </c>
      <c r="G67" s="32" t="s">
        <v>36</v>
      </c>
      <c r="H67" s="32" t="s">
        <v>37</v>
      </c>
      <c r="I67" s="31"/>
      <c r="J67" s="31"/>
      <c r="K67" s="31"/>
    </row>
    <row r="68">
      <c r="A68" s="30">
        <v>62</v>
      </c>
      <c r="B68" s="30" t="s">
        <v>39</v>
      </c>
      <c r="C68" s="31">
        <v>1800</v>
      </c>
      <c r="D68" s="31">
        <v>4</v>
      </c>
      <c r="E68" s="32">
        <v>48.531</v>
      </c>
      <c r="F68" s="32">
        <f t="shared" si="1"/>
        <v>71.3</v>
      </c>
      <c r="G68" s="32" t="s">
        <v>36</v>
      </c>
      <c r="H68" s="32" t="s">
        <v>38</v>
      </c>
      <c r="I68" s="31"/>
      <c r="J68" s="31"/>
      <c r="K68" s="31"/>
    </row>
    <row r="69">
      <c r="A69" s="30">
        <v>66</v>
      </c>
      <c r="B69" s="30" t="s">
        <v>39</v>
      </c>
      <c r="C69" s="31">
        <v>2100</v>
      </c>
      <c r="D69" s="31">
        <v>1</v>
      </c>
      <c r="E69" s="32">
        <v>43.01</v>
      </c>
      <c r="F69" s="32">
        <f t="shared" si="1"/>
        <v>20</v>
      </c>
      <c r="G69" s="32" t="s">
        <v>36</v>
      </c>
      <c r="H69" s="32"/>
      <c r="I69" s="31"/>
      <c r="J69" s="31"/>
      <c r="K69" s="31"/>
    </row>
    <row r="70">
      <c r="A70" s="30">
        <v>67</v>
      </c>
      <c r="B70" s="30" t="s">
        <v>39</v>
      </c>
      <c r="C70" s="31">
        <v>2100</v>
      </c>
      <c r="D70" s="31">
        <v>2</v>
      </c>
      <c r="E70" s="32">
        <v>46.021</v>
      </c>
      <c r="F70" s="32">
        <f t="shared" si="1"/>
        <v>40</v>
      </c>
      <c r="G70" s="32" t="s">
        <v>36</v>
      </c>
      <c r="H70" s="32"/>
      <c r="I70" s="31"/>
      <c r="J70" s="31"/>
      <c r="K70" s="31"/>
    </row>
    <row r="71">
      <c r="A71" s="30">
        <v>68</v>
      </c>
      <c r="B71" s="30" t="s">
        <v>39</v>
      </c>
      <c r="C71" s="31">
        <v>2100</v>
      </c>
      <c r="D71" s="31">
        <v>3</v>
      </c>
      <c r="E71" s="32">
        <v>47.7815</v>
      </c>
      <c r="F71" s="32">
        <f t="shared" si="1"/>
        <v>60</v>
      </c>
      <c r="G71" s="32" t="s">
        <v>36</v>
      </c>
      <c r="H71" s="32"/>
      <c r="I71" s="31"/>
      <c r="J71" s="31"/>
      <c r="K71" s="31"/>
    </row>
    <row r="72">
      <c r="A72" s="30">
        <v>69</v>
      </c>
      <c r="B72" s="30" t="s">
        <v>40</v>
      </c>
      <c r="C72" s="31">
        <v>2100</v>
      </c>
      <c r="D72" s="31">
        <v>1</v>
      </c>
      <c r="E72" s="32">
        <v>43.01</v>
      </c>
      <c r="F72" s="32">
        <f t="shared" si="1"/>
        <v>20</v>
      </c>
      <c r="G72" s="32" t="s">
        <v>41</v>
      </c>
      <c r="H72" s="32" t="s">
        <v>15</v>
      </c>
      <c r="I72" s="31"/>
      <c r="J72" s="31"/>
      <c r="K72" s="31"/>
    </row>
    <row r="73">
      <c r="A73" s="30">
        <v>70</v>
      </c>
      <c r="B73" s="30" t="s">
        <v>40</v>
      </c>
      <c r="C73" s="31">
        <v>2100</v>
      </c>
      <c r="D73" s="31">
        <v>2</v>
      </c>
      <c r="E73" s="32">
        <v>46.021</v>
      </c>
      <c r="F73" s="32">
        <f t="shared" si="1"/>
        <v>40</v>
      </c>
      <c r="G73" s="32" t="s">
        <v>41</v>
      </c>
      <c r="H73" s="32" t="s">
        <v>15</v>
      </c>
      <c r="I73" s="31"/>
      <c r="J73" s="31"/>
      <c r="K73" s="31"/>
    </row>
    <row r="74" ht="27.6">
      <c r="A74" s="30">
        <v>71</v>
      </c>
      <c r="B74" s="30" t="s">
        <v>40</v>
      </c>
      <c r="C74" s="31">
        <v>1800</v>
      </c>
      <c r="D74" s="31">
        <v>1</v>
      </c>
      <c r="E74" s="32">
        <v>46.021</v>
      </c>
      <c r="F74" s="32">
        <f t="shared" si="1"/>
        <v>40</v>
      </c>
      <c r="G74" s="32" t="s">
        <v>42</v>
      </c>
      <c r="H74" s="32" t="s">
        <v>43</v>
      </c>
      <c r="I74" s="33">
        <v>43398</v>
      </c>
      <c r="J74" s="30" t="s">
        <v>44</v>
      </c>
      <c r="K74" s="30" t="s">
        <v>45</v>
      </c>
    </row>
    <row r="75">
      <c r="A75" s="30">
        <v>72</v>
      </c>
      <c r="B75" s="30" t="s">
        <v>40</v>
      </c>
      <c r="C75" s="31">
        <v>1800</v>
      </c>
      <c r="D75" s="31">
        <v>3</v>
      </c>
      <c r="E75" s="32">
        <v>47.7815</v>
      </c>
      <c r="F75" s="32">
        <f t="shared" si="1"/>
        <v>60</v>
      </c>
      <c r="G75" s="32" t="s">
        <v>41</v>
      </c>
      <c r="H75" s="32" t="s">
        <v>15</v>
      </c>
      <c r="I75" s="31"/>
      <c r="J75" s="31"/>
      <c r="K75" s="31"/>
    </row>
    <row r="76" ht="27.6">
      <c r="A76" s="30">
        <v>73</v>
      </c>
      <c r="B76" s="30" t="s">
        <v>40</v>
      </c>
      <c r="C76" s="31">
        <v>1800</v>
      </c>
      <c r="D76" s="31">
        <v>2</v>
      </c>
      <c r="E76" s="32">
        <v>46.021</v>
      </c>
      <c r="F76" s="32">
        <f t="shared" si="1"/>
        <v>40</v>
      </c>
      <c r="G76" s="32" t="s">
        <v>42</v>
      </c>
      <c r="H76" s="32" t="s">
        <v>43</v>
      </c>
      <c r="I76" s="33">
        <v>43398</v>
      </c>
      <c r="J76" s="30" t="s">
        <v>44</v>
      </c>
      <c r="K76" s="30" t="s">
        <v>45</v>
      </c>
    </row>
    <row r="77" ht="27.6">
      <c r="A77" s="30">
        <v>74</v>
      </c>
      <c r="B77" s="30" t="s">
        <v>40</v>
      </c>
      <c r="C77" s="31">
        <v>1800</v>
      </c>
      <c r="D77" s="31">
        <v>4</v>
      </c>
      <c r="E77" s="32">
        <v>49.031</v>
      </c>
      <c r="F77" s="32">
        <f t="shared" si="1"/>
        <v>80</v>
      </c>
      <c r="G77" s="32" t="s">
        <v>42</v>
      </c>
      <c r="H77" s="32" t="s">
        <v>43</v>
      </c>
      <c r="I77" s="33">
        <v>43398</v>
      </c>
      <c r="J77" s="30" t="s">
        <v>44</v>
      </c>
      <c r="K77" s="30" t="s">
        <v>45</v>
      </c>
    </row>
    <row r="78">
      <c r="A78" s="30">
        <v>75</v>
      </c>
      <c r="B78" s="30" t="s">
        <v>46</v>
      </c>
      <c r="C78" s="30">
        <v>900</v>
      </c>
      <c r="D78" s="31">
        <v>2</v>
      </c>
      <c r="E78" s="32">
        <v>49.79</v>
      </c>
      <c r="F78" s="32">
        <f t="shared" si="1"/>
        <v>95.28</v>
      </c>
      <c r="G78" s="32" t="s">
        <v>23</v>
      </c>
      <c r="H78" s="32"/>
      <c r="I78" s="31"/>
      <c r="J78" s="31"/>
      <c r="K78" s="31"/>
    </row>
    <row r="79">
      <c r="A79" s="30">
        <v>76</v>
      </c>
      <c r="B79" s="31" t="s">
        <v>46</v>
      </c>
      <c r="C79" s="31">
        <v>900</v>
      </c>
      <c r="D79" s="31">
        <v>4</v>
      </c>
      <c r="E79" s="32">
        <v>46.49</v>
      </c>
      <c r="F79" s="32">
        <f t="shared" si="1"/>
        <v>44.57</v>
      </c>
      <c r="G79" s="32" t="s">
        <v>23</v>
      </c>
      <c r="H79" s="32"/>
      <c r="I79" s="31"/>
      <c r="J79" s="31"/>
      <c r="K79" s="31"/>
    </row>
    <row r="80">
      <c r="A80" s="30">
        <v>77</v>
      </c>
      <c r="B80" s="31" t="s">
        <v>46</v>
      </c>
      <c r="C80" s="30">
        <v>1800</v>
      </c>
      <c r="D80" s="31">
        <v>2</v>
      </c>
      <c r="E80" s="32">
        <v>49.79</v>
      </c>
      <c r="F80" s="32">
        <f t="shared" si="1"/>
        <v>95.28</v>
      </c>
      <c r="G80" s="32" t="s">
        <v>23</v>
      </c>
      <c r="H80" s="32"/>
      <c r="I80" s="31"/>
      <c r="J80" s="31"/>
      <c r="K80" s="31"/>
    </row>
    <row r="81">
      <c r="A81" s="30">
        <v>78</v>
      </c>
      <c r="B81" s="31" t="s">
        <v>46</v>
      </c>
      <c r="C81" s="31">
        <v>1800</v>
      </c>
      <c r="D81" s="31">
        <v>4</v>
      </c>
      <c r="E81" s="32">
        <v>46.49</v>
      </c>
      <c r="F81" s="32">
        <f t="shared" si="1"/>
        <v>44.57</v>
      </c>
      <c r="G81" s="32" t="s">
        <v>23</v>
      </c>
      <c r="H81" s="32"/>
      <c r="I81" s="31"/>
      <c r="J81" s="31"/>
      <c r="K81" s="31"/>
    </row>
    <row r="82">
      <c r="A82" s="30">
        <v>79</v>
      </c>
      <c r="B82" s="30" t="s">
        <v>47</v>
      </c>
      <c r="C82" s="30">
        <v>900</v>
      </c>
      <c r="D82" s="31">
        <v>2</v>
      </c>
      <c r="E82" s="32">
        <v>49.31</v>
      </c>
      <c r="F82" s="32">
        <f t="shared" si="1"/>
        <v>85.31</v>
      </c>
      <c r="G82" s="32" t="s">
        <v>23</v>
      </c>
      <c r="H82" s="32"/>
      <c r="I82" s="31"/>
      <c r="J82" s="31"/>
      <c r="K82" s="31"/>
    </row>
    <row r="83">
      <c r="A83" s="30">
        <v>80</v>
      </c>
      <c r="B83" s="31" t="s">
        <v>47</v>
      </c>
      <c r="C83" s="31">
        <v>900</v>
      </c>
      <c r="D83" s="31">
        <v>4</v>
      </c>
      <c r="E83" s="32">
        <v>50.02</v>
      </c>
      <c r="F83" s="32">
        <f t="shared" si="1"/>
        <v>100.46</v>
      </c>
      <c r="G83" s="32" t="s">
        <v>23</v>
      </c>
      <c r="H83" s="32"/>
      <c r="I83" s="31"/>
      <c r="J83" s="31"/>
      <c r="K83" s="31"/>
    </row>
    <row r="84">
      <c r="A84" s="30">
        <v>81</v>
      </c>
      <c r="B84" s="30" t="s">
        <v>47</v>
      </c>
      <c r="C84" s="30">
        <v>1800</v>
      </c>
      <c r="D84" s="31">
        <v>2</v>
      </c>
      <c r="E84" s="32">
        <v>49.02</v>
      </c>
      <c r="F84" s="32">
        <f t="shared" si="1"/>
        <v>79.8</v>
      </c>
      <c r="G84" s="32" t="s">
        <v>23</v>
      </c>
      <c r="H84" s="32"/>
      <c r="I84" s="31"/>
      <c r="J84" s="31"/>
      <c r="K84" s="31"/>
    </row>
    <row r="85">
      <c r="A85" s="30">
        <v>82</v>
      </c>
      <c r="B85" s="31" t="s">
        <v>47</v>
      </c>
      <c r="C85" s="31">
        <v>1800</v>
      </c>
      <c r="D85" s="31">
        <v>4</v>
      </c>
      <c r="E85" s="32">
        <v>49.52</v>
      </c>
      <c r="F85" s="32">
        <f t="shared" si="1"/>
        <v>89.54</v>
      </c>
      <c r="G85" s="32" t="s">
        <v>23</v>
      </c>
      <c r="H85" s="32"/>
      <c r="I85" s="31"/>
      <c r="J85" s="31"/>
      <c r="K85" s="31"/>
    </row>
    <row r="86">
      <c r="A86" s="30">
        <v>83</v>
      </c>
      <c r="B86" s="31" t="s">
        <v>48</v>
      </c>
      <c r="C86" s="30">
        <v>900</v>
      </c>
      <c r="D86" s="31">
        <v>1</v>
      </c>
      <c r="E86" s="32">
        <v>49.5425</v>
      </c>
      <c r="F86" s="32">
        <f t="shared" si="1"/>
        <v>90</v>
      </c>
      <c r="G86" s="32" t="s">
        <v>49</v>
      </c>
      <c r="H86" s="32"/>
      <c r="I86" s="31"/>
      <c r="J86" s="31"/>
      <c r="K86" s="31"/>
    </row>
    <row r="87">
      <c r="A87" s="30">
        <v>84</v>
      </c>
      <c r="B87" s="31" t="s">
        <v>48</v>
      </c>
      <c r="C87" s="30">
        <v>900</v>
      </c>
      <c r="D87" s="31">
        <v>2</v>
      </c>
      <c r="E87" s="32">
        <v>49.5425</v>
      </c>
      <c r="F87" s="32">
        <f t="shared" si="1"/>
        <v>90</v>
      </c>
      <c r="G87" s="32" t="s">
        <v>49</v>
      </c>
      <c r="H87" s="32"/>
      <c r="I87" s="31"/>
      <c r="J87" s="31"/>
      <c r="K87" s="31"/>
    </row>
    <row r="88">
      <c r="A88" s="30">
        <v>85</v>
      </c>
      <c r="B88" s="31" t="s">
        <v>48</v>
      </c>
      <c r="C88" s="31">
        <v>900</v>
      </c>
      <c r="D88" s="31">
        <v>3</v>
      </c>
      <c r="E88" s="32">
        <v>46.021</v>
      </c>
      <c r="F88" s="32">
        <f t="shared" si="1"/>
        <v>40</v>
      </c>
      <c r="G88" s="32" t="s">
        <v>49</v>
      </c>
      <c r="H88" s="32"/>
      <c r="I88" s="31"/>
      <c r="J88" s="31"/>
      <c r="K88" s="31"/>
    </row>
    <row r="89">
      <c r="A89" s="30">
        <v>86</v>
      </c>
      <c r="B89" s="31" t="s">
        <v>48</v>
      </c>
      <c r="C89" s="31">
        <v>900</v>
      </c>
      <c r="D89" s="31">
        <v>4</v>
      </c>
      <c r="E89" s="32">
        <v>46.021</v>
      </c>
      <c r="F89" s="32">
        <f t="shared" si="1"/>
        <v>40</v>
      </c>
      <c r="G89" s="32" t="s">
        <v>49</v>
      </c>
      <c r="H89" s="32"/>
      <c r="I89" s="31"/>
      <c r="J89" s="31"/>
      <c r="K89" s="31"/>
    </row>
    <row r="90">
      <c r="A90" s="30">
        <v>87</v>
      </c>
      <c r="B90" s="31" t="s">
        <v>48</v>
      </c>
      <c r="C90" s="30">
        <v>1800</v>
      </c>
      <c r="D90" s="31">
        <v>2</v>
      </c>
      <c r="E90" s="32">
        <v>49.031</v>
      </c>
      <c r="F90" s="32">
        <f t="shared" si="1"/>
        <v>80</v>
      </c>
      <c r="G90" s="32" t="s">
        <v>49</v>
      </c>
      <c r="H90" s="32"/>
      <c r="I90" s="31"/>
      <c r="J90" s="31"/>
      <c r="K90" s="31"/>
    </row>
    <row r="91">
      <c r="A91" s="30">
        <v>88</v>
      </c>
      <c r="B91" s="31" t="s">
        <v>48</v>
      </c>
      <c r="C91" s="31">
        <v>1800</v>
      </c>
      <c r="D91" s="31">
        <v>4</v>
      </c>
      <c r="E91" s="32">
        <v>45.562999999999995</v>
      </c>
      <c r="F91" s="32">
        <f t="shared" si="1"/>
        <v>36</v>
      </c>
      <c r="G91" s="32" t="s">
        <v>49</v>
      </c>
      <c r="H91" s="32"/>
      <c r="I91" s="31"/>
      <c r="J91" s="31"/>
      <c r="K91" s="31"/>
    </row>
    <row r="92">
      <c r="A92" s="30">
        <v>89</v>
      </c>
      <c r="B92" s="31" t="s">
        <v>48</v>
      </c>
      <c r="C92" s="31">
        <v>2100</v>
      </c>
      <c r="D92" s="31">
        <v>1</v>
      </c>
      <c r="E92" s="32">
        <v>43.01</v>
      </c>
      <c r="F92" s="32">
        <f t="shared" si="1"/>
        <v>20</v>
      </c>
      <c r="G92" s="32" t="s">
        <v>50</v>
      </c>
      <c r="H92" s="32" t="s">
        <v>15</v>
      </c>
      <c r="I92" s="31"/>
      <c r="J92" s="31"/>
      <c r="K92" s="31"/>
    </row>
    <row r="93">
      <c r="A93" s="30">
        <v>90</v>
      </c>
      <c r="B93" s="31" t="s">
        <v>48</v>
      </c>
      <c r="C93" s="31">
        <v>2100</v>
      </c>
      <c r="D93" s="31">
        <v>2</v>
      </c>
      <c r="E93" s="32">
        <v>46.021</v>
      </c>
      <c r="F93" s="32">
        <f t="shared" si="1"/>
        <v>40</v>
      </c>
      <c r="G93" s="32" t="s">
        <v>50</v>
      </c>
      <c r="H93" s="32" t="s">
        <v>15</v>
      </c>
      <c r="I93" s="31"/>
      <c r="J93" s="31"/>
      <c r="K93" s="31"/>
    </row>
    <row r="94">
      <c r="A94" s="30">
        <v>91</v>
      </c>
      <c r="B94" s="31" t="s">
        <v>48</v>
      </c>
      <c r="C94" s="31">
        <v>2100</v>
      </c>
      <c r="D94" s="31">
        <v>3</v>
      </c>
      <c r="E94" s="32">
        <v>47.7815</v>
      </c>
      <c r="F94" s="32">
        <f t="shared" si="1"/>
        <v>60</v>
      </c>
      <c r="G94" s="32" t="s">
        <v>50</v>
      </c>
      <c r="H94" s="32" t="s">
        <v>15</v>
      </c>
      <c r="I94" s="31"/>
      <c r="J94" s="31"/>
      <c r="K94" s="31"/>
    </row>
    <row r="95">
      <c r="A95" s="30">
        <v>92</v>
      </c>
      <c r="B95" s="31" t="s">
        <v>51</v>
      </c>
      <c r="C95" s="30">
        <v>900</v>
      </c>
      <c r="D95" s="31">
        <v>2</v>
      </c>
      <c r="E95" s="32">
        <v>49.5425</v>
      </c>
      <c r="F95" s="32">
        <f t="shared" si="1"/>
        <v>90</v>
      </c>
      <c r="G95" s="32" t="s">
        <v>49</v>
      </c>
      <c r="H95" s="32"/>
      <c r="I95" s="31"/>
      <c r="J95" s="31"/>
      <c r="K95" s="31"/>
    </row>
    <row r="96">
      <c r="A96" s="30">
        <v>93</v>
      </c>
      <c r="B96" s="31" t="s">
        <v>51</v>
      </c>
      <c r="C96" s="31">
        <v>900</v>
      </c>
      <c r="D96" s="31">
        <v>4</v>
      </c>
      <c r="E96" s="32">
        <v>46.021</v>
      </c>
      <c r="F96" s="32">
        <f t="shared" si="1"/>
        <v>40</v>
      </c>
      <c r="G96" s="32" t="s">
        <v>49</v>
      </c>
      <c r="H96" s="32"/>
      <c r="I96" s="31"/>
      <c r="J96" s="31"/>
      <c r="K96" s="31"/>
    </row>
    <row r="97">
      <c r="A97" s="30">
        <v>94</v>
      </c>
      <c r="B97" s="30" t="s">
        <v>52</v>
      </c>
      <c r="C97" s="30">
        <v>900</v>
      </c>
      <c r="D97" s="31">
        <v>2</v>
      </c>
      <c r="E97" s="32">
        <v>44.7715</v>
      </c>
      <c r="F97" s="32">
        <f t="shared" si="1"/>
        <v>30</v>
      </c>
      <c r="G97" s="32" t="s">
        <v>53</v>
      </c>
      <c r="H97" s="32" t="s">
        <v>54</v>
      </c>
      <c r="I97" s="31"/>
      <c r="J97" s="31"/>
      <c r="K97" s="31"/>
    </row>
    <row r="98">
      <c r="A98" s="30">
        <v>95</v>
      </c>
      <c r="B98" s="31" t="s">
        <v>52</v>
      </c>
      <c r="C98" s="31">
        <v>900</v>
      </c>
      <c r="D98" s="31">
        <v>4</v>
      </c>
      <c r="E98" s="32">
        <v>41.761500000000005</v>
      </c>
      <c r="F98" s="32">
        <f t="shared" si="1"/>
        <v>15</v>
      </c>
      <c r="G98" s="32" t="s">
        <v>53</v>
      </c>
      <c r="H98" s="32" t="s">
        <v>54</v>
      </c>
      <c r="I98" s="31"/>
      <c r="J98" s="31"/>
      <c r="K98" s="31"/>
    </row>
    <row r="99">
      <c r="A99" s="30">
        <v>96</v>
      </c>
      <c r="B99" s="30" t="s">
        <v>52</v>
      </c>
      <c r="C99" s="30">
        <v>1800</v>
      </c>
      <c r="D99" s="31">
        <v>2</v>
      </c>
      <c r="E99" s="32">
        <v>43.01</v>
      </c>
      <c r="F99" s="32">
        <f t="shared" si="1"/>
        <v>20</v>
      </c>
      <c r="G99" s="32" t="s">
        <v>53</v>
      </c>
      <c r="H99" s="32"/>
      <c r="I99" s="31"/>
      <c r="J99" s="31"/>
      <c r="K99" s="31"/>
    </row>
    <row r="100">
      <c r="A100" s="30">
        <v>97</v>
      </c>
      <c r="B100" s="31" t="s">
        <v>52</v>
      </c>
      <c r="C100" s="31">
        <v>1800</v>
      </c>
      <c r="D100" s="31">
        <v>4</v>
      </c>
      <c r="E100" s="32">
        <v>40</v>
      </c>
      <c r="F100" s="32">
        <f t="shared" si="1"/>
        <v>10</v>
      </c>
      <c r="G100" s="32" t="s">
        <v>53</v>
      </c>
      <c r="H100" s="32"/>
      <c r="I100" s="31"/>
      <c r="J100" s="31"/>
      <c r="K100" s="31"/>
    </row>
    <row r="101">
      <c r="A101" s="30">
        <v>98</v>
      </c>
      <c r="B101" s="30" t="s">
        <v>52</v>
      </c>
      <c r="C101" s="31">
        <v>2100</v>
      </c>
      <c r="D101" s="31">
        <v>1</v>
      </c>
      <c r="E101" s="32">
        <v>43.01</v>
      </c>
      <c r="F101" s="32">
        <f t="shared" si="1"/>
        <v>20</v>
      </c>
      <c r="G101" s="32" t="s">
        <v>53</v>
      </c>
      <c r="H101" s="32" t="s">
        <v>15</v>
      </c>
      <c r="I101" s="31"/>
      <c r="J101" s="31"/>
      <c r="K101" s="31"/>
    </row>
    <row r="102">
      <c r="A102" s="30">
        <v>99</v>
      </c>
      <c r="B102" s="31" t="s">
        <v>52</v>
      </c>
      <c r="C102" s="31">
        <v>2100</v>
      </c>
      <c r="D102" s="31">
        <v>2</v>
      </c>
      <c r="E102" s="32">
        <v>46.021</v>
      </c>
      <c r="F102" s="32">
        <f t="shared" si="1"/>
        <v>40</v>
      </c>
      <c r="G102" s="32" t="s">
        <v>53</v>
      </c>
      <c r="H102" s="32" t="s">
        <v>15</v>
      </c>
      <c r="I102" s="31"/>
      <c r="J102" s="31"/>
      <c r="K102" s="31"/>
    </row>
    <row r="103">
      <c r="A103" s="30">
        <v>100</v>
      </c>
      <c r="B103" s="31" t="s">
        <v>52</v>
      </c>
      <c r="C103" s="31">
        <v>2100</v>
      </c>
      <c r="D103" s="31">
        <v>3</v>
      </c>
      <c r="E103" s="32">
        <v>47.7815</v>
      </c>
      <c r="F103" s="32">
        <f t="shared" si="1"/>
        <v>60</v>
      </c>
      <c r="G103" s="32" t="s">
        <v>53</v>
      </c>
      <c r="H103" s="32" t="s">
        <v>15</v>
      </c>
      <c r="I103" s="31"/>
      <c r="J103" s="31"/>
      <c r="K103" s="31"/>
    </row>
    <row r="104">
      <c r="A104" s="30">
        <v>101</v>
      </c>
      <c r="B104" s="31" t="s">
        <v>52</v>
      </c>
      <c r="C104" s="31">
        <v>2100</v>
      </c>
      <c r="D104" s="31">
        <v>4</v>
      </c>
      <c r="E104" s="32">
        <v>49.031</v>
      </c>
      <c r="F104" s="32">
        <f t="shared" si="1"/>
        <v>80</v>
      </c>
      <c r="G104" s="32" t="s">
        <v>53</v>
      </c>
      <c r="H104" s="32" t="s">
        <v>15</v>
      </c>
      <c r="I104" s="31"/>
      <c r="J104" s="30" t="s">
        <v>44</v>
      </c>
      <c r="K104" s="31"/>
    </row>
    <row r="105">
      <c r="A105" s="30">
        <v>102</v>
      </c>
      <c r="B105" s="31" t="s">
        <v>52</v>
      </c>
      <c r="C105" s="31">
        <v>900</v>
      </c>
      <c r="D105" s="31">
        <v>1</v>
      </c>
      <c r="E105" s="32">
        <v>43.01</v>
      </c>
      <c r="F105" s="32">
        <f t="shared" si="1"/>
        <v>20</v>
      </c>
      <c r="G105" s="32" t="s">
        <v>53</v>
      </c>
      <c r="H105" s="32" t="s">
        <v>15</v>
      </c>
      <c r="I105" s="31"/>
      <c r="J105" s="31"/>
      <c r="K105" s="31"/>
    </row>
    <row r="106">
      <c r="A106" s="30">
        <v>186</v>
      </c>
      <c r="B106" s="31" t="s">
        <v>55</v>
      </c>
      <c r="C106" s="31">
        <v>1800</v>
      </c>
      <c r="D106" s="31">
        <v>1</v>
      </c>
      <c r="E106" s="32">
        <v>43.01</v>
      </c>
      <c r="F106" s="32">
        <f t="shared" si="1"/>
        <v>20</v>
      </c>
      <c r="G106" s="32" t="s">
        <v>53</v>
      </c>
      <c r="H106" s="32" t="s">
        <v>15</v>
      </c>
      <c r="I106" s="31"/>
      <c r="J106" s="31"/>
      <c r="K106" s="31"/>
    </row>
    <row r="107">
      <c r="A107" s="30">
        <v>187</v>
      </c>
      <c r="B107" s="31" t="s">
        <v>56</v>
      </c>
      <c r="C107" s="31">
        <v>2100</v>
      </c>
      <c r="D107" s="31">
        <v>1</v>
      </c>
      <c r="E107" s="32">
        <v>43.01</v>
      </c>
      <c r="F107" s="32">
        <f t="shared" si="1"/>
        <v>20</v>
      </c>
      <c r="G107" s="32" t="s">
        <v>53</v>
      </c>
      <c r="H107" s="32" t="s">
        <v>15</v>
      </c>
      <c r="I107" s="31"/>
      <c r="J107" s="31"/>
      <c r="K107" s="31"/>
    </row>
    <row r="108">
      <c r="A108" s="30">
        <v>188</v>
      </c>
      <c r="B108" s="31" t="s">
        <v>56</v>
      </c>
      <c r="C108" s="31">
        <v>2100</v>
      </c>
      <c r="D108" s="31">
        <v>2</v>
      </c>
      <c r="E108" s="32">
        <v>43.01</v>
      </c>
      <c r="F108" s="32">
        <f t="shared" si="1"/>
        <v>20</v>
      </c>
      <c r="G108" s="32" t="s">
        <v>53</v>
      </c>
      <c r="H108" s="32" t="s">
        <v>15</v>
      </c>
      <c r="I108" s="31"/>
      <c r="J108" s="31"/>
      <c r="K108" s="31"/>
    </row>
    <row r="109">
      <c r="A109" s="30">
        <v>189</v>
      </c>
      <c r="B109" s="31" t="s">
        <v>56</v>
      </c>
      <c r="C109" s="31">
        <v>2100</v>
      </c>
      <c r="D109" s="31">
        <v>3</v>
      </c>
      <c r="E109" s="32">
        <v>43.01</v>
      </c>
      <c r="F109" s="32">
        <f t="shared" si="1"/>
        <v>20</v>
      </c>
      <c r="G109" s="32" t="s">
        <v>53</v>
      </c>
      <c r="H109" s="32" t="s">
        <v>15</v>
      </c>
      <c r="I109" s="31"/>
      <c r="J109" s="31"/>
      <c r="K109" s="31"/>
    </row>
    <row r="110">
      <c r="A110" s="30">
        <v>184</v>
      </c>
      <c r="B110" s="31" t="s">
        <v>57</v>
      </c>
      <c r="C110" s="31">
        <v>900</v>
      </c>
      <c r="D110" s="31">
        <v>1</v>
      </c>
      <c r="E110" s="32">
        <v>43.01</v>
      </c>
      <c r="F110" s="32">
        <f t="shared" si="1"/>
        <v>20</v>
      </c>
      <c r="G110" s="32" t="s">
        <v>53</v>
      </c>
      <c r="H110" s="32" t="s">
        <v>15</v>
      </c>
      <c r="I110" s="31"/>
      <c r="J110" s="31"/>
      <c r="K110" s="31"/>
    </row>
    <row r="111">
      <c r="A111" s="30">
        <v>185</v>
      </c>
      <c r="B111" s="31" t="s">
        <v>57</v>
      </c>
      <c r="C111" s="31">
        <v>900</v>
      </c>
      <c r="D111" s="31">
        <v>2</v>
      </c>
      <c r="E111" s="32">
        <v>43.01</v>
      </c>
      <c r="F111" s="32">
        <f t="shared" si="1"/>
        <v>20</v>
      </c>
      <c r="G111" s="32" t="s">
        <v>53</v>
      </c>
      <c r="H111" s="32" t="s">
        <v>15</v>
      </c>
      <c r="I111" s="31"/>
      <c r="J111" s="31"/>
      <c r="K111" s="31"/>
    </row>
    <row r="112" ht="27.6">
      <c r="A112" s="30">
        <v>103</v>
      </c>
      <c r="B112" s="30" t="s">
        <v>58</v>
      </c>
      <c r="C112" s="30">
        <v>800</v>
      </c>
      <c r="D112" s="31">
        <v>1</v>
      </c>
      <c r="E112" s="32">
        <v>43.01</v>
      </c>
      <c r="F112" s="32">
        <f t="shared" si="1"/>
        <v>20</v>
      </c>
      <c r="G112" s="32" t="s">
        <v>59</v>
      </c>
      <c r="H112" s="32"/>
      <c r="I112" s="31"/>
      <c r="J112" s="31"/>
      <c r="K112" s="31"/>
    </row>
    <row r="113" ht="27.6">
      <c r="A113" s="30">
        <v>104</v>
      </c>
      <c r="B113" s="30" t="s">
        <v>58</v>
      </c>
      <c r="C113" s="30">
        <v>800</v>
      </c>
      <c r="D113" s="31">
        <v>2</v>
      </c>
      <c r="E113" s="32">
        <v>46.021</v>
      </c>
      <c r="F113" s="32">
        <f t="shared" si="1"/>
        <v>40</v>
      </c>
      <c r="G113" s="32" t="s">
        <v>59</v>
      </c>
      <c r="H113" s="32"/>
      <c r="I113" s="31"/>
      <c r="J113" s="31"/>
      <c r="K113" s="31"/>
    </row>
    <row r="114" ht="27.6">
      <c r="A114" s="30">
        <v>105</v>
      </c>
      <c r="B114" s="30" t="s">
        <v>60</v>
      </c>
      <c r="C114" s="31">
        <v>900</v>
      </c>
      <c r="D114" s="31">
        <v>2</v>
      </c>
      <c r="E114" s="32">
        <v>43.01</v>
      </c>
      <c r="F114" s="32">
        <f t="shared" si="1"/>
        <v>20</v>
      </c>
      <c r="G114" s="32" t="s">
        <v>61</v>
      </c>
      <c r="H114" s="32"/>
      <c r="I114" s="31"/>
      <c r="J114" s="31"/>
      <c r="K114" s="31"/>
    </row>
    <row r="115" ht="27.6">
      <c r="A115" s="30">
        <v>106</v>
      </c>
      <c r="B115" s="30" t="s">
        <v>60</v>
      </c>
      <c r="C115" s="31">
        <v>900</v>
      </c>
      <c r="D115" s="31">
        <v>4</v>
      </c>
      <c r="E115" s="32">
        <v>46.021</v>
      </c>
      <c r="F115" s="32">
        <f t="shared" si="1"/>
        <v>40</v>
      </c>
      <c r="G115" s="32" t="s">
        <v>61</v>
      </c>
      <c r="H115" s="32"/>
      <c r="I115" s="31"/>
      <c r="J115" s="31"/>
      <c r="K115" s="31"/>
    </row>
    <row r="116" ht="27.6">
      <c r="A116" s="30">
        <v>107</v>
      </c>
      <c r="B116" s="30" t="s">
        <v>60</v>
      </c>
      <c r="C116" s="31">
        <v>1800</v>
      </c>
      <c r="D116" s="31">
        <v>2</v>
      </c>
      <c r="E116" s="32">
        <v>42.04</v>
      </c>
      <c r="F116" s="32">
        <f t="shared" si="1"/>
        <v>16</v>
      </c>
      <c r="G116" s="32" t="s">
        <v>61</v>
      </c>
      <c r="H116" s="32"/>
      <c r="I116" s="31"/>
      <c r="J116" s="31"/>
      <c r="K116" s="31"/>
    </row>
    <row r="117" ht="27.6">
      <c r="A117" s="30">
        <v>108</v>
      </c>
      <c r="B117" s="30" t="s">
        <v>60</v>
      </c>
      <c r="C117" s="31">
        <v>1800</v>
      </c>
      <c r="D117" s="31">
        <v>4</v>
      </c>
      <c r="E117" s="32">
        <v>45.051</v>
      </c>
      <c r="F117" s="32">
        <f t="shared" si="1"/>
        <v>32</v>
      </c>
      <c r="G117" s="32" t="s">
        <v>61</v>
      </c>
      <c r="H117" s="32"/>
      <c r="I117" s="31"/>
      <c r="J117" s="31"/>
      <c r="K117" s="31"/>
    </row>
    <row r="118" ht="27.6">
      <c r="A118" s="30">
        <v>109</v>
      </c>
      <c r="B118" s="30" t="s">
        <v>62</v>
      </c>
      <c r="C118" s="31">
        <v>900</v>
      </c>
      <c r="D118" s="31">
        <v>2</v>
      </c>
      <c r="E118" s="32">
        <v>43.01</v>
      </c>
      <c r="F118" s="32">
        <f t="shared" si="1"/>
        <v>20</v>
      </c>
      <c r="G118" s="32" t="s">
        <v>61</v>
      </c>
      <c r="H118" s="32"/>
      <c r="I118" s="31"/>
      <c r="J118" s="31"/>
      <c r="K118" s="31"/>
    </row>
    <row r="119" ht="27.6">
      <c r="A119" s="30">
        <v>110</v>
      </c>
      <c r="B119" s="30" t="s">
        <v>62</v>
      </c>
      <c r="C119" s="31">
        <v>900</v>
      </c>
      <c r="D119" s="31">
        <v>4</v>
      </c>
      <c r="E119" s="32">
        <v>39.29</v>
      </c>
      <c r="F119" s="32">
        <f t="shared" si="1"/>
        <v>8.49</v>
      </c>
      <c r="G119" s="32" t="s">
        <v>61</v>
      </c>
      <c r="H119" s="32"/>
      <c r="I119" s="31"/>
      <c r="J119" s="31"/>
      <c r="K119" s="31"/>
    </row>
    <row r="120" ht="27.6">
      <c r="A120" s="30">
        <v>111</v>
      </c>
      <c r="B120" s="30" t="s">
        <v>62</v>
      </c>
      <c r="C120" s="31">
        <v>1800</v>
      </c>
      <c r="D120" s="31">
        <v>2</v>
      </c>
      <c r="E120" s="32">
        <v>42.04</v>
      </c>
      <c r="F120" s="32">
        <f t="shared" si="1"/>
        <v>16</v>
      </c>
      <c r="G120" s="32" t="s">
        <v>61</v>
      </c>
      <c r="H120" s="32"/>
      <c r="I120" s="31"/>
      <c r="J120" s="31"/>
      <c r="K120" s="31"/>
    </row>
    <row r="121" ht="27.6">
      <c r="A121" s="30">
        <v>112</v>
      </c>
      <c r="B121" s="30" t="s">
        <v>62</v>
      </c>
      <c r="C121" s="31">
        <v>1800</v>
      </c>
      <c r="D121" s="31">
        <v>4</v>
      </c>
      <c r="E121" s="32">
        <v>38.45</v>
      </c>
      <c r="F121" s="32">
        <f t="shared" si="1"/>
        <v>7</v>
      </c>
      <c r="G121" s="32" t="s">
        <v>61</v>
      </c>
      <c r="H121" s="32"/>
      <c r="I121" s="31"/>
      <c r="J121" s="31"/>
      <c r="K121" s="31"/>
    </row>
    <row r="122" ht="27.6">
      <c r="A122" s="30">
        <v>113</v>
      </c>
      <c r="B122" s="31" t="s">
        <v>63</v>
      </c>
      <c r="C122" s="31">
        <v>1800</v>
      </c>
      <c r="D122" s="31">
        <v>1</v>
      </c>
      <c r="E122" s="32">
        <v>43.01</v>
      </c>
      <c r="F122" s="32">
        <f t="shared" si="1"/>
        <v>20</v>
      </c>
      <c r="G122" s="32" t="s">
        <v>64</v>
      </c>
      <c r="H122" s="32" t="s">
        <v>43</v>
      </c>
      <c r="I122" s="31">
        <v>2017</v>
      </c>
      <c r="J122" s="31"/>
      <c r="K122" s="31"/>
    </row>
    <row r="123" ht="27.6">
      <c r="A123" s="30">
        <v>114</v>
      </c>
      <c r="B123" s="31" t="s">
        <v>63</v>
      </c>
      <c r="C123" s="31">
        <v>1800</v>
      </c>
      <c r="D123" s="31">
        <v>2</v>
      </c>
      <c r="E123" s="32">
        <v>43.01</v>
      </c>
      <c r="F123" s="32">
        <f t="shared" si="1"/>
        <v>20</v>
      </c>
      <c r="G123" s="32" t="s">
        <v>64</v>
      </c>
      <c r="H123" s="32" t="s">
        <v>43</v>
      </c>
      <c r="I123" s="31">
        <v>2017</v>
      </c>
      <c r="J123" s="31"/>
      <c r="K123" s="31"/>
    </row>
    <row r="124" ht="27.6">
      <c r="A124" s="30">
        <v>115</v>
      </c>
      <c r="B124" s="31" t="s">
        <v>63</v>
      </c>
      <c r="C124" s="31">
        <v>900</v>
      </c>
      <c r="D124" s="31">
        <v>1</v>
      </c>
      <c r="E124" s="32">
        <v>43.01</v>
      </c>
      <c r="F124" s="32">
        <f t="shared" si="1"/>
        <v>20</v>
      </c>
      <c r="G124" s="32" t="s">
        <v>65</v>
      </c>
      <c r="H124" s="32" t="s">
        <v>54</v>
      </c>
      <c r="I124" s="31">
        <v>43907</v>
      </c>
      <c r="J124" s="31"/>
      <c r="K124" s="31"/>
    </row>
    <row r="125" ht="27.6">
      <c r="A125" s="30">
        <v>116</v>
      </c>
      <c r="B125" s="31" t="s">
        <v>63</v>
      </c>
      <c r="C125" s="31">
        <v>900</v>
      </c>
      <c r="D125" s="31">
        <v>2</v>
      </c>
      <c r="E125" s="32">
        <v>46.021</v>
      </c>
      <c r="F125" s="32">
        <f t="shared" si="1"/>
        <v>40</v>
      </c>
      <c r="G125" s="32" t="s">
        <v>65</v>
      </c>
      <c r="H125" s="32" t="s">
        <v>54</v>
      </c>
      <c r="I125" s="31">
        <v>43907</v>
      </c>
      <c r="J125" s="31"/>
      <c r="K125" s="31"/>
    </row>
    <row r="126">
      <c r="A126" s="30">
        <v>117</v>
      </c>
      <c r="B126" s="30" t="s">
        <v>66</v>
      </c>
      <c r="C126" s="31">
        <v>2100</v>
      </c>
      <c r="D126" s="31">
        <v>1</v>
      </c>
      <c r="E126" s="32">
        <v>43.01</v>
      </c>
      <c r="F126" s="32">
        <f t="shared" si="1"/>
        <v>20</v>
      </c>
      <c r="G126" s="32" t="s">
        <v>50</v>
      </c>
      <c r="H126" s="32" t="s">
        <v>15</v>
      </c>
      <c r="I126" s="31"/>
      <c r="J126" s="31"/>
      <c r="K126" s="31"/>
    </row>
    <row r="127">
      <c r="A127" s="30">
        <v>118</v>
      </c>
      <c r="B127" s="30" t="s">
        <v>66</v>
      </c>
      <c r="C127" s="31">
        <v>2100</v>
      </c>
      <c r="D127" s="31">
        <v>2</v>
      </c>
      <c r="E127" s="32">
        <v>43.01</v>
      </c>
      <c r="F127" s="32">
        <f t="shared" si="1"/>
        <v>20</v>
      </c>
      <c r="G127" s="32" t="s">
        <v>50</v>
      </c>
      <c r="H127" s="32" t="s">
        <v>15</v>
      </c>
      <c r="I127" s="31"/>
      <c r="J127" s="31"/>
      <c r="K127" s="31"/>
    </row>
    <row r="128">
      <c r="A128" s="30">
        <v>119</v>
      </c>
      <c r="B128" s="30" t="s">
        <v>66</v>
      </c>
      <c r="C128" s="31">
        <v>2100</v>
      </c>
      <c r="D128" s="31">
        <v>3</v>
      </c>
      <c r="E128" s="32">
        <v>43.01</v>
      </c>
      <c r="F128" s="32">
        <f t="shared" si="1"/>
        <v>20</v>
      </c>
      <c r="G128" s="32" t="s">
        <v>50</v>
      </c>
      <c r="H128" s="32" t="s">
        <v>15</v>
      </c>
      <c r="I128" s="31"/>
      <c r="J128" s="31"/>
      <c r="K128" s="31"/>
    </row>
    <row r="129">
      <c r="A129" s="30">
        <v>120</v>
      </c>
      <c r="B129" s="30" t="s">
        <v>67</v>
      </c>
      <c r="C129" s="30">
        <v>800</v>
      </c>
      <c r="D129" s="31">
        <v>1</v>
      </c>
      <c r="E129" s="32">
        <v>43.01</v>
      </c>
      <c r="F129" s="32">
        <f t="shared" si="1"/>
        <v>20</v>
      </c>
      <c r="G129" s="32" t="s">
        <v>59</v>
      </c>
      <c r="H129" s="32"/>
      <c r="I129" s="31"/>
      <c r="J129" s="31"/>
      <c r="K129" s="31"/>
    </row>
    <row r="130">
      <c r="A130" s="30">
        <v>121</v>
      </c>
      <c r="B130" s="30" t="s">
        <v>67</v>
      </c>
      <c r="C130" s="30">
        <v>800</v>
      </c>
      <c r="D130" s="31">
        <v>2</v>
      </c>
      <c r="E130" s="32">
        <v>46.021</v>
      </c>
      <c r="F130" s="32">
        <f t="shared" si="1"/>
        <v>40</v>
      </c>
      <c r="G130" s="32" t="s">
        <v>59</v>
      </c>
      <c r="H130" s="32"/>
      <c r="I130" s="31"/>
      <c r="J130" s="31"/>
      <c r="K130" s="31"/>
    </row>
    <row r="131">
      <c r="A131" s="30">
        <v>122</v>
      </c>
      <c r="B131" s="30" t="s">
        <v>68</v>
      </c>
      <c r="C131" s="30">
        <v>900</v>
      </c>
      <c r="D131" s="31">
        <v>1</v>
      </c>
      <c r="E131" s="32">
        <v>46.1</v>
      </c>
      <c r="F131" s="32">
        <f ref="F131:F167" t="shared" si="2">ROUND(POWER(10,E131/10)/1000,2)</f>
        <v>40.74</v>
      </c>
      <c r="G131" s="32" t="s">
        <v>69</v>
      </c>
      <c r="H131" s="32"/>
      <c r="I131" s="31"/>
      <c r="J131" s="31"/>
      <c r="K131" s="31"/>
    </row>
    <row r="132">
      <c r="A132" s="30">
        <v>123</v>
      </c>
      <c r="B132" s="30" t="s">
        <v>68</v>
      </c>
      <c r="C132" s="31">
        <v>900</v>
      </c>
      <c r="D132" s="31">
        <v>2</v>
      </c>
      <c r="E132" s="32">
        <v>49.11</v>
      </c>
      <c r="F132" s="32">
        <f t="shared" si="2"/>
        <v>81.47</v>
      </c>
      <c r="G132" s="32" t="s">
        <v>69</v>
      </c>
      <c r="H132" s="32"/>
      <c r="I132" s="31"/>
      <c r="J132" s="31"/>
      <c r="K132" s="31"/>
    </row>
    <row r="133">
      <c r="A133" s="30">
        <v>124</v>
      </c>
      <c r="B133" s="30" t="s">
        <v>68</v>
      </c>
      <c r="C133" s="30">
        <v>900</v>
      </c>
      <c r="D133" s="31">
        <v>3</v>
      </c>
      <c r="E133" s="32">
        <v>47.77</v>
      </c>
      <c r="F133" s="32">
        <f t="shared" si="2"/>
        <v>59.84</v>
      </c>
      <c r="G133" s="32" t="s">
        <v>69</v>
      </c>
      <c r="H133" s="32"/>
      <c r="I133" s="31"/>
      <c r="J133" s="31"/>
      <c r="K133" s="31"/>
    </row>
    <row r="134">
      <c r="A134" s="30">
        <v>125</v>
      </c>
      <c r="B134" s="30" t="s">
        <v>68</v>
      </c>
      <c r="C134" s="31">
        <v>900</v>
      </c>
      <c r="D134" s="31">
        <v>4</v>
      </c>
      <c r="E134" s="32">
        <v>49.02</v>
      </c>
      <c r="F134" s="32">
        <f t="shared" si="2"/>
        <v>79.8</v>
      </c>
      <c r="G134" s="32" t="s">
        <v>69</v>
      </c>
      <c r="H134" s="32"/>
      <c r="I134" s="31"/>
      <c r="J134" s="31"/>
      <c r="K134" s="31"/>
    </row>
    <row r="135">
      <c r="A135" s="30">
        <v>126</v>
      </c>
      <c r="B135" s="30" t="s">
        <v>68</v>
      </c>
      <c r="C135" s="30">
        <v>1800</v>
      </c>
      <c r="D135" s="31">
        <v>1</v>
      </c>
      <c r="E135" s="32">
        <v>44.5</v>
      </c>
      <c r="F135" s="32">
        <f t="shared" si="2"/>
        <v>28.18</v>
      </c>
      <c r="G135" s="32" t="s">
        <v>69</v>
      </c>
      <c r="H135" s="32"/>
      <c r="I135" s="31"/>
      <c r="J135" s="31"/>
      <c r="K135" s="31"/>
    </row>
    <row r="136">
      <c r="A136" s="30">
        <v>127</v>
      </c>
      <c r="B136" s="30" t="s">
        <v>68</v>
      </c>
      <c r="C136" s="31">
        <v>1800</v>
      </c>
      <c r="D136" s="31">
        <v>2</v>
      </c>
      <c r="E136" s="32">
        <v>47.51</v>
      </c>
      <c r="F136" s="32">
        <f t="shared" si="2"/>
        <v>56.36</v>
      </c>
      <c r="G136" s="32" t="s">
        <v>69</v>
      </c>
      <c r="H136" s="32"/>
      <c r="I136" s="31"/>
      <c r="J136" s="31"/>
      <c r="K136" s="31"/>
    </row>
    <row r="137">
      <c r="A137" s="30">
        <v>128</v>
      </c>
      <c r="B137" s="30" t="s">
        <v>68</v>
      </c>
      <c r="C137" s="30">
        <v>1800</v>
      </c>
      <c r="D137" s="31">
        <v>3</v>
      </c>
      <c r="E137" s="32">
        <v>46.17</v>
      </c>
      <c r="F137" s="32">
        <f t="shared" si="2"/>
        <v>41.4</v>
      </c>
      <c r="G137" s="32" t="s">
        <v>69</v>
      </c>
      <c r="H137" s="32"/>
      <c r="I137" s="31"/>
      <c r="J137" s="31"/>
      <c r="K137" s="31"/>
    </row>
    <row r="138">
      <c r="A138" s="30">
        <v>129</v>
      </c>
      <c r="B138" s="30" t="s">
        <v>70</v>
      </c>
      <c r="C138" s="31">
        <v>900</v>
      </c>
      <c r="D138" s="31">
        <v>1</v>
      </c>
      <c r="E138" s="32">
        <v>43.01</v>
      </c>
      <c r="F138" s="32">
        <f t="shared" si="2"/>
        <v>20</v>
      </c>
      <c r="G138" s="32" t="s">
        <v>71</v>
      </c>
      <c r="H138" s="32"/>
      <c r="I138" s="31"/>
      <c r="J138" s="31"/>
      <c r="K138" s="31"/>
    </row>
    <row r="139">
      <c r="A139" s="30">
        <v>130</v>
      </c>
      <c r="B139" s="30" t="s">
        <v>70</v>
      </c>
      <c r="C139" s="31">
        <v>900</v>
      </c>
      <c r="D139" s="31">
        <v>2</v>
      </c>
      <c r="E139" s="32">
        <v>46.021</v>
      </c>
      <c r="F139" s="32">
        <f t="shared" si="2"/>
        <v>40</v>
      </c>
      <c r="G139" s="32" t="s">
        <v>71</v>
      </c>
      <c r="H139" s="32"/>
      <c r="I139" s="31"/>
      <c r="J139" s="31"/>
      <c r="K139" s="31"/>
    </row>
    <row r="140">
      <c r="A140" s="30">
        <v>131</v>
      </c>
      <c r="B140" s="30" t="s">
        <v>70</v>
      </c>
      <c r="C140" s="31">
        <v>900</v>
      </c>
      <c r="D140" s="31">
        <v>3</v>
      </c>
      <c r="E140" s="32">
        <v>47.7815</v>
      </c>
      <c r="F140" s="32">
        <f t="shared" si="2"/>
        <v>60</v>
      </c>
      <c r="G140" s="32" t="s">
        <v>71</v>
      </c>
      <c r="H140" s="32"/>
      <c r="I140" s="31"/>
      <c r="J140" s="31"/>
      <c r="K140" s="31"/>
    </row>
    <row r="141">
      <c r="A141" s="30">
        <v>132</v>
      </c>
      <c r="B141" s="30" t="s">
        <v>70</v>
      </c>
      <c r="C141" s="31">
        <v>900</v>
      </c>
      <c r="D141" s="31">
        <v>4</v>
      </c>
      <c r="E141" s="32">
        <v>49.031</v>
      </c>
      <c r="F141" s="32">
        <f t="shared" si="2"/>
        <v>80</v>
      </c>
      <c r="G141" s="32" t="s">
        <v>71</v>
      </c>
      <c r="H141" s="32"/>
      <c r="I141" s="31"/>
      <c r="J141" s="31"/>
      <c r="K141" s="31"/>
    </row>
    <row r="142">
      <c r="A142" s="30">
        <v>133</v>
      </c>
      <c r="B142" s="30" t="s">
        <v>70</v>
      </c>
      <c r="C142" s="31">
        <v>1800</v>
      </c>
      <c r="D142" s="31">
        <v>1</v>
      </c>
      <c r="E142" s="32">
        <v>43.01</v>
      </c>
      <c r="F142" s="32">
        <f t="shared" si="2"/>
        <v>20</v>
      </c>
      <c r="G142" s="32" t="s">
        <v>71</v>
      </c>
      <c r="H142" s="32"/>
      <c r="I142" s="31"/>
      <c r="J142" s="31"/>
      <c r="K142" s="31"/>
    </row>
    <row r="143">
      <c r="A143" s="30">
        <v>134</v>
      </c>
      <c r="B143" s="30" t="s">
        <v>70</v>
      </c>
      <c r="C143" s="31">
        <v>1800</v>
      </c>
      <c r="D143" s="31">
        <v>2</v>
      </c>
      <c r="E143" s="32">
        <v>46.021</v>
      </c>
      <c r="F143" s="32">
        <f t="shared" si="2"/>
        <v>40</v>
      </c>
      <c r="G143" s="32" t="s">
        <v>71</v>
      </c>
      <c r="H143" s="32"/>
      <c r="I143" s="31"/>
      <c r="J143" s="31"/>
      <c r="K143" s="31"/>
    </row>
    <row r="144">
      <c r="A144" s="30">
        <v>135</v>
      </c>
      <c r="B144" s="30" t="s">
        <v>70</v>
      </c>
      <c r="C144" s="31">
        <v>1800</v>
      </c>
      <c r="D144" s="31">
        <v>3</v>
      </c>
      <c r="E144" s="32">
        <v>47.7815</v>
      </c>
      <c r="F144" s="32">
        <f t="shared" si="2"/>
        <v>60</v>
      </c>
      <c r="G144" s="32" t="s">
        <v>71</v>
      </c>
      <c r="H144" s="32"/>
      <c r="I144" s="31"/>
      <c r="J144" s="31"/>
      <c r="K144" s="31"/>
    </row>
    <row r="145">
      <c r="A145" s="30">
        <v>136</v>
      </c>
      <c r="B145" s="30" t="s">
        <v>70</v>
      </c>
      <c r="C145" s="31">
        <v>1800</v>
      </c>
      <c r="D145" s="31">
        <v>4</v>
      </c>
      <c r="E145" s="32">
        <v>49.031</v>
      </c>
      <c r="F145" s="32">
        <f t="shared" si="2"/>
        <v>80</v>
      </c>
      <c r="G145" s="32" t="s">
        <v>71</v>
      </c>
      <c r="H145" s="32"/>
      <c r="I145" s="31"/>
      <c r="J145" s="31"/>
      <c r="K145" s="31"/>
    </row>
    <row r="146">
      <c r="A146" s="30">
        <v>137</v>
      </c>
      <c r="B146" s="30" t="s">
        <v>70</v>
      </c>
      <c r="C146" s="31">
        <v>2100</v>
      </c>
      <c r="D146" s="31">
        <v>1</v>
      </c>
      <c r="E146" s="32">
        <v>43.01</v>
      </c>
      <c r="F146" s="32">
        <f t="shared" si="2"/>
        <v>20</v>
      </c>
      <c r="G146" s="32" t="s">
        <v>72</v>
      </c>
      <c r="H146" s="32" t="s">
        <v>15</v>
      </c>
      <c r="I146" s="31"/>
      <c r="J146" s="31" t="s">
        <v>73</v>
      </c>
      <c r="K146" s="31"/>
    </row>
    <row r="147">
      <c r="A147" s="30">
        <v>138</v>
      </c>
      <c r="B147" s="30" t="s">
        <v>70</v>
      </c>
      <c r="C147" s="31">
        <v>2100</v>
      </c>
      <c r="D147" s="31">
        <v>2</v>
      </c>
      <c r="E147" s="32">
        <v>46.021</v>
      </c>
      <c r="F147" s="32">
        <f t="shared" si="2"/>
        <v>40</v>
      </c>
      <c r="G147" s="32" t="s">
        <v>72</v>
      </c>
      <c r="H147" s="32" t="s">
        <v>15</v>
      </c>
      <c r="I147" s="31"/>
      <c r="J147" s="31" t="s">
        <v>73</v>
      </c>
      <c r="K147" s="31"/>
    </row>
    <row r="148">
      <c r="A148" s="30">
        <v>139</v>
      </c>
      <c r="B148" s="30" t="s">
        <v>70</v>
      </c>
      <c r="C148" s="31">
        <v>2100</v>
      </c>
      <c r="D148" s="31">
        <v>3</v>
      </c>
      <c r="E148" s="32">
        <v>47.7815</v>
      </c>
      <c r="F148" s="32">
        <f t="shared" si="2"/>
        <v>60</v>
      </c>
      <c r="G148" s="32" t="s">
        <v>72</v>
      </c>
      <c r="H148" s="32" t="s">
        <v>15</v>
      </c>
      <c r="I148" s="31"/>
      <c r="J148" s="31" t="s">
        <v>73</v>
      </c>
      <c r="K148" s="31"/>
    </row>
    <row r="149" ht="27.6">
      <c r="A149" s="30">
        <v>140</v>
      </c>
      <c r="B149" s="30" t="s">
        <v>74</v>
      </c>
      <c r="C149" s="31">
        <v>900</v>
      </c>
      <c r="D149" s="31">
        <v>2</v>
      </c>
      <c r="E149" s="32">
        <v>46.021</v>
      </c>
      <c r="F149" s="32">
        <f t="shared" si="2"/>
        <v>40</v>
      </c>
      <c r="G149" s="32" t="s">
        <v>75</v>
      </c>
      <c r="H149" s="32"/>
      <c r="I149" s="31"/>
      <c r="J149" s="31"/>
      <c r="K149" s="31"/>
    </row>
    <row r="150" ht="27.6">
      <c r="A150" s="30">
        <v>141</v>
      </c>
      <c r="B150" s="30" t="s">
        <v>74</v>
      </c>
      <c r="C150" s="31">
        <v>900</v>
      </c>
      <c r="D150" s="31">
        <v>4</v>
      </c>
      <c r="E150" s="32">
        <v>49.031</v>
      </c>
      <c r="F150" s="32">
        <f t="shared" si="2"/>
        <v>80</v>
      </c>
      <c r="G150" s="32" t="s">
        <v>75</v>
      </c>
      <c r="H150" s="32"/>
      <c r="I150" s="31"/>
      <c r="J150" s="31"/>
      <c r="K150" s="31"/>
    </row>
    <row r="151" ht="27.6">
      <c r="A151" s="30">
        <v>142</v>
      </c>
      <c r="B151" s="30" t="s">
        <v>74</v>
      </c>
      <c r="C151" s="31">
        <v>1800</v>
      </c>
      <c r="D151" s="31">
        <v>2</v>
      </c>
      <c r="E151" s="32">
        <v>46.021</v>
      </c>
      <c r="F151" s="32">
        <f t="shared" si="2"/>
        <v>40</v>
      </c>
      <c r="G151" s="32" t="s">
        <v>75</v>
      </c>
      <c r="H151" s="32"/>
      <c r="I151" s="31"/>
      <c r="J151" s="31"/>
      <c r="K151" s="31"/>
    </row>
    <row r="152" ht="27.6">
      <c r="A152" s="30">
        <v>143</v>
      </c>
      <c r="B152" s="30" t="s">
        <v>74</v>
      </c>
      <c r="C152" s="31">
        <v>1800</v>
      </c>
      <c r="D152" s="31">
        <v>4</v>
      </c>
      <c r="E152" s="32">
        <v>49.031</v>
      </c>
      <c r="F152" s="32">
        <f t="shared" si="2"/>
        <v>80</v>
      </c>
      <c r="G152" s="32" t="s">
        <v>75</v>
      </c>
      <c r="H152" s="32"/>
      <c r="I152" s="31"/>
      <c r="J152" s="31"/>
      <c r="K152" s="31"/>
    </row>
    <row r="153">
      <c r="A153" s="30">
        <v>144</v>
      </c>
      <c r="B153" s="30" t="s">
        <v>74</v>
      </c>
      <c r="C153" s="31">
        <v>2100</v>
      </c>
      <c r="D153" s="31">
        <v>1</v>
      </c>
      <c r="E153" s="32">
        <v>43.01</v>
      </c>
      <c r="F153" s="32">
        <f t="shared" si="2"/>
        <v>20</v>
      </c>
      <c r="G153" s="32" t="s">
        <v>76</v>
      </c>
      <c r="H153" s="32" t="s">
        <v>15</v>
      </c>
      <c r="I153" s="31"/>
      <c r="J153" s="31"/>
      <c r="K153" s="31"/>
    </row>
    <row r="154">
      <c r="A154" s="30">
        <v>145</v>
      </c>
      <c r="B154" s="30" t="s">
        <v>74</v>
      </c>
      <c r="C154" s="31">
        <v>2100</v>
      </c>
      <c r="D154" s="31">
        <v>2</v>
      </c>
      <c r="E154" s="32">
        <v>46.021</v>
      </c>
      <c r="F154" s="32">
        <f t="shared" si="2"/>
        <v>40</v>
      </c>
      <c r="G154" s="32" t="s">
        <v>76</v>
      </c>
      <c r="H154" s="32" t="s">
        <v>15</v>
      </c>
      <c r="I154" s="31"/>
      <c r="J154" s="31"/>
      <c r="K154" s="31"/>
    </row>
    <row r="155">
      <c r="A155" s="30">
        <v>146</v>
      </c>
      <c r="B155" s="30" t="s">
        <v>74</v>
      </c>
      <c r="C155" s="31">
        <v>2100</v>
      </c>
      <c r="D155" s="31">
        <v>3</v>
      </c>
      <c r="E155" s="32">
        <v>47.7815</v>
      </c>
      <c r="F155" s="32">
        <f t="shared" si="2"/>
        <v>60</v>
      </c>
      <c r="G155" s="32" t="s">
        <v>76</v>
      </c>
      <c r="H155" s="32" t="s">
        <v>15</v>
      </c>
      <c r="I155" s="31"/>
      <c r="J155" s="31"/>
      <c r="K155" s="31"/>
    </row>
    <row r="156">
      <c r="A156" s="30">
        <v>147</v>
      </c>
      <c r="B156" s="30" t="s">
        <v>74</v>
      </c>
      <c r="C156" s="31">
        <v>2100</v>
      </c>
      <c r="D156" s="31">
        <v>4</v>
      </c>
      <c r="E156" s="32">
        <v>49.031</v>
      </c>
      <c r="F156" s="32">
        <f t="shared" si="2"/>
        <v>80</v>
      </c>
      <c r="G156" s="32" t="s">
        <v>76</v>
      </c>
      <c r="H156" s="32" t="s">
        <v>15</v>
      </c>
      <c r="I156" s="31"/>
      <c r="J156" s="31"/>
      <c r="K156" s="31"/>
    </row>
    <row r="157" ht="27.6">
      <c r="A157" s="30">
        <v>148</v>
      </c>
      <c r="B157" s="30" t="s">
        <v>77</v>
      </c>
      <c r="C157" s="31">
        <v>900</v>
      </c>
      <c r="D157" s="31">
        <v>2</v>
      </c>
      <c r="E157" s="32">
        <v>44.15</v>
      </c>
      <c r="F157" s="32">
        <f t="shared" si="2"/>
        <v>26</v>
      </c>
      <c r="G157" s="32" t="s">
        <v>75</v>
      </c>
      <c r="H157" s="32"/>
      <c r="I157" s="31"/>
      <c r="J157" s="31"/>
      <c r="K157" s="31"/>
    </row>
    <row r="158" ht="27.6">
      <c r="A158" s="30">
        <v>149</v>
      </c>
      <c r="B158" s="30" t="s">
        <v>77</v>
      </c>
      <c r="C158" s="31">
        <v>900</v>
      </c>
      <c r="D158" s="31">
        <v>4</v>
      </c>
      <c r="E158" s="32">
        <v>47.16</v>
      </c>
      <c r="F158" s="32">
        <f t="shared" si="2"/>
        <v>52</v>
      </c>
      <c r="G158" s="32" t="s">
        <v>75</v>
      </c>
      <c r="H158" s="32"/>
      <c r="I158" s="31"/>
      <c r="J158" s="31"/>
      <c r="K158" s="31"/>
    </row>
    <row r="159" ht="27.6">
      <c r="A159" s="30">
        <v>150</v>
      </c>
      <c r="B159" s="30" t="s">
        <v>77</v>
      </c>
      <c r="C159" s="31">
        <v>1800</v>
      </c>
      <c r="D159" s="31">
        <v>2</v>
      </c>
      <c r="E159" s="32">
        <v>44.15</v>
      </c>
      <c r="F159" s="32">
        <f t="shared" si="2"/>
        <v>26</v>
      </c>
      <c r="G159" s="32" t="s">
        <v>75</v>
      </c>
      <c r="H159" s="32"/>
      <c r="I159" s="31"/>
      <c r="J159" s="31"/>
      <c r="K159" s="31"/>
    </row>
    <row r="160" ht="27.6">
      <c r="A160" s="30">
        <v>151</v>
      </c>
      <c r="B160" s="30" t="s">
        <v>77</v>
      </c>
      <c r="C160" s="31">
        <v>1800</v>
      </c>
      <c r="D160" s="31">
        <v>4</v>
      </c>
      <c r="E160" s="32">
        <v>47.16</v>
      </c>
      <c r="F160" s="32">
        <f t="shared" si="2"/>
        <v>52</v>
      </c>
      <c r="G160" s="32" t="s">
        <v>75</v>
      </c>
      <c r="H160" s="32"/>
      <c r="I160" s="31"/>
      <c r="J160" s="31"/>
      <c r="K160" s="31"/>
    </row>
    <row r="161" ht="27.6">
      <c r="A161" s="30">
        <v>152</v>
      </c>
      <c r="B161" s="30" t="s">
        <v>77</v>
      </c>
      <c r="C161" s="31">
        <v>2100</v>
      </c>
      <c r="D161" s="31">
        <v>1</v>
      </c>
      <c r="E161" s="32">
        <v>43.01</v>
      </c>
      <c r="F161" s="32">
        <f t="shared" si="2"/>
        <v>20</v>
      </c>
      <c r="G161" s="32" t="s">
        <v>78</v>
      </c>
      <c r="H161" s="32" t="s">
        <v>15</v>
      </c>
      <c r="I161" s="31"/>
      <c r="J161" s="31"/>
      <c r="K161" s="31"/>
    </row>
    <row r="162" ht="27.6">
      <c r="A162" s="30">
        <v>153</v>
      </c>
      <c r="B162" s="30" t="s">
        <v>77</v>
      </c>
      <c r="C162" s="31">
        <v>2100</v>
      </c>
      <c r="D162" s="31">
        <v>2</v>
      </c>
      <c r="E162" s="32">
        <v>46.021</v>
      </c>
      <c r="F162" s="32">
        <f t="shared" si="2"/>
        <v>40</v>
      </c>
      <c r="G162" s="32" t="s">
        <v>78</v>
      </c>
      <c r="H162" s="32" t="s">
        <v>15</v>
      </c>
      <c r="I162" s="31"/>
      <c r="J162" s="31"/>
      <c r="K162" s="31"/>
    </row>
    <row r="163" ht="27.6">
      <c r="A163" s="30">
        <v>154</v>
      </c>
      <c r="B163" s="30" t="s">
        <v>77</v>
      </c>
      <c r="C163" s="31">
        <v>2100</v>
      </c>
      <c r="D163" s="31">
        <v>3</v>
      </c>
      <c r="E163" s="32">
        <v>47.7815</v>
      </c>
      <c r="F163" s="32">
        <f t="shared" si="2"/>
        <v>60</v>
      </c>
      <c r="G163" s="32" t="s">
        <v>78</v>
      </c>
      <c r="H163" s="32" t="s">
        <v>15</v>
      </c>
      <c r="I163" s="31"/>
      <c r="J163" s="31"/>
      <c r="K163" s="31"/>
    </row>
    <row r="164" ht="27.6">
      <c r="A164" s="30">
        <v>155</v>
      </c>
      <c r="B164" s="30" t="s">
        <v>77</v>
      </c>
      <c r="C164" s="31">
        <v>2100</v>
      </c>
      <c r="D164" s="31">
        <v>4</v>
      </c>
      <c r="E164" s="32">
        <v>49.031</v>
      </c>
      <c r="F164" s="32">
        <f t="shared" si="2"/>
        <v>80</v>
      </c>
      <c r="G164" s="32" t="s">
        <v>78</v>
      </c>
      <c r="H164" s="32" t="s">
        <v>15</v>
      </c>
      <c r="I164" s="31"/>
      <c r="J164" s="31"/>
      <c r="K164" s="31"/>
    </row>
    <row r="165">
      <c r="A165" s="30">
        <v>156</v>
      </c>
      <c r="B165" s="30" t="s">
        <v>79</v>
      </c>
      <c r="C165" s="31">
        <v>2100</v>
      </c>
      <c r="D165" s="31">
        <v>2</v>
      </c>
      <c r="E165" s="32">
        <v>40</v>
      </c>
      <c r="F165" s="32">
        <f t="shared" si="2"/>
        <v>10</v>
      </c>
      <c r="G165" s="31"/>
      <c r="H165" s="30"/>
      <c r="I165" s="30" t="s">
        <v>80</v>
      </c>
      <c r="J165" s="31"/>
      <c r="K165" s="31"/>
    </row>
    <row r="166">
      <c r="A166" s="30">
        <v>157</v>
      </c>
      <c r="B166" s="30" t="s">
        <v>79</v>
      </c>
      <c r="C166" s="31">
        <v>1800</v>
      </c>
      <c r="D166" s="31">
        <v>2</v>
      </c>
      <c r="E166" s="32">
        <v>40</v>
      </c>
      <c r="F166" s="32">
        <f t="shared" si="2"/>
        <v>10</v>
      </c>
      <c r="G166" s="31"/>
      <c r="H166" s="30"/>
      <c r="I166" s="30" t="s">
        <v>80</v>
      </c>
      <c r="J166" s="31"/>
      <c r="K166" s="31"/>
    </row>
    <row r="167">
      <c r="A167" s="30">
        <v>158</v>
      </c>
      <c r="B167" s="30" t="s">
        <v>79</v>
      </c>
      <c r="C167" s="31">
        <v>1800</v>
      </c>
      <c r="D167" s="31">
        <v>1</v>
      </c>
      <c r="E167" s="32">
        <v>36.99</v>
      </c>
      <c r="F167" s="32">
        <f t="shared" si="2"/>
        <v>5</v>
      </c>
      <c r="G167" s="31"/>
      <c r="H167" s="30"/>
      <c r="I167" s="30" t="s">
        <v>80</v>
      </c>
      <c r="J167" s="31"/>
      <c r="K167" s="31"/>
    </row>
  </sheetData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BTS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ACER</cp:lastModifiedBy>
  <dcterms:created xsi:type="dcterms:W3CDTF">2019-09-13T08:04:28Z</dcterms:created>
  <dcterms:modified xsi:type="dcterms:W3CDTF">2020-10-15T11:57:45Z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62252805-e07d-4c37-a659-e175341136d7</vt:lpwstr>
  </property>
</Properties>
</file>