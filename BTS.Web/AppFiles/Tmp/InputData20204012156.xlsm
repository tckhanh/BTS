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6"/>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<sst xmlns="http://schemas.openxmlformats.org/spreadsheetml/2006/main" count="22381" uniqueCount="22381">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</sst>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49" applyNumberFormat="1" fontId="81" applyFont="1" fillId="0" applyFill="1" borderId="0" applyBorder="1" xfId="128" applyAlignment="1">
      <alignment horizontal="center" vertical="center" wrapText="1"/>
      <protection locked="0"/>
    </xf>
    <xf numFmtId="0" applyNumberFormat="1" fontId="80"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49" applyNumberFormat="1" fontId="4"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 applyBorder="1" xfId="128" applyAlignment="1">
      <alignment horizontal="left"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79" applyFont="1" fillId="0" applyFill="1" borderId="0" applyBorder="1" xfId="128" applyAlignment="1">
      <alignment horizont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0" applyNumberFormat="1" fontId="74"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a16="http://schemas.microsoft.com/office/drawing/2014/main" xmlns=""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a16="http://schemas.microsoft.com/office/drawing/2014/main" xmlns=""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a16="http://schemas.microsoft.com/office/drawing/2014/main" xmlns=""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a16="http://schemas.microsoft.com/office/drawing/2014/main" xmlns=""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a16="http://schemas.microsoft.com/office/drawing/2014/main" xmlns=""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a16="http://schemas.microsoft.com/office/drawing/2014/main" xmlns=""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a16="http://schemas.microsoft.com/office/drawing/2014/main" xmlns=""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a16="http://schemas.microsoft.com/office/drawing/2014/main" xmlns=""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a16="http://schemas.microsoft.com/office/drawing/2014/main" xmlns=""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a16="http://schemas.microsoft.com/office/drawing/2014/main" xmlns=""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a16="http://schemas.microsoft.com/office/drawing/2014/main" xmlns=""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a16="http://schemas.microsoft.com/office/drawing/2014/main" xmlns=""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a16="http://schemas.microsoft.com/office/drawing/2014/main" xmlns=""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a16="http://schemas.microsoft.com/office/drawing/2014/main" xmlns=""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a16="http://schemas.microsoft.com/office/drawing/2014/main" xmlns=""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a16="http://schemas.microsoft.com/office/drawing/2014/main" xmlns=""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a16="http://schemas.microsoft.com/office/drawing/2014/main" xmlns=""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a16="http://schemas.microsoft.com/office/drawing/2014/main" xmlns=""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a16="http://schemas.microsoft.com/office/drawing/2014/main" xmlns=""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a16="http://schemas.microsoft.com/office/drawing/2014/main" xmlns=""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a16="http://schemas.microsoft.com/office/drawing/2014/main" xmlns=""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xmlns=""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a16="http://schemas.microsoft.com/office/drawing/2014/main" xmlns=""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a16="http://schemas.microsoft.com/office/drawing/2014/main" xmlns=""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a16="http://schemas.microsoft.com/office/drawing/2014/main" xmlns=""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a16="http://schemas.microsoft.com/office/drawing/2014/main" xmlns=""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 xmlns:a16="http://schemas.microsoft.com/office/drawing/2014/main"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a16="http://schemas.microsoft.com/office/drawing/2014/main" xmlns=""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42F69739-433C-427F-B1BC-5BBB913B5AAE}">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3" sqref="C3"/>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3524E323-3FF6-40CA-BD60-3257CD531280}">
      <formula1>ApplicantIDList</formula1>
    </dataValidation>
    <dataValidation type="whole" operator="greaterThanOrEqual" allowBlank="1" showInputMessage="1" showErrorMessage="1" errorTitle="Lỗi nhập liệu" error="Yêu cầu nhập vào một số &gt;= 1" sqref="E3:F3" xr:uid="{6FCE8436-005A-4C0B-8685-30FC7D6539AA}">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0B1C1CF4-9673-4163-A23A-EDCFC9995AA4}">
      <formula1>LabIDList</formula1>
    </dataValidation>
    <dataValidation type="list" allowBlank="1" showInputMessage="1" showErrorMessage="1" sqref="E9" xr:uid="{A0B7715A-096B-490A-A5EF-4A77C8448DFF}">
      <formula1 xml:space="preserve"> InCaseOfIDList</formula1>
    </dataValidation>
    <dataValidation type="list" allowBlank="1" showInputMessage="1" showErrorMessage="1" sqref="E6" xr:uid="{CB3F35A3-18CD-479D-8666-5BCBA2CB2AE7}">
      <formula1>CityIDList</formula1>
    </dataValidation>
    <dataValidation type="list" allowBlank="1" showInputMessage="1" showErrorMessage="1" sqref="E5" xr:uid="{461BB146-8E6D-4096-9A18-C46925C1DAE2}">
      <formula1>CityNameList</formula1>
    </dataValidation>
    <dataValidation type="list" allowBlank="1" showInputMessage="1" showErrorMessage="1" sqref="J25" xr:uid="{DBB2B444-6078-462D-8702-F345440D7514}">
      <formula1 xml:space="preserve"> OptionsVerifyUnitList</formula1>
    </dataValidation>
    <dataValidation type="list" allowBlank="1" showInputMessage="1" showErrorMessage="1" sqref="J31" xr:uid="{FBE6DEBF-3A47-4CC4-9325-7557FBF896CC}">
      <formula1>"Bùi Ngọc Dũng,Lỗ Quốc Việt,Trần Công Khanh,Vũ Long"</formula1>
    </dataValidation>
    <dataValidation type="list" allowBlank="1" showInputMessage="1" showErrorMessage="1" sqref="J29" xr:uid="{0535BCFC-3ABF-4E7B-B31A-53249B0AB06A}">
      <formula1>"GIÁM ĐỐC, KT. GIÁM ĐỐC"</formula1>
    </dataValidation>
    <dataValidation type="list" showInputMessage="1" showErrorMessage="1" sqref="J30" xr:uid="{62C4677A-084A-45A0-81B9-582D50E14047}">
      <formula1>"',PHÓ GIÁM ĐỐC"</formula1>
    </dataValidation>
    <dataValidation type="list" allowBlank="1" showInputMessage="1" showErrorMessage="1" sqref="L7 E20 E26:E27 E29 E31 J12:J15" xr:uid="{4FC53CAB-8A91-4D6F-A6B2-61845151F108}">
      <formula1>"TRUE,FALSE"</formula1>
    </dataValidation>
    <dataValidation type="list" allowBlank="1" showInputMessage="1" showErrorMessage="1" sqref="J26" xr:uid="{A885CC83-307F-4575-9013-97437DE77945}">
      <formula1 xml:space="preserve"> OptionsPlaceList</formula1>
    </dataValidation>
    <dataValidation type="list" allowBlank="1" showInputMessage="1" showErrorMessage="1" sqref="J27" xr:uid="{4C265348-D3C9-453E-865C-B2F46709218D}">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zoomScaleNormal="100" workbookViewId="0">
      <pane xSplit="2" ySplit="1" topLeftCell="C74" activePane="bottomRight" state="frozen"/>
      <selection activeCell="G5" sqref="G5"/>
      <selection pane="topRight" activeCell="G5" sqref="G5"/>
      <selection pane="bottomLeft" activeCell="G5" sqref="G5"/>
      <selection pane="bottomRight" activeCell="Y3" sqref="Y3"/>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464CE328-2BC3-4320-BC56-3FA06D263B22}">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6BF15FF2-3E47-4804-9017-71858545E436}">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330CB54A-8DB8-43AF-A5BF-BB2CAD9B404F}">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tabSelected="1"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74" t="s">
        <v>21189</v>
      </c>
      <c r="B1" s="474"/>
      <c r="C1" s="474"/>
      <c r="D1" s="474"/>
      <c r="E1" s="474"/>
      <c r="F1" s="474"/>
      <c r="G1" s="474"/>
      <c r="H1" s="474"/>
      <c r="I1" s="474"/>
      <c r="J1" s="474"/>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501" t="s">
        <v>21021</v>
      </c>
      <c r="O2" s="501"/>
      <c r="P2" s="501"/>
      <c r="Q2" s="501"/>
      <c r="R2" s="501"/>
      <c r="S2" s="501"/>
      <c r="T2" s="501"/>
      <c r="U2" s="501"/>
      <c r="V2" s="501"/>
      <c r="W2" s="501"/>
      <c r="X2" s="501"/>
      <c r="Y2" s="501"/>
      <c r="Z2" s="501"/>
    </row>
    <row r="3" ht="16.5">
      <c r="A3" s="475" t="s">
        <v>21020</v>
      </c>
      <c r="B3" s="475"/>
      <c r="C3" s="475"/>
      <c r="D3" s="475"/>
      <c r="E3" s="475"/>
      <c r="F3" s="475"/>
      <c r="G3" s="475"/>
      <c r="H3" s="475"/>
      <c r="I3" s="475"/>
      <c r="J3" s="475"/>
      <c r="O3" s="213"/>
      <c r="P3" s="213"/>
      <c r="Q3" s="213"/>
      <c r="R3" s="213"/>
      <c r="S3" s="213"/>
      <c r="T3" s="213"/>
      <c r="U3" s="213"/>
      <c r="V3" s="213"/>
      <c r="W3" s="213"/>
    </row>
    <row r="4" ht="21.75" customHeight="1">
      <c r="C4" s="478" t="str">
        <f>IF(LEN(AD4)=1,"Số: 0"&amp;AD4&amp;"/LPKĐ-TT2","Số: "&amp;AD4&amp;"/LPKĐ-TT2")</f>
        <v>Số: 02/LPKĐ-TT2</v>
      </c>
      <c r="D4" s="478"/>
      <c r="E4" s="478"/>
      <c r="F4" s="478"/>
      <c r="G4" s="478"/>
      <c r="H4" s="478"/>
      <c r="N4" s="481" t="str">
        <f>"TP. Hồ Chí Minh, ngày "&amp;AF4&amp;" tháng "&amp;AG4&amp;" năm "&amp;AH4</f>
        <v>TP. Hồ Chí Minh, ngày 27 tháng 2 năm 2019</v>
      </c>
      <c r="O4" s="481"/>
      <c r="P4" s="481"/>
      <c r="Q4" s="481"/>
      <c r="R4" s="481"/>
      <c r="S4" s="481"/>
      <c r="T4" s="481"/>
      <c r="U4" s="481"/>
      <c r="V4" s="481"/>
      <c r="W4" s="481"/>
      <c r="X4" s="481"/>
      <c r="Y4" s="481"/>
      <c r="Z4" s="481"/>
      <c r="AD4" s="214">
        <v>2</v>
      </c>
      <c r="AE4" s="215" t="s">
        <v>21190</v>
      </c>
      <c r="AF4" s="211">
        <f>DAY(AE4)</f>
        <v>27</v>
      </c>
      <c r="AG4" s="211">
        <f>MONTH(AE4)</f>
        <v>2</v>
      </c>
      <c r="AH4" s="211">
        <f>YEAR(AE4)</f>
        <v>2019</v>
      </c>
    </row>
    <row r="6" ht="8.25" customHeight="1">
      <c r="O6" s="212"/>
    </row>
    <row r="7" ht="18.75">
      <c r="C7" s="480" t="s">
        <v>21191</v>
      </c>
      <c r="D7" s="480"/>
      <c r="E7" s="480"/>
      <c r="F7" s="480"/>
      <c r="G7" s="480"/>
      <c r="H7" s="480"/>
      <c r="I7" s="480"/>
      <c r="J7" s="480"/>
      <c r="K7" s="480"/>
      <c r="L7" s="480"/>
      <c r="M7" s="480"/>
      <c r="N7" s="480"/>
      <c r="O7" s="480"/>
      <c r="P7" s="480"/>
      <c r="Q7" s="480"/>
      <c r="R7" s="480"/>
      <c r="S7" s="480"/>
      <c r="T7" s="480"/>
      <c r="U7" s="480"/>
      <c r="V7" s="480"/>
      <c r="W7" s="480"/>
      <c r="X7" s="480"/>
    </row>
    <row r="8" ht="18.75">
      <c r="C8" s="480" t="s">
        <v>21023</v>
      </c>
      <c r="D8" s="480"/>
      <c r="E8" s="480"/>
      <c r="F8" s="480"/>
      <c r="G8" s="480"/>
      <c r="H8" s="480"/>
      <c r="I8" s="480"/>
      <c r="J8" s="480"/>
      <c r="K8" s="480"/>
      <c r="L8" s="480"/>
      <c r="M8" s="480"/>
      <c r="N8" s="480"/>
      <c r="O8" s="480"/>
      <c r="P8" s="480"/>
      <c r="Q8" s="480"/>
      <c r="R8" s="480"/>
      <c r="S8" s="480"/>
      <c r="T8" s="480"/>
      <c r="U8" s="480"/>
      <c r="V8" s="480"/>
      <c r="W8" s="480"/>
      <c r="X8" s="480"/>
    </row>
    <row r="10" ht="16.5">
      <c r="D10" s="474" t="str">
        <f>"Kính gửi: "&amp;AD10</f>
        <v>Kính gửi: Trung tâm Thông tin di động khu vực II</v>
      </c>
      <c r="E10" s="474"/>
      <c r="F10" s="474"/>
      <c r="G10" s="474"/>
      <c r="H10" s="474"/>
      <c r="I10" s="474"/>
      <c r="J10" s="474"/>
      <c r="K10" s="474"/>
      <c r="L10" s="474"/>
      <c r="M10" s="474"/>
      <c r="N10" s="474"/>
      <c r="O10" s="474"/>
      <c r="P10" s="474"/>
      <c r="Q10" s="474"/>
      <c r="R10" s="474"/>
      <c r="S10" s="474"/>
      <c r="T10" s="474"/>
      <c r="U10" s="474"/>
      <c r="V10" s="474"/>
      <c r="W10" s="474"/>
      <c r="AD10" s="211" t="s">
        <v>21192</v>
      </c>
    </row>
    <row r="11" ht="15.75" customHeight="1">
      <c r="A11" s="216"/>
      <c r="B11" s="216"/>
      <c r="D11" s="479" t="s">
        <v>21193</v>
      </c>
      <c r="E11" s="479"/>
      <c r="F11" s="479"/>
      <c r="G11" s="502" t="str">
        <f>AD11</f>
        <v>Số MM18, đường Trường Sơn, phường 14, quận 10, thành phố Hồ Chí Minh.</v>
      </c>
      <c r="H11" s="502"/>
      <c r="I11" s="502"/>
      <c r="J11" s="502"/>
      <c r="K11" s="502"/>
      <c r="L11" s="502"/>
      <c r="M11" s="502"/>
      <c r="N11" s="502"/>
      <c r="O11" s="502"/>
      <c r="P11" s="502"/>
      <c r="Q11" s="502"/>
      <c r="R11" s="502"/>
      <c r="S11" s="502"/>
      <c r="T11" s="502"/>
      <c r="U11" s="502"/>
      <c r="V11" s="502"/>
      <c r="W11" s="502"/>
      <c r="X11" s="217"/>
      <c r="Y11" s="217"/>
      <c r="Z11" s="217"/>
      <c r="AD11" s="211" t="s">
        <v>21194</v>
      </c>
    </row>
    <row r="12">
      <c r="A12" s="216"/>
      <c r="B12" s="216"/>
      <c r="C12" s="216"/>
      <c r="D12" s="216"/>
      <c r="E12" s="216"/>
      <c r="F12" s="217"/>
      <c r="G12" s="502"/>
      <c r="H12" s="502"/>
      <c r="I12" s="502"/>
      <c r="J12" s="502"/>
      <c r="K12" s="502"/>
      <c r="L12" s="502"/>
      <c r="M12" s="502"/>
      <c r="N12" s="502"/>
      <c r="O12" s="502"/>
      <c r="P12" s="502"/>
      <c r="Q12" s="502"/>
      <c r="R12" s="502"/>
      <c r="S12" s="502"/>
      <c r="T12" s="502"/>
      <c r="U12" s="502"/>
      <c r="V12" s="502"/>
      <c r="W12" s="502"/>
      <c r="X12" s="217"/>
      <c r="Y12" s="217"/>
      <c r="Z12" s="217"/>
    </row>
    <row r="13" ht="20.25" customHeight="1">
      <c r="A13" s="216"/>
      <c r="B13" s="216"/>
      <c r="D13" s="216" t="s">
        <v>21195</v>
      </c>
      <c r="E13" s="216"/>
      <c r="F13" s="216"/>
      <c r="G13" s="479" t="str">
        <f>AD13</f>
        <v>08 38662387</v>
      </c>
      <c r="H13" s="479"/>
      <c r="I13" s="479"/>
      <c r="J13" s="479"/>
      <c r="K13" s="479"/>
      <c r="L13" s="479"/>
      <c r="M13" s="479"/>
      <c r="N13" s="216"/>
      <c r="O13" s="216" t="s">
        <v>21196</v>
      </c>
      <c r="P13" s="216"/>
      <c r="Q13" s="479" t="str">
        <f>AH13</f>
        <v>08 38662388</v>
      </c>
      <c r="R13" s="479"/>
      <c r="S13" s="479"/>
      <c r="T13" s="479"/>
      <c r="U13" s="479"/>
      <c r="V13" s="479"/>
      <c r="W13" s="479"/>
      <c r="X13" s="216"/>
      <c r="Y13" s="216"/>
      <c r="Z13" s="216"/>
      <c r="AD13" s="211" t="s">
        <v>21197</v>
      </c>
      <c r="AH13" s="211" t="s">
        <v>21198</v>
      </c>
    </row>
    <row r="14" ht="55.15" customHeight="1">
      <c r="A14" s="47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6"/>
      <c r="C14" s="476"/>
      <c r="D14" s="476"/>
      <c r="E14" s="476"/>
      <c r="F14" s="476"/>
      <c r="G14" s="476"/>
      <c r="H14" s="476"/>
      <c r="I14" s="476"/>
      <c r="J14" s="476"/>
      <c r="K14" s="476"/>
      <c r="L14" s="476"/>
      <c r="M14" s="476"/>
      <c r="N14" s="476"/>
      <c r="O14" s="476"/>
      <c r="P14" s="476"/>
      <c r="Q14" s="476"/>
      <c r="R14" s="476"/>
      <c r="S14" s="476"/>
      <c r="T14" s="476"/>
      <c r="U14" s="476"/>
      <c r="V14" s="476"/>
      <c r="W14" s="476"/>
      <c r="X14" s="476"/>
      <c r="Y14" s="476"/>
      <c r="Z14" s="476"/>
      <c r="AD14" s="211" t="s">
        <v>21199</v>
      </c>
      <c r="AE14" s="215" t="s">
        <v>21200</v>
      </c>
      <c r="AF14" s="211">
        <f>DAY(AE14)</f>
        <v>25</v>
      </c>
      <c r="AG14" s="211">
        <f>MONTH(AE14)</f>
        <v>12</v>
      </c>
      <c r="AH14" s="211">
        <f>YEAR(AE14)</f>
        <v>2013</v>
      </c>
    </row>
    <row r="15" ht="87.75" customHeight="1">
      <c r="A15" s="477" t="s">
        <v>21201</v>
      </c>
      <c r="B15" s="477"/>
      <c r="C15" s="477"/>
      <c r="D15" s="477"/>
      <c r="E15" s="477"/>
      <c r="F15" s="477"/>
      <c r="G15" s="477"/>
      <c r="H15" s="477"/>
      <c r="I15" s="477"/>
      <c r="J15" s="477"/>
      <c r="K15" s="477"/>
      <c r="L15" s="477"/>
      <c r="M15" s="477"/>
      <c r="N15" s="477"/>
      <c r="O15" s="477"/>
      <c r="P15" s="477"/>
      <c r="Q15" s="477"/>
      <c r="R15" s="477"/>
      <c r="S15" s="477"/>
      <c r="T15" s="477"/>
      <c r="U15" s="477"/>
      <c r="V15" s="477"/>
      <c r="W15" s="477"/>
      <c r="X15" s="477"/>
      <c r="Y15" s="477"/>
      <c r="Z15" s="477"/>
    </row>
    <row r="16" ht="33" customHeight="1">
      <c r="B16" s="487" t="s">
        <v>21079</v>
      </c>
      <c r="C16" s="489"/>
      <c r="D16" s="487" t="s">
        <v>20974</v>
      </c>
      <c r="E16" s="488"/>
      <c r="F16" s="488"/>
      <c r="G16" s="488"/>
      <c r="H16" s="488"/>
      <c r="I16" s="488"/>
      <c r="J16" s="488"/>
      <c r="K16" s="488"/>
      <c r="L16" s="488"/>
      <c r="M16" s="488"/>
      <c r="N16" s="489"/>
      <c r="O16" s="486" t="s">
        <v>21202</v>
      </c>
      <c r="P16" s="486"/>
      <c r="Q16" s="486"/>
      <c r="R16" s="486" t="s">
        <v>21203</v>
      </c>
      <c r="S16" s="486"/>
      <c r="T16" s="486"/>
      <c r="U16" s="486" t="s">
        <v>21204</v>
      </c>
      <c r="V16" s="486"/>
      <c r="W16" s="486"/>
      <c r="X16" s="486"/>
      <c r="Y16" s="486"/>
    </row>
    <row r="17" ht="18.75" customHeight="1">
      <c r="B17" s="498">
        <v>1</v>
      </c>
      <c r="C17" s="499"/>
      <c r="D17" s="490" t="s">
        <v>21205</v>
      </c>
      <c r="E17" s="491"/>
      <c r="F17" s="491"/>
      <c r="G17" s="491"/>
      <c r="H17" s="491"/>
      <c r="I17" s="491"/>
      <c r="J17" s="491"/>
      <c r="K17" s="491"/>
      <c r="L17" s="491"/>
      <c r="M17" s="491"/>
      <c r="N17" s="491"/>
      <c r="O17" s="492">
        <v>50000</v>
      </c>
      <c r="P17" s="493"/>
      <c r="Q17" s="494"/>
      <c r="R17" s="483">
        <f>AD17</f>
        <v>13</v>
      </c>
      <c r="S17" s="484"/>
      <c r="T17" s="485"/>
      <c r="U17" s="492">
        <f>O17*R17</f>
        <v>650000</v>
      </c>
      <c r="V17" s="493"/>
      <c r="W17" s="493"/>
      <c r="X17" s="493"/>
      <c r="Y17" s="494"/>
      <c r="AD17" s="211">
        <v>13</v>
      </c>
    </row>
    <row r="18" ht="18.75" customHeight="1">
      <c r="B18" s="487" t="s">
        <v>21206</v>
      </c>
      <c r="C18" s="488"/>
      <c r="D18" s="488"/>
      <c r="E18" s="488"/>
      <c r="F18" s="488"/>
      <c r="G18" s="488"/>
      <c r="H18" s="488"/>
      <c r="I18" s="488"/>
      <c r="J18" s="488"/>
      <c r="K18" s="488"/>
      <c r="L18" s="488"/>
      <c r="M18" s="488"/>
      <c r="N18" s="488"/>
      <c r="O18" s="488"/>
      <c r="P18" s="488"/>
      <c r="Q18" s="488"/>
      <c r="R18" s="488"/>
      <c r="S18" s="488"/>
      <c r="T18" s="489"/>
      <c r="U18" s="495">
        <f>U17</f>
        <v>650000</v>
      </c>
      <c r="V18" s="496"/>
      <c r="W18" s="496"/>
      <c r="X18" s="496"/>
      <c r="Y18" s="497"/>
      <c r="AD18" s="218">
        <f>U18</f>
        <v>650000</v>
      </c>
    </row>
    <row r="19">
      <c r="B19" s="483" t="str">
        <f>"Bằng chữ: "&amp;AD19</f>
        <v>Bằng chữ: Ba triệu năm trăm ngàn đồng chẵn.</v>
      </c>
      <c r="C19" s="484"/>
      <c r="D19" s="484"/>
      <c r="E19" s="484"/>
      <c r="F19" s="484"/>
      <c r="G19" s="484"/>
      <c r="H19" s="484"/>
      <c r="I19" s="484"/>
      <c r="J19" s="484"/>
      <c r="K19" s="484"/>
      <c r="L19" s="484"/>
      <c r="M19" s="484"/>
      <c r="N19" s="484"/>
      <c r="O19" s="484"/>
      <c r="P19" s="484"/>
      <c r="Q19" s="484"/>
      <c r="R19" s="484"/>
      <c r="S19" s="484"/>
      <c r="T19" s="484"/>
      <c r="U19" s="484"/>
      <c r="V19" s="484"/>
      <c r="W19" s="484"/>
      <c r="X19" s="484"/>
      <c r="Y19" s="485"/>
      <c r="AD19" s="211" t="s">
        <v>21207</v>
      </c>
    </row>
    <row r="20" ht="7.5" customHeight="1"/>
    <row r="21" ht="18" customHeight="1">
      <c r="B21" s="482" t="s">
        <v>21208</v>
      </c>
      <c r="C21" s="482"/>
      <c r="D21" s="482"/>
      <c r="E21" s="482"/>
      <c r="F21" s="482"/>
      <c r="G21" s="482"/>
      <c r="H21" s="482"/>
      <c r="I21" s="482"/>
      <c r="J21" s="482" t="s">
        <v>21209</v>
      </c>
      <c r="K21" s="482"/>
      <c r="L21" s="482"/>
      <c r="M21" s="482"/>
      <c r="N21" s="482"/>
      <c r="O21" s="482"/>
      <c r="P21" s="482"/>
      <c r="Q21" s="482"/>
      <c r="R21" s="482"/>
      <c r="S21" s="482"/>
      <c r="T21" s="482"/>
      <c r="U21" s="482"/>
      <c r="V21" s="482"/>
      <c r="W21" s="482"/>
      <c r="X21" s="482"/>
      <c r="Y21" s="482"/>
    </row>
    <row r="22" ht="18.75" customHeight="1">
      <c r="B22" s="482" t="s">
        <v>21210</v>
      </c>
      <c r="C22" s="482"/>
      <c r="D22" s="482"/>
      <c r="E22" s="482"/>
      <c r="F22" s="482"/>
      <c r="G22" s="482"/>
      <c r="H22" s="482"/>
      <c r="I22" s="482"/>
      <c r="J22" s="482" t="s">
        <v>21211</v>
      </c>
      <c r="K22" s="482"/>
      <c r="L22" s="482"/>
      <c r="M22" s="482"/>
      <c r="N22" s="482"/>
      <c r="O22" s="482"/>
      <c r="P22" s="482"/>
      <c r="Q22" s="482"/>
      <c r="R22" s="482"/>
      <c r="S22" s="482"/>
      <c r="T22" s="482"/>
      <c r="U22" s="482"/>
      <c r="V22" s="482"/>
      <c r="W22" s="482"/>
      <c r="X22" s="482"/>
      <c r="Y22" s="482"/>
    </row>
    <row r="23" ht="18" customHeight="1">
      <c r="B23" s="504"/>
      <c r="C23" s="504"/>
      <c r="D23" s="504"/>
      <c r="E23" s="504"/>
      <c r="F23" s="504"/>
      <c r="G23" s="504"/>
      <c r="H23" s="504"/>
      <c r="I23" s="504"/>
      <c r="J23" s="482" t="s">
        <v>21212</v>
      </c>
      <c r="K23" s="482"/>
      <c r="L23" s="482"/>
      <c r="M23" s="482"/>
      <c r="N23" s="482"/>
      <c r="O23" s="482"/>
      <c r="P23" s="482"/>
      <c r="Q23" s="482"/>
      <c r="R23" s="482"/>
      <c r="S23" s="482"/>
      <c r="T23" s="482"/>
      <c r="U23" s="482"/>
      <c r="V23" s="482"/>
      <c r="W23" s="482"/>
      <c r="X23" s="482"/>
      <c r="Y23" s="482"/>
    </row>
    <row r="24" ht="16.5" customHeight="1">
      <c r="B24" s="482" t="s">
        <v>21213</v>
      </c>
      <c r="C24" s="482"/>
      <c r="D24" s="482"/>
      <c r="E24" s="482"/>
      <c r="F24" s="482"/>
      <c r="G24" s="482"/>
      <c r="H24" s="482"/>
      <c r="I24" s="482"/>
      <c r="J24" s="482" t="s">
        <v>21214</v>
      </c>
      <c r="K24" s="482"/>
      <c r="L24" s="482"/>
      <c r="M24" s="482"/>
      <c r="N24" s="482"/>
      <c r="O24" s="482"/>
      <c r="P24" s="482"/>
      <c r="Q24" s="482"/>
      <c r="R24" s="482"/>
      <c r="S24" s="482"/>
      <c r="T24" s="482"/>
      <c r="U24" s="482"/>
      <c r="V24" s="482"/>
      <c r="W24" s="482"/>
      <c r="X24" s="482"/>
      <c r="Y24" s="482"/>
    </row>
    <row r="25" ht="17.25" customHeight="1">
      <c r="J25" s="482" t="s">
        <v>21215</v>
      </c>
      <c r="K25" s="482"/>
      <c r="L25" s="482"/>
      <c r="M25" s="482"/>
      <c r="N25" s="482"/>
      <c r="O25" s="482"/>
      <c r="P25" s="482"/>
      <c r="Q25" s="482"/>
      <c r="R25" s="482"/>
      <c r="S25" s="482"/>
      <c r="T25" s="482"/>
      <c r="U25" s="482"/>
      <c r="V25" s="482"/>
      <c r="W25" s="482"/>
      <c r="X25" s="482"/>
      <c r="Y25" s="482"/>
    </row>
    <row r="26" ht="47.25" customHeight="1">
      <c r="A26" s="476" t="s">
        <v>21216</v>
      </c>
      <c r="B26" s="476"/>
      <c r="C26" s="476"/>
      <c r="D26" s="476"/>
      <c r="E26" s="476"/>
      <c r="F26" s="476"/>
      <c r="G26" s="476"/>
      <c r="H26" s="476"/>
      <c r="I26" s="476"/>
      <c r="J26" s="476"/>
      <c r="K26" s="476"/>
      <c r="L26" s="476"/>
      <c r="M26" s="476"/>
      <c r="N26" s="476"/>
      <c r="O26" s="476"/>
      <c r="P26" s="476"/>
      <c r="Q26" s="476"/>
      <c r="R26" s="476"/>
      <c r="S26" s="476"/>
      <c r="T26" s="476"/>
      <c r="U26" s="476"/>
      <c r="V26" s="476"/>
      <c r="W26" s="476"/>
      <c r="X26" s="476"/>
      <c r="Y26" s="476"/>
      <c r="Z26" s="476"/>
    </row>
    <row r="27" ht="14.25" customHeight="1">
      <c r="AD27" s="219"/>
      <c r="AE27" s="219" t="s">
        <v>21054</v>
      </c>
      <c r="AF27" s="219"/>
      <c r="AG27" s="211" t="s">
        <v>21055</v>
      </c>
      <c r="AI27" s="219" t="s">
        <v>21056</v>
      </c>
      <c r="AK27" s="219"/>
      <c r="AL27" s="219"/>
      <c r="AN27" s="219"/>
      <c r="AO27" s="219"/>
      <c r="AP27" s="219"/>
      <c r="AQ27" s="219"/>
      <c r="AR27" s="219"/>
    </row>
    <row r="28" ht="16.5">
      <c r="A28" s="503" t="s">
        <v>21217</v>
      </c>
      <c r="B28" s="503"/>
      <c r="C28" s="503"/>
      <c r="D28" s="503"/>
      <c r="E28" s="503"/>
      <c r="F28" s="503"/>
      <c r="G28" s="503"/>
      <c r="H28" s="503"/>
      <c r="I28" s="503"/>
      <c r="J28" s="503"/>
      <c r="K28" s="503"/>
      <c r="L28" s="503"/>
      <c r="M28" s="503"/>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500" t="str">
        <f>IF(AD34=0,AG28,IF(AD34=1,"",AI28))</f>
        <v>PHÓ GIÁM ĐỐC</v>
      </c>
      <c r="P29" s="500"/>
      <c r="Q29" s="500"/>
      <c r="R29" s="500"/>
      <c r="S29" s="500"/>
      <c r="T29" s="500"/>
      <c r="U29" s="500"/>
      <c r="V29" s="500"/>
      <c r="W29" s="500"/>
      <c r="X29" s="500"/>
      <c r="Y29" s="500"/>
      <c r="Z29" s="500"/>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44" t="s">
        <v>21018</v>
      </c>
      <c r="C1" s="544"/>
      <c r="D1" s="544"/>
      <c r="E1" s="544"/>
      <c r="F1" s="544"/>
      <c r="G1" s="544"/>
      <c r="H1" s="544"/>
      <c r="I1" s="544"/>
      <c r="J1" s="544"/>
      <c r="K1" s="544"/>
      <c r="L1" s="544"/>
      <c r="M1" s="544"/>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N2" s="235"/>
      <c r="P2" s="536" t="s">
        <v>21021</v>
      </c>
      <c r="Q2" s="536"/>
      <c r="R2" s="536"/>
      <c r="S2" s="536"/>
      <c r="T2" s="536"/>
      <c r="U2" s="536"/>
      <c r="V2" s="536"/>
      <c r="W2" s="536"/>
      <c r="X2" s="536"/>
      <c r="Y2" s="536"/>
      <c r="Z2" s="536"/>
      <c r="AA2" s="536"/>
      <c r="AB2" s="536"/>
      <c r="AC2" s="536"/>
      <c r="AD2" s="536"/>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38" t="s">
        <v>21023</v>
      </c>
      <c r="D15" s="539"/>
      <c r="E15" s="539"/>
      <c r="F15" s="539"/>
      <c r="G15" s="539"/>
      <c r="H15" s="539"/>
      <c r="I15" s="539"/>
      <c r="J15" s="539"/>
      <c r="K15" s="539"/>
      <c r="L15" s="539"/>
      <c r="M15" s="539"/>
      <c r="N15" s="539"/>
      <c r="O15" s="539"/>
      <c r="P15" s="539"/>
      <c r="Q15" s="539"/>
      <c r="R15" s="539"/>
      <c r="S15" s="539"/>
      <c r="T15" s="539"/>
      <c r="U15" s="539"/>
      <c r="V15" s="539"/>
      <c r="W15" s="539"/>
      <c r="X15" s="539"/>
      <c r="Y15" s="539"/>
      <c r="Z15" s="539"/>
      <c r="AA15" s="539"/>
      <c r="AB15" s="539"/>
      <c r="AC15" s="539"/>
      <c r="AD15" s="540"/>
      <c r="AE15" s="252"/>
      <c r="AG15" s="253">
        <v>1</v>
      </c>
      <c r="AH15" s="253"/>
      <c r="AI15" s="253"/>
      <c r="AJ15" s="253"/>
      <c r="AK15" s="253">
        <v>2</v>
      </c>
      <c r="AL15" s="253"/>
      <c r="AM15" s="253"/>
      <c r="AN15" s="253"/>
      <c r="AO15" s="253">
        <v>3</v>
      </c>
      <c r="AS15" s="219">
        <v>4</v>
      </c>
    </row>
    <row r="16" ht="40.5" customHeight="1">
      <c r="C16" s="519" t="s">
        <v>21027</v>
      </c>
      <c r="D16" s="520"/>
      <c r="E16" s="520"/>
      <c r="F16" s="520"/>
      <c r="G16" s="520"/>
      <c r="H16" s="520"/>
      <c r="I16" s="520"/>
      <c r="J16" s="520"/>
      <c r="K16" s="520"/>
      <c r="L16" s="521"/>
      <c r="M16" s="545" t="str">
        <f>AG16</f>
        <v>Ấp Bàu Trâu, xã Phước Thạnh, huyện Củ Chi, thành phố Hồ Chí Minh.</v>
      </c>
      <c r="N16" s="546"/>
      <c r="O16" s="546"/>
      <c r="P16" s="546"/>
      <c r="Q16" s="546"/>
      <c r="R16" s="546"/>
      <c r="S16" s="546"/>
      <c r="T16" s="546"/>
      <c r="U16" s="546"/>
      <c r="V16" s="546"/>
      <c r="W16" s="546"/>
      <c r="X16" s="546"/>
      <c r="Y16" s="546"/>
      <c r="Z16" s="546"/>
      <c r="AA16" s="546"/>
      <c r="AB16" s="546"/>
      <c r="AC16" s="546"/>
      <c r="AD16" s="547"/>
      <c r="AE16" s="252"/>
      <c r="AG16" s="254" t="s">
        <v>21028</v>
      </c>
    </row>
    <row r="17" ht="19.5" customHeight="1">
      <c r="C17" s="519" t="s">
        <v>21029</v>
      </c>
      <c r="D17" s="520"/>
      <c r="E17" s="520"/>
      <c r="F17" s="520"/>
      <c r="G17" s="520"/>
      <c r="H17" s="520"/>
      <c r="I17" s="520"/>
      <c r="J17" s="520"/>
      <c r="K17" s="520"/>
      <c r="L17" s="521"/>
      <c r="M17" s="514" t="str">
        <f>IF(AG17="","",AG17)</f>
      </c>
      <c r="N17" s="515"/>
      <c r="O17" s="515"/>
      <c r="P17" s="515"/>
      <c r="Q17" s="515"/>
      <c r="R17" s="515"/>
      <c r="S17" s="515"/>
      <c r="T17" s="515"/>
      <c r="U17" s="515"/>
      <c r="V17" s="515"/>
      <c r="W17" s="515"/>
      <c r="X17" s="515"/>
      <c r="Y17" s="515"/>
      <c r="Z17" s="515"/>
      <c r="AA17" s="515"/>
      <c r="AB17" s="515"/>
      <c r="AC17" s="515"/>
      <c r="AD17" s="516"/>
      <c r="AE17" s="252"/>
    </row>
    <row r="18" ht="33.95" customHeight="1">
      <c r="C18" s="541" t="s">
        <v>21030</v>
      </c>
      <c r="D18" s="542"/>
      <c r="E18" s="542"/>
      <c r="F18" s="542"/>
      <c r="G18" s="542"/>
      <c r="H18" s="542"/>
      <c r="I18" s="542"/>
      <c r="J18" s="542"/>
      <c r="K18" s="542"/>
      <c r="L18" s="543"/>
      <c r="M18" s="514" t="str">
        <f>AG18</f>
        <v>CÔNG TY CỔ PHẦN VIỄN THÔNG DI ĐỘNG TOÀN CẦU</v>
      </c>
      <c r="N18" s="515"/>
      <c r="O18" s="515"/>
      <c r="P18" s="515"/>
      <c r="Q18" s="515"/>
      <c r="R18" s="515"/>
      <c r="S18" s="515"/>
      <c r="T18" s="515"/>
      <c r="U18" s="515"/>
      <c r="V18" s="515"/>
      <c r="W18" s="515"/>
      <c r="X18" s="515"/>
      <c r="Y18" s="515"/>
      <c r="Z18" s="515"/>
      <c r="AA18" s="515"/>
      <c r="AB18" s="515"/>
      <c r="AC18" s="515"/>
      <c r="AD18" s="516"/>
      <c r="AE18" s="252"/>
      <c r="AG18" s="248" t="s">
        <v>21031</v>
      </c>
    </row>
    <row r="19" ht="33.95" customHeight="1">
      <c r="C19" s="541" t="s">
        <v>21032</v>
      </c>
      <c r="D19" s="542"/>
      <c r="E19" s="542"/>
      <c r="F19" s="542"/>
      <c r="G19" s="542"/>
      <c r="H19" s="542"/>
      <c r="I19" s="542"/>
      <c r="J19" s="542"/>
      <c r="K19" s="542"/>
      <c r="L19" s="543"/>
      <c r="M19" s="514" t="str">
        <f>AG19</f>
        <v>CÔNG TY CỔ PHẦN VIỄN THÔNG DI ĐỘNG TOÀN CẦU</v>
      </c>
      <c r="N19" s="515"/>
      <c r="O19" s="515"/>
      <c r="P19" s="515"/>
      <c r="Q19" s="515"/>
      <c r="R19" s="515"/>
      <c r="S19" s="515"/>
      <c r="T19" s="515"/>
      <c r="U19" s="515"/>
      <c r="V19" s="515"/>
      <c r="W19" s="515"/>
      <c r="X19" s="515"/>
      <c r="Y19" s="515"/>
      <c r="Z19" s="515"/>
      <c r="AA19" s="515"/>
      <c r="AB19" s="515"/>
      <c r="AC19" s="515"/>
      <c r="AD19" s="516"/>
      <c r="AE19" s="255"/>
      <c r="AG19" s="248" t="s">
        <v>21031</v>
      </c>
    </row>
    <row r="20" ht="21" customHeight="1">
      <c r="C20" s="528" t="s">
        <v>21033</v>
      </c>
      <c r="D20" s="529"/>
      <c r="E20" s="529"/>
      <c r="F20" s="529"/>
      <c r="G20" s="529"/>
      <c r="H20" s="529"/>
      <c r="I20" s="529"/>
      <c r="J20" s="529"/>
      <c r="K20" s="529"/>
      <c r="L20" s="529"/>
      <c r="M20" s="529"/>
      <c r="N20" s="529"/>
      <c r="O20" s="529"/>
      <c r="P20" s="529"/>
      <c r="Q20" s="529"/>
      <c r="R20" s="529"/>
      <c r="S20" s="529"/>
      <c r="T20" s="529"/>
      <c r="U20" s="529"/>
      <c r="V20" s="529"/>
      <c r="W20" s="529"/>
      <c r="X20" s="529"/>
      <c r="Y20" s="529"/>
      <c r="Z20" s="529"/>
      <c r="AA20" s="529"/>
      <c r="AB20" s="529"/>
      <c r="AC20" s="529"/>
      <c r="AD20" s="530"/>
      <c r="AE20" s="256"/>
    </row>
    <row r="21" ht="33.95" customHeight="1">
      <c r="C21" s="522" t="s">
        <v>21034</v>
      </c>
      <c r="D21" s="522"/>
      <c r="E21" s="522"/>
      <c r="F21" s="522"/>
      <c r="G21" s="522"/>
      <c r="H21" s="522"/>
      <c r="I21" s="522"/>
      <c r="J21" s="522"/>
      <c r="K21" s="522"/>
      <c r="L21" s="522"/>
      <c r="M21" s="514" t="str">
        <f>AG21</f>
        <v>A</v>
      </c>
      <c r="N21" s="515"/>
      <c r="O21" s="515"/>
      <c r="P21" s="515"/>
      <c r="Q21" s="515"/>
      <c r="R21" s="515"/>
      <c r="S21" s="515"/>
      <c r="T21" s="515"/>
      <c r="U21" s="515"/>
      <c r="V21" s="515"/>
      <c r="W21" s="515"/>
      <c r="X21" s="515"/>
      <c r="Y21" s="515"/>
      <c r="Z21" s="515"/>
      <c r="AA21" s="515"/>
      <c r="AB21" s="515"/>
      <c r="AC21" s="515"/>
      <c r="AD21" s="516"/>
      <c r="AE21" s="252"/>
      <c r="AG21" s="248" t="s">
        <v>21035</v>
      </c>
      <c r="AK21" s="248" t="s">
        <v>21036</v>
      </c>
      <c r="AO21" s="248" t="s">
        <v>21037</v>
      </c>
      <c r="AS21" s="248" t="s">
        <v>21038</v>
      </c>
    </row>
    <row r="22" ht="19.7" customHeight="1">
      <c r="C22" s="531" t="s">
        <v>21039</v>
      </c>
      <c r="D22" s="532"/>
      <c r="E22" s="532"/>
      <c r="F22" s="532"/>
      <c r="G22" s="532"/>
      <c r="H22" s="532"/>
      <c r="I22" s="532"/>
      <c r="J22" s="532"/>
      <c r="K22" s="532"/>
      <c r="L22" s="533"/>
      <c r="M22" s="514">
        <f>AG22</f>
        <v>4</v>
      </c>
      <c r="N22" s="515"/>
      <c r="O22" s="515"/>
      <c r="P22" s="515"/>
      <c r="Q22" s="515"/>
      <c r="R22" s="515"/>
      <c r="S22" s="515"/>
      <c r="T22" s="515"/>
      <c r="U22" s="515"/>
      <c r="V22" s="515"/>
      <c r="W22" s="515"/>
      <c r="X22" s="515"/>
      <c r="Y22" s="515"/>
      <c r="Z22" s="515"/>
      <c r="AA22" s="515"/>
      <c r="AB22" s="515"/>
      <c r="AC22" s="515"/>
      <c r="AD22" s="516"/>
      <c r="AE22" s="252"/>
      <c r="AG22" s="253">
        <v>4</v>
      </c>
      <c r="AH22" s="253"/>
      <c r="AI22" s="253"/>
      <c r="AJ22" s="253"/>
      <c r="AK22" s="253">
        <v>1</v>
      </c>
      <c r="AL22" s="253"/>
      <c r="AM22" s="253"/>
      <c r="AN22" s="253"/>
      <c r="AO22" s="253">
        <v>3</v>
      </c>
      <c r="AS22" s="219">
        <v>1</v>
      </c>
    </row>
    <row r="23" ht="19.7" customHeight="1">
      <c r="C23" s="522" t="s">
        <v>21040</v>
      </c>
      <c r="D23" s="522"/>
      <c r="E23" s="522"/>
      <c r="F23" s="522"/>
      <c r="G23" s="522"/>
      <c r="H23" s="522"/>
      <c r="I23" s="522"/>
      <c r="J23" s="522"/>
      <c r="K23" s="522"/>
      <c r="L23" s="522"/>
      <c r="M23" s="525" t="str">
        <f>AG23</f>
        <v>4/4/4</v>
      </c>
      <c r="N23" s="526"/>
      <c r="O23" s="526"/>
      <c r="P23" s="526"/>
      <c r="Q23" s="526"/>
      <c r="R23" s="526"/>
      <c r="S23" s="526"/>
      <c r="T23" s="526"/>
      <c r="U23" s="526"/>
      <c r="V23" s="526"/>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9.7" customHeight="1">
      <c r="C24" s="531" t="s">
        <v>21045</v>
      </c>
      <c r="D24" s="532"/>
      <c r="E24" s="532"/>
      <c r="F24" s="532"/>
      <c r="G24" s="532"/>
      <c r="H24" s="532"/>
      <c r="I24" s="532"/>
      <c r="J24" s="532"/>
      <c r="K24" s="532"/>
      <c r="L24" s="533"/>
      <c r="M24" s="514" t="str">
        <f>IF(M22=4,AG24&amp;"W/ "&amp;AH24&amp;"W/ "&amp;AI24&amp;"W/ "&amp;AJ24&amp;"W",IF(M22=3,AG24&amp;"W/ "&amp;AH24&amp;"W/ "&amp;AI24&amp;"W",IF(M22=2,AG24&amp;"W/ "&amp;AH24&amp;"W",AG24&amp;"W")))</f>
        <v>20W/ 20W/ 20W/ 20W</v>
      </c>
      <c r="N24" s="515"/>
      <c r="O24" s="515"/>
      <c r="P24" s="515"/>
      <c r="Q24" s="515"/>
      <c r="R24" s="515"/>
      <c r="S24" s="515"/>
      <c r="T24" s="515"/>
      <c r="U24" s="515"/>
      <c r="V24" s="515"/>
      <c r="W24" s="515"/>
      <c r="X24" s="515"/>
      <c r="Y24" s="515"/>
      <c r="Z24" s="515"/>
      <c r="AA24" s="515"/>
      <c r="AB24" s="515"/>
      <c r="AC24" s="515"/>
      <c r="AD24" s="516"/>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22" t="s">
        <v>21046</v>
      </c>
      <c r="D25" s="522"/>
      <c r="E25" s="522"/>
      <c r="F25" s="522"/>
      <c r="G25" s="522"/>
      <c r="H25" s="522"/>
      <c r="I25" s="522"/>
      <c r="J25" s="522"/>
      <c r="K25" s="522"/>
      <c r="L25" s="522"/>
      <c r="M25" s="514" t="str">
        <f>IF(AG25="900 &amp; 1800","900MHz &amp; 1800MHz",IF(AG25="900 &amp; 2100","900MHz &amp; 2100MHz",IF(AG25="1800 &amp; 2100","1800MHz &amp; 2100MHz",AG25&amp;"MHz")))</f>
        <v>900MHz</v>
      </c>
      <c r="N25" s="515"/>
      <c r="O25" s="515"/>
      <c r="P25" s="515"/>
      <c r="Q25" s="515"/>
      <c r="R25" s="515"/>
      <c r="S25" s="515"/>
      <c r="T25" s="515"/>
      <c r="U25" s="515"/>
      <c r="V25" s="515"/>
      <c r="W25" s="515"/>
      <c r="X25" s="515"/>
      <c r="Y25" s="515"/>
      <c r="Z25" s="515"/>
      <c r="AA25" s="515"/>
      <c r="AB25" s="515"/>
      <c r="AC25" s="515"/>
      <c r="AD25" s="516"/>
      <c r="AE25" s="252"/>
      <c r="AG25" s="219">
        <v>900</v>
      </c>
      <c r="AK25" s="219">
        <v>1800</v>
      </c>
      <c r="AO25" s="219">
        <v>2100</v>
      </c>
      <c r="AS25" s="248" t="s">
        <v>21047</v>
      </c>
    </row>
    <row r="26" ht="33.95" customHeight="1">
      <c r="C26" s="522" t="s">
        <v>21048</v>
      </c>
      <c r="D26" s="522"/>
      <c r="E26" s="522"/>
      <c r="F26" s="522"/>
      <c r="G26" s="522"/>
      <c r="H26" s="522"/>
      <c r="I26" s="522"/>
      <c r="J26" s="522"/>
      <c r="K26" s="522"/>
      <c r="L26" s="522"/>
      <c r="M26" s="514">
        <f>AG26</f>
        <v>15</v>
      </c>
      <c r="N26" s="515"/>
      <c r="O26" s="515"/>
      <c r="P26" s="515"/>
      <c r="Q26" s="515"/>
      <c r="R26" s="515"/>
      <c r="S26" s="515"/>
      <c r="T26" s="515"/>
      <c r="U26" s="515"/>
      <c r="V26" s="515"/>
      <c r="W26" s="515"/>
      <c r="X26" s="515"/>
      <c r="Y26" s="515"/>
      <c r="Z26" s="515"/>
      <c r="AA26" s="515"/>
      <c r="AB26" s="515"/>
      <c r="AC26" s="515"/>
      <c r="AD26" s="516"/>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4.7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4.7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4" t="str">
        <f>IF(AG31=1,AO31,IF(AG31=2,AO30))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IF(AI41=0,AN34,IF(AI41=1,AK34,AR34))</f>
        <v>KT. GIÁM ĐỐC</v>
      </c>
      <c r="U34" s="548"/>
      <c r="V34" s="548"/>
      <c r="W34" s="548"/>
      <c r="X34" s="548"/>
      <c r="Y34" s="548"/>
      <c r="Z34" s="548"/>
      <c r="AA34" s="548"/>
      <c r="AB34" s="548"/>
      <c r="AC34" s="548"/>
      <c r="AD34" s="548"/>
      <c r="AE34" s="548"/>
      <c r="AK34" s="219" t="s">
        <v>21054</v>
      </c>
      <c r="AN34" s="219" t="s">
        <v>21055</v>
      </c>
      <c r="AR34" s="219" t="s">
        <v>21056</v>
      </c>
    </row>
    <row r="35" ht="17.1" customHeight="1">
      <c r="C35" s="549" t="s">
        <v>21057</v>
      </c>
      <c r="D35" s="549"/>
      <c r="E35" s="549"/>
      <c r="F35" s="549"/>
      <c r="G35" s="549"/>
      <c r="H35" s="263" t="s">
        <v>21058</v>
      </c>
      <c r="I35" s="551" t="s">
        <v>21059</v>
      </c>
      <c r="J35" s="551"/>
      <c r="K35" s="551"/>
      <c r="L35" s="551"/>
      <c r="M35" s="551"/>
      <c r="N35" s="551"/>
      <c r="O35" s="264"/>
      <c r="P35" s="264"/>
      <c r="Q35" s="260"/>
      <c r="R35" s="260"/>
      <c r="S35" s="260"/>
      <c r="T35" s="548" t="str">
        <f>IF(AI41=0,AN35,IF(AI41=1,"",AR35))</f>
        <v>PHÓ GIÁM ĐỐC</v>
      </c>
      <c r="U35" s="548"/>
      <c r="V35" s="548"/>
      <c r="W35" s="548"/>
      <c r="X35" s="548"/>
      <c r="Y35" s="548"/>
      <c r="Z35" s="548"/>
      <c r="AA35" s="548"/>
      <c r="AB35" s="548"/>
      <c r="AC35" s="548"/>
      <c r="AD35" s="548"/>
      <c r="AE35" s="548"/>
      <c r="AN35" s="219" t="s">
        <v>21060</v>
      </c>
      <c r="AR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IF(AI41=0,AO41,IF(AI41=1,AK41,AS41))</f>
        <v>Trần Công Khanh</v>
      </c>
      <c r="U41" s="535"/>
      <c r="V41" s="535"/>
      <c r="W41" s="535"/>
      <c r="X41" s="535"/>
      <c r="Y41" s="535"/>
      <c r="Z41" s="535"/>
      <c r="AA41" s="535"/>
      <c r="AB41" s="535"/>
      <c r="AC41" s="535"/>
      <c r="AD41" s="535"/>
      <c r="AE41" s="535"/>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c r="AE43" s="289"/>
    </row>
    <row r="44" ht="16.5" customHeight="1">
      <c r="A44" s="236"/>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c r="AE44" s="289"/>
    </row>
    <row r="45" ht="16.5" customHeight="1">
      <c r="A45" s="236"/>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12" t="str">
        <f>AL49</f>
        <v>4/4/4</v>
      </c>
      <c r="O49" s="512"/>
      <c r="P49" s="51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12" t="str">
        <f>AL53</f>
        <v>4/4/4</v>
      </c>
      <c r="O53" s="512"/>
      <c r="P53" s="51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12" t="str">
        <f>AL57</f>
        <v>4/4/4</v>
      </c>
      <c r="O57" s="512"/>
      <c r="P57" s="51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12" t="str">
        <f>AL61</f>
        <v>4/4/4</v>
      </c>
      <c r="O61" s="512"/>
      <c r="P61" s="51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44" t="s">
        <v>21018</v>
      </c>
      <c r="C1" s="544"/>
      <c r="D1" s="544"/>
      <c r="E1" s="544"/>
      <c r="F1" s="544"/>
      <c r="G1" s="544"/>
      <c r="H1" s="544"/>
      <c r="I1" s="544"/>
      <c r="J1" s="544"/>
      <c r="K1" s="544"/>
      <c r="L1" s="544"/>
      <c r="M1" s="544"/>
      <c r="N1" s="247"/>
      <c r="O1" s="247"/>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M2" s="247"/>
      <c r="N2" s="270"/>
      <c r="O2" s="247"/>
      <c r="P2" s="544" t="s">
        <v>21021</v>
      </c>
      <c r="Q2" s="544"/>
      <c r="R2" s="544"/>
      <c r="S2" s="544"/>
      <c r="T2" s="544"/>
      <c r="U2" s="544"/>
      <c r="V2" s="544"/>
      <c r="W2" s="544"/>
      <c r="X2" s="544"/>
      <c r="Y2" s="544"/>
      <c r="Z2" s="544"/>
      <c r="AA2" s="544"/>
      <c r="AB2" s="544"/>
      <c r="AC2" s="544"/>
      <c r="AD2" s="544"/>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38" t="s">
        <v>21023</v>
      </c>
      <c r="D15" s="539"/>
      <c r="E15" s="539"/>
      <c r="F15" s="539"/>
      <c r="G15" s="539"/>
      <c r="H15" s="539"/>
      <c r="I15" s="539"/>
      <c r="J15" s="539"/>
      <c r="K15" s="539"/>
      <c r="L15" s="539"/>
      <c r="M15" s="539"/>
      <c r="N15" s="539"/>
      <c r="O15" s="539"/>
      <c r="P15" s="539"/>
      <c r="Q15" s="539"/>
      <c r="R15" s="539"/>
      <c r="S15" s="539"/>
      <c r="T15" s="539"/>
      <c r="U15" s="539"/>
      <c r="V15" s="539"/>
      <c r="W15" s="539"/>
      <c r="X15" s="539"/>
      <c r="Y15" s="539"/>
      <c r="Z15" s="539"/>
      <c r="AA15" s="539"/>
      <c r="AB15" s="539"/>
      <c r="AC15" s="539"/>
      <c r="AD15" s="540"/>
      <c r="AE15" s="252"/>
      <c r="AG15" s="253">
        <v>1</v>
      </c>
      <c r="AH15" s="253"/>
      <c r="AI15" s="253"/>
      <c r="AJ15" s="253"/>
      <c r="AK15" s="253">
        <v>2</v>
      </c>
      <c r="AL15" s="253"/>
      <c r="AM15" s="253"/>
      <c r="AN15" s="253"/>
      <c r="AO15" s="253">
        <v>3</v>
      </c>
      <c r="AS15" s="219">
        <v>4</v>
      </c>
    </row>
    <row r="16" ht="38.25" customHeight="1">
      <c r="C16" s="556" t="s">
        <v>21027</v>
      </c>
      <c r="D16" s="557"/>
      <c r="E16" s="557"/>
      <c r="F16" s="557"/>
      <c r="G16" s="557"/>
      <c r="H16" s="557"/>
      <c r="I16" s="557"/>
      <c r="J16" s="557"/>
      <c r="K16" s="557"/>
      <c r="L16" s="558"/>
      <c r="M16" s="545" t="str">
        <f>AG16</f>
        <v>Ấp Bàu Trâu, xã Phước Thạnh, huyện Củ Chi, thành phố Hồ Chí Minh.</v>
      </c>
      <c r="N16" s="546"/>
      <c r="O16" s="546"/>
      <c r="P16" s="546"/>
      <c r="Q16" s="546"/>
      <c r="R16" s="546"/>
      <c r="S16" s="546"/>
      <c r="T16" s="546"/>
      <c r="U16" s="546"/>
      <c r="V16" s="546"/>
      <c r="W16" s="546"/>
      <c r="X16" s="546"/>
      <c r="Y16" s="546"/>
      <c r="Z16" s="546"/>
      <c r="AA16" s="546"/>
      <c r="AB16" s="546"/>
      <c r="AC16" s="546"/>
      <c r="AD16" s="547"/>
      <c r="AE16" s="252"/>
      <c r="AG16" s="273" t="s">
        <v>21028</v>
      </c>
    </row>
    <row r="17" ht="21" customHeight="1">
      <c r="C17" s="519" t="s">
        <v>21029</v>
      </c>
      <c r="D17" s="520"/>
      <c r="E17" s="520"/>
      <c r="F17" s="520"/>
      <c r="G17" s="520"/>
      <c r="H17" s="520"/>
      <c r="I17" s="520"/>
      <c r="J17" s="520"/>
      <c r="K17" s="520"/>
      <c r="L17" s="521"/>
      <c r="M17" s="538" t="str">
        <f>IF(AG17="","",AG17)</f>
      </c>
      <c r="N17" s="539"/>
      <c r="O17" s="539"/>
      <c r="P17" s="539"/>
      <c r="Q17" s="539"/>
      <c r="R17" s="539"/>
      <c r="S17" s="539"/>
      <c r="T17" s="539"/>
      <c r="U17" s="539"/>
      <c r="V17" s="539"/>
      <c r="W17" s="539"/>
      <c r="X17" s="539"/>
      <c r="Y17" s="539"/>
      <c r="Z17" s="539"/>
      <c r="AA17" s="539"/>
      <c r="AB17" s="539"/>
      <c r="AC17" s="539"/>
      <c r="AD17" s="540"/>
      <c r="AE17" s="252"/>
    </row>
    <row r="18" ht="33.95" customHeight="1">
      <c r="C18" s="541" t="s">
        <v>21030</v>
      </c>
      <c r="D18" s="542"/>
      <c r="E18" s="542"/>
      <c r="F18" s="542"/>
      <c r="G18" s="542"/>
      <c r="H18" s="542"/>
      <c r="I18" s="542"/>
      <c r="J18" s="542"/>
      <c r="K18" s="542"/>
      <c r="L18" s="543"/>
      <c r="M18" s="514" t="str">
        <f>AG18</f>
        <v>CÔNG TY CỔ PHẦN VIỄN THÔNG DI ĐỘNG TOÀN CẦU</v>
      </c>
      <c r="N18" s="515"/>
      <c r="O18" s="515"/>
      <c r="P18" s="515"/>
      <c r="Q18" s="515"/>
      <c r="R18" s="515"/>
      <c r="S18" s="515"/>
      <c r="T18" s="515"/>
      <c r="U18" s="515"/>
      <c r="V18" s="515"/>
      <c r="W18" s="515"/>
      <c r="X18" s="515"/>
      <c r="Y18" s="515"/>
      <c r="Z18" s="515"/>
      <c r="AA18" s="515"/>
      <c r="AB18" s="515"/>
      <c r="AC18" s="515"/>
      <c r="AD18" s="516"/>
      <c r="AE18" s="252"/>
      <c r="AG18" s="248" t="s">
        <v>21031</v>
      </c>
    </row>
    <row r="19" ht="33.95" customHeight="1">
      <c r="C19" s="541" t="s">
        <v>21032</v>
      </c>
      <c r="D19" s="542"/>
      <c r="E19" s="542"/>
      <c r="F19" s="542"/>
      <c r="G19" s="542"/>
      <c r="H19" s="542"/>
      <c r="I19" s="542"/>
      <c r="J19" s="542"/>
      <c r="K19" s="542"/>
      <c r="L19" s="543"/>
      <c r="M19" s="514" t="str">
        <f>AG19</f>
        <v>CÔNG TY CỔ PHẦN VIỄN THÔNG DI ĐỘNG TOÀN CẦU</v>
      </c>
      <c r="N19" s="515"/>
      <c r="O19" s="515"/>
      <c r="P19" s="515"/>
      <c r="Q19" s="515"/>
      <c r="R19" s="515"/>
      <c r="S19" s="515"/>
      <c r="T19" s="515"/>
      <c r="U19" s="515"/>
      <c r="V19" s="515"/>
      <c r="W19" s="515"/>
      <c r="X19" s="515"/>
      <c r="Y19" s="515"/>
      <c r="Z19" s="515"/>
      <c r="AA19" s="515"/>
      <c r="AB19" s="515"/>
      <c r="AC19" s="515"/>
      <c r="AD19" s="516"/>
      <c r="AE19" s="255"/>
      <c r="AG19" s="248" t="s">
        <v>21031</v>
      </c>
    </row>
    <row r="20" ht="21" customHeight="1">
      <c r="C20" s="528" t="s">
        <v>21033</v>
      </c>
      <c r="D20" s="529"/>
      <c r="E20" s="529"/>
      <c r="F20" s="529"/>
      <c r="G20" s="529"/>
      <c r="H20" s="529"/>
      <c r="I20" s="529"/>
      <c r="J20" s="529"/>
      <c r="K20" s="529"/>
      <c r="L20" s="529"/>
      <c r="M20" s="529"/>
      <c r="N20" s="529"/>
      <c r="O20" s="529"/>
      <c r="P20" s="529"/>
      <c r="Q20" s="529"/>
      <c r="R20" s="529"/>
      <c r="S20" s="529"/>
      <c r="T20" s="529"/>
      <c r="U20" s="529"/>
      <c r="V20" s="529"/>
      <c r="W20" s="529"/>
      <c r="X20" s="529"/>
      <c r="Y20" s="529"/>
      <c r="Z20" s="529"/>
      <c r="AA20" s="529"/>
      <c r="AB20" s="529"/>
      <c r="AC20" s="529"/>
      <c r="AD20" s="530"/>
      <c r="AE20" s="256"/>
    </row>
    <row r="21" ht="33.95" customHeight="1">
      <c r="C21" s="522" t="s">
        <v>21034</v>
      </c>
      <c r="D21" s="522"/>
      <c r="E21" s="522"/>
      <c r="F21" s="522"/>
      <c r="G21" s="522"/>
      <c r="H21" s="522"/>
      <c r="I21" s="522"/>
      <c r="J21" s="522"/>
      <c r="K21" s="522"/>
      <c r="L21" s="522"/>
      <c r="M21" s="555" t="str">
        <f>AG21</f>
        <v>MOTOROLA HORIZON II MACRO</v>
      </c>
      <c r="N21" s="555"/>
      <c r="O21" s="555"/>
      <c r="P21" s="555"/>
      <c r="Q21" s="555"/>
      <c r="R21" s="555"/>
      <c r="S21" s="555"/>
      <c r="T21" s="555"/>
      <c r="U21" s="555"/>
      <c r="V21" s="555" t="str">
        <f>AK21</f>
        <v>MOTOROLA HORIZON II MACRO</v>
      </c>
      <c r="W21" s="555"/>
      <c r="X21" s="555"/>
      <c r="Y21" s="555"/>
      <c r="Z21" s="555"/>
      <c r="AA21" s="555"/>
      <c r="AB21" s="555"/>
      <c r="AC21" s="555"/>
      <c r="AD21" s="555"/>
      <c r="AE21" s="252"/>
      <c r="AG21" s="248" t="s">
        <v>21227</v>
      </c>
      <c r="AK21" s="248" t="s">
        <v>21227</v>
      </c>
      <c r="AO21" s="248" t="s">
        <v>21037</v>
      </c>
      <c r="AS21" s="248" t="s">
        <v>21038</v>
      </c>
    </row>
    <row r="22" ht="19.7" customHeight="1">
      <c r="C22" s="531" t="s">
        <v>21039</v>
      </c>
      <c r="D22" s="532"/>
      <c r="E22" s="532"/>
      <c r="F22" s="532"/>
      <c r="G22" s="532"/>
      <c r="H22" s="532"/>
      <c r="I22" s="532"/>
      <c r="J22" s="532"/>
      <c r="K22" s="532"/>
      <c r="L22" s="533"/>
      <c r="M22" s="514">
        <f>AG22</f>
        <v>3</v>
      </c>
      <c r="N22" s="515"/>
      <c r="O22" s="515"/>
      <c r="P22" s="515"/>
      <c r="Q22" s="515"/>
      <c r="R22" s="515"/>
      <c r="S22" s="515"/>
      <c r="T22" s="515"/>
      <c r="U22" s="516"/>
      <c r="V22" s="514">
        <f>AK22</f>
        <v>3</v>
      </c>
      <c r="W22" s="515"/>
      <c r="X22" s="515"/>
      <c r="Y22" s="515"/>
      <c r="Z22" s="515"/>
      <c r="AA22" s="515"/>
      <c r="AB22" s="515"/>
      <c r="AC22" s="515"/>
      <c r="AD22" s="516"/>
      <c r="AE22" s="252"/>
      <c r="AG22" s="253">
        <v>3</v>
      </c>
      <c r="AH22" s="253"/>
      <c r="AI22" s="253"/>
      <c r="AJ22" s="253"/>
      <c r="AK22" s="253">
        <v>3</v>
      </c>
      <c r="AL22" s="253"/>
      <c r="AM22" s="253"/>
      <c r="AN22" s="253"/>
      <c r="AO22" s="253">
        <v>3</v>
      </c>
      <c r="AS22" s="219">
        <v>1</v>
      </c>
    </row>
    <row r="23" ht="19.7" customHeight="1">
      <c r="C23" s="522" t="s">
        <v>21040</v>
      </c>
      <c r="D23" s="522"/>
      <c r="E23" s="522"/>
      <c r="F23" s="522"/>
      <c r="G23" s="522"/>
      <c r="H23" s="522"/>
      <c r="I23" s="522"/>
      <c r="J23" s="522"/>
      <c r="K23" s="522"/>
      <c r="L23" s="522"/>
      <c r="M23" s="559" t="str">
        <f>AG23</f>
        <v>4/4/4</v>
      </c>
      <c r="N23" s="555"/>
      <c r="O23" s="555"/>
      <c r="P23" s="555"/>
      <c r="Q23" s="555"/>
      <c r="R23" s="555"/>
      <c r="S23" s="555"/>
      <c r="T23" s="555"/>
      <c r="U23" s="555"/>
      <c r="V23" s="526" t="str">
        <f>AK23</f>
        <v>2/2/2</v>
      </c>
      <c r="W23" s="515"/>
      <c r="X23" s="515"/>
      <c r="Y23" s="515"/>
      <c r="Z23" s="515"/>
      <c r="AA23" s="515"/>
      <c r="AB23" s="515"/>
      <c r="AC23" s="515"/>
      <c r="AD23" s="516"/>
      <c r="AE23" s="257"/>
      <c r="AG23" s="258" t="s">
        <v>21041</v>
      </c>
      <c r="AH23" s="259"/>
      <c r="AI23" s="259"/>
      <c r="AJ23" s="259"/>
      <c r="AK23" s="258" t="s">
        <v>21042</v>
      </c>
      <c r="AL23" s="259"/>
      <c r="AM23" s="259"/>
      <c r="AN23" s="259"/>
      <c r="AO23" s="258" t="s">
        <v>21043</v>
      </c>
      <c r="AP23" s="259"/>
      <c r="AQ23" s="259"/>
      <c r="AR23" s="259"/>
      <c r="AS23" s="258" t="s">
        <v>21044</v>
      </c>
    </row>
    <row r="24" ht="18.75" customHeight="1">
      <c r="C24" s="531" t="s">
        <v>21045</v>
      </c>
      <c r="D24" s="532"/>
      <c r="E24" s="532"/>
      <c r="F24" s="532"/>
      <c r="G24" s="532"/>
      <c r="H24" s="532"/>
      <c r="I24" s="532"/>
      <c r="J24" s="532"/>
      <c r="K24" s="532"/>
      <c r="L24" s="533"/>
      <c r="M24" s="514" t="str">
        <f>IF(M22=4,AG24&amp;"W/ "&amp;AH24&amp;"W/ "&amp;AI24&amp;"W/ "&amp;AJ24&amp;"W",IF(M22=3,AG24&amp;"W/ "&amp;AH24&amp;"W/ "&amp;AI24&amp;"W",IF(M22=2,AG24&amp;"W/ "&amp;AH24&amp;"W",AG24&amp;"W")))</f>
        <v>100,45W/ 100,45W/ 100,45W</v>
      </c>
      <c r="N24" s="515"/>
      <c r="O24" s="515"/>
      <c r="P24" s="515"/>
      <c r="Q24" s="515"/>
      <c r="R24" s="515"/>
      <c r="S24" s="515"/>
      <c r="T24" s="515"/>
      <c r="U24" s="516"/>
      <c r="V24" s="514" t="str">
        <f>IF(V22=4,AK24&amp;"W/ "&amp;AL24&amp;"W/ "&amp;AM24&amp;"W/ "&amp;AN24&amp;"W",IF(V22=3,AK24&amp;"W/ "&amp;AL24&amp;"W/ "&amp;AM24&amp;"W",IF(V22=2,AK24&amp;"W/"&amp;AL24&amp;"W",AK24&amp;"W")))</f>
        <v>40W/ 40W/ 40W</v>
      </c>
      <c r="W24" s="515"/>
      <c r="X24" s="515"/>
      <c r="Y24" s="515"/>
      <c r="Z24" s="515"/>
      <c r="AA24" s="515"/>
      <c r="AB24" s="515"/>
      <c r="AC24" s="515"/>
      <c r="AD24" s="516"/>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22" t="s">
        <v>21046</v>
      </c>
      <c r="D25" s="522"/>
      <c r="E25" s="522"/>
      <c r="F25" s="522"/>
      <c r="G25" s="522"/>
      <c r="H25" s="522"/>
      <c r="I25" s="522"/>
      <c r="J25" s="522"/>
      <c r="K25" s="522"/>
      <c r="L25" s="522"/>
      <c r="M25" s="555" t="str">
        <f>IF(AG25="900 &amp; 1800","900MHz &amp; 1800MHz",IF(AG25="900 &amp; 2100","900MHz &amp; 2100MHz",IF(AG25="1800 &amp; 2100","1800MHz &amp; 2100MHz",AG25&amp;"MHz")))</f>
        <v>1800MHz</v>
      </c>
      <c r="N25" s="555"/>
      <c r="O25" s="555"/>
      <c r="P25" s="555"/>
      <c r="Q25" s="555"/>
      <c r="R25" s="555"/>
      <c r="S25" s="555"/>
      <c r="T25" s="555"/>
      <c r="U25" s="555"/>
      <c r="V25" s="555" t="str">
        <f>IF(AK25="900 &amp; 1800","900MHz &amp; 1800MHz",IF(AK25="900 &amp; 2100","900MHz &amp; 2100MHz",AK25&amp;"MHz"))</f>
        <v>1800MHz</v>
      </c>
      <c r="W25" s="555"/>
      <c r="X25" s="555"/>
      <c r="Y25" s="555"/>
      <c r="Z25" s="555"/>
      <c r="AA25" s="555"/>
      <c r="AB25" s="555"/>
      <c r="AC25" s="555"/>
      <c r="AD25" s="555"/>
      <c r="AE25" s="252"/>
      <c r="AG25" s="219">
        <v>1800</v>
      </c>
      <c r="AK25" s="219">
        <v>1800</v>
      </c>
      <c r="AO25" s="219">
        <v>2100</v>
      </c>
      <c r="AS25" s="248" t="s">
        <v>21229</v>
      </c>
    </row>
    <row r="26" ht="33.95" customHeight="1">
      <c r="C26" s="522" t="s">
        <v>21230</v>
      </c>
      <c r="D26" s="522"/>
      <c r="E26" s="522"/>
      <c r="F26" s="522"/>
      <c r="G26" s="522"/>
      <c r="H26" s="522"/>
      <c r="I26" s="522"/>
      <c r="J26" s="522"/>
      <c r="K26" s="522"/>
      <c r="L26" s="522"/>
      <c r="M26" s="555">
        <f>AG26</f>
        <v>15</v>
      </c>
      <c r="N26" s="555"/>
      <c r="O26" s="555"/>
      <c r="P26" s="555"/>
      <c r="Q26" s="555"/>
      <c r="R26" s="555"/>
      <c r="S26" s="555"/>
      <c r="T26" s="555"/>
      <c r="U26" s="555"/>
      <c r="V26" s="555">
        <f>AK26</f>
        <v>16</v>
      </c>
      <c r="W26" s="555"/>
      <c r="X26" s="555"/>
      <c r="Y26" s="555"/>
      <c r="Z26" s="555"/>
      <c r="AA26" s="555"/>
      <c r="AB26" s="555"/>
      <c r="AC26" s="555"/>
      <c r="AD26" s="555"/>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4.7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4.7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4" t="str">
        <f>IF(AG31=1,AO31,IF(AG31=2,AO30))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IF(AI41=0,AO34,IF(AI41=1,AK34,AS34))</f>
        <v>KT. GIÁM ĐỐC</v>
      </c>
      <c r="U34" s="548"/>
      <c r="V34" s="548"/>
      <c r="W34" s="548"/>
      <c r="X34" s="548"/>
      <c r="Y34" s="548"/>
      <c r="Z34" s="548"/>
      <c r="AA34" s="548"/>
      <c r="AB34" s="548"/>
      <c r="AC34" s="548"/>
      <c r="AD34" s="548"/>
      <c r="AE34" s="548"/>
      <c r="AK34" s="219" t="s">
        <v>21054</v>
      </c>
      <c r="AO34" s="219" t="s">
        <v>21055</v>
      </c>
      <c r="AS34" s="219" t="s">
        <v>21056</v>
      </c>
    </row>
    <row r="35" ht="17.1" customHeight="1">
      <c r="C35" s="549" t="s">
        <v>21057</v>
      </c>
      <c r="D35" s="549"/>
      <c r="E35" s="549"/>
      <c r="F35" s="549"/>
      <c r="G35" s="549"/>
      <c r="H35" s="263" t="s">
        <v>21058</v>
      </c>
      <c r="I35" s="551" t="s">
        <v>21059</v>
      </c>
      <c r="J35" s="551"/>
      <c r="K35" s="551"/>
      <c r="L35" s="551"/>
      <c r="M35" s="551"/>
      <c r="N35" s="551"/>
      <c r="O35" s="264"/>
      <c r="P35" s="264"/>
      <c r="Q35" s="260"/>
      <c r="R35" s="260"/>
      <c r="S35" s="260"/>
      <c r="T35" s="548" t="str">
        <f>IF(AI41=0,AO35,IF(AI41=1,"",AS35))</f>
        <v>PHÓ GIÁM ĐỐC</v>
      </c>
      <c r="U35" s="548"/>
      <c r="V35" s="548"/>
      <c r="W35" s="548"/>
      <c r="X35" s="548"/>
      <c r="Y35" s="548"/>
      <c r="Z35" s="548"/>
      <c r="AA35" s="548"/>
      <c r="AB35" s="548"/>
      <c r="AC35" s="548"/>
      <c r="AD35" s="548"/>
      <c r="AE35" s="548"/>
      <c r="AO35" s="219" t="s">
        <v>21060</v>
      </c>
      <c r="AS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row>
    <row r="45" ht="16.5" customHeight="1">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12" t="str">
        <f>AL49</f>
        <v>4/4/4</v>
      </c>
      <c r="O49" s="512"/>
      <c r="P49" s="51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12" t="str">
        <f>AL53</f>
        <v>4/4/4</v>
      </c>
      <c r="O53" s="512"/>
      <c r="P53" s="51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12" t="str">
        <f>AL57</f>
        <v>4/4/4</v>
      </c>
      <c r="O57" s="512"/>
      <c r="P57" s="51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12" t="str">
        <f>AL61</f>
        <v>4/4/4</v>
      </c>
      <c r="O61" s="512"/>
      <c r="P61" s="51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44" t="s">
        <v>21018</v>
      </c>
      <c r="C1" s="544"/>
      <c r="D1" s="544"/>
      <c r="E1" s="544"/>
      <c r="F1" s="544"/>
      <c r="G1" s="544"/>
      <c r="H1" s="544"/>
      <c r="I1" s="544"/>
      <c r="J1" s="544"/>
      <c r="K1" s="544"/>
      <c r="L1" s="544"/>
      <c r="M1" s="544"/>
      <c r="N1" s="247"/>
      <c r="O1" s="247"/>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M2" s="247"/>
      <c r="N2" s="270"/>
      <c r="O2" s="247"/>
      <c r="P2" s="544" t="s">
        <v>21021</v>
      </c>
      <c r="Q2" s="544"/>
      <c r="R2" s="544"/>
      <c r="S2" s="544"/>
      <c r="T2" s="544"/>
      <c r="U2" s="544"/>
      <c r="V2" s="544"/>
      <c r="W2" s="544"/>
      <c r="X2" s="544"/>
      <c r="Y2" s="544"/>
      <c r="Z2" s="544"/>
      <c r="AA2" s="544"/>
      <c r="AB2" s="544"/>
      <c r="AC2" s="544"/>
      <c r="AD2" s="544"/>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60" t="s">
        <v>21023</v>
      </c>
      <c r="D15" s="561"/>
      <c r="E15" s="561"/>
      <c r="F15" s="561"/>
      <c r="G15" s="561"/>
      <c r="H15" s="561"/>
      <c r="I15" s="561"/>
      <c r="J15" s="561"/>
      <c r="K15" s="561"/>
      <c r="L15" s="561"/>
      <c r="M15" s="561"/>
      <c r="N15" s="561"/>
      <c r="O15" s="561"/>
      <c r="P15" s="561"/>
      <c r="Q15" s="561"/>
      <c r="R15" s="561"/>
      <c r="S15" s="561"/>
      <c r="T15" s="561"/>
      <c r="U15" s="561"/>
      <c r="V15" s="561"/>
      <c r="W15" s="561"/>
      <c r="X15" s="561"/>
      <c r="Y15" s="561"/>
      <c r="Z15" s="561"/>
      <c r="AA15" s="561"/>
      <c r="AB15" s="561"/>
      <c r="AC15" s="561"/>
      <c r="AD15" s="562"/>
      <c r="AE15" s="252"/>
      <c r="AG15" s="253">
        <v>1</v>
      </c>
      <c r="AH15" s="253"/>
      <c r="AI15" s="253"/>
      <c r="AJ15" s="253"/>
      <c r="AK15" s="253">
        <v>2</v>
      </c>
      <c r="AL15" s="253"/>
      <c r="AM15" s="253"/>
      <c r="AN15" s="253"/>
      <c r="AO15" s="253">
        <v>3</v>
      </c>
      <c r="AS15" s="219">
        <v>4</v>
      </c>
    </row>
    <row r="16" ht="36" customHeight="1">
      <c r="C16" s="566" t="s">
        <v>21027</v>
      </c>
      <c r="D16" s="567"/>
      <c r="E16" s="567"/>
      <c r="F16" s="567"/>
      <c r="G16" s="567"/>
      <c r="H16" s="567"/>
      <c r="I16" s="567"/>
      <c r="J16" s="567"/>
      <c r="K16" s="567"/>
      <c r="L16" s="568"/>
      <c r="M16" s="583" t="str">
        <f>AG16</f>
        <v>Ấp Bàu Trâu, xã Phước Thạnh, huyện Củ Chi, thành phố Hồ Chí Minh.</v>
      </c>
      <c r="N16" s="584"/>
      <c r="O16" s="584"/>
      <c r="P16" s="584"/>
      <c r="Q16" s="584"/>
      <c r="R16" s="584"/>
      <c r="S16" s="584"/>
      <c r="T16" s="584"/>
      <c r="U16" s="584"/>
      <c r="V16" s="584"/>
      <c r="W16" s="584"/>
      <c r="X16" s="584"/>
      <c r="Y16" s="584"/>
      <c r="Z16" s="584"/>
      <c r="AA16" s="584"/>
      <c r="AB16" s="584"/>
      <c r="AC16" s="584"/>
      <c r="AD16" s="585"/>
      <c r="AE16" s="252"/>
      <c r="AG16" s="573" t="s">
        <v>21028</v>
      </c>
      <c r="AH16" s="573"/>
      <c r="AI16" s="573"/>
      <c r="AJ16" s="573"/>
      <c r="AK16" s="573"/>
      <c r="AL16" s="573"/>
      <c r="AM16" s="573"/>
      <c r="AN16" s="573"/>
      <c r="AO16" s="573"/>
      <c r="AP16" s="573"/>
      <c r="AQ16" s="573"/>
      <c r="AR16" s="573"/>
      <c r="AS16" s="573"/>
      <c r="AT16" s="573"/>
      <c r="AU16" s="573"/>
      <c r="AV16" s="573"/>
      <c r="AW16" s="573"/>
    </row>
    <row r="17" ht="23.25" customHeight="1">
      <c r="C17" s="566" t="s">
        <v>21029</v>
      </c>
      <c r="D17" s="567"/>
      <c r="E17" s="567"/>
      <c r="F17" s="567"/>
      <c r="G17" s="567"/>
      <c r="H17" s="567"/>
      <c r="I17" s="567"/>
      <c r="J17" s="567"/>
      <c r="K17" s="567"/>
      <c r="L17" s="568"/>
      <c r="M17" s="560" t="str">
        <f>IF(AG17="","",AG17)</f>
      </c>
      <c r="N17" s="561"/>
      <c r="O17" s="561"/>
      <c r="P17" s="561"/>
      <c r="Q17" s="561"/>
      <c r="R17" s="561"/>
      <c r="S17" s="561"/>
      <c r="T17" s="561"/>
      <c r="U17" s="561"/>
      <c r="V17" s="561"/>
      <c r="W17" s="561"/>
      <c r="X17" s="561"/>
      <c r="Y17" s="561"/>
      <c r="Z17" s="561"/>
      <c r="AA17" s="561"/>
      <c r="AB17" s="561"/>
      <c r="AC17" s="561"/>
      <c r="AD17" s="562"/>
      <c r="AE17" s="252"/>
    </row>
    <row r="18" ht="31.35" customHeight="1">
      <c r="C18" s="574" t="s">
        <v>21030</v>
      </c>
      <c r="D18" s="575"/>
      <c r="E18" s="575"/>
      <c r="F18" s="575"/>
      <c r="G18" s="575"/>
      <c r="H18" s="575"/>
      <c r="I18" s="575"/>
      <c r="J18" s="575"/>
      <c r="K18" s="575"/>
      <c r="L18" s="576"/>
      <c r="M18" s="577" t="str">
        <f>AG18</f>
        <v>CÔNG TY CỔ PHẦN VIỄN THÔNG DI ĐỘNG TOÀN CẦU
GTEL</v>
      </c>
      <c r="N18" s="578"/>
      <c r="O18" s="578"/>
      <c r="P18" s="578"/>
      <c r="Q18" s="578"/>
      <c r="R18" s="578"/>
      <c r="S18" s="578"/>
      <c r="T18" s="578"/>
      <c r="U18" s="578"/>
      <c r="V18" s="578"/>
      <c r="W18" s="578"/>
      <c r="X18" s="578"/>
      <c r="Y18" s="578"/>
      <c r="Z18" s="578"/>
      <c r="AA18" s="578"/>
      <c r="AB18" s="578"/>
      <c r="AC18" s="578"/>
      <c r="AD18" s="579"/>
      <c r="AE18" s="252"/>
      <c r="AG18" s="274" t="s">
        <v>21235</v>
      </c>
    </row>
    <row r="19" ht="31.35" customHeight="1">
      <c r="C19" s="574" t="s">
        <v>21032</v>
      </c>
      <c r="D19" s="575"/>
      <c r="E19" s="575"/>
      <c r="F19" s="575"/>
      <c r="G19" s="575"/>
      <c r="H19" s="575"/>
      <c r="I19" s="575"/>
      <c r="J19" s="575"/>
      <c r="K19" s="575"/>
      <c r="L19" s="576"/>
      <c r="M19" s="577" t="str">
        <f>AG19</f>
        <v>CÔNG TY CỔ PHẦN VIỄN THÔNG DI ĐỘNG TOÀN CẦU</v>
      </c>
      <c r="N19" s="578"/>
      <c r="O19" s="578"/>
      <c r="P19" s="578"/>
      <c r="Q19" s="578"/>
      <c r="R19" s="578"/>
      <c r="S19" s="578"/>
      <c r="T19" s="578"/>
      <c r="U19" s="578"/>
      <c r="V19" s="578"/>
      <c r="W19" s="578"/>
      <c r="X19" s="578"/>
      <c r="Y19" s="578"/>
      <c r="Z19" s="578"/>
      <c r="AA19" s="578"/>
      <c r="AB19" s="578"/>
      <c r="AC19" s="578"/>
      <c r="AD19" s="579"/>
      <c r="AE19" s="255"/>
      <c r="AG19" s="248" t="s">
        <v>21031</v>
      </c>
    </row>
    <row r="20" ht="20.25" customHeight="1">
      <c r="C20" s="580" t="s">
        <v>21033</v>
      </c>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2"/>
      <c r="AE20" s="256"/>
    </row>
    <row r="21" ht="31.5" customHeight="1">
      <c r="C21" s="569" t="s">
        <v>21034</v>
      </c>
      <c r="D21" s="569"/>
      <c r="E21" s="569"/>
      <c r="F21" s="569"/>
      <c r="G21" s="569"/>
      <c r="H21" s="569"/>
      <c r="I21" s="569"/>
      <c r="J21" s="569"/>
      <c r="K21" s="569"/>
      <c r="L21" s="569"/>
      <c r="M21" s="564" t="str">
        <f>AG21</f>
        <v>MOTOROLA HORIZON II MACRO</v>
      </c>
      <c r="N21" s="564"/>
      <c r="O21" s="564"/>
      <c r="P21" s="564"/>
      <c r="Q21" s="564"/>
      <c r="R21" s="564"/>
      <c r="S21" s="564" t="str">
        <f>AK21</f>
        <v>B</v>
      </c>
      <c r="T21" s="564"/>
      <c r="U21" s="564"/>
      <c r="V21" s="564"/>
      <c r="W21" s="564"/>
      <c r="X21" s="564"/>
      <c r="Y21" s="564" t="str">
        <f>AO21</f>
        <v>C</v>
      </c>
      <c r="Z21" s="564"/>
      <c r="AA21" s="564"/>
      <c r="AB21" s="564"/>
      <c r="AC21" s="564"/>
      <c r="AD21" s="564"/>
      <c r="AE21" s="252"/>
      <c r="AG21" s="248" t="s">
        <v>21227</v>
      </c>
      <c r="AK21" s="248" t="s">
        <v>21036</v>
      </c>
      <c r="AO21" s="248" t="s">
        <v>21037</v>
      </c>
      <c r="AS21" s="248" t="s">
        <v>21038</v>
      </c>
    </row>
    <row r="22" ht="19.7" customHeight="1">
      <c r="C22" s="570" t="s">
        <v>21039</v>
      </c>
      <c r="D22" s="571"/>
      <c r="E22" s="571"/>
      <c r="F22" s="571"/>
      <c r="G22" s="571"/>
      <c r="H22" s="571"/>
      <c r="I22" s="571"/>
      <c r="J22" s="571"/>
      <c r="K22" s="571"/>
      <c r="L22" s="572"/>
      <c r="M22" s="564">
        <f>AG22</f>
        <v>3</v>
      </c>
      <c r="N22" s="564"/>
      <c r="O22" s="564"/>
      <c r="P22" s="564"/>
      <c r="Q22" s="564"/>
      <c r="R22" s="564"/>
      <c r="S22" s="564">
        <f>AK22</f>
        <v>3</v>
      </c>
      <c r="T22" s="564"/>
      <c r="U22" s="564"/>
      <c r="V22" s="564"/>
      <c r="W22" s="564"/>
      <c r="X22" s="564"/>
      <c r="Y22" s="564">
        <f>AO22</f>
        <v>3</v>
      </c>
      <c r="Z22" s="564"/>
      <c r="AA22" s="564"/>
      <c r="AB22" s="564"/>
      <c r="AC22" s="564"/>
      <c r="AD22" s="564"/>
      <c r="AE22" s="252"/>
      <c r="AG22" s="253">
        <v>3</v>
      </c>
      <c r="AH22" s="253"/>
      <c r="AI22" s="253"/>
      <c r="AJ22" s="253"/>
      <c r="AK22" s="253">
        <v>3</v>
      </c>
      <c r="AL22" s="253"/>
      <c r="AM22" s="253"/>
      <c r="AN22" s="253"/>
      <c r="AO22" s="253">
        <v>3</v>
      </c>
      <c r="AS22" s="219">
        <v>1</v>
      </c>
    </row>
    <row r="23" ht="19.7" customHeight="1">
      <c r="C23" s="569" t="s">
        <v>21040</v>
      </c>
      <c r="D23" s="569"/>
      <c r="E23" s="569"/>
      <c r="F23" s="569"/>
      <c r="G23" s="569"/>
      <c r="H23" s="569"/>
      <c r="I23" s="569"/>
      <c r="J23" s="569"/>
      <c r="K23" s="569"/>
      <c r="L23" s="569"/>
      <c r="M23" s="563" t="str">
        <f>AG23</f>
        <v>4/4/4</v>
      </c>
      <c r="N23" s="563"/>
      <c r="O23" s="563"/>
      <c r="P23" s="563"/>
      <c r="Q23" s="563"/>
      <c r="R23" s="563"/>
      <c r="S23" s="563" t="str">
        <f>AK23</f>
        <v>2/2/2</v>
      </c>
      <c r="T23" s="563"/>
      <c r="U23" s="563"/>
      <c r="V23" s="563"/>
      <c r="W23" s="563"/>
      <c r="X23" s="563"/>
      <c r="Y23" s="563" t="str">
        <f>AO23</f>
        <v>5/5/5</v>
      </c>
      <c r="Z23" s="564"/>
      <c r="AA23" s="564"/>
      <c r="AB23" s="564"/>
      <c r="AC23" s="564"/>
      <c r="AD23" s="564"/>
      <c r="AE23" s="257"/>
      <c r="AG23" s="258" t="s">
        <v>21041</v>
      </c>
      <c r="AH23" s="259"/>
      <c r="AI23" s="259"/>
      <c r="AJ23" s="259"/>
      <c r="AK23" s="258" t="s">
        <v>21042</v>
      </c>
      <c r="AL23" s="259"/>
      <c r="AM23" s="259"/>
      <c r="AN23" s="259"/>
      <c r="AO23" s="258" t="s">
        <v>21043</v>
      </c>
      <c r="AP23" s="259"/>
      <c r="AQ23" s="259"/>
      <c r="AR23" s="259"/>
      <c r="AS23" s="258" t="s">
        <v>21044</v>
      </c>
    </row>
    <row r="24" ht="31.35" customHeight="1">
      <c r="C24" s="570" t="s">
        <v>21045</v>
      </c>
      <c r="D24" s="571"/>
      <c r="E24" s="571"/>
      <c r="F24" s="571"/>
      <c r="G24" s="571"/>
      <c r="H24" s="571"/>
      <c r="I24" s="571"/>
      <c r="J24" s="571"/>
      <c r="K24" s="571"/>
      <c r="L24" s="572"/>
      <c r="M24" s="565" t="str">
        <f>IF(M22=4,AG24&amp;"W/ "&amp;AH24&amp;"W/ "&amp;AI24&amp;"W/ "&amp;AK24&amp;"W",IF(M22=3,AG24&amp;"W/ "&amp;AH24&amp;"W/ "&amp;AI24&amp;"W",IF(M22=2,AG24&amp;"W/ "&amp;AH24&amp;"W",AG24&amp;"W")))</f>
        <v>20W/ 20W/ 20W</v>
      </c>
      <c r="N24" s="565"/>
      <c r="O24" s="565"/>
      <c r="P24" s="565"/>
      <c r="Q24" s="565"/>
      <c r="R24" s="565"/>
      <c r="S24" s="565" t="str">
        <f>IF(S22=4,AK24&amp;"W/ "&amp;AL24&amp;"W/ "&amp;AM24&amp;"W/ "&amp;AN24&amp;"W",IF(S22=3,AK24&amp;"W/ "&amp;AL24&amp;"W/ "&amp;AM24&amp;"W",IF(S22=2,AK24&amp;"W/ "&amp;AL24&amp;"W",AK24&amp;"W")))</f>
        <v>40W/ 40W/ 40W</v>
      </c>
      <c r="T24" s="565"/>
      <c r="U24" s="565"/>
      <c r="V24" s="565"/>
      <c r="W24" s="565"/>
      <c r="X24" s="565"/>
      <c r="Y24" s="565" t="str">
        <f>IF(Y22=4,AO24&amp;"W/ "&amp;AP24&amp;"W/ "&amp;AQ24&amp;"W/ "&amp;AR24&amp;"W",IF(Y22=3,AO24&amp;"W/ "&amp;AP24&amp;"W/ "&amp;AQ24&amp;"W",IF(Y22=2,AO24&amp;"W/ "&amp;AP24&amp;"W",AO24&amp;"W")))</f>
        <v>60W/ 60W/ 60W</v>
      </c>
      <c r="Z24" s="565"/>
      <c r="AA24" s="565"/>
      <c r="AB24" s="565"/>
      <c r="AC24" s="565"/>
      <c r="AD24" s="565"/>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9" t="s">
        <v>21046</v>
      </c>
      <c r="D25" s="569"/>
      <c r="E25" s="569"/>
      <c r="F25" s="569"/>
      <c r="G25" s="569"/>
      <c r="H25" s="569"/>
      <c r="I25" s="569"/>
      <c r="J25" s="569"/>
      <c r="K25" s="569"/>
      <c r="L25" s="569"/>
      <c r="M25" s="564" t="str">
        <f>IF(AG25="900 &amp; 1800","900MHz &amp; 1800MHz",IF(AG25="900 &amp; 2100","900MHz &amp; 2100MHz",AG25&amp;"MHz"))</f>
        <v>900MHz</v>
      </c>
      <c r="N25" s="564"/>
      <c r="O25" s="564"/>
      <c r="P25" s="564"/>
      <c r="Q25" s="564"/>
      <c r="R25" s="564"/>
      <c r="S25" s="564" t="str">
        <f>IF(AK25="900 &amp; 1800","900MHz &amp; 1800MHz",IF(AK25="900 &amp; 2100","900MHz &amp; 2100MHz",AK25&amp;"MHz"))</f>
        <v>1800MHz</v>
      </c>
      <c r="T25" s="564"/>
      <c r="U25" s="564"/>
      <c r="V25" s="564"/>
      <c r="W25" s="564"/>
      <c r="X25" s="564"/>
      <c r="Y25" s="564" t="str">
        <f>IF(AO25="900 &amp; 1800","900MHz &amp; 1800MHz",IF(AO25="900 &amp; 2100","900MHz &amp; 2100MHz",AO25&amp;"MHz"))</f>
        <v>2100MHz</v>
      </c>
      <c r="Z25" s="564"/>
      <c r="AA25" s="564"/>
      <c r="AB25" s="564"/>
      <c r="AC25" s="564"/>
      <c r="AD25" s="564"/>
      <c r="AE25" s="252"/>
      <c r="AG25" s="219">
        <v>900</v>
      </c>
      <c r="AK25" s="219">
        <v>1800</v>
      </c>
      <c r="AO25" s="219">
        <v>2100</v>
      </c>
      <c r="AS25" s="248" t="s">
        <v>21229</v>
      </c>
    </row>
    <row r="26" ht="31.35" customHeight="1">
      <c r="C26" s="569" t="s">
        <v>21236</v>
      </c>
      <c r="D26" s="569"/>
      <c r="E26" s="569"/>
      <c r="F26" s="569"/>
      <c r="G26" s="569"/>
      <c r="H26" s="569"/>
      <c r="I26" s="569"/>
      <c r="J26" s="569"/>
      <c r="K26" s="569"/>
      <c r="L26" s="569"/>
      <c r="M26" s="564">
        <f>AG26</f>
        <v>15</v>
      </c>
      <c r="N26" s="564"/>
      <c r="O26" s="564"/>
      <c r="P26" s="564"/>
      <c r="Q26" s="564"/>
      <c r="R26" s="564"/>
      <c r="S26" s="564">
        <f>AK26</f>
        <v>16</v>
      </c>
      <c r="T26" s="564"/>
      <c r="U26" s="564"/>
      <c r="V26" s="564"/>
      <c r="W26" s="564"/>
      <c r="X26" s="564"/>
      <c r="Y26" s="564">
        <f>AO26</f>
        <v>17</v>
      </c>
      <c r="Z26" s="564"/>
      <c r="AA26" s="564"/>
      <c r="AB26" s="564"/>
      <c r="AC26" s="564"/>
      <c r="AD26" s="564"/>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5.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5.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24" t="str">
        <f>IF(AG31=1,AO31,IF(AG31=2,AO30))</f>
        <v>Giới hạn an toàn: là khoảng chiều cao trên cột anten tính từ điểm có độ cao 20m so với mặt đất trở lên.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5.7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IF(AI41=0,AO34,IF(AI41=1,AK34,AS34))</f>
        <v>KT. GIÁM ĐỐC</v>
      </c>
      <c r="U34" s="548"/>
      <c r="V34" s="548"/>
      <c r="W34" s="548"/>
      <c r="X34" s="548"/>
      <c r="Y34" s="548"/>
      <c r="Z34" s="548"/>
      <c r="AA34" s="548"/>
      <c r="AB34" s="548"/>
      <c r="AC34" s="548"/>
      <c r="AD34" s="548"/>
      <c r="AE34" s="548"/>
      <c r="AK34" s="219" t="s">
        <v>21054</v>
      </c>
      <c r="AO34" s="219" t="s">
        <v>21055</v>
      </c>
      <c r="AS34" s="219" t="s">
        <v>21056</v>
      </c>
    </row>
    <row r="35" ht="17.1" customHeight="1">
      <c r="C35" s="549" t="s">
        <v>21057</v>
      </c>
      <c r="D35" s="549"/>
      <c r="E35" s="549"/>
      <c r="F35" s="549"/>
      <c r="G35" s="549"/>
      <c r="H35" s="275" t="s">
        <v>21058</v>
      </c>
      <c r="I35" s="551" t="s">
        <v>21059</v>
      </c>
      <c r="J35" s="551"/>
      <c r="K35" s="551"/>
      <c r="L35" s="551"/>
      <c r="M35" s="551"/>
      <c r="N35" s="551"/>
      <c r="O35" s="264"/>
      <c r="P35" s="264"/>
      <c r="Q35" s="260"/>
      <c r="R35" s="260"/>
      <c r="S35" s="260"/>
      <c r="T35" s="548" t="str">
        <f>IF(AI41=0,AO35,IF(AI41=1,"",AS35))</f>
        <v>PHÓ GIÁM ĐỐC</v>
      </c>
      <c r="U35" s="548"/>
      <c r="V35" s="548"/>
      <c r="W35" s="548"/>
      <c r="X35" s="548"/>
      <c r="Y35" s="548"/>
      <c r="Z35" s="548"/>
      <c r="AA35" s="548"/>
      <c r="AB35" s="548"/>
      <c r="AC35" s="548"/>
      <c r="AD35" s="548"/>
      <c r="AE35" s="548"/>
      <c r="AO35" s="219" t="s">
        <v>21060</v>
      </c>
      <c r="AS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row>
    <row r="45" ht="16.5" customHeight="1">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12" t="str">
        <f>AL49</f>
        <v>4/4/4</v>
      </c>
      <c r="O49" s="512"/>
      <c r="P49" s="51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12" t="str">
        <f>AL53</f>
        <v>4/4/4</v>
      </c>
      <c r="O53" s="512"/>
      <c r="P53" s="51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12" t="str">
        <f>AL57</f>
        <v>4/4/4</v>
      </c>
      <c r="O57" s="512"/>
      <c r="P57" s="51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12" t="str">
        <f>AL61</f>
        <v>4/4/4</v>
      </c>
      <c r="O61" s="512"/>
      <c r="P61" s="51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H49:K52"/>
    <mergeCell ref="Q49:U52"/>
    <mergeCell ref="V49:X52"/>
    <mergeCell ref="L49:M52"/>
    <mergeCell ref="N45:P48"/>
    <mergeCell ref="Q45:U48"/>
    <mergeCell ref="T39:AE39"/>
    <mergeCell ref="H43:AD44"/>
    <mergeCell ref="T41:AE41"/>
    <mergeCell ref="Y45:AD48"/>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44" t="s">
        <v>21018</v>
      </c>
      <c r="C1" s="544"/>
      <c r="D1" s="544"/>
      <c r="E1" s="544"/>
      <c r="F1" s="544"/>
      <c r="G1" s="544"/>
      <c r="H1" s="544"/>
      <c r="I1" s="544"/>
      <c r="J1" s="544"/>
      <c r="K1" s="544"/>
      <c r="L1" s="544"/>
      <c r="M1" s="544"/>
      <c r="N1" s="544"/>
      <c r="O1" s="247"/>
      <c r="P1" s="535" t="s">
        <v>21231</v>
      </c>
      <c r="Q1" s="535"/>
      <c r="R1" s="535"/>
      <c r="S1" s="535"/>
      <c r="T1" s="535"/>
      <c r="U1" s="535"/>
      <c r="V1" s="535"/>
      <c r="W1" s="535"/>
      <c r="X1" s="535"/>
      <c r="Y1" s="535"/>
      <c r="Z1" s="535"/>
      <c r="AA1" s="535"/>
      <c r="AB1" s="535"/>
      <c r="AC1" s="535"/>
      <c r="AD1" s="535"/>
      <c r="AE1" s="535"/>
    </row>
    <row r="2" ht="19.7" customHeight="1">
      <c r="C2" s="544" t="s">
        <v>21020</v>
      </c>
      <c r="D2" s="544"/>
      <c r="E2" s="544"/>
      <c r="F2" s="544"/>
      <c r="G2" s="544"/>
      <c r="H2" s="544"/>
      <c r="I2" s="544"/>
      <c r="J2" s="544"/>
      <c r="K2" s="544"/>
      <c r="L2" s="544"/>
      <c r="M2" s="544"/>
      <c r="N2" s="270"/>
      <c r="O2" s="247"/>
      <c r="P2" s="544" t="s">
        <v>21232</v>
      </c>
      <c r="Q2" s="544"/>
      <c r="R2" s="544"/>
      <c r="S2" s="544"/>
      <c r="T2" s="544"/>
      <c r="U2" s="544"/>
      <c r="V2" s="544"/>
      <c r="W2" s="544"/>
      <c r="X2" s="544"/>
      <c r="Y2" s="544"/>
      <c r="Z2" s="544"/>
      <c r="AA2" s="544"/>
      <c r="AB2" s="544"/>
      <c r="AC2" s="544"/>
      <c r="AD2" s="544"/>
      <c r="AE2" s="544"/>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c r="AE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c r="AE7" s="537"/>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44" t="str">
        <f>"Số: "&amp;AI9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E9" s="544"/>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c r="AE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c r="AE12" s="537"/>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65" t="s">
        <v>21023</v>
      </c>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5"/>
      <c r="AE15" s="565"/>
      <c r="AF15" s="565"/>
      <c r="AG15" s="278"/>
      <c r="AH15" s="278"/>
      <c r="AI15" s="253">
        <v>1</v>
      </c>
      <c r="AJ15" s="253"/>
      <c r="AK15" s="253"/>
      <c r="AL15" s="253"/>
      <c r="AM15" s="253">
        <v>2</v>
      </c>
      <c r="AN15" s="253"/>
      <c r="AO15" s="253"/>
      <c r="AP15" s="253"/>
      <c r="AQ15" s="253">
        <v>3</v>
      </c>
      <c r="AU15" s="219">
        <v>4</v>
      </c>
    </row>
    <row r="16" ht="38.25" customHeight="1">
      <c r="C16" s="566" t="s">
        <v>21027</v>
      </c>
      <c r="D16" s="567"/>
      <c r="E16" s="567"/>
      <c r="F16" s="567"/>
      <c r="G16" s="567"/>
      <c r="H16" s="567"/>
      <c r="I16" s="567"/>
      <c r="J16" s="567"/>
      <c r="K16" s="567"/>
      <c r="L16" s="568"/>
      <c r="M16" s="583" t="str">
        <f>AI16</f>
        <v>Ấp Bàu Trâu, xã Phước Thạnh, huyện Củ Chi, thành phố Hồ Chí Minh.</v>
      </c>
      <c r="N16" s="584"/>
      <c r="O16" s="584"/>
      <c r="P16" s="584"/>
      <c r="Q16" s="584"/>
      <c r="R16" s="584"/>
      <c r="S16" s="584"/>
      <c r="T16" s="584"/>
      <c r="U16" s="584"/>
      <c r="V16" s="584"/>
      <c r="W16" s="584"/>
      <c r="X16" s="584"/>
      <c r="Y16" s="584"/>
      <c r="Z16" s="584"/>
      <c r="AA16" s="584"/>
      <c r="AB16" s="584"/>
      <c r="AC16" s="584"/>
      <c r="AD16" s="584"/>
      <c r="AE16" s="584"/>
      <c r="AF16" s="585"/>
      <c r="AG16" s="279"/>
      <c r="AH16" s="279"/>
      <c r="AI16" s="273" t="s">
        <v>21028</v>
      </c>
    </row>
    <row r="17" ht="22.5" customHeight="1">
      <c r="C17" s="587" t="s">
        <v>21029</v>
      </c>
      <c r="D17" s="588"/>
      <c r="E17" s="588"/>
      <c r="F17" s="588"/>
      <c r="G17" s="588"/>
      <c r="H17" s="588"/>
      <c r="I17" s="588"/>
      <c r="J17" s="588"/>
      <c r="K17" s="588"/>
      <c r="L17" s="589"/>
      <c r="M17" s="577" t="str">
        <f>IF(AG17="","",AG17)</f>
      </c>
      <c r="N17" s="578"/>
      <c r="O17" s="578"/>
      <c r="P17" s="578"/>
      <c r="Q17" s="578"/>
      <c r="R17" s="578"/>
      <c r="S17" s="578"/>
      <c r="T17" s="578"/>
      <c r="U17" s="578"/>
      <c r="V17" s="578"/>
      <c r="W17" s="578"/>
      <c r="X17" s="578"/>
      <c r="Y17" s="578"/>
      <c r="Z17" s="578"/>
      <c r="AA17" s="578"/>
      <c r="AB17" s="578"/>
      <c r="AC17" s="578"/>
      <c r="AD17" s="578"/>
      <c r="AE17" s="578"/>
      <c r="AF17" s="579"/>
      <c r="AG17" s="279"/>
      <c r="AH17" s="279"/>
    </row>
    <row r="18" ht="31.35" customHeight="1">
      <c r="C18" s="591" t="s">
        <v>21030</v>
      </c>
      <c r="D18" s="592"/>
      <c r="E18" s="592"/>
      <c r="F18" s="592"/>
      <c r="G18" s="592"/>
      <c r="H18" s="592"/>
      <c r="I18" s="592"/>
      <c r="J18" s="592"/>
      <c r="K18" s="592"/>
      <c r="L18" s="592"/>
      <c r="M18" s="564" t="str">
        <f>AI18</f>
        <v>CÔNG TY CỔ PHẦN VIỄN THÔNG DI ĐỘNG TOÀN CẦU</v>
      </c>
      <c r="N18" s="564"/>
      <c r="O18" s="564"/>
      <c r="P18" s="564"/>
      <c r="Q18" s="564"/>
      <c r="R18" s="564"/>
      <c r="S18" s="564"/>
      <c r="T18" s="564"/>
      <c r="U18" s="564"/>
      <c r="V18" s="564"/>
      <c r="W18" s="564"/>
      <c r="X18" s="564"/>
      <c r="Y18" s="564"/>
      <c r="Z18" s="564"/>
      <c r="AA18" s="564"/>
      <c r="AB18" s="564"/>
      <c r="AC18" s="564"/>
      <c r="AD18" s="564"/>
      <c r="AE18" s="564"/>
      <c r="AF18" s="564"/>
      <c r="AG18" s="279"/>
      <c r="AH18" s="279"/>
      <c r="AI18" s="248" t="s">
        <v>21031</v>
      </c>
    </row>
    <row r="19" ht="31.35" customHeight="1">
      <c r="C19" s="591" t="s">
        <v>21032</v>
      </c>
      <c r="D19" s="592"/>
      <c r="E19" s="592"/>
      <c r="F19" s="592"/>
      <c r="G19" s="592"/>
      <c r="H19" s="592"/>
      <c r="I19" s="592"/>
      <c r="J19" s="592"/>
      <c r="K19" s="592"/>
      <c r="L19" s="592"/>
      <c r="M19" s="564" t="str">
        <f>AI19</f>
        <v>CÔNG TY CỔ PHẦN VIỄN THÔNG DI ĐỘNG TOÀN CẦU</v>
      </c>
      <c r="N19" s="564"/>
      <c r="O19" s="564"/>
      <c r="P19" s="564"/>
      <c r="Q19" s="564"/>
      <c r="R19" s="564"/>
      <c r="S19" s="564"/>
      <c r="T19" s="564"/>
      <c r="U19" s="564"/>
      <c r="V19" s="564"/>
      <c r="W19" s="564"/>
      <c r="X19" s="564"/>
      <c r="Y19" s="564"/>
      <c r="Z19" s="564"/>
      <c r="AA19" s="564"/>
      <c r="AB19" s="564"/>
      <c r="AC19" s="564"/>
      <c r="AD19" s="564"/>
      <c r="AE19" s="564"/>
      <c r="AF19" s="564"/>
      <c r="AG19" s="279"/>
      <c r="AH19" s="279"/>
      <c r="AI19" s="248" t="s">
        <v>21031</v>
      </c>
    </row>
    <row r="20" ht="18.75" customHeight="1">
      <c r="C20" s="580" t="s">
        <v>21033</v>
      </c>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2"/>
      <c r="AG20" s="280"/>
      <c r="AH20" s="280"/>
    </row>
    <row r="21" ht="45.2" customHeight="1">
      <c r="C21" s="569" t="s">
        <v>21034</v>
      </c>
      <c r="D21" s="569"/>
      <c r="E21" s="569"/>
      <c r="F21" s="569"/>
      <c r="G21" s="569"/>
      <c r="H21" s="569"/>
      <c r="I21" s="569"/>
      <c r="J21" s="569"/>
      <c r="K21" s="569"/>
      <c r="L21" s="569"/>
      <c r="M21" s="564" t="str">
        <f ref="M21:M23" t="shared" si="0">AI21</f>
        <v>A</v>
      </c>
      <c r="N21" s="564"/>
      <c r="O21" s="564"/>
      <c r="P21" s="564"/>
      <c r="Q21" s="564"/>
      <c r="R21" s="564" t="str">
        <f ref="R21:R23" t="shared" si="1">AM21</f>
        <v>B</v>
      </c>
      <c r="S21" s="564"/>
      <c r="T21" s="564"/>
      <c r="U21" s="564"/>
      <c r="V21" s="564"/>
      <c r="W21" s="564" t="str">
        <f>AQ21</f>
        <v>C</v>
      </c>
      <c r="X21" s="564"/>
      <c r="Y21" s="564"/>
      <c r="Z21" s="564"/>
      <c r="AA21" s="564"/>
      <c r="AB21" s="564" t="str">
        <f>AU21</f>
        <v>D</v>
      </c>
      <c r="AC21" s="564"/>
      <c r="AD21" s="564"/>
      <c r="AE21" s="564"/>
      <c r="AF21" s="564"/>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4">
        <f>AI22</f>
        <v>3</v>
      </c>
      <c r="N22" s="564"/>
      <c r="O22" s="564"/>
      <c r="P22" s="564"/>
      <c r="Q22" s="564"/>
      <c r="R22" s="564">
        <f>AM22</f>
        <v>3</v>
      </c>
      <c r="S22" s="564"/>
      <c r="T22" s="564"/>
      <c r="U22" s="564"/>
      <c r="V22" s="564"/>
      <c r="W22" s="564">
        <f>AQ22</f>
        <v>3</v>
      </c>
      <c r="X22" s="564"/>
      <c r="Y22" s="564"/>
      <c r="Z22" s="564"/>
      <c r="AA22" s="564"/>
      <c r="AB22" s="564">
        <f>AU22</f>
        <v>1</v>
      </c>
      <c r="AC22" s="564"/>
      <c r="AD22" s="564"/>
      <c r="AE22" s="564"/>
      <c r="AF22" s="564"/>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86" t="str">
        <f t="shared" si="0"/>
        <v>4/4/4</v>
      </c>
      <c r="N23" s="586"/>
      <c r="O23" s="586"/>
      <c r="P23" s="586"/>
      <c r="Q23" s="586"/>
      <c r="R23" s="586" t="str">
        <f t="shared" si="1"/>
        <v>2/2/2</v>
      </c>
      <c r="S23" s="586"/>
      <c r="T23" s="586"/>
      <c r="U23" s="586"/>
      <c r="V23" s="586"/>
      <c r="W23" s="590" t="str">
        <f>AQ23</f>
        <v>5/5/5</v>
      </c>
      <c r="X23" s="586"/>
      <c r="Y23" s="586"/>
      <c r="Z23" s="586"/>
      <c r="AA23" s="586"/>
      <c r="AB23" s="590"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9" t="s">
        <v>21048</v>
      </c>
      <c r="D26" s="569"/>
      <c r="E26" s="569"/>
      <c r="F26" s="569"/>
      <c r="G26" s="569"/>
      <c r="H26" s="569"/>
      <c r="I26" s="569"/>
      <c r="J26" s="569"/>
      <c r="K26" s="569"/>
      <c r="L26" s="569"/>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3" t="s">
        <v>21049</v>
      </c>
      <c r="D27" s="593"/>
      <c r="E27" s="593"/>
      <c r="F27" s="593"/>
      <c r="G27" s="593"/>
      <c r="H27" s="593"/>
      <c r="I27" s="593"/>
      <c r="J27" s="593"/>
      <c r="K27" s="593"/>
      <c r="L27" s="593"/>
      <c r="M27" s="593"/>
      <c r="N27" s="593"/>
      <c r="O27" s="593"/>
      <c r="P27" s="593"/>
      <c r="Q27" s="593"/>
      <c r="R27" s="593"/>
      <c r="S27" s="593"/>
      <c r="T27" s="593"/>
      <c r="U27" s="593"/>
      <c r="V27" s="593"/>
      <c r="W27" s="593"/>
      <c r="X27" s="593"/>
      <c r="Y27" s="593"/>
      <c r="Z27" s="593"/>
      <c r="AA27" s="593"/>
      <c r="AB27" s="260"/>
      <c r="AC27" s="260"/>
      <c r="AD27" s="260"/>
    </row>
    <row r="28" ht="27" customHeight="1">
      <c r="C28" s="53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I28" s="219">
        <v>20</v>
      </c>
      <c r="AQ28" s="219" t="s">
        <v>21050</v>
      </c>
    </row>
    <row r="29" ht="27"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E29" s="534"/>
      <c r="AF29" s="53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24" t="str">
        <f>IF(AI31=1,AQ31,AQ30)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E30" s="524"/>
      <c r="AF30" s="524"/>
      <c r="AI30" s="219">
        <v>20</v>
      </c>
      <c r="AQ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E31" s="524"/>
      <c r="AF31" s="52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c r="AE32" s="513"/>
      <c r="AF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513"/>
      <c r="AF33" s="513"/>
    </row>
    <row r="34" ht="17.1" customHeight="1">
      <c r="C34" s="553"/>
      <c r="D34" s="553"/>
      <c r="E34" s="553"/>
      <c r="F34" s="553"/>
      <c r="G34" s="553"/>
      <c r="H34" s="260"/>
      <c r="I34" s="554"/>
      <c r="J34" s="554"/>
      <c r="K34" s="554"/>
      <c r="L34" s="554"/>
      <c r="M34" s="554"/>
      <c r="N34" s="554"/>
      <c r="O34" s="554"/>
      <c r="P34" s="234"/>
      <c r="Q34" s="234"/>
      <c r="R34" s="234"/>
      <c r="S34" s="234"/>
      <c r="T34" s="548" t="str">
        <f>IF(AI41=0,AO34,IF(AI41=1,AK34,AS34))</f>
        <v>KT. GIÁM ĐỐC</v>
      </c>
      <c r="U34" s="548"/>
      <c r="V34" s="548"/>
      <c r="W34" s="548"/>
      <c r="X34" s="548"/>
      <c r="Y34" s="548"/>
      <c r="Z34" s="548"/>
      <c r="AA34" s="548"/>
      <c r="AB34" s="548"/>
      <c r="AC34" s="548"/>
      <c r="AD34" s="548"/>
      <c r="AE34" s="548"/>
      <c r="AF34" s="548"/>
      <c r="AK34" s="219" t="s">
        <v>21054</v>
      </c>
      <c r="AO34" s="219" t="s">
        <v>21055</v>
      </c>
      <c r="AS34" s="219" t="s">
        <v>21056</v>
      </c>
    </row>
    <row r="35" ht="17.1" customHeight="1">
      <c r="C35" s="549" t="s">
        <v>21057</v>
      </c>
      <c r="D35" s="549"/>
      <c r="E35" s="549"/>
      <c r="F35" s="549"/>
      <c r="G35" s="549"/>
      <c r="H35" s="263" t="s">
        <v>21058</v>
      </c>
      <c r="I35" s="551" t="s">
        <v>21059</v>
      </c>
      <c r="J35" s="551"/>
      <c r="K35" s="551"/>
      <c r="L35" s="551"/>
      <c r="M35" s="551"/>
      <c r="N35" s="551"/>
      <c r="O35" s="551"/>
      <c r="P35" s="264"/>
      <c r="Q35" s="260"/>
      <c r="R35" s="260"/>
      <c r="S35" s="260"/>
      <c r="T35" s="548" t="str">
        <f>IF(AI41=0,AO35,IF(AI41=1,"",AS35))</f>
        <v>PHÓ GIÁM ĐỐC</v>
      </c>
      <c r="U35" s="548"/>
      <c r="V35" s="548"/>
      <c r="W35" s="548"/>
      <c r="X35" s="548"/>
      <c r="Y35" s="548"/>
      <c r="Z35" s="548"/>
      <c r="AA35" s="548"/>
      <c r="AB35" s="548"/>
      <c r="AC35" s="548"/>
      <c r="AD35" s="548"/>
      <c r="AE35" s="548"/>
      <c r="AF35" s="548"/>
      <c r="AO35" s="219" t="s">
        <v>21060</v>
      </c>
      <c r="AS35" s="219" t="s">
        <v>21061</v>
      </c>
    </row>
    <row r="36" ht="17.1" customHeight="1">
      <c r="C36" s="549" t="s">
        <v>21062</v>
      </c>
      <c r="D36" s="549"/>
      <c r="E36" s="549"/>
      <c r="F36" s="549"/>
      <c r="G36" s="549"/>
      <c r="H36" s="263" t="s">
        <v>21058</v>
      </c>
      <c r="I36" s="550">
        <f>AI36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49" t="s">
        <v>21063</v>
      </c>
      <c r="D37" s="549"/>
      <c r="E37" s="549"/>
      <c r="F37" s="549"/>
      <c r="G37" s="549"/>
      <c r="H37" s="263" t="s">
        <v>21058</v>
      </c>
      <c r="I37" s="550">
        <f>AI37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F41" s="535"/>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c r="AE43" s="518"/>
      <c r="AF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c r="AE44" s="518"/>
      <c r="AF44" s="518"/>
    </row>
    <row r="45" ht="16.5" customHeight="1">
      <c r="B45" s="517"/>
      <c r="C45" s="517"/>
      <c r="D45" s="517"/>
      <c r="E45" s="517"/>
      <c r="F45" s="517"/>
      <c r="G45" s="517"/>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1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1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1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1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1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C15:AF15"/>
    <mergeCell ref="B1:N1"/>
    <mergeCell ref="P1:AE1"/>
    <mergeCell ref="P2:AE2"/>
    <mergeCell ref="C6:AE6"/>
    <mergeCell ref="C7:AE7"/>
    <mergeCell ref="C2:M2"/>
    <mergeCell ref="C9:AE9"/>
    <mergeCell ref="C11:AE11"/>
    <mergeCell ref="C12:AE12"/>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2020-09-21T04:38:42Z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