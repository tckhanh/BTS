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8"/>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<sst xmlns="http://schemas.openxmlformats.org/spreadsheetml/2006/main" count="22426" uniqueCount="22426">
  <si>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</si>
  <si>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</si>
  <si>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</si>
  <si>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</si>
  <si>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</si>
  <si>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</si>
  <si>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</si>
  <si>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</si>
  <si>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</si>
  <si>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</si>
  <si>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</si>
  <si>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</si>
  <si>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</si>
  <si>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</si>
  <si>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</si>
  <si>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</si>
  <si>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</si>
  <si>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</si>
  <si>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</si>
  <si>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</si>
  <si>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</si>
  <si>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</si>
  <si>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</si>
  <si>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</si>
  <si>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</si>
  <si>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</si>
  <si>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</si>
  <si>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</si>
  <si>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</si>
  <si>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</si>
  <si>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</si>
  <si>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</si>
  <si>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</si>
  <si>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</si>
  <si>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</si>
  <si>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</si>
  <si>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</si>
  <si>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</si>
  <si>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</si>
  <si>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</si>
  <si>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</si>
  <si>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</si>
  <si>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</si>
  <si>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</si>
  <si>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</si>
  <si>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</si>
  <si>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</si>
  <si>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</si>
  <si>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</si>
  <si>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</si>
  <si>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</si>
  <si>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</si>
  <si>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</si>
  <si>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</si>
  <si>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</si>
  <si>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</si>
  <si>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</si>
  <si>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</si>
  <si>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</si>
  <si>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</si>
  <si>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</si>
  <si>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</si>
  <si>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</si>
  <si>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</si>
  <si>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</si>
  <si>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</si>
  <si>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</si>
  <si>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</si>
  <si>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</si>
  <si>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</si>
  <si>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</si>
  <si>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</si>
  <si>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</si>
  <si>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</si>
  <si>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</si>
  <si>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</si>
  <si>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</si>
  <si>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</si>
  <si>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</si>
  <si>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</si>
  <si>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</si>
  <si>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</si>
  <si>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</si>
  <si>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</si>
  <si>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</si>
  <si>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</si>
  <si>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</si>
  <si>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</si>
  <si>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</si>
  <si>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</si>
  <si>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</si>
  <si>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</si>
  <si>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</si>
  <si>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</si>
  <si>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</si>
  <si>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</si>
  <si>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</si>
  <si>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</si>
  <si>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</si>
  <si>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</si>
  <si>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</si>
  <si>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</si>
  <si>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</si>
  <si>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</si>
  <si>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</si>
  <si>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</si>
  <si>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</si>
  <si>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</si>
  <si>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</si>
  <si>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</si>
  <si>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</si>
  <si>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</si>
  <si>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</si>
  <si>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</si>
  <si>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</si>
  <si>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</si>
  <si>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</si>
  <si>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</si>
  <si>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</si>
  <si>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</si>
  <si>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</si>
  <si>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</si>
  <si>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</si>
  <si>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</si>
  <si>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</si>
  <si>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</si>
  <si>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</si>
  <si>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</si>
  <si>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</si>
  <si>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</si>
  <si>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</si>
  <si>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</si>
  <si>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</si>
  <si>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</si>
  <si>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</si>
  <si>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</si>
  <si>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</si>
  <si>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</si>
  <si>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</si>
  <si>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</si>
  <si>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</si>
  <si>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</si>
  <si>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</si>
  <si>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</si>
  <si>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</si>
  <si>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</si>
  <si>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</si>
  <si>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</si>
  <si>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</si>
  <si>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</si>
  <si>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</si>
  <si>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</si>
  <si>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</si>
  <si>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</si>
  <si>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</si>
  <si>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</si>
  <si>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</si>
  <si>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</si>
  <si>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</si>
  <si>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</si>
  <si>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</si>
  <si>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</si>
  <si>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</si>
  <si>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</si>
  <si>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</si>
  <si>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</si>
  <si>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</si>
  <si>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</si>
  <si>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</si>
  <si>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</si>
  <si>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</si>
  <si>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</si>
  <si>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</si>
  <si>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</si>
  <si>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</si>
  <si>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</si>
  <si>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</si>
  <si>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</si>
  <si>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</si>
  <si>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</si>
  <si>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</si>
  <si>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</si>
  <si>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</si>
  <si>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</si>
  <si>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</si>
  <si>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</si>
  <si>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</si>
  <si>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</si>
  <si>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</si>
  <si>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</si>
  <si>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</si>
  <si>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</si>
  <si>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</si>
  <si>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</si>
  <si>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</si>
  <si>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</si>
  <si>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</si>
  <si>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</si>
  <si>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</si>
  <si>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</si>
  <si>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</si>
  <si>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</si>
  <si>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</si>
  <si>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</si>
  <si>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</si>
  <si>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</si>
  <si>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</si>
  <si>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</si>
  <si>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</si>
  <si>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</si>
  <si>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</si>
  <si>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</si>
  <si>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</si>
  <si>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</si>
  <si>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</si>
  <si>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</si>
  <si>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</si>
  <si>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</si>
  <si>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</si>
  <si>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</si>
  <si>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</si>
  <si>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</si>
  <si>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</si>
  <si>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</si>
  <si>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</si>
  <si>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</si>
  <si>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</si>
  <si>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</si>
  <si>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</si>
  <si>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</si>
  <si>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</si>
  <si>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</si>
  <si>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</si>
  <si>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</si>
  <si>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</si>
  <si>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</si>
  <si>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</si>
  <si>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</si>
  <si>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</si>
  <si>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</si>
  <si>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</si>
  <si>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</si>
  <si>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</si>
  <si>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</si>
  <si>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</si>
  <si>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</si>
  <si>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</si>
  <si>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</si>
  <si>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</si>
  <si>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</si>
  <si>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</si>
  <si>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</si>
  <si>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</si>
  <si>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</si>
  <si>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</si>
  <si>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</si>
  <si>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</si>
  <si>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</si>
  <si>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</si>
  <si>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</si>
  <si>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</si>
  <si>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</si>
  <si>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</si>
  <si>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</si>
  <si>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</si>
  <si>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</si>
  <si>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</si>
  <si>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</si>
  <si>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</si>
  <si>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</si>
  <si>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</si>
  <si>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</si>
  <si>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</si>
  <si>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</si>
  <si>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</si>
  <si>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</si>
  <si>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</si>
  <si>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</si>
  <si>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</si>
  <si>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</si>
  <si>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</si>
  <si>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</si>
  <si>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</si>
  <si>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</si>
  <si>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</si>
  <si>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</si>
  <si>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</si>
  <si>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</si>
  <si>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</si>
  <si>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</si>
  <si>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</si>
  <si>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</si>
  <si>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</si>
  <si>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</si>
  <si>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</si>
  <si>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</si>
  <si>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</si>
  <si>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</si>
  <si>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</si>
  <si>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</si>
  <si>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</si>
  <si>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</si>
  <si>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</si>
  <si>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</si>
  <si>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</si>
  <si>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</si>
  <si>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</si>
  <si>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</si>
  <si>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</si>
  <si>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</si>
  <si>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</si>
  <si>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</si>
  <si>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</si>
  <si>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</si>
  <si>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</si>
  <si>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</si>
  <si>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</si>
  <si>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</si>
  <si>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</si>
  <si>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</si>
  <si>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</si>
  <si>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</si>
  <si>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</si>
  <si>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</si>
  <si>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</si>
  <si>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</si>
  <si>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</si>
  <si>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</si>
  <si>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</si>
  <si>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</si>
  <si>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</si>
  <si>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</si>
  <si>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</si>
  <si>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</si>
  <si>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</si>
  <si>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</si>
  <si>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</si>
  <si>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</si>
  <si>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</si>
  <si>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</si>
  <si>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</si>
  <si>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</si>
  <si>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</si>
  <si>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</si>
  <si>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</si>
  <si>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</si>
  <si>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</si>
  <si>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</si>
  <si>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</si>
  <si>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</si>
  <si>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</si>
  <si>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</si>
  <si>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</si>
  <si>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</si>
  <si>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</si>
  <si>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</si>
  <si>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</si>
  <si>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</si>
  <si>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</si>
  <si>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</si>
  <si>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</si>
  <si>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</si>
  <si>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</si>
  <si>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</si>
  <si>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</si>
  <si>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</si>
  <si>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</si>
  <si>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</si>
  <si>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</si>
  <si>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</si>
  <si>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</si>
  <si>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</si>
  <si>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</si>
  <si>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</si>
  <si>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</si>
  <si>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</si>
  <si>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</si>
  <si>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</si>
  <si>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</si>
  <si>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</si>
  <si>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</si>
  <si>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</si>
  <si>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</si>
  <si>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</si>
  <si>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</si>
  <si>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</si>
  <si>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</si>
  <si>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</si>
  <si>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</si>
  <si>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</si>
  <si>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</si>
  <si>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</si>
  <si>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</si>
  <si>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</si>
  <si>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</si>
  <si>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</si>
  <si>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</si>
  <si>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</si>
  <si>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</si>
  <si>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</si>
  <si>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</si>
  <si>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</si>
  <si>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</si>
  <si>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</si>
  <si>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</si>
  <si>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</si>
  <si>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</si>
  <si>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</si>
  <si>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</si>
  <si>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</si>
  <si>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</si>
  <si>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</si>
  <si>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</si>
  <si>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</si>
  <si>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</si>
  <si>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</si>
  <si>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</si>
  <si>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</si>
  <si>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</si>
  <si>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</si>
  <si>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</si>
  <si>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</si>
  <si>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</si>
  <si>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</si>
  <si>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</si>
  <si>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</si>
  <si>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</si>
  <si>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</si>
  <si>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</si>
  <si>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</si>
  <si>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</si>
  <si>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</si>
  <si>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</si>
  <si>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</si>
  <si>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</si>
  <si>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</si>
  <si>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</si>
  <si>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</si>
  <si>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</si>
  <si>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</si>
  <si>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</si>
  <si>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</si>
  <si>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</si>
  <si>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</si>
  <si>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</si>
  <si>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</si>
  <si>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</si>
  <si>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</si>
  <si>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</si>
  <si>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</si>
  <si>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</si>
  <si>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</si>
  <si>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</si>
  <si>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</si>
  <si>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</si>
  <si>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</si>
  <si>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</si>
  <si>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</si>
  <si>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</si>
  <si>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</si>
  <si>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</si>
  <si>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</si>
  <si>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</si>
  <si>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</si>
  <si>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</si>
  <si>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</si>
  <si>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</si>
  <si>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</si>
  <si>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</si>
  <si>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</si>
  <si>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</si>
  <si>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</si>
  <si>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</si>
  <si>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</si>
  <si>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</si>
  <si>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</si>
  <si>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</si>
  <si>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</si>
  <si>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</si>
  <si>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</si>
  <si>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</si>
  <si>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</si>
  <si>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</si>
  <si>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</si>
  <si>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</si>
  <si>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</si>
  <si>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</si>
  <si>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</si>
  <si>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</si>
  <si>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</si>
  <si>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</si>
  <si>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</si>
  <si>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</si>
  <si>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</si>
  <si>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</si>
  <si>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</si>
  <si>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</si>
  <si>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</si>
  <si>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</si>
  <si>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</si>
  <si>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</si>
  <si>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</si>
  <si>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</si>
  <si>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</si>
  <si>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</si>
  <si>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</si>
  <si>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</si>
  <si>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</si>
  <si>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</si>
  <si>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</si>
  <si>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</si>
  <si>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</si>
  <si>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</si>
  <si>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</si>
  <si>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</si>
  <si>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</si>
  <si>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</si>
  <si>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</si>
  <si>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</si>
  <si>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</si>
  <si>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</si>
  <si>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</si>
  <si>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</si>
  <si>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</si>
  <si>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</si>
  <si>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</si>
  <si>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</si>
  <si>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</si>
  <si>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</si>
  <si>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</si>
  <si>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</si>
  <si>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</si>
  <si>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</si>
  <si>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</si>
  <si>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</si>
  <si>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</si>
  <si>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</si>
  <si>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</si>
  <si>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</si>
  <si>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</si>
  <si>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</si>
  <si>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</si>
  <si>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</si>
  <si>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</si>
  <si>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</si>
  <si>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</si>
  <si>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</si>
  <si>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</si>
  <si>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</si>
  <si>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</si>
  <si>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</si>
  <si>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</si>
  <si>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</si>
  <si>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</si>
  <si>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</si>
  <si>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</si>
  <si>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</si>
  <si>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</si>
  <si>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</si>
  <si>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</si>
  <si>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</si>
  <si>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</si>
  <si>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</si>
  <si>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</si>
  <si>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</si>
  <si>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</si>
  <si>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</si>
  <si>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</si>
  <si>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</si>
  <si>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</si>
  <si>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</si>
  <si>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</si>
  <si>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</si>
  <si>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</si>
  <si>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</si>
  <si>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</si>
  <si>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</si>
  <si>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</si>
  <si>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</si>
  <si>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</si>
  <si>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</si>
  <si>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</si>
  <si>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</si>
  <si>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</si>
  <si>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</si>
  <si>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</si>
  <si>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</si>
  <si>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</si>
  <si>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</si>
  <si>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</si>
  <si>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</si>
  <si>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</si>
  <si>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</si>
  <si>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</si>
  <si>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</si>
  <si>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</si>
  <si>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</si>
  <si>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</si>
  <si>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</si>
  <si>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</si>
  <si>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</si>
  <si>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</si>
  <si>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</si>
  <si>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</si>
  <si>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</si>
  <si>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</si>
  <si>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</si>
  <si>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</si>
  <si>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</si>
  <si>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</si>
  <si>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</si>
  <si>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</si>
  <si>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</si>
  <si>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</si>
  <si>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</si>
  <si>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</si>
  <si>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</si>
  <si>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</si>
  <si>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</si>
  <si>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</si>
  <si>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</si>
  <si>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</si>
  <si>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</si>
  <si>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</si>
  <si>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</si>
  <si>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</si>
  <si>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</si>
  <si>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</si>
  <si>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</si>
  <si>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</si>
  <si>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</si>
  <si>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</si>
  <si>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</si>
  <si>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</si>
  <si>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</si>
  <si>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</si>
  <si>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</si>
  <si>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</si>
  <si>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</si>
  <si>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</si>
  <si>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</si>
  <si>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</si>
  <si>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</si>
  <si>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</si>
  <si>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</si>
  <si>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</si>
  <si>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</si>
  <si>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</si>
  <si>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</si>
  <si>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</si>
  <si>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</si>
  <si>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</si>
  <si>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</si>
  <si>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</si>
  <si>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</si>
  <si>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</si>
  <si>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</si>
  <si>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</si>
  <si>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</si>
  <si>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</si>
  <si>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</si>
  <si>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</si>
  <si>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</si>
  <si>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</si>
  <si>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</si>
  <si>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</si>
  <si>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</si>
  <si>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</si>
  <si>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</si>
  <si>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</si>
  <si>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</si>
  <si>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</si>
  <si>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</si>
  <si>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</si>
  <si>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</si>
  <si>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</si>
  <si>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</si>
  <si>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</si>
  <si>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</si>
  <si>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</si>
  <si>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</si>
  <si>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</si>
  <si>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</si>
  <si>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</si>
  <si>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</si>
  <si>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</si>
  <si>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</si>
  <si>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</si>
  <si>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</si>
  <si>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</si>
  <si>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</si>
  <si>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</si>
  <si>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</si>
  <si>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</si>
  <si>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</si>
  <si>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</si>
  <si>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</si>
  <si>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</si>
  <si>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</si>
  <si>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</si>
  <si>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</si>
  <si>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</si>
  <si>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</si>
  <si>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</si>
  <si>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</si>
  <si>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</si>
  <si>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</si>
  <si>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</si>
  <si>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</si>
  <si>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</si>
  <si>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</si>
  <si>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</si>
  <si>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</si>
  <si>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</si>
  <si>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</si>
  <si>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</si>
  <si>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</si>
  <si>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</si>
  <si>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</si>
  <si>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</si>
  <si>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</si>
  <si>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</si>
  <si>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</si>
  <si>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</si>
  <si>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</si>
  <si>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</si>
  <si>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</si>
  <si>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</si>
  <si>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</si>
  <si>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</si>
  <si>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</si>
  <si>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</si>
  <si>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</si>
  <si>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</si>
  <si>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</si>
  <si>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</si>
  <si>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</si>
  <si>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</si>
  <si>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</si>
  <si>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</si>
  <si>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</si>
  <si>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</si>
  <si>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</si>
  <si>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</si>
  <si>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</si>
  <si>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</si>
  <si>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</si>
  <si>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</si>
  <si>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</si>
  <si>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</si>
  <si>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</si>
  <si>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</si>
  <si>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</si>
  <si>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</si>
  <si>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</si>
  <si>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</si>
  <si>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</si>
  <si>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</si>
  <si>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</si>
  <si>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</si>
  <si>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</si>
  <si>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</si>
  <si>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</si>
  <si>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</si>
  <si>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</si>
  <si>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</si>
  <si>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</si>
  <si>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</si>
  <si>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</si>
  <si>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</si>
  <si>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</si>
  <si>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</si>
  <si>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</si>
  <si>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</si>
  <si>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</si>
  <si>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</si>
  <si>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</si>
  <si>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</si>
  <si>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</si>
  <si>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</si>
  <si>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</si>
  <si>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</si>
  <si>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</si>
  <si>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</si>
  <si>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</si>
  <si>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</si>
  <si>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</si>
  <si>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</si>
  <si>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</si>
  <si>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</si>
  <si>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</si>
  <si>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</si>
  <si>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</si>
  <si>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</si>
  <si>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</si>
  <si>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</si>
  <si>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</si>
  <si>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</si>
  <si>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</si>
  <si>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</si>
  <si>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</si>
  <si>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</si>
  <si>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</si>
  <si>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</si>
  <si>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</si>
  <si>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</si>
  <si>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</si>
  <si>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</si>
  <si>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</si>
  <si>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</si>
  <si>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</si>
  <si>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</si>
  <si>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</si>
  <si>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</si>
  <si>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</si>
  <si>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</si>
  <si>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</si>
  <si>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</si>
  <si>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</si>
  <si>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</si>
  <si>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</si>
  <si>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</si>
  <si>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</si>
  <si>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</si>
  <si>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</si>
  <si>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</si>
  <si>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</si>
  <si>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</si>
  <si>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</si>
  <si>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</si>
  <si>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</si>
  <si>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</si>
  <si>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</si>
  <si>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</si>
  <si>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</si>
  <si>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</si>
  <si>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</si>
  <si>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</si>
  <si>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</si>
  <si>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</si>
  <si>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</si>
  <si>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</si>
  <si>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</si>
  <si>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</si>
  <si>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</si>
  <si>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</si>
  <si>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</si>
  <si>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</si>
  <si>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</si>
  <si>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</si>
  <si>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</si>
  <si>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</si>
  <si>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</si>
  <si>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</si>
  <si>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</si>
  <si>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</si>
  <si>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</si>
  <si>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</si>
  <si>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</si>
  <si>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</si>
  <si>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</si>
  <si>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</si>
  <si>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</si>
  <si>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</si>
  <si>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</si>
  <si>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</si>
  <si>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</si>
  <si>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</si>
  <si>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</si>
  <si>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</si>
  <si>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</si>
  <si>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</si>
  <si>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</si>
  <si>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</si>
  <si>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</si>
  <si>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</si>
  <si>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</si>
  <si>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</si>
  <si>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</si>
  <si>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</si>
  <si>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</si>
  <si>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</si>
  <si>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</si>
  <si>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</si>
  <si>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</si>
  <si>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</si>
  <si>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</si>
  <si>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</si>
  <si>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</si>
  <si>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</si>
  <si>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</si>
  <si>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</si>
  <si>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</si>
  <si>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</si>
  <si>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</si>
  <si>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</si>
  <si>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</si>
  <si>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</si>
  <si>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</si>
  <si>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</si>
  <si>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</si>
  <si>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</si>
  <si>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</si>
  <si>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</si>
  <si>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</si>
  <si>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</si>
  <si>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</si>
  <si>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</si>
  <si>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</si>
  <si>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</si>
  <si>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</si>
  <si>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</si>
  <si>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</si>
  <si>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</si>
  <si>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</si>
  <si>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</si>
  <si>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</si>
  <si>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</si>
  <si>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</si>
  <si>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</si>
  <si>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</si>
  <si>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</si>
  <si>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</si>
  <si>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</si>
  <si>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</si>
  <si>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</si>
  <si>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</si>
  <si>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</si>
  <si>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</si>
  <si>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</si>
  <si>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</si>
  <si>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</si>
  <si>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</si>
  <si>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</si>
  <si>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</si>
  <si>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</si>
  <si>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</si>
  <si>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</si>
  <si>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</si>
  <si>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</si>
  <si>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</si>
  <si>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</si>
  <si>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</si>
  <si>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</si>
  <si>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</si>
  <si>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</si>
  <si>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</si>
  <si>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</si>
  <si>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</si>
  <si>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</si>
  <si>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</si>
  <si>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</si>
  <si>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</si>
  <si>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</si>
  <si>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</si>
  <si>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</si>
  <si>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</si>
  <si>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</si>
  <si>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</si>
  <si>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</si>
  <si>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</si>
  <si>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</si>
  <si>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</si>
  <si>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</si>
  <si>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</si>
  <si>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</si>
  <si>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</si>
  <si>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</si>
  <si>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</si>
  <si>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</si>
  <si>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</si>
  <si>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</si>
  <si>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</si>
  <si>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</si>
  <si>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</si>
  <si>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</si>
  <si>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</si>
  <si>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</si>
  <si>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</si>
  <si>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</si>
  <si>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</si>
  <si>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</si>
  <si>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</si>
  <si>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</si>
  <si>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</si>
  <si>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</si>
  <si>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</si>
  <si>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</si>
  <si>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</si>
  <si>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</si>
  <si>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</si>
  <si>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</si>
  <si>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</si>
  <si>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</si>
  <si>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</si>
  <si>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</si>
  <si>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</si>
  <si>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</si>
  <si>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</si>
  <si>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</si>
  <si>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</si>
  <si>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</si>
  <si>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</si>
  <si>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</si>
  <si>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</si>
  <si>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</si>
  <si>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</si>
  <si>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</si>
  <si>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</si>
  <si>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</si>
  <si>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</si>
  <si>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</si>
  <si>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</si>
  <si>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</si>
  <si>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</si>
  <si>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</si>
  <si>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</si>
  <si>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</si>
  <si>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</si>
  <si>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</si>
  <si>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</si>
  <si>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</si>
  <si>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</si>
  <si>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</si>
  <si>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</si>
  <si>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</si>
  <si>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</si>
  <si>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</si>
  <si>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</si>
  <si>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</si>
  <si>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</si>
  <si>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</si>
  <si>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</si>
  <si>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</si>
  <si>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</si>
  <si>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</si>
  <si>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</si>
  <si>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</si>
  <si>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</si>
  <si>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</si>
  <si>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</si>
  <si>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</si>
  <si>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</si>
  <si>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</si>
  <si>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</si>
  <si>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</si>
  <si>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</si>
  <si>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</si>
  <si>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</si>
  <si>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</si>
  <si>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</si>
  <si>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</si>
  <si>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</si>
  <si>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</si>
  <si>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</si>
  <si>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</si>
  <si>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</si>
  <si>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</si>
  <si>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</si>
  <si>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</si>
  <si>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</si>
  <si>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</si>
  <si>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</si>
  <si>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</si>
  <si>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</si>
  <si>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</si>
  <si>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</si>
  <si>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</si>
  <si>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</si>
  <si>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</si>
  <si>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</si>
  <si>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</si>
  <si>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</si>
  <si>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</si>
  <si>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</si>
  <si>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</si>
  <si>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</si>
  <si>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</si>
  <si>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</si>
  <si>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</si>
  <si>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</si>
  <si>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</si>
  <si>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</si>
  <si>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</si>
  <si>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</si>
  <si>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</si>
  <si>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</si>
  <si>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</si>
  <si>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</si>
  <si>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</si>
  <si>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</si>
  <si>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</si>
  <si>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</si>
  <si>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</si>
  <si>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</si>
  <si>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</si>
  <si>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</si>
  <si>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</si>
  <si>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</si>
  <si>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</si>
  <si>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</si>
  <si>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</si>
  <si>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</si>
  <si>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</si>
  <si>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</si>
  <si>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</si>
  <si>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</si>
  <si>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</si>
  <si>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</si>
  <si>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</si>
  <si>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</si>
  <si>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</si>
  <si>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</si>
  <si>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</si>
  <si>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</si>
  <si>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</si>
  <si>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</si>
  <si>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</si>
  <si>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</si>
  <si>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</si>
  <si>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</si>
  <si>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</si>
  <si>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</si>
  <si>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</si>
  <si>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</si>
  <si>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</si>
  <si>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</si>
  <si>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</si>
  <si>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</si>
  <si>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</si>
  <si>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</si>
  <si>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</si>
  <si>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</si>
  <si>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</si>
  <si>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</si>
  <si>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</si>
  <si>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</si>
  <si>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</si>
  <si>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</si>
  <si>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</si>
  <si>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</si>
  <si>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</si>
  <si>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</si>
  <si>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</si>
  <si>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</si>
  <si>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</si>
  <si>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</si>
  <si>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</si>
  <si>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</si>
  <si>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</si>
  <si>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</si>
  <si>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</si>
  <si>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</si>
  <si>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</si>
  <si>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</si>
  <si>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</si>
  <si>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</si>
  <si>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</si>
  <si>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</si>
  <si>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</si>
  <si>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</si>
  <si>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</si>
  <si>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</si>
  <si>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</si>
  <si>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</si>
  <si>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</si>
  <si>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</si>
  <si>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</si>
  <si>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</si>
  <si>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</si>
  <si>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</si>
  <si>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</si>
  <si>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</si>
  <si>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</si>
  <si>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</si>
  <si>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</si>
  <si>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</si>
  <si>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</si>
  <si>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</si>
  <si>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</si>
  <si>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</si>
  <si>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</si>
  <si>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</si>
  <si>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</si>
  <si>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</si>
  <si>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</si>
  <si>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</si>
  <si>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</si>
  <si>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</si>
  <si>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</si>
  <si>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</si>
  <si>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</si>
  <si>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</si>
  <si>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</si>
  <si>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</si>
  <si>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</si>
  <si>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</si>
  <si>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</si>
  <si>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</si>
  <si>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</si>
  <si>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</si>
  <si>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</si>
  <si>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</si>
  <si>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</si>
  <si>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</si>
  <si>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</si>
  <si>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</si>
  <si>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</si>
  <si>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</si>
  <si>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</si>
  <si>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</si>
  <si>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</si>
  <si>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</si>
  <si>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</si>
  <si>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</si>
  <si>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</si>
  <si>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</si>
  <si>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</si>
  <si>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</si>
  <si>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</si>
  <si>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</si>
  <si>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</si>
  <si>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</si>
  <si>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</si>
  <si>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</si>
  <si>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</si>
  <si>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</si>
  <si>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</si>
  <si>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</si>
  <si>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</si>
  <si>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</si>
  <si>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</si>
  <si>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</si>
  <si>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</si>
  <si>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</si>
  <si>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</si>
  <si>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</si>
  <si>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</si>
  <si>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</si>
  <si>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</si>
  <si>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</si>
  <si>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</si>
  <si>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</si>
  <si>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</si>
  <si>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</si>
  <si>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</si>
  <si>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</si>
  <si>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</si>
  <si>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</si>
  <si>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</si>
  <si>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</si>
  <si>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</si>
  <si>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</si>
  <si>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</si>
  <si>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</si>
  <si>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</si>
  <si>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</si>
  <si>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</si>
  <si>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</si>
  <si>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</si>
  <si>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</si>
  <si>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</si>
  <si>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</si>
  <si>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</si>
  <si>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</si>
  <si>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</si>
  <si>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</si>
  <si>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</si>
  <si>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</si>
  <si>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</si>
  <si>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</si>
  <si>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</si>
  <si>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</si>
  <si>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</si>
  <si>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</si>
  <si>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</si>
  <si>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</si>
  <si>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</si>
  <si>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</si>
  <si>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</si>
  <si>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</si>
  <si>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</si>
  <si>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</si>
  <si>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</si>
  <si>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</si>
  <si>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</si>
  <si>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</si>
  <si>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</si>
  <si>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</si>
  <si>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</si>
  <si>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</si>
  <si>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</si>
  <si>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</si>
  <si>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</si>
  <si>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</si>
  <si>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</si>
  <si>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</si>
  <si>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</si>
  <si>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</si>
  <si>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</si>
  <si>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</si>
  <si>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</si>
  <si>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</si>
  <si>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</si>
  <si>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</si>
  <si>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</si>
  <si>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</si>
  <si>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</si>
  <si>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</si>
  <si>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</si>
  <si>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</si>
  <si>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</si>
  <si>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</si>
  <si>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</si>
  <si>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</si>
  <si>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</si>
  <si>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</si>
  <si>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</si>
  <si>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</si>
  <si>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</si>
  <si>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</si>
  <si>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</si>
  <si>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</si>
  <si>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</si>
  <si>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</si>
  <si>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</si>
  <si>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</si>
  <si>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</si>
  <si>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</si>
  <si>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</si>
  <si>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</si>
  <si>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</si>
  <si>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</si>
  <si>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</si>
  <si>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</si>
  <si>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</si>
  <si>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</si>
  <si>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</si>
  <si>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</si>
  <si>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</si>
  <si>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</si>
  <si>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</si>
  <si>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</si>
  <si>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</si>
  <si>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</si>
  <si>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</si>
  <si>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</si>
  <si>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</si>
  <si>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</si>
  <si>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</si>
  <si>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</si>
  <si>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</si>
  <si>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</si>
  <si>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</si>
  <si>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</si>
  <si>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</si>
  <si>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</si>
  <si>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</si>
  <si>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</si>
  <si>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</si>
  <si>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</si>
  <si>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</si>
  <si>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</si>
  <si>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</si>
  <si>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</si>
  <si>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</si>
  <si>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</si>
  <si>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</si>
  <si>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</si>
  <si>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</si>
  <si>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</si>
  <si>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</si>
  <si>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</si>
  <si>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</si>
  <si>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</si>
  <si>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</si>
  <si>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</si>
  <si>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</si>
  <si>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</si>
  <si>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</si>
  <si>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</si>
  <si>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</si>
  <si>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</si>
  <si>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</si>
  <si>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</si>
  <si>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</si>
  <si>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</si>
  <si>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</si>
  <si>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</si>
  <si>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</si>
  <si>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</si>
  <si>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</si>
  <si>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</si>
  <si>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</si>
  <si>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</si>
  <si>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</si>
  <si>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</si>
  <si>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</si>
  <si>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</si>
  <si>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</si>
  <si>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</si>
  <si>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</si>
  <si>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</si>
  <si>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</si>
  <si>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</si>
  <si>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</si>
  <si>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</si>
  <si>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</si>
  <si>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</si>
  <si>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</si>
  <si>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</si>
  <si>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</si>
  <si>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</si>
  <si>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</si>
  <si>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</si>
  <si>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</si>
  <si>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</si>
  <si>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</si>
  <si>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</si>
  <si>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</si>
  <si>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</si>
  <si>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</si>
  <si>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</si>
  <si>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</si>
  <si>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</si>
  <si>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</si>
  <si>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</si>
  <si>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</si>
  <si>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</si>
  <si>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</si>
  <si>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</si>
  <si>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</si>
  <si>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</si>
  <si>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</si>
  <si>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</si>
  <si>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</si>
  <si>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</si>
  <si>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</si>
  <si>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</si>
  <si>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</si>
  <si>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</si>
  <si>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</si>
  <si>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</si>
  <si>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</si>
  <si>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</si>
  <si>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</si>
  <si>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</si>
  <si>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</si>
  <si>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</si>
  <si>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</si>
  <si>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</si>
  <si>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</si>
  <si>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</si>
  <si>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</si>
  <si>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</si>
  <si>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</si>
  <si>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</si>
  <si>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</si>
  <si>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</si>
  <si>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</si>
  <si>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</si>
  <si>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</si>
  <si>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</si>
  <si>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</si>
  <si>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</si>
  <si>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</si>
  <si>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</si>
  <si>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</si>
  <si>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</si>
  <si>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</si>
  <si>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</si>
  <si>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</si>
  <si>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</si>
  <si>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</si>
  <si>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</si>
  <si>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</si>
  <si>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</si>
  <si>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</si>
  <si>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</si>
  <si>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</si>
  <si>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</si>
  <si>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</si>
  <si>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</si>
  <si>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</si>
  <si>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</si>
  <si>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</si>
  <si>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</si>
  <si>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</si>
  <si>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</si>
  <si>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</si>
  <si>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</si>
  <si>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</si>
  <si>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</si>
  <si>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</si>
  <si>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</si>
  <si>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</si>
  <si>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</si>
  <si>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</si>
  <si>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</si>
  <si>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</si>
  <si>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</si>
  <si>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</si>
  <si>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</si>
  <si>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</si>
  <si>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</si>
  <si>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</si>
  <si>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</si>
  <si>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</si>
  <si>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</si>
  <si>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</si>
  <si>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</si>
  <si>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</si>
  <si>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</si>
  <si>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</si>
  <si>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</si>
  <si>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</si>
  <si>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</si>
  <si>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</si>
  <si>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</si>
  <si>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</si>
  <si>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</si>
  <si>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</si>
  <si>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</si>
  <si>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</si>
  <si>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</si>
  <si>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</si>
  <si>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</si>
  <si>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</si>
  <si>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</si>
  <si>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</si>
  <si>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</si>
  <si>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</si>
  <si>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</si>
  <si>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</si>
  <si>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</si>
  <si>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</si>
  <si>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</si>
  <si>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</si>
  <si>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</si>
  <si>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</si>
  <si>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</si>
  <si>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</si>
  <si>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</si>
  <si>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</si>
  <si>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</si>
  <si>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</si>
  <si>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</si>
  <si>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</si>
  <si>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</si>
  <si>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</si>
  <si>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</si>
  <si>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</si>
  <si>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</si>
  <si>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</si>
  <si>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</si>
  <si>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</si>
  <si>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</si>
  <si>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</si>
  <si>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</si>
  <si>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</si>
  <si>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</si>
  <si>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</si>
  <si>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</si>
  <si>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</si>
  <si>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</si>
  <si>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</si>
  <si>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</si>
  <si>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</si>
  <si>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</si>
  <si>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</si>
  <si>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</si>
  <si>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</si>
  <si>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</si>
  <si>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</si>
  <si>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</si>
  <si>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</si>
  <si>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</si>
  <si>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</si>
  <si>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</si>
  <si>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</si>
  <si>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</si>
  <si>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</si>
  <si>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</si>
  <si>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</si>
  <si>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</si>
  <si>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</si>
  <si>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</si>
  <si>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</si>
  <si>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</si>
  <si>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</si>
  <si>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</si>
  <si>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</si>
  <si>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</si>
  <si>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</si>
  <si>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</si>
  <si>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</si>
  <si>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</si>
  <si>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</si>
  <si>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</si>
  <si>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</si>
  <si>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</si>
  <si>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</si>
  <si>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</si>
  <si>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</si>
  <si>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</si>
  <si>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</si>
  <si>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</si>
  <si>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</si>
  <si>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</si>
  <si>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</si>
  <si>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</si>
  <si>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</si>
  <si>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</si>
  <si>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</si>
  <si>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</si>
  <si>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</si>
  <si>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</si>
  <si>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</si>
  <si>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</si>
  <si>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</si>
  <si>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</si>
  <si>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</si>
  <si>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</si>
  <si>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</si>
  <si>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</si>
  <si>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</si>
  <si>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</si>
  <si>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</si>
  <si>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</si>
  <si>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</si>
  <si>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</si>
  <si>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</si>
  <si>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</si>
  <si>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</si>
  <si>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</si>
  <si>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</si>
  <si>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</si>
  <si>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</si>
  <si>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</si>
  <si>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</si>
  <si>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</si>
  <si>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</si>
  <si>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</si>
  <si>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</si>
  <si>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</si>
  <si>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</si>
  <si>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</si>
  <si>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</si>
  <si>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</si>
  <si>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</si>
  <si>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</si>
  <si>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</si>
  <si>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</si>
  <si>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</si>
  <si>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</si>
  <si>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</si>
  <si>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</si>
  <si>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</si>
  <si>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</si>
  <si>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</si>
  <si>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</si>
  <si>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</si>
  <si>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</si>
  <si>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</si>
  <si>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</si>
  <si>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</si>
  <si>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</si>
  <si>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</si>
  <si>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</si>
  <si>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</si>
  <si>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</si>
  <si>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</si>
  <si>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</si>
  <si>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</si>
  <si>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</si>
  <si>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</si>
  <si>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</si>
  <si>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</si>
  <si>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</si>
  <si>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</si>
  <si>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</si>
  <si>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</si>
  <si>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</si>
  <si>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</si>
  <si>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</si>
  <si>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</si>
  <si>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</si>
  <si>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</si>
  <si>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</si>
  <si>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</si>
  <si>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</si>
  <si>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</si>
  <si>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</si>
  <si>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</si>
  <si>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</si>
  <si>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</si>
  <si>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</si>
  <si>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</si>
  <si>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</si>
  <si>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</si>
  <si>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</si>
  <si>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</si>
  <si>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</si>
  <si>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</si>
  <si>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</si>
  <si>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</si>
  <si>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</si>
  <si>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</si>
  <si>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</si>
  <si>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</si>
  <si>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</si>
  <si>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</si>
  <si>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</si>
  <si>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</si>
  <si>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</si>
  <si>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</si>
  <si>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</si>
  <si>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</si>
  <si>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</si>
  <si>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</si>
  <si>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</si>
  <si>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</si>
  <si>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</si>
  <si>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</si>
  <si>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</si>
  <si>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</si>
  <si>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</si>
  <si>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</si>
  <si>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</si>
  <si>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</si>
  <si>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</si>
  <si>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</si>
  <si>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</si>
  <si>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</si>
  <si>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</si>
  <si>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</si>
  <si>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</si>
  <si>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</si>
  <si>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</si>
  <si>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</si>
  <si>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</si>
  <si>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</si>
  <si>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</si>
  <si>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</si>
  <si>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</si>
  <si>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</si>
  <si>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</si>
  <si>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</si>
  <si>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</si>
  <si>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</si>
  <si>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</si>
  <si>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</si>
  <si>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</si>
  <si>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</si>
  <si>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</si>
  <si>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</si>
  <si>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</si>
  <si>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</si>
  <si>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</si>
  <si>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</si>
  <si>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</si>
  <si>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</si>
  <si>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</si>
  <si>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</si>
  <si>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</si>
  <si>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</si>
  <si>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</si>
  <si>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</si>
  <si>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</si>
  <si>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</si>
  <si>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</si>
  <si>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</si>
  <si>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</si>
  <si>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</si>
  <si>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</si>
  <si>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</si>
  <si>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</si>
  <si>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</si>
  <si>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</si>
  <si>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</si>
  <si>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</si>
  <si>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</si>
  <si>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</si>
  <si>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</si>
  <si>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</si>
  <si>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</si>
  <si>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</si>
  <si>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</si>
  <si>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</si>
  <si>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</si>
  <si>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</si>
  <si>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</si>
  <si>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</si>
  <si>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</si>
  <si>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</si>
  <si>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</si>
  <si>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</si>
  <si>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</si>
  <si>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</si>
  <si>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</si>
  <si>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</si>
  <si>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</si>
  <si>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</si>
  <si>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</si>
  <si>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</si>
  <si>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</si>
  <si>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</si>
  <si>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</si>
  <si>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</si>
  <si>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</si>
  <si>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</si>
  <si>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</si>
  <si>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</si>
  <si>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</si>
  <si>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</si>
  <si>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</si>
  <si>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</si>
  <si>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</si>
  <si>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</si>
  <si>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</si>
  <si>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</si>
  <si>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</si>
  <si>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</si>
  <si>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</si>
  <si>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</si>
  <si>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</si>
  <si>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</si>
  <si>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</si>
  <si>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</si>
  <si>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</si>
  <si>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</si>
  <si>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</si>
  <si>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</si>
  <si>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</si>
  <si>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</si>
  <si>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</si>
  <si>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</si>
  <si>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</si>
  <si>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</si>
  <si>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</si>
  <si>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</si>
  <si>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</si>
  <si>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</si>
  <si>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</si>
  <si>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</si>
  <si>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</si>
  <si>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</si>
  <si>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</si>
  <si>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</si>
  <si>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</si>
  <si>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</si>
  <si>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</si>
  <si>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</si>
  <si>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</si>
  <si>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</si>
  <si>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</si>
  <si>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</si>
  <si>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</si>
  <si>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</si>
  <si>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</si>
  <si>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</si>
  <si>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</si>
  <si>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</si>
  <si>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</si>
  <si>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</si>
  <si>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</si>
  <si>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</si>
  <si>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</si>
  <si>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</si>
  <si>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</si>
  <si>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</si>
  <si>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</si>
  <si>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</si>
  <si>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</si>
  <si>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</si>
  <si>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</si>
  <si>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</si>
  <si>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</si>
  <si>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</si>
  <si>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</si>
  <si>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</si>
  <si>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</si>
  <si>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</si>
  <si>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</si>
  <si>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</si>
  <si>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</si>
  <si>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</si>
  <si>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</si>
  <si>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</si>
  <si>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</si>
  <si>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</si>
  <si>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</si>
  <si>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</si>
  <si>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</si>
  <si>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</si>
  <si>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</si>
  <si>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</si>
  <si>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</si>
  <si>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</si>
  <si>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</si>
  <si>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</si>
  <si>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</si>
  <si>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</si>
  <si>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</si>
  <si>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</si>
  <si>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</si>
  <si>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</si>
  <si>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</si>
  <si>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</si>
  <si>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</si>
  <si>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</si>
  <si>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</si>
  <si>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</si>
  <si>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</si>
  <si>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</si>
  <si>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</si>
  <si>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</si>
  <si>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</si>
  <si>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</si>
  <si>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</si>
  <si>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</si>
  <si>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</si>
  <si>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</si>
  <si>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</si>
  <si>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</si>
  <si>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</si>
  <si>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</si>
  <si>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</si>
  <si>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</si>
  <si>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</si>
  <si>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</si>
  <si>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</si>
  <si>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</si>
  <si>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</si>
  <si>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</si>
  <si>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</si>
  <si>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</si>
  <si>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</si>
  <si>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</si>
  <si>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</si>
  <si>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</si>
  <si>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</si>
  <si>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</si>
  <si>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</si>
  <si>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</si>
  <si>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</si>
  <si>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</si>
  <si>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</si>
  <si>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</si>
  <si>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</si>
  <si>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</si>
  <si>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</si>
  <si>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</si>
  <si>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</si>
  <si>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</si>
  <si>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</si>
  <si>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</si>
  <si>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</si>
  <si>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</si>
  <si>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</si>
  <si>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</si>
  <si>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</si>
  <si>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</si>
  <si>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</si>
  <si>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</si>
  <si>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</si>
  <si>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</si>
  <si>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</si>
  <si>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</si>
  <si>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</si>
  <si>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</si>
  <si>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</si>
  <si>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</si>
  <si>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</si>
  <si>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</si>
  <si>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</si>
  <si>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</si>
  <si>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</si>
  <si>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</si>
  <si>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</si>
  <si>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</si>
  <si>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</si>
  <si>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</si>
  <si>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</si>
  <si>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</si>
  <si>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</si>
  <si>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</si>
  <si>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</si>
  <si>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</si>
  <si>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</si>
  <si>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</si>
  <si>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</si>
  <si>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</si>
  <si>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</si>
  <si>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</si>
  <si>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</si>
  <si>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</si>
  <si>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</si>
  <si>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</si>
  <si>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</si>
  <si>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</si>
  <si>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</si>
  <si>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</si>
  <si>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</si>
  <si>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</si>
  <si>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</si>
  <si>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</si>
  <si>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</si>
  <si>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</si>
  <si>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</si>
  <si>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</si>
  <si>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</si>
  <si>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</si>
  <si>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</si>
  <si>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</si>
  <si>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</si>
  <si>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</si>
  <si>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</si>
  <si>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</si>
  <si>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</si>
  <si>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</si>
  <si>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</si>
  <si>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</si>
  <si>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</si>
  <si>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</si>
  <si>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</si>
  <si>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</si>
  <si>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</si>
  <si>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</si>
  <si>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</si>
  <si>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</si>
  <si>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</si>
  <si>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</si>
  <si>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</si>
  <si>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</si>
  <si>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</si>
  <si>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</si>
  <si>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</si>
  <si>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</si>
  <si>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</si>
  <si>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</si>
  <si>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</si>
  <si>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</si>
  <si>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</si>
  <si>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</si>
  <si>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</si>
  <si>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</si>
  <si>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</si>
  <si>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</si>
  <si>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</si>
  <si>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</si>
  <si>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</si>
  <si>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</si>
  <si>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</si>
  <si>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</si>
  <si>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</si>
  <si>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</si>
  <si>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</si>
  <si>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</si>
  <si>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</si>
  <si>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</si>
  <si>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</si>
  <si>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</si>
  <si>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</si>
  <si>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</si>
  <si>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</si>
  <si>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</si>
  <si>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</si>
  <si>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</si>
  <si>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</si>
  <si>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</si>
  <si>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</si>
  <si>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</si>
  <si>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</si>
  <si>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</si>
  <si>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</si>
  <si>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</si>
  <si>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</si>
  <si>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</si>
  <si>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</si>
  <si>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</si>
  <si>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</si>
  <si>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</si>
  <si>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</si>
  <si>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</si>
  <si>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</si>
  <si>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</si>
  <si>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</si>
  <si>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</si>
  <si>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</si>
  <si>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</si>
  <si>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</si>
  <si>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</si>
  <si>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</si>
  <si>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</si>
  <si>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</si>
  <si>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</si>
  <si>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</si>
  <si>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</si>
  <si>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</si>
  <si>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</si>
  <si>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</si>
  <si>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</si>
  <si>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</si>
  <si>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</si>
  <si>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</si>
  <si>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</si>
  <si>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</si>
  <si>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</si>
  <si>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</si>
  <si>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</si>
  <si>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</si>
  <si>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</si>
  <si>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</si>
  <si>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</si>
  <si>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</si>
  <si>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</si>
  <si>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</si>
  <si>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</si>
  <si>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</si>
  <si>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</si>
  <si>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</si>
  <si>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</si>
  <si>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</si>
  <si>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</si>
  <si>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</si>
  <si>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</si>
  <si>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</si>
  <si>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</si>
  <si>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</si>
  <si>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</si>
  <si>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</si>
  <si>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</si>
  <si>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</si>
  <si>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</si>
  <si>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</si>
  <si>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</si>
  <si>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</si>
  <si>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</si>
  <si>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</si>
  <si>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</si>
  <si>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</si>
  <si>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</si>
  <si>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</si>
  <si>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</si>
  <si>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</si>
  <si>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</si>
  <si>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</si>
  <si>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</si>
  <si>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</si>
  <si>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</si>
  <si>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</si>
  <si>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</si>
  <si>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</si>
  <si>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</si>
  <si>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</si>
  <si>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</si>
  <si>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</si>
  <si>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</si>
  <si>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</si>
  <si>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</si>
  <si>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</si>
  <si>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</si>
  <si>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</si>
  <si>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</si>
  <si>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</si>
  <si>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</si>
  <si>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</si>
  <si>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</si>
  <si>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</si>
  <si>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</si>
  <si>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</si>
  <si>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</si>
  <si>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</si>
  <si>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</si>
  <si>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</si>
  <si>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</si>
  <si>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</si>
  <si>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</si>
  <si>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</si>
  <si>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</si>
  <si>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</si>
  <si>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</si>
  <si>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</si>
  <si>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</si>
  <si>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</si>
  <si>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</si>
  <si>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</si>
  <si>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</si>
  <si>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</si>
  <si>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</si>
  <si>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</si>
  <si>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</si>
  <si>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</si>
  <si>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</si>
  <si>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</si>
  <si>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</si>
  <si>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</si>
  <si>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</si>
  <si>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</si>
  <si>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</si>
  <si>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</si>
  <si>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</si>
  <si>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</si>
  <si>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</si>
  <si>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</si>
  <si>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</si>
  <si>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</si>
  <si>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</si>
  <si>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</si>
  <si>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</si>
  <si>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</si>
  <si>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</si>
  <si>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</si>
  <si>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</si>
  <si>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</si>
  <si>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</si>
  <si>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</si>
  <si>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</si>
  <si>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</si>
  <si>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</si>
  <si>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</si>
  <si>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</si>
  <si>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</si>
  <si>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</si>
  <si>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</si>
  <si>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</si>
  <si>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</si>
  <si>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</si>
  <si>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</si>
  <si>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</si>
  <si>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</si>
  <si>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</si>
  <si>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</si>
  <si>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</si>
  <si>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</si>
  <si>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</si>
  <si>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</si>
  <si>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</si>
  <si>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</si>
  <si>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</si>
  <si>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</si>
  <si>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</si>
  <si>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</si>
  <si>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</si>
  <si>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</si>
  <si>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</si>
  <si>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</si>
  <si>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</si>
  <si>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</si>
  <si>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</si>
  <si>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</si>
  <si>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</si>
  <si>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</si>
  <si>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</si>
  <si>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</si>
  <si>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</si>
  <si>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</si>
  <si>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</si>
  <si>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</si>
  <si>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</si>
  <si>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</si>
  <si>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</si>
  <si>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</si>
  <si>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</si>
  <si>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</si>
  <si>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</si>
  <si>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</si>
  <si>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</si>
  <si>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</si>
  <si>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</si>
  <si>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</si>
  <si>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</si>
  <si>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</si>
  <si>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</si>
  <si>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</si>
  <si>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</si>
  <si>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</si>
  <si>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</si>
  <si>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</si>
  <si>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</si>
  <si>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</si>
  <si>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</si>
  <si>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</si>
  <si>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</si>
  <si>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</si>
  <si>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</si>
  <si>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</si>
  <si>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</si>
  <si>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</si>
  <si>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</si>
  <si>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</si>
  <si>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</si>
  <si>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</si>
  <si>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</si>
  <si>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</si>
  <si>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</si>
  <si>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</si>
  <si>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</si>
  <si>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</si>
  <si>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</si>
  <si>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</si>
  <si>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</si>
  <si>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</si>
  <si>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</si>
  <si>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</si>
  <si>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</si>
  <si>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</si>
  <si>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</si>
  <si>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</si>
  <si>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</si>
  <si>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</si>
  <si>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</si>
  <si>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</si>
  <si>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</si>
  <si>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</si>
  <si>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</si>
  <si>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</si>
  <si>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</si>
  <si>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</si>
  <si>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</si>
  <si>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</si>
  <si>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</si>
  <si>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</si>
  <si>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</si>
  <si>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</si>
  <si>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</si>
  <si>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</si>
  <si>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</si>
  <si>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</si>
  <si>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</si>
  <si>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</si>
  <si>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</si>
  <si>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</si>
  <si>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</si>
  <si>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</si>
  <si>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</si>
  <si>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</si>
  <si>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</si>
  <si>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</si>
  <si>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</si>
  <si>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</si>
  <si>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</si>
  <si>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</si>
  <si>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</si>
  <si>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</si>
  <si>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</si>
  <si>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</si>
  <si>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</si>
  <si>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</si>
  <si>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</si>
  <si>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</si>
  <si>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</si>
  <si>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</si>
  <si>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</si>
  <si>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</si>
  <si>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</si>
  <si>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</si>
  <si>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</si>
  <si>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</si>
  <si>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</si>
  <si>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</si>
  <si>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</si>
  <si>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</si>
  <si>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</si>
  <si>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</si>
  <si>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</si>
  <si>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</si>
  <si>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</si>
  <si>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</si>
  <si>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</si>
  <si>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</si>
  <si>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</si>
  <si>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</si>
  <si>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</si>
  <si>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</si>
  <si>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</si>
  <si>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</si>
  <si>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</si>
  <si>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</si>
  <si>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</si>
  <si>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</si>
  <si>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</si>
  <si>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</si>
  <si>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</si>
  <si>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</si>
  <si>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</si>
  <si>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</si>
  <si>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</si>
  <si>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</si>
  <si>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</si>
  <si>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</si>
  <si>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</si>
  <si>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</si>
  <si>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</si>
  <si>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</si>
  <si>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</si>
  <si>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</si>
  <si>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</si>
  <si>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</si>
  <si>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</si>
  <si>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</si>
  <si>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</si>
  <si>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</si>
  <si>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</si>
  <si>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</si>
  <si>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</si>
  <si>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</si>
  <si>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</si>
  <si>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</si>
  <si>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</si>
  <si>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</si>
  <si>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</si>
  <si>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</si>
  <si>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</si>
  <si>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</si>
  <si>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</si>
  <si>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</si>
  <si>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</si>
  <si>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</si>
  <si>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</si>
  <si>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</si>
  <si>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</si>
  <si>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</si>
  <si>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</si>
  <si>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</si>
  <si>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</si>
  <si>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</si>
  <si>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</si>
  <si>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</si>
  <si>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</si>
  <si>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</si>
  <si>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</si>
  <si>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</si>
  <si>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</si>
  <si>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</si>
  <si>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</si>
  <si>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</si>
  <si>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</si>
  <si>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</si>
  <si>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</si>
  <si>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</si>
  <si>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</si>
  <si>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</si>
  <si>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</si>
  <si>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</si>
  <si>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</si>
  <si>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</si>
  <si>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</si>
  <si>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</si>
  <si>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</si>
  <si>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</si>
  <si>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</si>
  <si>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</si>
  <si>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</si>
  <si>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</si>
  <si>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</si>
  <si>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</si>
  <si>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</si>
  <si>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</si>
  <si>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</si>
  <si>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</si>
  <si>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</si>
  <si>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</si>
  <si>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</si>
  <si>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</si>
  <si>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</si>
  <si>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</si>
  <si>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</si>
  <si>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</si>
  <si>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</si>
  <si>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</si>
  <si>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</si>
  <si>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</si>
  <si>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</si>
  <si>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</si>
  <si>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</si>
  <si>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</si>
  <si>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</si>
  <si>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</si>
  <si>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</si>
  <si>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</si>
  <si>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</si>
  <si>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</si>
  <si>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</si>
  <si>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</si>
  <si>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</si>
  <si>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</si>
  <si>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</si>
  <si>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</si>
  <si>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</si>
  <si>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</si>
  <si>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</si>
  <si>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</si>
  <si>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</si>
  <si>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</si>
  <si>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</si>
  <si>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</si>
  <si>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</si>
  <si>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</si>
  <si>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</si>
  <si>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</si>
  <si>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</si>
  <si>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</si>
  <si>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</si>
  <si>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</si>
  <si>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</si>
  <si>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</si>
  <si>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</si>
  <si>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</si>
  <si>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</si>
  <si>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</si>
  <si>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</si>
  <si>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</si>
  <si>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</si>
  <si>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</si>
  <si>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</si>
  <si>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</si>
  <si>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</si>
  <si>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</si>
  <si>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</si>
  <si>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</si>
  <si>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</si>
  <si>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</si>
  <si>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</si>
  <si>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</si>
  <si>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</si>
  <si>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</si>
  <si>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</si>
  <si>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</si>
  <si>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</si>
  <si>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</si>
  <si>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</si>
  <si>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</si>
  <si>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</si>
  <si>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</si>
  <si>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</si>
  <si>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</si>
  <si>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</si>
  <si>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</si>
  <si>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</si>
  <si>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</si>
  <si>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</si>
  <si>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</si>
  <si>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</si>
  <si>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</si>
  <si>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</si>
  <si>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</si>
  <si>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</si>
  <si>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</si>
  <si>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</si>
  <si>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</si>
  <si>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</si>
  <si>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</si>
  <si>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</si>
  <si>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</si>
  <si>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</si>
  <si>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</si>
  <si>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</si>
  <si>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</si>
  <si>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</si>
  <si>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</si>
  <si>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</si>
  <si>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</si>
  <si>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</si>
  <si>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</si>
  <si>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</si>
  <si>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</si>
  <si>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</si>
  <si>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</si>
  <si>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</si>
  <si>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</si>
  <si>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</si>
  <si>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</si>
  <si>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</si>
  <si>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</si>
  <si>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</si>
  <si>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</si>
  <si>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</si>
  <si>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</si>
  <si>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</si>
  <si>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</si>
  <si>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</si>
  <si>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</si>
  <si>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</si>
  <si>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</si>
  <si>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</si>
  <si>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</si>
  <si>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</si>
  <si>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</si>
  <si>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</si>
  <si>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</si>
  <si>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</si>
  <si>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</si>
  <si>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</si>
  <si>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</si>
  <si>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</si>
  <si>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</si>
  <si>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</si>
  <si>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</si>
  <si>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</si>
  <si>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</si>
  <si>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</si>
  <si>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</si>
  <si>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</si>
  <si>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</si>
  <si>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</si>
  <si>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</si>
  <si>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</si>
  <si>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</si>
  <si>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</si>
  <si>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</si>
  <si>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</si>
  <si>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</si>
  <si>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</si>
  <si>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</si>
  <si>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</si>
  <si>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</si>
  <si>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</si>
  <si>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</si>
  <si>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</si>
  <si>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</si>
  <si>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</si>
  <si>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</si>
  <si>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</si>
  <si>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</si>
  <si>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</si>
  <si>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</si>
  <si>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</si>
  <si>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</si>
  <si>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</si>
  <si>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</si>
  <si>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</si>
  <si>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</si>
  <si>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</si>
  <si>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</si>
  <si>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</si>
  <si>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</si>
  <si>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</si>
  <si>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</si>
  <si>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</si>
  <si>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</si>
  <si>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</si>
  <si>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</si>
  <si>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</si>
  <si>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</si>
  <si>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</si>
  <si>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</si>
  <si>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</si>
  <si>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</si>
  <si>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</si>
  <si>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</si>
  <si>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</si>
  <si>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</si>
  <si>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</si>
  <si>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</si>
  <si>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</si>
  <si>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</si>
  <si>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</si>
  <si>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</si>
  <si>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</si>
  <si>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</si>
  <si>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</si>
  <si>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</si>
  <si>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</si>
  <si>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</si>
  <si>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</si>
  <si>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</si>
  <si>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</si>
  <si>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</si>
  <si>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</si>
  <si>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</si>
  <si>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</si>
  <si>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</si>
  <si>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</si>
  <si>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</si>
  <si>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</si>
  <si>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</si>
  <si>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</si>
  <si>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</si>
  <si>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</si>
  <si>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</si>
  <si>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</si>
  <si>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</si>
  <si>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</si>
  <si>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</si>
  <si>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</si>
  <si>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</si>
  <si>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</si>
  <si>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</si>
  <si>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</si>
  <si>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</si>
  <si>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</si>
  <si>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</si>
  <si>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</si>
  <si>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</si>
  <si>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</si>
  <si>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</si>
  <si>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</si>
  <si>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</si>
  <si>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</si>
  <si>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</si>
  <si>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</si>
  <si>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</si>
  <si>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</si>
  <si>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</si>
  <si>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</si>
  <si>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</si>
  <si>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</si>
  <si>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</si>
  <si>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</si>
  <si>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</si>
  <si>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</si>
  <si>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</si>
  <si>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</si>
  <si>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</si>
  <si>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</si>
  <si>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</si>
  <si>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</si>
  <si>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</si>
  <si>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</si>
  <si>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</si>
  <si>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</si>
  <si>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</si>
  <si>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</si>
  <si>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</si>
  <si>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</si>
  <si>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</si>
  <si>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</si>
  <si>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</si>
  <si>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</si>
  <si>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</si>
  <si>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</si>
  <si>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</si>
  <si>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</si>
  <si>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</si>
  <si>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</si>
  <si>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</si>
  <si>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</si>
  <si>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</si>
  <si>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</si>
  <si>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</si>
  <si>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</si>
  <si>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</si>
  <si>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</si>
  <si>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</si>
  <si>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</si>
  <si>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</si>
  <si>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</si>
  <si>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</si>
  <si>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</si>
  <si>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</si>
  <si>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</si>
  <si>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</si>
  <si>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</si>
  <si>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</si>
  <si>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</si>
  <si>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</si>
  <si>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</si>
  <si>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</si>
  <si>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</si>
  <si>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</si>
  <si>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</si>
  <si>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</si>
  <si>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</si>
  <si>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</si>
  <si>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</si>
  <si>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</si>
  <si>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</si>
  <si>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</si>
  <si>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</si>
  <si>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</si>
  <si>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</si>
  <si>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</si>
  <si>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</si>
  <si>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</si>
  <si>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</si>
  <si>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</si>
  <si>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</si>
  <si>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</si>
  <si>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</si>
  <si>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</si>
  <si>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</si>
  <si>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</si>
  <si>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</si>
  <si>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</si>
  <si>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</si>
  <si>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</si>
  <si>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</si>
  <si>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</si>
  <si>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</si>
  <si>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</si>
  <si>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</si>
  <si>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</si>
  <si>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</si>
  <si>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</si>
  <si>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</si>
  <si>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</si>
  <si>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</si>
  <si>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</si>
  <si>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</si>
  <si>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</si>
  <si>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</si>
  <si>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</si>
  <si>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</si>
  <si>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</si>
  <si>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</si>
  <si>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</si>
  <si>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</si>
  <si>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</si>
  <si>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</si>
  <si>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</si>
  <si>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</si>
  <si>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</si>
  <si>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</si>
  <si>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</si>
  <si>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</si>
  <si>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</si>
  <si>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</si>
  <si>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</si>
  <si>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</si>
  <si>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</si>
  <si>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</si>
  <si>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</si>
  <si>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</si>
  <si>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</si>
  <si>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</si>
  <si>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</si>
  <si>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</si>
  <si>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</si>
  <si>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</si>
  <si>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</si>
  <si>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</si>
  <si>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</si>
  <si>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</si>
  <si>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</si>
  <si>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</si>
  <si>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</si>
  <si>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</si>
  <si>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</si>
  <si>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</si>
  <si>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</si>
  <si>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</si>
  <si>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</si>
  <si>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</si>
  <si>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</si>
  <si>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</si>
  <si>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</si>
  <si>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</si>
  <si>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</si>
  <si>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</si>
  <si>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</si>
  <si>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</si>
  <si>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</si>
  <si>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</si>
  <si>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</si>
  <si>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</si>
  <si>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</si>
  <si>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</si>
  <si>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</si>
  <si>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</si>
  <si>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</si>
  <si>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</si>
  <si>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</si>
  <si>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</si>
  <si>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</si>
  <si>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</si>
  <si>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</si>
  <si>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</si>
  <si>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</si>
  <si>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</si>
  <si>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</si>
  <si>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</si>
  <si>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</si>
  <si>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</si>
  <si>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</si>
  <si>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</si>
  <si>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</si>
  <si>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</si>
  <si>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</si>
  <si>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</si>
  <si>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</si>
  <si>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</si>
  <si>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</si>
  <si>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</si>
  <si>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</si>
  <si>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</si>
  <si>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</si>
  <si>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</si>
  <si>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</si>
  <si>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</si>
  <si>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</si>
  <si>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</si>
  <si>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</si>
  <si>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</si>
  <si>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</si>
  <si>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</si>
  <si>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</si>
  <si>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</si>
  <si>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</si>
  <si>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</si>
  <si>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</si>
  <si>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</si>
  <si>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</si>
  <si>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</si>
  <si>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</si>
  <si>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</si>
  <si>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</si>
  <si>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</si>
  <si>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</si>
  <si>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</si>
  <si>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</si>
  <si>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</si>
  <si>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</si>
  <si>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</si>
  <si>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</si>
  <si>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</si>
  <si>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</si>
  <si>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</si>
  <si>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</si>
  <si>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</si>
  <si>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</si>
  <si>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</si>
  <si>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</si>
  <si>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</si>
  <si>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</si>
  <si>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</si>
  <si>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</si>
  <si>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</si>
  <si>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</si>
  <si>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</si>
  <si>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</si>
  <si>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</si>
  <si>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</si>
  <si>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</si>
  <si>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</si>
  <si>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</si>
  <si>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</si>
  <si>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</si>
  <si>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</si>
  <si>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</si>
  <si>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</si>
  <si>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</si>
  <si>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</si>
  <si>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</si>
  <si>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</si>
  <si>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</si>
  <si>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</si>
  <si>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</si>
  <si>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</si>
  <si>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</si>
  <si>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</si>
  <si>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</si>
  <si>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</si>
  <si>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</si>
  <si>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</si>
  <si>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</si>
  <si>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</si>
  <si>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</si>
  <si>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</si>
  <si>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</si>
  <si>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</si>
  <si>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</si>
  <si>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</si>
  <si>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</si>
  <si>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</si>
  <si>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</si>
  <si>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</si>
  <si>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</si>
  <si>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</si>
  <si>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</si>
  <si>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</si>
  <si>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</si>
  <si>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</si>
  <si>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</si>
  <si>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</si>
  <si>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</si>
  <si>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</si>
  <si>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</si>
  <si>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</si>
  <si>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</si>
  <si>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</si>
  <si>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</si>
  <si>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</si>
  <si>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</si>
  <si>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</si>
  <si>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</si>
  <si>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</si>
  <si>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</si>
  <si>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</si>
  <si>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</si>
  <si>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</si>
  <si>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</si>
  <si>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</si>
  <si>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</si>
  <si>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</si>
  <si>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</si>
  <si>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</si>
  <si>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</si>
  <si>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</si>
  <si>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</si>
  <si>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</si>
  <si>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</si>
  <si>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</si>
  <si>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</si>
  <si>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</si>
  <si>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</si>
  <si>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</si>
  <si>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</si>
  <si>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</si>
  <si>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</si>
  <si>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</si>
  <si>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</si>
  <si>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</si>
  <si>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</si>
  <si>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</si>
  <si>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</si>
  <si>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</si>
  <si>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</si>
  <si>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</si>
  <si>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</si>
  <si>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</si>
  <si>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</si>
  <si>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</si>
  <si>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</si>
  <si>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</si>
  <si>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</si>
  <si>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</si>
  <si>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</si>
  <si>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</si>
  <si>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</si>
  <si>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</si>
  <si>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</si>
  <si>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</si>
  <si>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</si>
  <si>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</si>
  <si>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</si>
  <si>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</si>
  <si>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</si>
  <si>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</si>
  <si>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</si>
  <si>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</si>
  <si>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</si>
  <si>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</si>
  <si>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</si>
  <si>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</si>
  <si>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</si>
  <si>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</si>
  <si>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</si>
  <si>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</si>
  <si>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</si>
  <si>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</si>
  <si>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</si>
  <si>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</si>
  <si>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</si>
  <si>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</si>
  <si>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</si>
  <si>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</si>
  <si>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</si>
  <si>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</si>
  <si>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</si>
  <si>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</si>
  <si>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</si>
  <si>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</si>
  <si>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</si>
  <si>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</si>
  <si>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</si>
  <si>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</si>
  <si>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</si>
  <si>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</si>
  <si>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</si>
  <si>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</si>
  <si>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</si>
  <si>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</si>
  <si>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</si>
  <si>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</si>
  <si>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</si>
  <si>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</si>
  <si>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</si>
  <si>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</si>
  <si>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</si>
  <si>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</si>
  <si>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</si>
  <si>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</si>
  <si>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</si>
  <si>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</si>
  <si>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</si>
  <si>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</si>
  <si>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</si>
  <si>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</si>
  <si>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</si>
  <si>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</si>
  <si>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</si>
  <si>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</si>
  <si>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</si>
  <si>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</si>
  <si>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</si>
  <si>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</si>
  <si>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</si>
  <si>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</si>
  <si>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</si>
  <si>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</si>
  <si>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</si>
  <si>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</si>
  <si>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</si>
  <si>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</si>
  <si>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</si>
  <si>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</si>
  <si>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</si>
  <si>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</si>
  <si>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</si>
  <si>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</si>
  <si>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</si>
  <si>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</si>
  <si>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</si>
  <si>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</si>
  <si>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</si>
  <si>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</si>
  <si>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</si>
  <si>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</si>
  <si>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</si>
  <si>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</si>
  <si>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</si>
  <si>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</si>
  <si>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</si>
  <si>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</si>
  <si>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</si>
  <si>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</si>
  <si>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</si>
  <si>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</si>
  <si>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</si>
  <si>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</si>
  <si>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</si>
  <si>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</si>
  <si>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</si>
  <si>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</si>
  <si>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</si>
  <si>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</si>
  <si>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</si>
  <si>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</si>
  <si>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</si>
  <si>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</si>
  <si>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</si>
  <si>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</si>
  <si>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</si>
  <si>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</si>
  <si>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</si>
  <si>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</si>
  <si>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</si>
  <si>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</si>
  <si>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</si>
  <si>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</si>
  <si>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</si>
  <si>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</si>
  <si>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</si>
  <si>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</si>
  <si>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</si>
  <si>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</si>
  <si>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</si>
  <si>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</si>
  <si>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</si>
  <si>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</si>
  <si>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</si>
  <si>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</si>
  <si>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</si>
  <si>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</si>
  <si>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</si>
  <si>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</si>
  <si>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</si>
  <si>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</si>
  <si>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</si>
  <si>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</si>
  <si>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</si>
  <si>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</si>
  <si>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</si>
  <si>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</si>
  <si>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</si>
  <si>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</si>
  <si>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</si>
  <si>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</si>
  <si>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</si>
  <si>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</si>
  <si>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</si>
  <si>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</si>
  <si>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</si>
  <si>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</si>
  <si>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</si>
  <si>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</si>
  <si>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</si>
  <si>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</si>
  <si>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</si>
  <si>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</si>
  <si>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</si>
  <si>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</si>
  <si>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</si>
  <si>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</si>
  <si>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</si>
  <si>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</si>
  <si>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</si>
  <si>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</si>
  <si>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</si>
  <si>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</si>
  <si>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</si>
  <si>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</si>
  <si>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</si>
  <si>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</si>
  <si>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</si>
  <si>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</si>
  <si>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</si>
  <si>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</si>
  <si>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</si>
  <si>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</si>
  <si>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</si>
  <si>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</si>
  <si>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</si>
  <si>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</si>
  <si>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</si>
  <si>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</si>
  <si>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</si>
  <si>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</si>
  <si>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</si>
  <si>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</si>
  <si>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</si>
  <si>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</si>
  <si>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</si>
  <si>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</si>
  <si>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</si>
  <si>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</si>
  <si>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</si>
  <si>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</si>
  <si>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</si>
  <si>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</si>
  <si>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</si>
  <si>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</si>
  <si>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</si>
  <si>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</si>
  <si>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</si>
  <si>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</si>
  <si>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</si>
  <si>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</si>
  <si>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</si>
  <si>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</si>
  <si>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</si>
  <si>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</si>
  <si>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</si>
  <si>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</si>
  <si>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</si>
  <si>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</si>
  <si>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</si>
  <si>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</si>
  <si>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</si>
  <si>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</si>
  <si>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</si>
  <si>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</si>
  <si>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</si>
  <si>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</si>
  <si>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</si>
  <si>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</si>
  <si>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</si>
  <si>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</si>
  <si>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</si>
  <si>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</si>
  <si>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</si>
  <si>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</si>
  <si>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</si>
  <si>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</si>
  <si>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</si>
  <si>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</si>
  <si>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</si>
  <si>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</si>
  <si>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</si>
  <si>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</si>
  <si>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</si>
  <si>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</si>
  <si>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</si>
  <si>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</si>
  <si>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</si>
  <si>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</si>
  <si>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</si>
  <si>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</si>
  <si>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</si>
  <si>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</si>
  <si>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</si>
  <si>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</si>
  <si>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</si>
  <si>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</si>
  <si>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</si>
  <si>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</si>
  <si>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</si>
  <si>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</si>
  <si>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</si>
  <si>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</si>
  <si>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</si>
  <si>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</si>
  <si>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</si>
  <si>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</si>
  <si>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</si>
  <si>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</si>
  <si>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</si>
  <si>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</si>
  <si>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</si>
  <si>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</si>
  <si>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</si>
  <si>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</si>
  <si>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</si>
  <si>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</si>
  <si>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</si>
  <si>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</si>
  <si>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</si>
  <si>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</si>
  <si>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</si>
  <si>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</si>
  <si>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</si>
  <si>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</si>
  <si>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</si>
  <si>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</si>
  <si>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</si>
  <si>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</si>
  <si>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</si>
  <si>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</si>
  <si>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</si>
  <si>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</si>
  <si>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</si>
  <si>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</si>
  <si>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</si>
  <si>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</si>
  <si>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</si>
  <si>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</si>
  <si>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</si>
  <si>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</si>
  <si>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</si>
  <si>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</si>
  <si>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</si>
  <si>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</si>
  <si>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</si>
  <si>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</si>
  <si>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</si>
  <si>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</si>
  <si>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</si>
  <si>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</si>
  <si>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</si>
  <si>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</si>
  <si>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</si>
  <si>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</si>
  <si>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</si>
  <si>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</si>
  <si>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</si>
  <si>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</si>
  <si>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</si>
  <si>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</si>
  <si>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</si>
  <si>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</si>
  <si>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</si>
  <si>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</si>
  <si>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</si>
  <si>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</si>
  <si>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</si>
  <si>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</si>
  <si>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</si>
  <si>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</si>
  <si>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</si>
  <si>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</si>
  <si>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</si>
  <si>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</si>
  <si>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</si>
  <si>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</si>
  <si>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</si>
  <si>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</si>
  <si>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</si>
  <si>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</si>
  <si>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</si>
  <si>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</si>
  <si>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</si>
  <si>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</si>
  <si>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</si>
  <si>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</si>
  <si>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</si>
  <si>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</si>
  <si>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</si>
  <si>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</si>
  <si>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</si>
  <si>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</si>
  <si>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</si>
  <si>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</si>
  <si>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</si>
  <si>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</si>
  <si>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</si>
  <si>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</si>
  <si>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</si>
  <si>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</si>
  <si>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</si>
  <si>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</si>
  <si>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</si>
  <si>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</si>
  <si>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</si>
  <si>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</si>
  <si>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</si>
  <si>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</si>
  <si>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</si>
  <si>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</si>
  <si>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</si>
  <si>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</si>
  <si>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</si>
  <si>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</si>
  <si>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</si>
  <si>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</si>
  <si>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</si>
  <si>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</si>
  <si>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</si>
  <si>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</si>
  <si>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</si>
  <si>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</si>
  <si>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</si>
  <si>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</si>
  <si>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</si>
  <si>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</si>
  <si>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</si>
  <si>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</si>
  <si>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</si>
  <si>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</si>
  <si>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</si>
  <si>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</si>
  <si>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</si>
  <si>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</si>
  <si>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</si>
  <si>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</si>
  <si>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</si>
  <si>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</si>
  <si>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</si>
  <si>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</si>
  <si>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</si>
  <si>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</si>
  <si>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</si>
  <si>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</si>
  <si>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</si>
  <si>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</si>
  <si>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</si>
  <si>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</si>
  <si>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</si>
  <si>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</si>
  <si>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</si>
  <si>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</si>
  <si>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</si>
  <si>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</si>
  <si>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</si>
  <si>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</si>
  <si>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</si>
  <si>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</si>
  <si>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</si>
  <si>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</si>
  <si>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</si>
  <si>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</si>
  <si>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</si>
  <si>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</si>
  <si>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</si>
  <si>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</si>
  <si>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</si>
  <si>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</si>
  <si>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</si>
  <si>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</si>
  <si>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</si>
  <si>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</si>
  <si>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</si>
  <si>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</si>
  <si>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</si>
  <si>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</si>
  <si>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</si>
  <si>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</si>
  <si>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</si>
  <si>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</si>
  <si>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</si>
  <si>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</si>
  <si>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</si>
  <si>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</si>
  <si>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</si>
  <si>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</si>
  <si>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</si>
  <si>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</si>
  <si>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</si>
  <si>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</si>
  <si>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</si>
  <si>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</si>
  <si>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</si>
  <si>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</si>
  <si>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</si>
  <si>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</si>
  <si>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</si>
  <si>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</si>
  <si>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</si>
  <si>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</si>
  <si>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</si>
  <si>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</si>
  <si>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</si>
  <si>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</si>
  <si>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</si>
  <si>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</si>
  <si>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</si>
  <si>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</si>
  <si>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</si>
  <si>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</si>
  <si>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</si>
  <si>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</si>
  <si>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</si>
  <si>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</si>
  <si>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</si>
  <si>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</si>
  <si>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</si>
  <si>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</si>
  <si>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</si>
  <si>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</si>
  <si>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</si>
  <si>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</si>
  <si>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</si>
  <si>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</si>
  <si>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</si>
  <si>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</si>
  <si>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</si>
  <si>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</si>
  <si>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</si>
  <si>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</si>
  <si>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</si>
  <si>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</si>
  <si>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</si>
  <si>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</si>
  <si>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</si>
  <si>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</si>
  <si>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</si>
  <si>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</si>
  <si>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</si>
  <si>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</si>
  <si>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</si>
  <si>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</si>
  <si>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</si>
  <si>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</si>
  <si>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</si>
  <si>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</si>
  <si>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</si>
  <si>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</si>
  <si>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</si>
  <si>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</si>
  <si>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</si>
  <si>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</si>
  <si>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</si>
  <si>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</si>
  <si>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</si>
  <si>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</si>
  <si>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</si>
  <si>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</si>
  <si>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</si>
  <si>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</si>
  <si>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</si>
  <si>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</si>
  <si>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</si>
  <si>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</si>
  <si>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</si>
  <si>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</si>
  <si>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</si>
  <si>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</si>
  <si>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</si>
  <si>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</si>
  <si>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</si>
  <si>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</si>
  <si>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</si>
  <si>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</si>
  <si>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</si>
  <si>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</si>
  <si>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</si>
  <si>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</si>
  <si>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</si>
  <si>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</si>
  <si>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</si>
  <si>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</si>
  <si>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</si>
  <si>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</si>
  <si>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</si>
  <si>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</si>
  <si>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</si>
  <si>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</si>
  <si>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</si>
  <si>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</si>
  <si>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</si>
  <si>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</si>
  <si>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</si>
  <si>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</si>
  <si>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</si>
  <si>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</si>
  <si>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</si>
  <si>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</si>
  <si>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</si>
  <si>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</si>
  <si>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</si>
  <si>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</si>
  <si>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</si>
  <si>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</si>
  <si>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</si>
  <si>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</si>
  <si>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</si>
  <si>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</si>
  <si>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</si>
  <si>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</si>
  <si>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</si>
  <si>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</si>
  <si>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</si>
  <si>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</si>
  <si>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</si>
  <si>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</si>
  <si>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</si>
  <si>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</si>
  <si>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</si>
  <si>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</si>
  <si>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</si>
  <si>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</si>
  <si>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</si>
  <si>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</si>
  <si>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</si>
  <si>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</si>
  <si>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</si>
  <si>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</si>
  <si>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</si>
  <si>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</si>
  <si>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</si>
  <si>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</si>
  <si>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</si>
  <si>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</si>
  <si>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</si>
  <si>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</si>
  <si>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</si>
  <si>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</si>
  <si>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</si>
  <si>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</si>
  <si>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</si>
  <si>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</si>
  <si>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</si>
  <si>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</si>
  <si>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</si>
  <si>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</si>
  <si>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</si>
  <si>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</si>
  <si>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</si>
  <si>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</si>
  <si>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</si>
  <si>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</si>
  <si>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</si>
  <si>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</si>
  <si>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</si>
  <si>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</si>
  <si>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</si>
  <si>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</si>
  <si>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</si>
  <si>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</si>
  <si>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</si>
  <si>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</si>
  <si>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</si>
  <si>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</si>
  <si>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</si>
  <si>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</si>
  <si>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</si>
  <si>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</si>
  <si>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</si>
  <si>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</si>
  <si>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</si>
  <si>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</si>
  <si>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</si>
  <si>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</si>
  <si>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</si>
  <si>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</si>
  <si>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</si>
  <si>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</si>
  <si>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</si>
  <si>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</si>
  <si>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</si>
  <si>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</si>
  <si>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</si>
  <si>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</si>
  <si>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</si>
  <si>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</si>
  <si>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</si>
  <si>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</si>
  <si>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</si>
  <si>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</si>
  <si>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</si>
  <si>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</si>
  <si>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</si>
  <si>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</si>
  <si>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</si>
  <si>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</si>
  <si>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</si>
  <si>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</si>
  <si>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</si>
  <si>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</si>
  <si>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</si>
  <si>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</si>
  <si>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</si>
  <si>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</si>
  <si>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</si>
  <si>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</si>
  <si>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</si>
  <si>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</si>
  <si>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</si>
  <si>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</si>
  <si>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</si>
  <si>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</si>
  <si>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</si>
  <si>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</si>
  <si>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</si>
  <si>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</si>
  <si>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</si>
  <si>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</si>
  <si>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</si>
  <si>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</si>
  <si>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</si>
  <si>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</si>
  <si>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</si>
  <si>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</si>
  <si>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</si>
  <si>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</si>
  <si>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</si>
  <si>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</si>
  <si>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</si>
  <si>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</si>
  <si>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</si>
  <si>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</si>
  <si>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</si>
  <si>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</si>
  <si>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</si>
  <si>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</si>
  <si>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</si>
  <si>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</si>
  <si>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</si>
  <si>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</si>
  <si>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</si>
  <si>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</si>
  <si>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</si>
  <si>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</si>
  <si>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</si>
  <si>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</si>
  <si>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</si>
  <si>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</si>
  <si>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</si>
  <si>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</si>
  <si>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</si>
  <si>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</si>
  <si>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</si>
  <si>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</si>
  <si>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</si>
  <si>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</si>
  <si>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</si>
  <si>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</si>
  <si>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</si>
  <si>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</si>
  <si>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</si>
  <si>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</si>
  <si>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</si>
  <si>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</si>
  <si>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</si>
  <si>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</si>
  <si>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</si>
  <si>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</si>
  <si>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</si>
  <si>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</si>
  <si>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</si>
  <si>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</si>
  <si>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</si>
  <si>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</si>
  <si>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</si>
  <si>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</si>
  <si>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</si>
  <si>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</si>
  <si>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</si>
  <si>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</si>
  <si>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</si>
  <si>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</si>
  <si>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</si>
  <si>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</si>
  <si>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</si>
  <si>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</si>
  <si>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</si>
  <si>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</si>
  <si>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</si>
  <si>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</si>
  <si>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</si>
  <si>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</si>
  <si>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</si>
  <si>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</si>
  <si>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</si>
  <si>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</si>
  <si>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</si>
  <si>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</si>
  <si>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</si>
  <si>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</si>
  <si>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</si>
  <si>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</si>
  <si>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</si>
  <si>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</si>
  <si>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</si>
  <si>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</si>
  <si>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</si>
  <si>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</si>
  <si>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</si>
  <si>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</si>
  <si>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</si>
  <si>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</si>
  <si>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</si>
  <si>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</si>
  <si>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</si>
  <si>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</si>
  <si>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</si>
  <si>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</si>
  <si>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</si>
  <si>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</si>
  <si>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</si>
  <si>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</si>
  <si>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</si>
  <si>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</si>
  <si>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</si>
  <si>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</si>
  <si>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</si>
  <si>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</si>
  <si>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</si>
  <si>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</si>
  <si>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</si>
  <si>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</si>
  <si>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</si>
  <si>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</si>
  <si>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</si>
  <si>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</si>
  <si>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</si>
  <si>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</si>
  <si>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</si>
  <si>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</si>
  <si>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</si>
  <si>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</si>
  <si>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</si>
  <si>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</si>
  <si>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</si>
  <si>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</si>
  <si>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</si>
  <si>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</si>
  <si>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</si>
  <si>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</si>
  <si>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</si>
  <si>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</si>
  <si>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</si>
  <si>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</si>
  <si>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</si>
  <si>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</si>
  <si>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</si>
  <si>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</si>
  <si>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</si>
  <si>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</si>
  <si>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</si>
  <si>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</si>
  <si>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</si>
  <si>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</si>
  <si>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</si>
  <si>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</si>
  <si>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</si>
  <si>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</si>
  <si>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</si>
  <si>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</si>
  <si>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</si>
  <si>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</si>
  <si>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</si>
  <si>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</si>
  <si>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</si>
  <si>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</si>
  <si>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</si>
  <si>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</si>
  <si>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</si>
  <si>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</si>
  <si>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</si>
  <si>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</si>
  <si>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</si>
  <si>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</si>
  <si>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</si>
  <si>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</si>
  <si>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</si>
  <si>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</si>
  <si>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</si>
  <si>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</si>
  <si>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</si>
  <si>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</si>
  <si>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</si>
  <si>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</si>
  <si>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</si>
  <si>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</si>
  <si>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</si>
  <si>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</si>
  <si>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</si>
  <si>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</si>
  <si>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</si>
  <si>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</si>
  <si>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</si>
  <si>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</si>
  <si>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</si>
  <si>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</si>
  <si>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</si>
  <si>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</si>
  <si>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</si>
  <si>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</si>
  <si>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</si>
  <si>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</si>
  <si>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</si>
  <si>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</si>
  <si>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</si>
  <si>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</si>
  <si>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</si>
  <si>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</si>
  <si>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</si>
  <si>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</si>
  <si>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</si>
  <si>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</si>
  <si>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</si>
  <si>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</si>
  <si>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</si>
  <si>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</si>
  <si>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</si>
  <si>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</si>
  <si>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</si>
  <si>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</si>
  <si>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</si>
  <si>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</si>
  <si>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</si>
  <si>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</si>
  <si>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</si>
  <si>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</si>
  <si>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</si>
  <si>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</si>
  <si>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</si>
  <si>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</si>
  <si>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</si>
  <si>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</si>
  <si>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</si>
  <si>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</si>
  <si>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</si>
  <si>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</si>
  <si>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</si>
  <si>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</si>
  <si>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</si>
  <si>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</si>
  <si>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</si>
  <si>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</si>
  <si>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</si>
  <si>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</si>
  <si>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</si>
  <si>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</si>
  <si>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</si>
  <si>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</si>
  <si>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</si>
  <si>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</si>
  <si>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</si>
  <si>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</si>
  <si>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</si>
  <si>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</si>
  <si>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</si>
  <si>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</si>
  <si>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</si>
  <si>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</si>
  <si>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</si>
  <si>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</si>
  <si>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</si>
  <si>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</si>
  <si>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</si>
  <si>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</si>
  <si>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</si>
  <si>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</si>
  <si>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</si>
  <si>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</si>
  <si>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</si>
  <si>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</si>
  <si>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</si>
  <si>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</si>
  <si>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</si>
  <si>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</si>
  <si>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</si>
  <si>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</si>
  <si>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</si>
  <si>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</si>
  <si>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</si>
  <si>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</si>
  <si>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</si>
  <si>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</si>
  <si>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</si>
  <si>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</si>
  <si>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</si>
  <si>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</si>
  <si>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</si>
  <si>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</si>
  <si>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</si>
  <si>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</si>
  <si>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</si>
  <si>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</si>
  <si>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</si>
  <si>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</si>
  <si>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</si>
  <si>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</si>
  <si>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</si>
  <si>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</si>
  <si>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</si>
  <si>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</si>
  <si>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</si>
  <si>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</si>
  <si>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</si>
  <si>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</si>
  <si>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</si>
  <si>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</si>
  <si>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</si>
  <si>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</si>
  <si>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</si>
  <si>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</si>
  <si>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</si>
  <si>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</si>
  <si>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</si>
  <si>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</si>
  <si>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</si>
  <si>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</si>
  <si>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</si>
  <si>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</si>
  <si>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</si>
  <si>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</si>
  <si>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</si>
  <si>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</si>
  <si>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</si>
  <si>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</si>
  <si>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</si>
  <si>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</si>
  <si>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</si>
  <si>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</si>
  <si>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</si>
  <si>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</si>
  <si>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</si>
  <si>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</si>
  <si>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</si>
  <si>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</si>
  <si>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</si>
  <si>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</si>
  <si>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</si>
  <si>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</si>
  <si>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</si>
  <si>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</si>
  <si>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</si>
  <si>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</si>
  <si>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</si>
  <si>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</si>
  <si>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</si>
  <si>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</si>
  <si>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</si>
  <si>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</si>
  <si>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</si>
  <si>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</si>
  <si>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</si>
  <si>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</si>
  <si>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</si>
  <si>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</si>
  <si>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</si>
  <si>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</si>
  <si>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</si>
  <si>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</si>
  <si>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</si>
  <si>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</si>
  <si>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</si>
  <si>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</si>
  <si>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</si>
  <si>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</si>
  <si>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</si>
  <si>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</si>
  <si>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</si>
  <si>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</si>
  <si>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</si>
  <si>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</si>
  <si>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</si>
  <si>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</si>
  <si>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</si>
  <si>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</si>
  <si>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</si>
  <si>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</si>
  <si>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</si>
  <si>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</si>
  <si>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</si>
  <si>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</si>
  <si>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</si>
  <si>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</si>
  <si>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</si>
  <si>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</si>
  <si>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</si>
  <si>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</si>
  <si>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</si>
  <si>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</si>
  <si>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</si>
  <si>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</si>
  <si>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</si>
  <si>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</si>
  <si>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</si>
  <si>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</si>
  <si>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</si>
  <si>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</si>
  <si>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</si>
  <si>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</si>
  <si>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</si>
  <si>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</si>
  <si>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</si>
  <si>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</si>
  <si>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</si>
  <si>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</si>
  <si>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</si>
  <si>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</si>
  <si>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</si>
  <si>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</si>
  <si>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</si>
  <si>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</si>
  <si>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</si>
  <si>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</si>
  <si>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</si>
  <si>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</si>
  <si>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</si>
  <si>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</si>
  <si>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</si>
  <si>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</si>
  <si>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</si>
  <si>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</si>
  <si>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</si>
  <si>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</si>
  <si>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</si>
  <si>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</si>
  <si>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</si>
  <si>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</si>
  <si>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</si>
  <si>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</si>
  <si>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</si>
  <si>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</si>
  <si>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</si>
  <si>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</si>
  <si>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</si>
  <si>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</si>
  <si>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</si>
  <si>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</si>
  <si>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</si>
  <si>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</si>
  <si>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</si>
  <si>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</si>
  <si>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</si>
  <si>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</si>
  <si>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</si>
  <si>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</si>
  <si>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</si>
  <si>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</si>
  <si>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</si>
  <si>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</si>
  <si>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</si>
  <si>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</si>
  <si>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</si>
  <si>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</si>
  <si>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</si>
  <si>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</si>
  <si>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</si>
  <si>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</si>
  <si>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</si>
  <si>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</si>
  <si>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</si>
  <si>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</si>
  <si>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</si>
  <si>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</si>
  <si>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</si>
  <si>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</si>
  <si>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</si>
  <si>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</si>
  <si>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</si>
  <si>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</si>
  <si>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</si>
  <si>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</si>
  <si>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</si>
  <si>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</si>
  <si>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</si>
  <si>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</si>
  <si>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</si>
  <si>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</si>
  <si>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</si>
  <si>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</si>
  <si>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</si>
  <si>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</si>
  <si>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</si>
  <si>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</si>
  <si>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</si>
  <si>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</si>
  <si>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</si>
  <si>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</si>
  <si>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</si>
  <si>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</si>
  <si>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</si>
  <si>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</si>
  <si>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</si>
  <si>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</si>
  <si>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</si>
  <si>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</si>
  <si>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</si>
  <si>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</si>
  <si>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</si>
  <si>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</si>
  <si>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</si>
  <si>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</si>
  <si>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</si>
  <si>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</si>
  <si>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</si>
  <si>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</si>
  <si>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</si>
  <si>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</si>
  <si>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</si>
  <si>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</si>
  <si>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</si>
  <si>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</si>
  <si>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</si>
  <si>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</si>
  <si>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</si>
  <si>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</si>
  <si>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</si>
  <si>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</si>
  <si>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</si>
  <si>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</si>
  <si>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</si>
  <si>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</si>
  <si>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</si>
  <si>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</si>
  <si>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</si>
  <si>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</si>
  <si>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</si>
  <si>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</si>
  <si>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</si>
  <si>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</si>
  <si>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</si>
  <si>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</si>
  <si>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</si>
  <si>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</si>
  <si>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</si>
  <si>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</si>
  <si>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</si>
  <si>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</si>
  <si>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</si>
  <si>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</si>
  <si>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</si>
  <si>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</si>
  <si>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</si>
  <si>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</si>
  <si>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</si>
  <si>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</si>
  <si>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</si>
  <si>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</si>
  <si>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</si>
  <si>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</si>
  <si>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</si>
  <si>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</si>
  <si>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</si>
  <si>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</si>
  <si>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</si>
  <si>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</si>
  <si>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</si>
  <si>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</si>
  <si>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</si>
  <si>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</si>
  <si>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</si>
  <si>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</si>
  <si>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</si>
  <si>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</si>
  <si>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</si>
  <si>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</si>
  <si>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</si>
  <si>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</si>
  <si>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</si>
  <si>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</si>
  <si>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</si>
  <si>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</si>
  <si>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</si>
  <si>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</si>
  <si>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</si>
  <si>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</si>
  <si>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</si>
  <si>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</si>
  <si>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</si>
  <si>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</si>
  <si>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</si>
  <si>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</si>
  <si>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</si>
  <si>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</si>
  <si>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</si>
  <si>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</si>
  <si>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</si>
  <si>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</si>
  <si>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</si>
  <si>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</si>
  <si>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</si>
  <si>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</si>
  <si>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</si>
  <si>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</si>
  <si>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</si>
  <si>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</si>
  <si>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</si>
  <si>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</si>
  <si>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</si>
  <si>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</si>
  <si>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</si>
  <si>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</si>
  <si>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</si>
  <si>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</si>
  <si>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</si>
  <si>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</si>
  <si>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</si>
  <si>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</si>
  <si>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</si>
  <si>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</si>
  <si>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</si>
  <si>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</si>
  <si>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</si>
  <si>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</si>
  <si>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</si>
  <si>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</si>
  <si>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</si>
  <si>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</si>
  <si>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</si>
  <si>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</si>
  <si>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</si>
  <si>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</si>
  <si>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</si>
  <si>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</si>
  <si>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</si>
  <si>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</si>
  <si>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</si>
  <si>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</si>
  <si>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</si>
  <si>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</si>
  <si>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</si>
  <si>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</si>
  <si>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</si>
  <si>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</si>
  <si>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</si>
  <si>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</si>
  <si>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</si>
  <si>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</si>
  <si>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</si>
  <si>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</si>
  <si>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</si>
  <si>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</si>
  <si>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</si>
  <si>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</si>
  <si>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</si>
  <si>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</si>
  <si>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</si>
  <si>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</si>
  <si>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</si>
  <si>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</si>
  <si>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</si>
  <si>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</si>
  <si>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</si>
  <si>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</si>
  <si>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</si>
  <si>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</si>
  <si>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</si>
  <si>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</si>
  <si>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</si>
  <si>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</si>
  <si>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</si>
  <si>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</si>
  <si>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</si>
  <si>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</si>
  <si>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</si>
  <si>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</si>
  <si>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</si>
  <si>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</si>
  <si>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</si>
  <si>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</si>
  <si>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</si>
  <si>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</si>
  <si>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</si>
  <si>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</si>
  <si>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</si>
  <si>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</si>
  <si>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</si>
  <si>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</si>
  <si>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</si>
  <si>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</si>
  <si>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</si>
  <si>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</si>
  <si>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</si>
  <si>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</si>
  <si>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</si>
  <si>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</si>
  <si>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</si>
  <si>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</si>
  <si>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</si>
  <si>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</si>
  <si>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</si>
  <si>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</si>
  <si>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</si>
  <si>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</si>
  <si>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</si>
  <si>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</si>
  <si>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</si>
  <si>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</si>
  <si>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</si>
  <si>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</si>
  <si>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</si>
  <si>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</si>
  <si>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</si>
  <si>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</si>
  <si>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</si>
  <si>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</si>
  <si>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</si>
  <si>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</si>
  <si>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</si>
  <si>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</si>
  <si>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</si>
  <si>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</si>
  <si>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</si>
  <si>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</si>
  <si>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</si>
  <si>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</si>
  <si>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</si>
  <si>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</si>
  <si>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</si>
  <si>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</si>
  <si>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</si>
  <si>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</si>
  <si>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</si>
  <si>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</si>
  <si>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</si>
  <si>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</si>
  <si>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</si>
  <si>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</si>
  <si>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</si>
  <si>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</si>
  <si>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</si>
  <si>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</si>
  <si>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</si>
  <si>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</si>
  <si>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</si>
  <si>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</si>
  <si>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</si>
  <si>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</si>
  <si>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</si>
  <si>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</si>
  <si>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</si>
  <si>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</si>
  <si>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</si>
  <si>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</si>
  <si>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</si>
  <si>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</si>
  <si>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</si>
  <si>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</si>
  <si>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</si>
  <si>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</si>
  <si>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</si>
  <si>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</si>
  <si>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</si>
  <si>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</si>
  <si>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</si>
  <si>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</si>
  <si>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</si>
  <si>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</si>
  <si>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</si>
  <si>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</si>
  <si>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</si>
  <si>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</si>
  <si>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</si>
  <si>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</si>
  <si>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</si>
  <si>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</si>
  <si>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</si>
  <si>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</si>
  <si>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</si>
  <si>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</si>
  <si>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</si>
  <si>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</si>
  <si>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</si>
  <si>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</si>
  <si>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</si>
  <si>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</si>
  <si>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</si>
  <si>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</si>
  <si>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</si>
  <si>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</si>
  <si>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</si>
  <si>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</si>
  <si>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</si>
  <si>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</si>
  <si>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</si>
  <si>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</si>
  <si>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</si>
  <si>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</si>
  <si>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</si>
  <si>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</si>
  <si>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</si>
  <si>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</si>
  <si>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</si>
  <si>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</si>
  <si>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</si>
  <si>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</si>
  <si>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</si>
  <si>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</si>
  <si>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</si>
  <si>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</si>
  <si>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</si>
  <si>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</si>
  <si>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</si>
  <si>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</si>
  <si>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</si>
  <si>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</si>
  <si>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</si>
  <si>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</si>
  <si>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</si>
  <si>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</si>
  <si>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</si>
  <si>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</si>
  <si>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</si>
  <si>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</si>
  <si>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</si>
  <si>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</si>
  <si>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</si>
  <si>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</si>
  <si>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</si>
  <si>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</si>
  <si>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</si>
  <si>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</si>
  <si>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</si>
  <si>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</si>
  <si>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</si>
  <si>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</si>
  <si>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</si>
  <si>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</si>
  <si>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</si>
  <si>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</si>
  <si>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</si>
  <si>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</si>
  <si>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</si>
  <si>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</si>
  <si>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</si>
  <si>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</si>
  <si>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</si>
  <si>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</si>
  <si>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</si>
  <si>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</si>
  <si>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</si>
  <si>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</si>
  <si>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</si>
  <si>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</si>
  <si>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</si>
  <si>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</si>
  <si>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</si>
  <si>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</si>
  <si>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</si>
  <si>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</si>
  <si>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</si>
  <si>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</si>
  <si>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</si>
  <si>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</si>
  <si>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</si>
  <si>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</si>
  <si>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</si>
  <si>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</si>
  <si>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</si>
  <si>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</si>
  <si>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</si>
  <si>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</si>
  <si>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</si>
  <si>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</si>
  <si>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</si>
  <si>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</si>
  <si>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</si>
  <si>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</si>
  <si>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</si>
  <si>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</si>
  <si>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</si>
  <si>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</si>
  <si>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</si>
  <si>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</si>
  <si>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</si>
  <si>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</si>
  <si>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</si>
  <si>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</si>
  <si>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</si>
  <si>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</si>
  <si>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</si>
  <si>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</si>
  <si>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</si>
  <si>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</si>
  <si>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</si>
  <si>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</si>
  <si>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</si>
  <si>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</si>
  <si>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</si>
  <si>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</si>
  <si>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</si>
  <si>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</si>
  <si>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</si>
  <si>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</si>
  <si>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</si>
  <si>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</si>
  <si>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</si>
  <si>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</si>
  <si>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</si>
  <si>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</si>
  <si>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</si>
  <si>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</si>
  <si>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</si>
  <si>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</si>
  <si>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</si>
  <si>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</si>
  <si>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</si>
  <si>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</si>
  <si>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</si>
  <si>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</si>
  <si>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</si>
  <si>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</si>
  <si>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</si>
  <si>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</si>
  <si>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</si>
  <si>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</si>
  <si>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</si>
  <si>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</si>
  <si>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</si>
  <si>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</si>
  <si>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</si>
  <si>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</si>
  <si>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</si>
  <si>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</si>
  <si>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</si>
  <si>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</si>
  <si>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</si>
  <si>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</si>
  <si>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</si>
  <si>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</si>
  <si>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</si>
  <si>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</si>
  <si>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</si>
  <si>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</si>
  <si>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</si>
  <si>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</si>
  <si>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</si>
  <si>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</si>
  <si>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</si>
  <si>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</si>
  <si>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</si>
  <si>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</si>
  <si>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</si>
  <si>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</si>
  <si>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</si>
  <si>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</si>
  <si>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</si>
  <si>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</si>
  <si>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</si>
  <si>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</si>
  <si>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</si>
  <si>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</si>
  <si>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</si>
  <si>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</si>
  <si>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</si>
  <si>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</si>
  <si>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</si>
  <si>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</si>
  <si>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</si>
  <si>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</si>
  <si>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</si>
  <si>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</si>
  <si>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</si>
  <si>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</si>
  <si>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</si>
  <si>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</si>
  <si>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</si>
  <si>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</si>
  <si>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</si>
  <si>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</si>
  <si>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</si>
  <si>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</si>
  <si>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</si>
  <si>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</si>
  <si>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</si>
  <si>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</si>
  <si>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</si>
  <si>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</si>
  <si>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</si>
  <si>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</si>
  <si>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</si>
  <si>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</si>
  <si>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</si>
  <si>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</si>
  <si>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</si>
  <si>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</si>
  <si>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</si>
  <si>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</si>
  <si>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</si>
  <si>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</si>
  <si>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</si>
  <si>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</si>
  <si>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</si>
  <si>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</si>
  <si>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</si>
  <si>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</si>
  <si>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</si>
  <si>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</si>
  <si>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</si>
  <si>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</si>
  <si>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</si>
  <si>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</si>
  <si>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</si>
  <si>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</si>
  <si>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</si>
  <si>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</si>
  <si>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</si>
  <si>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</si>
  <si>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</si>
  <si>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</si>
  <si>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</si>
  <si>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</si>
  <si>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</si>
  <si>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</si>
  <si>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</si>
  <si>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</si>
  <si>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</si>
  <si>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</si>
  <si>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</si>
  <si>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</si>
  <si>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</si>
  <si>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</si>
  <si>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</si>
  <si>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</si>
  <si>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</si>
  <si>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</si>
  <si>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</si>
  <si>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</si>
  <si>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</si>
  <si>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</si>
  <si>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</si>
  <si>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</si>
  <si>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</si>
  <si>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</si>
  <si>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</si>
  <si>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</si>
  <si>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</si>
  <si>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</si>
  <si>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</si>
  <si>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</si>
  <si>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</si>
  <si>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</si>
  <si>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</si>
  <si>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</si>
  <si>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</si>
  <si>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</si>
  <si>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</si>
  <si>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</si>
  <si>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</si>
  <si>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</si>
  <si>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</si>
  <si>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</si>
  <si>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</si>
  <si>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</si>
  <si>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</si>
  <si>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</si>
  <si>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</si>
  <si>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</si>
  <si>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</si>
  <si>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</si>
  <si>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</si>
  <si>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</si>
  <si>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</si>
  <si>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</si>
  <si>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</si>
  <si>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</si>
  <si>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</si>
  <si>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</si>
  <si>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</si>
  <si>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</si>
  <si>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</si>
  <si>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</si>
  <si>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</si>
  <si>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</si>
  <si>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</si>
  <si>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</si>
  <si>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</si>
  <si>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</si>
  <si>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</si>
  <si>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</si>
  <si>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</si>
  <si>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</si>
  <si>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</si>
  <si>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</si>
  <si>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</si>
  <si>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</si>
  <si>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</si>
  <si>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</si>
  <si>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</si>
  <si>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</si>
  <si>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</si>
  <si>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</si>
  <si>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</si>
  <si>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</si>
  <si>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</si>
  <si>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</si>
  <si>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</si>
  <si>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</si>
  <si>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</si>
  <si>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</si>
  <si>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</si>
  <si>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</si>
  <si>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</si>
  <si>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</si>
  <si>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</si>
  <si>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</si>
  <si>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</si>
  <si>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</si>
  <si>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</si>
  <si>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</si>
  <si>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</si>
  <si>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</si>
  <si>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</si>
  <si>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</si>
  <si>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</si>
  <si>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</si>
  <si>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</si>
  <si>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</si>
  <si>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</si>
  <si>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</si>
  <si>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</si>
  <si>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</si>
  <si>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</si>
  <si>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</si>
  <si>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</si>
  <si>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</si>
  <si>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</si>
  <si>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</si>
  <si>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</si>
  <si>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</si>
  <si>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</si>
  <si>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</si>
  <si>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</si>
  <si>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</si>
  <si>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</si>
  <si>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</si>
  <si>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</si>
  <si>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</si>
  <si>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</si>
  <si>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</si>
  <si>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</si>
  <si>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</si>
  <si>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</si>
  <si>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</si>
  <si>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</si>
  <si>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</si>
  <si>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</si>
  <si>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</si>
  <si>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</si>
  <si>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</si>
  <si>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</si>
  <si>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</si>
  <si>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</si>
  <si>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</si>
  <si>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</si>
  <si>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</si>
  <si>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</si>
  <si>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</si>
  <si>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</si>
  <si>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</si>
  <si>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</si>
  <si>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</si>
  <si>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</si>
  <si>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</si>
  <si>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</si>
  <si>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</si>
  <si>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</si>
  <si>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</si>
  <si>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</si>
  <si>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</si>
  <si>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</si>
  <si>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</si>
  <si>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</si>
  <si>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</si>
  <si>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</si>
  <si>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</si>
  <si>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</si>
  <si>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</si>
  <si>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</si>
  <si>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</si>
  <si>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</si>
  <si>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</si>
  <si>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</si>
  <si>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</si>
  <si>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</si>
  <si>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</si>
  <si>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</si>
  <si>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</si>
  <si>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</si>
  <si>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</si>
  <si>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</si>
  <si>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</si>
  <si>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</si>
  <si>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</si>
  <si>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</si>
  <si>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</si>
  <si>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</si>
  <si>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</si>
  <si>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</si>
  <si>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</si>
  <si>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</si>
  <si>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</si>
  <si>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</si>
  <si>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</si>
  <si>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</si>
  <si>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</si>
  <si>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</si>
  <si>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</si>
  <si>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</si>
  <si>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</si>
  <si>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</si>
  <si>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</si>
  <si>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</si>
  <si>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</si>
  <si>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</si>
  <si>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</si>
  <si>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</si>
  <si>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</si>
  <si>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</si>
  <si>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</si>
  <si>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</si>
  <si>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</si>
  <si>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</si>
  <si>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</si>
  <si>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</si>
  <si>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</si>
  <si>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</si>
  <si>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</si>
  <si>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</si>
  <si>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</si>
  <si>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</si>
  <si>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</si>
  <si>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</si>
  <si>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</si>
  <si>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</si>
  <si>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</si>
  <si>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</si>
  <si>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</si>
  <si>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</si>
  <si>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</si>
  <si>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</si>
  <si>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</si>
  <si>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</si>
  <si>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</si>
  <si>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</si>
  <si>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</si>
  <si>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</si>
  <si>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</si>
  <si>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</si>
  <si>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</si>
  <si>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</si>
  <si>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</si>
  <si>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</si>
  <si>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</si>
  <si>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</si>
  <si>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</si>
  <si>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</si>
  <si>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</si>
  <si>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</si>
  <si>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</si>
  <si>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</si>
  <si>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</si>
  <si>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</si>
  <si>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</si>
  <si>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</si>
  <si>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</si>
  <si>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</si>
  <si>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</si>
  <si>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</si>
  <si>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</si>
  <si>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</si>
  <si>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</si>
  <si>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</si>
  <si>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</si>
  <si>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</si>
  <si>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</si>
  <si>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</si>
  <si>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</si>
  <si>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</si>
  <si>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</si>
  <si>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</si>
  <si>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</si>
  <si>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</si>
  <si>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</si>
  <si>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</si>
  <si>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</si>
  <si>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</si>
  <si>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</si>
  <si>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</si>
  <si>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</si>
  <si>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</si>
  <si>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</si>
  <si>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</si>
  <si>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</si>
  <si>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</si>
  <si>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</si>
  <si>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</si>
  <si>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</si>
  <si>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</si>
  <si>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</si>
  <si>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</si>
  <si>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</si>
  <si>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</si>
  <si>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</si>
  <si>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</si>
  <si>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</si>
  <si>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</si>
  <si>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</si>
  <si>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</si>
  <si>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</si>
  <si>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</si>
  <si>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</si>
  <si>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</si>
  <si>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</si>
  <si>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</si>
  <si>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</si>
  <si>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</si>
  <si>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</si>
  <si>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</si>
  <si>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</si>
  <si>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</si>
  <si>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</si>
  <si>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</si>
  <si>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</si>
  <si>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</si>
  <si>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</si>
  <si>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</si>
  <si>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</si>
  <si>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</si>
  <si>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</si>
  <si>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</si>
  <si>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</si>
  <si>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</si>
  <si>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</si>
  <si>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</si>
  <si>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</si>
  <si>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</si>
  <si>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</si>
  <si>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</si>
  <si>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</si>
  <si>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</si>
  <si>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</si>
  <si>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</si>
  <si>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</si>
  <si>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</si>
  <si>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</si>
  <si>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</si>
  <si>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</si>
  <si>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</si>
  <si>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</si>
  <si>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</si>
  <si>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</si>
  <si>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</si>
  <si>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</si>
  <si>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</si>
  <si>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</si>
  <si>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</si>
  <si>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</si>
  <si>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</si>
  <si>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</si>
  <si>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</si>
  <si>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</si>
  <si>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</si>
  <si>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</si>
  <si>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</si>
  <si>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</si>
  <si>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</si>
  <si>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</si>
  <si>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</si>
  <si>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</si>
  <si>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</si>
  <si>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</si>
  <si>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</si>
  <si>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</si>
  <si>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</si>
  <si>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</si>
  <si>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</si>
  <si>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</si>
  <si>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</si>
  <si>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</si>
  <si>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</si>
  <si>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</si>
  <si>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</si>
  <si>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</si>
  <si>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</si>
  <si>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</si>
  <si>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</si>
  <si>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</si>
  <si>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</si>
  <si>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</si>
  <si>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</si>
  <si>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</si>
  <si>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</si>
  <si>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</si>
  <si>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</si>
  <si>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</si>
  <si>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</si>
  <si>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</si>
  <si>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</si>
  <si>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</si>
  <si>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</si>
  <si>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</si>
  <si>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</si>
  <si>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</si>
  <si>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</si>
  <si>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</si>
  <si>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</si>
  <si>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</si>
  <si>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</si>
  <si>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</si>
  <si>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</si>
  <si>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</si>
  <si>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</si>
  <si>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</si>
  <si>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</si>
  <si>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</si>
  <si>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</si>
  <si>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</si>
  <si>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</si>
  <si>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</si>
  <si>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</si>
  <si>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</si>
  <si>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</si>
  <si>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</si>
  <si>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</si>
  <si>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</si>
  <si>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</si>
  <si>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</si>
  <si>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</si>
  <si>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</si>
  <si>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</si>
  <si>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</si>
  <si>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</si>
  <si>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</si>
  <si>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</si>
  <si>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</si>
  <si>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</si>
  <si>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</si>
  <si>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</si>
  <si>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</si>
  <si>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</si>
  <si>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</si>
  <si>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</si>
  <si>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</si>
  <si>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</si>
  <si>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</si>
  <si>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</si>
  <si>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</si>
  <si>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</si>
  <si>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</si>
  <si>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</si>
  <si>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</si>
  <si>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</si>
  <si>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</si>
  <si>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</si>
  <si>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</si>
  <si>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</si>
  <si>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</si>
  <si>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</si>
  <si>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</si>
  <si>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</si>
  <si>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</si>
  <si>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</si>
  <si>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</si>
  <si>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</si>
  <si>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</si>
  <si>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</si>
  <si>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</si>
  <si>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</si>
  <si>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</si>
  <si>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</si>
  <si>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</si>
  <si>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</si>
  <si>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</si>
  <si>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</si>
  <si>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</si>
  <si>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</si>
  <si>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</si>
  <si>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</si>
  <si>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</si>
  <si>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</si>
  <si>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</si>
  <si>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</si>
  <si>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</si>
  <si>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</si>
  <si>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</si>
  <si>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</si>
  <si>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</si>
  <si>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</si>
  <si>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</si>
  <si>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</si>
  <si>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</si>
  <si>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</si>
  <si>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</si>
  <si>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</si>
  <si>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</si>
  <si>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</si>
  <si>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</si>
  <si>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</si>
  <si>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</si>
  <si>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</si>
  <si>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</si>
  <si>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</si>
  <si>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</si>
  <si>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</si>
  <si>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</si>
  <si>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</si>
  <si>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</si>
  <si>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</si>
  <si>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</si>
  <si>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</si>
  <si>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</si>
  <si>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</si>
  <si>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</si>
  <si>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</si>
  <si>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</si>
  <si>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</si>
  <si>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</si>
  <si>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</si>
  <si>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</si>
  <si>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</si>
  <si>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</si>
  <si>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</si>
  <si>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</si>
  <si>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</si>
  <si>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</si>
  <si>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</si>
  <si>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</si>
  <si>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</si>
  <si>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</si>
  <si>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</si>
  <si>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</si>
  <si>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</si>
  <si>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</si>
  <si>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</si>
  <si>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</si>
  <si>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</si>
  <si>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</si>
  <si>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</si>
  <si>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</si>
  <si>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</si>
  <si>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</si>
  <si>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</si>
  <si>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</si>
  <si>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</si>
  <si>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</si>
  <si>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</si>
  <si>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</si>
  <si>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</si>
  <si>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</si>
  <si>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</si>
  <si>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</si>
  <si>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</si>
  <si>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</si>
  <si>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</si>
  <si>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</si>
  <si>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</si>
  <si>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</si>
  <si>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</si>
  <si>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</si>
  <si>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</si>
  <si>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</si>
  <si>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</si>
  <si>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</si>
  <si>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</si>
  <si>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</si>
  <si>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</si>
  <si>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</si>
  <si>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</si>
  <si>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</si>
  <si>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</si>
  <si>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</si>
  <si>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</si>
  <si>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</si>
  <si>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</si>
  <si>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</si>
  <si>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</si>
  <si>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</si>
  <si>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</si>
  <si>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</si>
  <si>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</si>
  <si>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</si>
  <si>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</si>
  <si>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</si>
  <si>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</si>
  <si>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</si>
  <si>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</si>
  <si>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</si>
  <si>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</si>
  <si>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</si>
  <si>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</si>
  <si>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</si>
  <si>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</si>
  <si>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</si>
  <si>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</si>
  <si>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</si>
  <si>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</si>
  <si>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</si>
  <si>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</si>
  <si>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</si>
  <si>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</si>
  <si>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</si>
  <si>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</si>
  <si>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</si>
  <si>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</si>
  <si>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</si>
  <si>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</si>
  <si>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</si>
  <si>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</si>
  <si>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</si>
  <si>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</si>
  <si>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</si>
  <si>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</si>
  <si>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</si>
  <si>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</si>
  <si>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</si>
  <si>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</si>
  <si>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</si>
  <si>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</si>
  <si>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</si>
  <si>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</si>
  <si>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</si>
  <si>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</si>
  <si>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</si>
  <si>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</si>
  <si>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</si>
  <si>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</si>
  <si>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</si>
  <si>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</si>
  <si>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</si>
  <si>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</si>
  <si>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</si>
  <si>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</si>
  <si>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</si>
  <si>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</si>
  <si>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</si>
  <si>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</si>
  <si>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</si>
  <si>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</si>
  <si>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</si>
  <si>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</si>
  <si>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</si>
  <si>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</si>
  <si>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</si>
  <si>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</si>
  <si>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</si>
  <si>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</si>
  <si>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</si>
  <si>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</si>
  <si>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</si>
  <si>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</si>
  <si>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</si>
  <si>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</si>
  <si>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</si>
  <si>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</si>
  <si>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</si>
  <si>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</si>
  <si>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</si>
  <si>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</si>
  <si>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</si>
  <si>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</si>
  <si>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</si>
  <si>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</si>
  <si>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</si>
  <si>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</si>
  <si>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</si>
  <si>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</si>
  <si>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</si>
  <si>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</si>
  <si>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</si>
  <si>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</si>
  <si>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</si>
  <si>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</si>
  <si>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</si>
  <si>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</si>
  <si>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</si>
  <si>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</si>
  <si>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</si>
  <si>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</si>
  <si>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</si>
  <si>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</si>
  <si>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</si>
  <si>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</si>
  <si>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</si>
  <si>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</si>
  <si>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</si>
  <si>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</si>
  <si>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</si>
  <si>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</si>
  <si>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</si>
  <si>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</si>
  <si>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</si>
  <si>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</si>
  <si>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</si>
  <si>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</si>
  <si>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</si>
  <si>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</si>
  <si>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</si>
  <si>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</si>
  <si>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</si>
  <si>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</si>
  <si>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</si>
  <si>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</si>
  <si>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</si>
  <si>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</si>
  <si>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</si>
  <si>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</si>
  <si>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</si>
  <si>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</si>
  <si>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</si>
  <si>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</si>
  <si>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</si>
  <si>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</si>
  <si>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</si>
  <si>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</si>
  <si>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</si>
  <si>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</si>
  <si>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</si>
  <si>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</si>
  <si>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</si>
  <si>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</si>
  <si>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</si>
  <si>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</si>
  <si>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</si>
  <si>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</si>
  <si>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</si>
  <si>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</si>
  <si>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</si>
  <si>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</si>
  <si>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</si>
  <si>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</si>
  <si>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</si>
  <si>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</si>
  <si>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</si>
  <si>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</si>
  <si>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</si>
  <si>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</si>
  <si>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</si>
  <si>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</si>
  <si>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</si>
  <si>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</si>
  <si>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</si>
  <si>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</si>
  <si>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</si>
  <si>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</si>
  <si>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</si>
  <si>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</si>
  <si>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</si>
  <si>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</si>
  <si>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</si>
  <si>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</si>
  <si>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</si>
  <si>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</si>
  <si>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</si>
  <si>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</si>
  <si>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</si>
  <si>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</si>
  <si>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</si>
  <si>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</si>
  <si>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</si>
  <si>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</si>
  <si>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</si>
  <si>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</si>
  <si>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</si>
  <si>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</si>
  <si>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</si>
  <si>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</si>
  <si>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</si>
  <si>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</si>
  <si>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</si>
  <si>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</si>
  <si>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</si>
  <si>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</si>
  <si>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</si>
  <si>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</si>
  <si>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</si>
  <si>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</si>
  <si>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</si>
  <si>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</si>
  <si>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</si>
  <si>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</si>
  <si>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</si>
  <si>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</si>
  <si>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</si>
  <si>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</si>
  <si>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</si>
  <si>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</si>
  <si>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</si>
  <si>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</si>
  <si>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</si>
  <si>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</si>
  <si>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</si>
  <si>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</si>
  <si>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</si>
  <si>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</si>
  <si>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</si>
  <si>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</si>
  <si>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</si>
  <si>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</si>
  <si>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</si>
  <si>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</si>
  <si>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</si>
  <si>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</si>
  <si>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</si>
  <si>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</si>
  <si>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</si>
  <si>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</si>
  <si>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</si>
  <si>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</si>
  <si>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</si>
  <si>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</si>
  <si>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</si>
  <si>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</si>
  <si>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</si>
  <si>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</si>
  <si>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</si>
  <si>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</si>
  <si>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</si>
  <si>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</si>
  <si>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</si>
  <si>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</si>
  <si>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</si>
  <si>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</si>
  <si>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</si>
  <si>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</si>
  <si>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</si>
  <si>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</si>
  <si>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</si>
  <si>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</si>
  <si>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</si>
  <si>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</si>
  <si>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</si>
  <si>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</si>
  <si>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</si>
  <si>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</si>
  <si>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</si>
  <si>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</si>
  <si>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</si>
  <si>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</si>
  <si>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</si>
  <si>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</si>
  <si>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</si>
  <si>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</si>
  <si>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</si>
  <si>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</si>
  <si>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</si>
  <si>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</si>
  <si>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</si>
  <si>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</si>
  <si>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</si>
  <si>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</si>
  <si>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</si>
  <si>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</si>
  <si>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</si>
  <si>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</si>
  <si>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</si>
  <si>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</si>
  <si>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</si>
  <si>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</si>
  <si>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</si>
  <si>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</si>
  <si>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</si>
  <si>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</si>
  <si>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</si>
  <si>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</si>
  <si>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</si>
  <si>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</si>
  <si>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</si>
  <si>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</si>
  <si>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</si>
  <si>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</si>
  <si>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</si>
  <si>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</si>
  <si>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</si>
  <si>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</si>
  <si>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</si>
  <si>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</si>
  <si>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</si>
  <si>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</si>
  <si>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</si>
  <si>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</si>
  <si>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</si>
  <si>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</si>
  <si>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</si>
  <si>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</si>
  <si>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</si>
  <si>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</si>
  <si>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</si>
  <si>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</si>
  <si>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</si>
  <si>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</si>
  <si>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</si>
  <si>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</si>
  <si>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</si>
  <si>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</si>
  <si>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</si>
  <si>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</si>
  <si>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</si>
  <si>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</si>
  <si>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</si>
  <si>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</si>
  <si>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</si>
  <si>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</si>
  <si>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</si>
  <si>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</si>
  <si>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</si>
  <si>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</si>
  <si>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</si>
  <si>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</si>
  <si>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</si>
  <si>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</si>
  <si>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</si>
  <si>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</si>
  <si>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</si>
  <si>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</si>
  <si>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</si>
  <si>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</si>
  <si>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</si>
  <si>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</si>
  <si>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</si>
  <si>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</si>
  <si>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</si>
  <si>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</si>
  <si>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</si>
  <si>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</si>
  <si>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</si>
  <si>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</si>
  <si>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</si>
  <si>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</si>
  <si>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</si>
  <si>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</si>
  <si>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</si>
  <si>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</si>
  <si>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</si>
  <si>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</si>
  <si>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</si>
  <si>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</si>
  <si>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</si>
  <si>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</si>
  <si>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</si>
  <si>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</si>
  <si>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</si>
  <si>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</si>
  <si>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</si>
  <si>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</si>
  <si>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</si>
  <si>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</si>
  <si>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</si>
  <si>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</si>
  <si>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</si>
  <si>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</si>
  <si>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</si>
  <si>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</si>
  <si>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</si>
  <si>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</si>
  <si>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</si>
  <si>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</si>
  <si>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</si>
  <si>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</si>
  <si>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</si>
  <si>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</si>
  <si>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</si>
  <si>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</si>
  <si>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</si>
  <si>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</si>
  <si>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</si>
  <si>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</si>
  <si>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</si>
  <si>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</si>
  <si>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</si>
  <si>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</si>
  <si>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</si>
  <si>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</si>
  <si>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</si>
  <si>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</si>
  <si>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</si>
  <si>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</si>
  <si>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</si>
  <si>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</si>
  <si>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</si>
  <si>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</si>
  <si>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</si>
  <si>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</si>
  <si>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</si>
  <si>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</si>
  <si>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</si>
  <si>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</si>
  <si>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</si>
  <si>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</si>
  <si>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</si>
  <si>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</si>
  <si>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</si>
  <si>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</si>
  <si>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</si>
  <si>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</si>
  <si>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</si>
  <si>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</si>
  <si>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</si>
  <si>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</si>
  <si>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</si>
  <si>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</si>
  <si>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</si>
  <si>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</si>
  <si>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</si>
  <si>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</si>
  <si>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</si>
  <si>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</si>
  <si>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</si>
  <si>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</si>
  <si>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</si>
  <si>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</si>
  <si>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</si>
  <si>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</si>
  <si>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</si>
  <si>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</si>
  <si>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</si>
  <si>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</si>
  <si>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</si>
  <si>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</si>
  <si>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</si>
  <si>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</si>
  <si>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</si>
  <si>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</si>
  <si>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</si>
  <si>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</si>
  <si>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</si>
  <si>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</si>
  <si>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</si>
  <si>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</si>
  <si>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</si>
  <si>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</si>
  <si>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</si>
  <si>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</si>
  <si>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</si>
  <si>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</si>
  <si>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</si>
  <si>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</si>
  <si>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</si>
  <si>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</si>
  <si>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</si>
  <si>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</si>
  <si>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</si>
  <si>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</si>
  <si>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</si>
  <si>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</si>
  <si>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</si>
  <si>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</si>
  <si>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</si>
  <si>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</si>
  <si>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</si>
  <si>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</si>
  <si>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</si>
  <si>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</si>
  <si>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</si>
  <si>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</si>
  <si>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</si>
  <si>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</si>
  <si>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</si>
  <si>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</si>
  <si>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</si>
  <si>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</si>
  <si>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</si>
  <si>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</si>
  <si>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</si>
  <si>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</si>
  <si>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</si>
  <si>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</si>
  <si>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</si>
  <si>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</si>
  <si>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</si>
  <si>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</si>
  <si>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</si>
  <si>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</si>
  <si>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</si>
  <si>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</si>
  <si>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</si>
  <si>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</si>
  <si>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</si>
  <si>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</si>
  <si>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</si>
  <si>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</si>
  <si>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</si>
  <si>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</si>
  <si>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</si>
  <si>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</si>
  <si>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</si>
  <si>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</si>
  <si>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</si>
  <si>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</si>
  <si>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</si>
  <si>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</si>
  <si>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</si>
  <si>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</si>
  <si>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</si>
  <si>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</si>
  <si>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</si>
  <si>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</si>
  <si>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</si>
  <si>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</si>
  <si>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</si>
  <si>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</si>
  <si>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</si>
  <si>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</si>
  <si>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</si>
  <si>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</si>
  <si>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</si>
  <si>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</si>
  <si>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</si>
  <si>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</si>
  <si>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</si>
  <si>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</si>
  <si>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</si>
  <si>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</si>
  <si>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</si>
  <si>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</si>
  <si>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</si>
  <si>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</si>
  <si>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</si>
  <si>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</si>
  <si>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</si>
  <si>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</si>
  <si>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</si>
  <si>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</si>
  <si>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</si>
  <si>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</si>
  <si>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</si>
  <si>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</si>
  <si>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</si>
  <si>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</si>
  <si>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</si>
  <si>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</si>
  <si>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</si>
  <si>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</si>
  <si>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</si>
  <si>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</si>
  <si>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</si>
  <si>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</si>
  <si>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</si>
  <si>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</si>
  <si>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</si>
  <si>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</si>
  <si>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</si>
  <si>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</si>
  <si>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</si>
  <si>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</si>
  <si>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</si>
  <si>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</si>
  <si>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</si>
  <si>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</si>
  <si>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</si>
  <si>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</si>
  <si>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</si>
  <si>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</si>
  <si>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</si>
  <si>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</si>
  <si>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</si>
  <si>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</si>
  <si>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</si>
  <si>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</si>
  <si>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</si>
  <si>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</si>
  <si>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</si>
  <si>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</si>
  <si>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</si>
  <si>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</si>
  <si>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</si>
  <si>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</si>
  <si>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</si>
  <si>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</si>
  <si>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</si>
  <si>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</si>
  <si>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</si>
  <si>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</si>
  <si>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</si>
  <si>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</si>
  <si>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</si>
  <si>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</si>
  <si>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</si>
  <si>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</si>
  <si>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</si>
  <si>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</si>
  <si>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</si>
  <si>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</si>
  <si>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</si>
  <si>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</si>
  <si>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</si>
  <si>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</si>
  <si>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</si>
  <si>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</si>
  <si>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</si>
  <si>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</si>
  <si>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</si>
  <si>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</si>
  <si>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</si>
  <si>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</si>
  <si>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</si>
  <si>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</si>
  <si>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</si>
  <si>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</si>
  <si>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</si>
  <si>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</si>
  <si>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</si>
  <si>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</si>
  <si>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</si>
  <si>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</si>
  <si>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</si>
  <si>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</si>
  <si>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</si>
  <si>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</si>
  <si>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</si>
  <si>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</si>
  <si>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</si>
  <si>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</si>
  <si>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</si>
  <si>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</si>
  <si>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</si>
  <si>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</si>
  <si>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</si>
  <si>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</si>
  <si>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</si>
  <si>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</si>
  <si>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</si>
  <si>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</si>
  <si>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</si>
  <si>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</si>
  <si>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</si>
  <si>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</si>
  <si>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</si>
  <si>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</si>
  <si>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</si>
  <si>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</si>
  <si>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</si>
  <si>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</si>
  <si>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</si>
  <si>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</si>
  <si>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</si>
  <si>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</si>
  <si>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</si>
  <si>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</si>
  <si>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</si>
  <si>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</si>
  <si>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</si>
  <si>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</si>
  <si>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</si>
  <si>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</si>
  <si>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</si>
  <si>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</si>
  <si>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</si>
  <si>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</si>
  <si>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</si>
  <si>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</si>
  <si>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</si>
  <si>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</si>
  <si>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</si>
  <si>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</si>
  <si>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</si>
  <si>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</si>
  <si>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</si>
  <si>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</si>
  <si>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</si>
  <si>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</si>
  <si>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</si>
  <si>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</si>
  <si>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</si>
  <si>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</si>
  <si>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</si>
  <si>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</si>
  <si>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</si>
  <si>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</si>
  <si>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</si>
  <si>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</si>
  <si>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</si>
  <si>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</si>
  <si>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</si>
  <si>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</si>
  <si>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</si>
  <si>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</si>
  <si>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</si>
  <si>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</si>
  <si>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</si>
  <si>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</si>
  <si>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</si>
  <si>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</si>
  <si>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</si>
  <si>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</si>
  <si>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</si>
  <si>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</si>
  <si>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</si>
  <si>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</si>
  <si>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</si>
  <si>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</si>
  <si>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</si>
  <si>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</si>
  <si>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</si>
  <si>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</si>
  <si>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</si>
  <si>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</si>
  <si>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</si>
  <si>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</si>
  <si>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</si>
  <si>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</si>
  <si>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</si>
  <si>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</si>
  <si>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</si>
  <si>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</si>
  <si>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</si>
  <si>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</si>
  <si>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</si>
  <si>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</si>
  <si>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</si>
  <si>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</si>
  <si>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</si>
  <si>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</si>
  <si>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</si>
  <si>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</si>
  <si>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</si>
  <si>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</si>
  <si>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</si>
  <si>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</si>
  <si>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</si>
  <si>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</si>
  <si>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</si>
  <si>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</si>
  <si>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</si>
  <si>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</si>
  <si>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</si>
  <si>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</si>
  <si>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</si>
  <si>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</si>
  <si>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</si>
  <si>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</si>
  <si>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</si>
  <si>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</si>
  <si>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</si>
  <si>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</si>
  <si>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</si>
  <si>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</si>
  <si>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</si>
  <si>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</si>
  <si>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</si>
  <si>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</si>
  <si>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</si>
  <si>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</si>
  <si>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</si>
  <si>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</si>
  <si>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</si>
  <si>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</si>
  <si>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</si>
  <si>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</si>
  <si>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</si>
  <si>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</si>
  <si>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</si>
  <si>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</si>
  <si>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</si>
  <si>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</si>
  <si>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</si>
  <si>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</si>
  <si>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</si>
  <si>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</si>
  <si>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</si>
  <si>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</si>
  <si>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</si>
  <si>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</si>
  <si>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</si>
  <si>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</si>
  <si>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</si>
  <si>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</si>
  <si>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</si>
  <si>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</si>
  <si>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</si>
  <si>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</si>
  <si>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</si>
  <si>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</si>
  <si>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</si>
  <si>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</si>
  <si>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</si>
  <si>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</si>
  <si>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</si>
  <si>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</si>
  <si>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</si>
  <si>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</si>
  <si>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</si>
  <si>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</si>
  <si>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</si>
  <si>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</si>
  <si>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</si>
  <si>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</si>
  <si>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</si>
  <si>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</si>
  <si>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</si>
  <si>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</si>
  <si>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</si>
  <si>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</si>
  <si>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</si>
  <si>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</si>
  <si>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</si>
  <si>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</si>
  <si>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</si>
  <si>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</si>
  <si>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</si>
  <si>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</si>
  <si>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</si>
  <si>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</si>
  <si>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</si>
  <si>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</si>
  <si>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</si>
  <si>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</si>
  <si>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</si>
  <si>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</si>
  <si>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</si>
  <si>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</si>
  <si>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</si>
  <si>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</si>
  <si>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</si>
  <si>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</si>
  <si>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</si>
  <si>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</si>
  <si>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</si>
  <si>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</si>
  <si>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</si>
  <si>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</si>
  <si>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</si>
  <si>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</si>
  <si>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</si>
  <si>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</si>
  <si>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</si>
  <si>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</si>
  <si>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</si>
  <si>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</si>
  <si>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</si>
  <si>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</si>
  <si>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</si>
  <si>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</si>
  <si>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</si>
  <si>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</si>
  <si>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</si>
  <si>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</si>
  <si>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</si>
  <si>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</si>
  <si>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</si>
  <si>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</si>
  <si>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</si>
  <si>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</si>
  <si>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</si>
  <si>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</si>
  <si>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</si>
  <si>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</si>
  <si>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</si>
  <si>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</si>
  <si>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</si>
  <si>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</si>
  <si>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</si>
  <si>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</si>
  <si>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</si>
  <si>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</si>
  <si>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</si>
  <si>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</si>
  <si>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</si>
  <si>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</si>
  <si>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</si>
  <si>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</si>
  <si>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</si>
  <si>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</si>
  <si>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</si>
  <si>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</si>
  <si>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</si>
  <si>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</si>
  <si>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</si>
  <si>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</si>
  <si>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</si>
  <si>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</si>
  <si>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</si>
  <si>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</si>
  <si>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</si>
  <si>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</si>
  <si>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</si>
  <si>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</si>
  <si>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</si>
  <si>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</si>
  <si>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</si>
  <si>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</si>
  <si>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</si>
  <si>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</si>
  <si>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</si>
  <si>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</si>
  <si>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</si>
  <si>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</si>
  <si>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</si>
  <si>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</si>
  <si>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</si>
  <si>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</si>
  <si>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</si>
  <si>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</si>
  <si>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</si>
  <si>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</si>
  <si>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</si>
  <si>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</si>
  <si>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</si>
  <si>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</si>
  <si>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</si>
  <si>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</si>
  <si>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</si>
  <si>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</si>
  <si>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</si>
  <si>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</si>
  <si>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</si>
  <si>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</si>
  <si>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</si>
  <si>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</si>
  <si>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</si>
  <si>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</si>
  <si>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</si>
  <si>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</si>
  <si>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</si>
  <si>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</si>
  <si>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</si>
  <si>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</si>
  <si>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</si>
  <si>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</si>
  <si>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</si>
  <si>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</si>
  <si>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</si>
  <si>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</si>
  <si>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</si>
  <si>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</si>
  <si>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</si>
  <si>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</si>
  <si>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</si>
  <si>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</si>
  <si>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</si>
  <si>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</si>
  <si>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</si>
  <si>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</si>
  <si>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</si>
  <si>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</si>
  <si>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</si>
  <si>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</si>
  <si>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</si>
  <si>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</si>
  <si>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</si>
  <si>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</si>
  <si>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</si>
  <si>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</si>
  <si>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</si>
  <si>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</si>
  <si>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</si>
  <si>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</si>
  <si>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</si>
  <si>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</si>
  <si>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</si>
  <si>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</si>
  <si>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</si>
  <si>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</si>
  <si>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</si>
  <si>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</si>
  <si>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</si>
  <si>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</si>
  <si>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</si>
  <si>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</si>
  <si>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</si>
  <si>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</si>
  <si>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</si>
  <si>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</si>
  <si>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</si>
  <si>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</si>
  <si>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</si>
  <si>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</si>
  <si>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</si>
  <si>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</si>
  <si>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</si>
  <si>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</si>
  <si>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</si>
  <si>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</si>
  <si>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</si>
  <si>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</si>
  <si>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</si>
  <si>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</si>
  <si>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</si>
  <si>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</si>
  <si>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</si>
  <si>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</si>
  <si>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</si>
  <si>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</si>
  <si>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</si>
  <si>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</si>
  <si>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</si>
  <si>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</si>
  <si>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</si>
  <si>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</si>
  <si>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</si>
  <si>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</si>
  <si>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</si>
  <si>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</si>
  <si>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</si>
  <si>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</si>
  <si>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</si>
  <si>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</si>
  <si>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</si>
  <si>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</si>
  <si>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</si>
  <si>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</si>
  <si>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</si>
  <si>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</si>
  <si>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</si>
  <si>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</si>
  <si>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</si>
  <si>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</si>
  <si>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</si>
  <si>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</si>
  <si>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</si>
  <si>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</si>
  <si>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</si>
  <si>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</si>
  <si>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</si>
  <si>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</si>
  <si>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</si>
  <si>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</si>
  <si>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</si>
  <si>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</si>
  <si>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</si>
  <si>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</si>
  <si>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</si>
  <si>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</si>
  <si>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</si>
  <si>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</si>
  <si>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</si>
  <si>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</si>
  <si>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</si>
  <si>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</si>
  <si>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</si>
  <si>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</si>
  <si>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</si>
  <si>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</si>
  <si>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</si>
  <si>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</si>
  <si>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</si>
  <si>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</si>
  <si>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</si>
  <si>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</si>
  <si>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</si>
  <si>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</si>
  <si>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</si>
  <si>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</si>
  <si>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</si>
  <si>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</si>
  <si>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</si>
  <si>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</si>
  <si>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</si>
  <si>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</si>
  <si>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</si>
  <si>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</si>
  <si>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</si>
  <si>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</si>
  <si>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</si>
  <si>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</si>
  <si>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</si>
  <si>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</si>
  <si>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</si>
  <si>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</si>
  <si>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</si>
  <si>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</si>
  <si>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</si>
  <si>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</si>
  <si>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</si>
  <si>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</si>
  <si>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</si>
  <si>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</si>
  <si>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</si>
  <si>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</si>
  <si>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</si>
  <si>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</si>
  <si>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</si>
  <si>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</si>
  <si>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</si>
  <si>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</si>
  <si>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</si>
  <si>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</si>
  <si>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</si>
  <si>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</si>
  <si>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</si>
  <si>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</si>
  <si>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</si>
  <si>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</si>
  <si>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</si>
  <si>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</si>
  <si>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</si>
  <si>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</si>
  <si>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</si>
  <si>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</si>
  <si>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</si>
  <si>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</si>
  <si>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</si>
  <si>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</si>
  <si>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</si>
  <si>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</si>
  <si>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</si>
  <si>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</si>
  <si>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</si>
  <si>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</si>
  <si>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</si>
  <si>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</si>
  <si>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</si>
  <si>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</si>
  <si>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</si>
  <si>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</si>
  <si>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</si>
  <si>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</si>
  <si>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</si>
  <si>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</si>
  <si>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</si>
  <si>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</si>
  <si>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</si>
  <si>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</si>
  <si>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</si>
  <si>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</si>
  <si>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</si>
  <si>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</si>
  <si>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</si>
  <si>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</si>
  <si>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</si>
  <si>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</si>
  <si>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</si>
  <si>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</si>
  <si>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</si>
  <si>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</si>
  <si>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</si>
  <si>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</si>
  <si>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</si>
  <si>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</si>
  <si>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</si>
  <si>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</si>
  <si>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</si>
  <si>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</si>
  <si>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</si>
  <si>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</si>
  <si>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</si>
  <si>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</si>
  <si>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</si>
  <si>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</si>
  <si>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</si>
  <si>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</si>
  <si>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</si>
  <si>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</si>
  <si>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</si>
  <si>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</si>
  <si>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</si>
  <si>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</si>
  <si>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</si>
  <si>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</si>
  <si>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</si>
  <si>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</si>
  <si>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</si>
  <si>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</si>
  <si>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</si>
  <si>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</si>
  <si>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</si>
  <si>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</si>
  <si>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</si>
  <si>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</si>
  <si>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</si>
  <si>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</si>
  <si>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</si>
  <si>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</si>
  <si>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</si>
  <si>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</si>
  <si>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</si>
  <si>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</si>
  <si>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</si>
  <si>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</si>
  <si>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</si>
  <si>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</si>
  <si>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</si>
  <si>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</si>
  <si>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</si>
  <si>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</si>
  <si>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</si>
  <si>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</si>
  <si>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</si>
  <si>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</si>
  <si>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</si>
  <si>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</si>
  <si>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</si>
  <si>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</si>
  <si>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</si>
  <si>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</si>
  <si>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</si>
  <si>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</si>
  <si>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</si>
  <si>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</si>
  <si>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</si>
  <si>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</si>
  <si>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</si>
  <si>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</si>
  <si>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</si>
  <si>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</si>
  <si>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</si>
  <si>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</si>
  <si>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</si>
  <si>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</si>
  <si>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</si>
  <si>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</si>
  <si>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</si>
  <si>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</si>
  <si>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</si>
  <si>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</si>
  <si>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</si>
  <si>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</si>
  <si>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</si>
  <si>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</si>
  <si>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</si>
  <si>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</si>
  <si>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</si>
  <si>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</si>
  <si>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</si>
  <si>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</si>
  <si>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</si>
  <si>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</si>
  <si>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</si>
  <si>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</si>
  <si>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</si>
  <si>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</si>
  <si>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</si>
  <si>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</si>
  <si>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</si>
  <si>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</si>
  <si>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</si>
  <si>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</si>
  <si>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</si>
  <si>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</si>
  <si>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</si>
  <si>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</si>
  <si>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</si>
  <si>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</si>
  <si>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</si>
  <si>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</si>
  <si>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</si>
  <si>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</si>
  <si>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</si>
  <si>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</si>
  <si>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</si>
  <si>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</si>
  <si>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</si>
  <si>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</si>
  <si>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</si>
  <si>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</si>
  <si>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</si>
  <si>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</si>
  <si>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</si>
  <si>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</si>
  <si>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</si>
  <si>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</si>
  <si>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</si>
  <si>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</si>
  <si>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</si>
  <si>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</si>
  <si>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</si>
  <si>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</si>
  <si>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</si>
  <si>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</si>
  <si>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</si>
  <si>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</si>
  <si>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</si>
  <si>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</si>
  <si>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</si>
  <si>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</si>
  <si>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</si>
  <si>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</si>
  <si>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</si>
  <si>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</si>
  <si>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</si>
  <si>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</si>
  <si>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</si>
  <si>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</si>
  <si>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</si>
  <si>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</si>
  <si>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</si>
  <si>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</si>
  <si>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</si>
  <si>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</si>
  <si>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</si>
  <si>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</si>
  <si>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</si>
  <si>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</si>
  <si>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</si>
  <si>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</si>
  <si>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</si>
  <si>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</si>
  <si>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</si>
  <si>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</si>
  <si>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</si>
  <si>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</si>
  <si>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</si>
  <si>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</si>
  <si>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</si>
  <si>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</si>
  <si>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</si>
  <si>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</si>
  <si>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</si>
  <si>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</si>
  <si>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</si>
  <si>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</si>
  <si>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</si>
  <si>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</si>
  <si>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</si>
  <si>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</si>
  <si>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</si>
  <si>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</si>
  <si>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</si>
  <si>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</si>
  <si>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</si>
  <si>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</si>
  <si>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</si>
  <si>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</si>
  <si>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</si>
  <si>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</si>
  <si>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</si>
  <si>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</si>
  <si>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</si>
  <si>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</si>
  <si>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</si>
  <si>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</si>
  <si>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</si>
  <si>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</si>
  <si>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</si>
  <si>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</si>
  <si>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</si>
  <si>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</si>
  <si>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</si>
  <si>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</si>
  <si>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</si>
  <si>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</si>
  <si>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</si>
  <si>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</si>
  <si>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</si>
  <si>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</si>
  <si>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</si>
  <si>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</si>
  <si>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</si>
  <si>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</si>
  <si>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</si>
  <si>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</si>
  <si>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</si>
  <si>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</si>
  <si>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</si>
  <si>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</si>
  <si>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</si>
  <si>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</si>
  <si>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</si>
  <si>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</si>
  <si>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</si>
  <si>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</si>
  <si>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</si>
  <si>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</si>
  <si>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</si>
  <si>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</si>
  <si>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</si>
  <si>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</si>
  <si>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</si>
  <si>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</si>
  <si>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</si>
  <si>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</si>
  <si>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</si>
  <si>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</si>
  <si>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</si>
  <si>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</si>
  <si>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</si>
  <si>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</si>
  <si>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</si>
  <si>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</si>
  <si>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</si>
  <si>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</si>
  <si>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</si>
  <si>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</si>
  <si>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</si>
  <si>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</si>
  <si>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</si>
  <si>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</si>
  <si>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</si>
  <si>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</si>
  <si>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</si>
  <si>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</si>
  <si>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</si>
  <si>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</si>
  <si>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</si>
  <si>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</si>
  <si>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</si>
  <si>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</si>
  <si>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</si>
  <si>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</si>
  <si>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</si>
  <si>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</si>
  <si>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</si>
  <si>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</si>
  <si>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</si>
  <si>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</si>
  <si>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</si>
  <si>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</si>
  <si>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</si>
  <si>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</si>
  <si>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</si>
  <si>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</si>
  <si>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</si>
  <si>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</si>
  <si>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</si>
  <si>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</si>
  <si>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</si>
  <si>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</si>
  <si>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</si>
  <si>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</si>
  <si>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</si>
  <si>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</si>
  <si>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</si>
  <si>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</si>
  <si>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</si>
  <si>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</si>
  <si>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</si>
  <si>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</si>
  <si>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</si>
  <si>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</si>
  <si>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</si>
  <si>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</si>
  <si>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</si>
  <si>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</si>
  <si>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</si>
  <si>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</si>
  <si>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</si>
  <si>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</si>
  <si>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</si>
  <si>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</si>
  <si>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</si>
  <si>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</si>
  <si>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</si>
  <si>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</si>
  <si>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</si>
  <si>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</si>
  <si>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</si>
  <si>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</si>
  <si>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</si>
  <si>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</si>
  <si>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</si>
  <si>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</si>
  <si>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</si>
  <si>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</si>
  <si>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</si>
  <si>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</si>
  <si>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</si>
  <si>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</si>
  <si>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</si>
  <si>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</si>
  <si>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</si>
  <si>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</si>
  <si>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</si>
  <si>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</si>
  <si>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</si>
  <si>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</si>
  <si>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</si>
  <si>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</si>
  <si>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</si>
  <si>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</si>
  <si>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</si>
  <si>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</si>
  <si>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</si>
  <si>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</si>
  <si>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</si>
  <si>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</si>
  <si>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</si>
  <si>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</si>
  <si>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</si>
  <si>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</si>
  <si>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</si>
  <si>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</si>
  <si>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</si>
  <si>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</si>
  <si>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</si>
  <si>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</si>
  <si>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</si>
  <si>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</si>
  <si>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</si>
  <si>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</si>
  <si>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</si>
  <si>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</si>
  <si>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</si>
  <si>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</si>
  <si>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</si>
  <si>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</si>
  <si>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</si>
  <si>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</si>
  <si>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</si>
  <si>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</si>
  <si>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</si>
  <si>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</si>
  <si>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</si>
  <si>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</si>
  <si>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</si>
  <si>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</si>
  <si>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</si>
  <si>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</si>
  <si>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</si>
  <si>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</si>
  <si>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</si>
  <si>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</si>
  <si>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</si>
  <si>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</si>
  <si>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</si>
  <si>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</si>
  <si>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</si>
  <si>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</si>
  <si>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</si>
  <si>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</si>
  <si>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</si>
  <si>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</si>
  <si>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</si>
  <si>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</si>
  <si>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</si>
  <si>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</si>
  <si>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</si>
  <si>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</si>
  <si>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</si>
  <si>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</si>
  <si>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</si>
  <si>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</si>
  <si>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</si>
  <si>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</si>
  <si>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</si>
  <si>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</si>
  <si>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</si>
  <si>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</si>
  <si>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</si>
  <si>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</si>
  <si>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</si>
  <si>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</si>
  <si>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</si>
  <si>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</si>
  <si>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</si>
  <si>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</si>
  <si>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</si>
  <si>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</si>
  <si>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</si>
  <si>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</si>
  <si>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</si>
  <si>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</si>
  <si>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</si>
  <si>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</si>
  <si>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</si>
  <si>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</si>
  <si>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</si>
  <si>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</si>
  <si>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</si>
  <si>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</si>
  <si>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</si>
  <si>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</si>
  <si>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</si>
  <si>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</si>
  <si>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</si>
  <si>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</si>
  <si>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</si>
  <si>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</si>
  <si>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</si>
  <si>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</si>
  <si>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</si>
  <si>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</si>
  <si>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</si>
  <si>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</si>
  <si>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</si>
  <si>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</si>
  <si>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</si>
  <si>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</si>
  <si>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</si>
  <si>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</si>
  <si>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</si>
  <si>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</si>
  <si>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</si>
  <si>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</si>
  <si>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</si>
  <si>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</si>
  <si>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</si>
  <si>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</si>
  <si>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</si>
  <si>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</si>
  <si>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</si>
  <si>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</si>
  <si>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</si>
  <si>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</si>
  <si>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</si>
  <si>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</si>
  <si>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</si>
  <si>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</si>
  <si>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</si>
  <si>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</si>
  <si>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</si>
  <si>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</si>
  <si>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</si>
  <si>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</si>
  <si>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</si>
  <si>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</si>
  <si>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</si>
  <si>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</si>
  <si>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</si>
  <si>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</si>
  <si>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</si>
  <si>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</si>
  <si>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</si>
  <si>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</si>
  <si>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</si>
  <si>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</si>
  <si>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</si>
  <si>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</si>
  <si>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</si>
  <si>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</si>
  <si>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</si>
  <si>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</si>
  <si>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</si>
  <si>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</si>
  <si>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</si>
  <si>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</si>
  <si>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</si>
  <si>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</si>
  <si>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</si>
  <si>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</si>
  <si>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</si>
  <si>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</si>
  <si>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</si>
  <si>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</si>
  <si>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</si>
  <si>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</si>
  <si>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</si>
  <si>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</si>
  <si>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</si>
  <si>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</si>
  <si>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</si>
  <si>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</si>
  <si>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</si>
  <si>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</si>
  <si>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</si>
  <si>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</si>
  <si>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</si>
  <si>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</si>
  <si>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</si>
  <si>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</si>
  <si>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</si>
  <si>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</si>
  <si>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</si>
  <si>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</si>
  <si>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</si>
  <si>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</si>
  <si>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</si>
  <si>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</si>
  <si>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</si>
  <si>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</si>
  <si>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</si>
  <si>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</si>
  <si>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</si>
  <si>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</si>
  <si>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</si>
  <si>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</si>
  <si>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</si>
  <si>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</si>
  <si>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</si>
  <si>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</si>
  <si>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</si>
  <si>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</si>
  <si>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</si>
  <si>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</si>
  <si>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</si>
  <si>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</si>
  <si>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</si>
  <si>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</si>
  <si>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</si>
  <si>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</si>
  <si>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</si>
  <si>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</si>
  <si>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</si>
  <si>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</si>
  <si>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</si>
  <si>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</si>
  <si>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</si>
  <si>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</si>
  <si>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</si>
  <si>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</si>
  <si>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</si>
  <si>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</si>
  <si>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</si>
  <si>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</si>
  <si>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</si>
  <si>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</si>
  <si>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</si>
  <si>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</si>
  <si>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</si>
  <si>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</si>
  <si>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</si>
  <si>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</si>
  <si>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</si>
  <si>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</si>
  <si>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</si>
  <si>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</si>
  <si>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</si>
  <si>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</si>
  <si>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</si>
  <si>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</si>
  <si>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</si>
  <si>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</si>
  <si>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</si>
  <si>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</si>
  <si>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</si>
  <si>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</si>
  <si>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</si>
  <si>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</si>
  <si>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</si>
  <si>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</si>
  <si>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</si>
  <si>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</si>
  <si>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</si>
  <si>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</si>
  <si>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</si>
  <si>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</si>
  <si>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</si>
  <si>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</si>
  <si>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</si>
  <si>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</si>
  <si>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</si>
  <si>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</si>
  <si>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</si>
  <si>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</si>
  <si>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</si>
  <si>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</si>
  <si>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</si>
  <si>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</si>
  <si>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</si>
  <si>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</si>
  <si>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</si>
  <si>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</si>
  <si>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</si>
  <si>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</si>
  <si>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</si>
  <si>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</si>
  <si>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</si>
  <si>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</si>
  <si>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</si>
  <si>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</si>
  <si>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</si>
  <si>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</si>
  <si>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</si>
  <si>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</si>
  <si>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</si>
  <si>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</si>
  <si>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</si>
  <si>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</si>
  <si>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</si>
  <si>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</si>
  <si>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</si>
  <si>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</si>
  <si>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</si>
  <si>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</si>
  <si>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</si>
  <si>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</si>
  <si>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</si>
  <si>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</si>
  <si>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</si>
  <si>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</si>
  <si>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</si>
  <si>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</si>
  <si>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</si>
  <si>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</si>
  <si>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</si>
  <si>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</si>
  <si>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</si>
  <si>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</si>
  <si>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</si>
  <si>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</si>
  <si>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</si>
  <si>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</si>
  <si>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</si>
  <si>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</si>
  <si>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</si>
  <si>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</si>
  <si>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</si>
  <si>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</si>
  <si>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</si>
  <si>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</si>
  <si>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</si>
  <si>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</si>
  <si>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</si>
  <si>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</si>
  <si>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</si>
  <si>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</si>
  <si>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</si>
  <si>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</si>
  <si>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</si>
  <si>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</si>
  <si>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</si>
  <si>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</si>
  <si>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</si>
  <si>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</si>
  <si>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</si>
  <si>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</si>
  <si>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</si>
  <si>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</si>
  <si>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</si>
  <si>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</si>
  <si>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</si>
  <si>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</si>
  <si>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</si>
  <si>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</si>
  <si>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</si>
  <si>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</si>
  <si>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</si>
  <si>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</si>
  <si>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</si>
  <si>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</si>
  <si>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</si>
  <si>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</si>
  <si>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</si>
  <si>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</si>
  <si>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</si>
  <si>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</si>
  <si>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</si>
  <si>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</si>
  <si>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</si>
  <si>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</si>
  <si>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</si>
  <si>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</si>
  <si>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</si>
  <si>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</si>
  <si>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</si>
  <si>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</si>
  <si>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</si>
  <si>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</si>
  <si>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</si>
  <si>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</si>
  <si>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</si>
  <si>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</si>
  <si>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</si>
  <si>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</si>
  <si>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</si>
  <si>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</si>
  <si>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</si>
  <si>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</si>
  <si>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</si>
  <si>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</si>
  <si>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</si>
  <si>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</si>
  <si>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</si>
  <si>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</si>
  <si>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</si>
  <si>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</si>
  <si>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</si>
  <si>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</si>
  <si>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</si>
  <si>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</si>
  <si>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</si>
  <si>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</si>
  <si>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</si>
  <si>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</si>
  <si>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</si>
  <si>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</si>
  <si>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</si>
  <si>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</si>
  <si>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</si>
  <si>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</si>
  <si>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</si>
  <si>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</si>
  <si>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</si>
  <si>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</si>
  <si>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</si>
  <si>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</si>
  <si>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</si>
  <si>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</si>
  <si>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</si>
  <si>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</si>
  <si>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</si>
  <si>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</si>
  <si>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</si>
  <si>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</si>
  <si>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</si>
  <si>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</si>
  <si>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</si>
  <si>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</si>
  <si>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</si>
  <si>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</si>
  <si>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</si>
  <si>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</si>
  <si>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</si>
  <si>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</si>
  <si>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</si>
  <si>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</si>
  <si>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</si>
  <si>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</si>
  <si>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</si>
  <si>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</si>
  <si>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</si>
  <si>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</si>
  <si>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</si>
  <si>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</si>
  <si>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</si>
  <si>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</si>
  <si>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</si>
  <si>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</si>
  <si>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</si>
  <si>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</si>
  <si>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</si>
  <si>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</si>
  <si>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</si>
  <si>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</si>
  <si>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</si>
  <si>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</si>
  <si>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</si>
  <si>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</si>
  <si>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</si>
  <si>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</si>
  <si>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</si>
  <si>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</si>
  <si>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</si>
  <si>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</si>
  <si>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</si>
  <si>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</si>
  <si>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</si>
  <si>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</si>
  <si>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</si>
  <si>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</si>
  <si>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</si>
  <si>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</si>
  <si>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</si>
  <si>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</si>
  <si>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</si>
  <si>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</si>
  <si>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</si>
  <si>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</si>
  <si>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</si>
  <si>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</si>
  <si>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</si>
  <si>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</si>
  <si>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</si>
  <si>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</si>
  <si>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</si>
  <si>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</si>
  <si>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</si>
  <si>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</si>
  <si>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</si>
  <si>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</si>
  <si>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</si>
  <si>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</si>
  <si>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</si>
  <si>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</si>
  <si>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</si>
  <si>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</si>
  <si>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</si>
  <si>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</si>
  <si>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</si>
  <si>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</si>
  <si>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</si>
  <si>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</si>
  <si>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</si>
  <si>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</si>
  <si>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</si>
  <si>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</si>
  <si>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</si>
  <si>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</si>
  <si>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</si>
  <si>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</si>
  <si>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</si>
  <si>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</si>
  <si>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</si>
  <si>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</si>
  <si>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</si>
  <si>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</si>
  <si>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</si>
  <si>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</si>
  <si>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</si>
  <si>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</si>
  <si>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</si>
  <si>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</si>
  <si>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</si>
  <si>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</si>
  <si>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</si>
  <si>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</si>
  <si>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</si>
  <si>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</si>
  <si>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</si>
  <si>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</si>
  <si>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</si>
  <si>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</si>
  <si>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</si>
  <si>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</si>
  <si>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</si>
  <si>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</si>
  <si>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</si>
  <si>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</si>
  <si>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</si>
  <si>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</si>
  <si>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</si>
  <si>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</si>
  <si>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</si>
  <si>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</si>
  <si>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</si>
  <si>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</si>
  <si>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</si>
  <si>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</si>
  <si>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</si>
  <si>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</si>
  <si>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</si>
  <si>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</si>
  <si>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</si>
  <si>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</si>
  <si>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</si>
  <si>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</si>
  <si>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</si>
  <si>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</si>
  <si>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</si>
  <si>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</si>
  <si>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</si>
  <si>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</si>
  <si>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</si>
  <si>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</si>
  <si>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</si>
  <si>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</si>
  <si>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</si>
  <si>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</si>
  <si>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</si>
  <si>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</si>
  <si>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</si>
  <si>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</si>
  <si>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</si>
  <si>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</si>
  <si>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</si>
  <si>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</si>
  <si>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</si>
  <si>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</si>
  <si>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</si>
  <si>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</si>
  <si>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</si>
  <si>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</si>
  <si>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</si>
  <si>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</si>
  <si>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</si>
  <si>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</si>
  <si>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</si>
  <si>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</si>
  <si>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</si>
  <si>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</si>
  <si>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</si>
  <si>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</si>
  <si>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</si>
  <si>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</si>
  <si>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</si>
  <si>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</si>
  <si>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</si>
  <si>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</si>
  <si>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</si>
  <si>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</si>
  <si>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</si>
  <si>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</si>
  <si>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</si>
  <si>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</si>
  <si>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</si>
  <si>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</si>
  <si>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</si>
  <si>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</si>
  <si>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</si>
  <si>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</si>
  <si>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</si>
  <si>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</si>
  <si>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</si>
  <si>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</si>
  <si>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</si>
  <si>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</si>
  <si>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</si>
  <si>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</si>
  <si>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</si>
  <si>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</si>
  <si>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</si>
  <si>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</si>
  <si>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</si>
  <si>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</si>
  <si>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</si>
  <si>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</si>
  <si>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</si>
  <si>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</si>
  <si>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</si>
  <si>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</si>
  <si>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</si>
  <si>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</si>
  <si>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</si>
  <si>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</si>
  <si>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</si>
  <si>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</si>
  <si>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</si>
  <si>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</si>
  <si>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</si>
  <si>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</si>
  <si>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</si>
  <si>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</si>
  <si>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</si>
  <si>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</si>
  <si>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</si>
  <si>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</si>
  <si>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</si>
  <si>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</si>
  <si>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</si>
  <si>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</si>
  <si>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</si>
  <si>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</si>
  <si>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</si>
  <si>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</si>
  <si>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</si>
  <si>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</si>
  <si>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</si>
  <si>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</si>
  <si>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</si>
  <si>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</si>
  <si>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</si>
  <si>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</si>
  <si>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</si>
  <si>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</si>
  <si>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</si>
  <si>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</si>
  <si>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</si>
  <si>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</si>
  <si>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</si>
  <si>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</si>
  <si>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</si>
  <si>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</si>
  <si>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</si>
  <si>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</si>
  <si>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</si>
  <si>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</si>
  <si>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</si>
  <si>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</si>
  <si>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</si>
  <si>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</si>
  <si>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</si>
  <si>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</si>
  <si>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</si>
  <si>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</si>
  <si>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</si>
  <si>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</si>
  <si>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</si>
  <si>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</si>
  <si>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</si>
  <si>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</si>
  <si>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</si>
  <si>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</si>
  <si>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</si>
  <si>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</si>
  <si>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</si>
  <si>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</si>
  <si>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</si>
  <si>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</si>
  <si>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</si>
  <si>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</si>
  <si>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</si>
  <si>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</si>
  <si>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</si>
  <si>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</si>
  <si>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</si>
  <si>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</si>
  <si>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</si>
  <si>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</si>
  <si>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</si>
  <si>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</si>
  <si>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</si>
  <si>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</si>
  <si>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</si>
  <si>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</si>
  <si>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</si>
  <si>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</si>
  <si>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</si>
  <si>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</si>
  <si>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</si>
  <si>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</si>
  <si>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</si>
  <si>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</si>
  <si>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</si>
  <si>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</si>
  <si>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</si>
  <si>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</si>
  <si>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</si>
  <si>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</si>
  <si>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</si>
  <si>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</si>
  <si>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</si>
  <si>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</si>
  <si>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</si>
  <si>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</si>
  <si>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</si>
  <si>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</si>
  <si>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</si>
  <si>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</si>
  <si>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</si>
  <si>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</si>
  <si>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</si>
  <si>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</si>
  <si>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</si>
  <si>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</si>
  <si>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</si>
  <si>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</si>
  <si>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</si>
  <si>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</si>
  <si>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</si>
  <si>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</si>
  <si>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</si>
  <si>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</si>
  <si>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</si>
  <si>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</si>
  <si>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</si>
  <si>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</si>
  <si>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</si>
  <si>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</si>
  <si>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</si>
  <si>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</si>
  <si>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</si>
  <si>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</si>
  <si>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</si>
  <si>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</si>
  <si>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</si>
  <si>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</si>
  <si>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</si>
  <si>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</si>
  <si>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</si>
  <si>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</si>
  <si>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</si>
  <si>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</si>
  <si>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</si>
  <si>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</si>
  <si>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</si>
  <si>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</si>
  <si>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</si>
  <si>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</si>
  <si>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</si>
  <si>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</si>
  <si>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</si>
  <si>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</si>
  <si>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</si>
  <si>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</si>
  <si>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</si>
  <si>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</si>
  <si>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</si>
  <si>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</si>
  <si>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</si>
  <si>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</si>
  <si>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</si>
  <si>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</si>
  <si>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</si>
  <si>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</si>
  <si>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</si>
  <si>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</si>
  <si>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</si>
  <si>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</si>
  <si>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</si>
  <si>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</si>
  <si>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</si>
  <si>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</si>
  <si>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</si>
  <si>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</si>
  <si>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</si>
  <si>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</si>
  <si>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</si>
  <si>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</si>
  <si>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</si>
  <si>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</si>
  <si>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</si>
  <si>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</si>
  <si>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</si>
  <si>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</si>
  <si>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</si>
  <si>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</si>
  <si>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</si>
  <si>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</si>
  <si>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</si>
  <si>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</si>
  <si>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</si>
  <si>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</si>
  <si>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</si>
  <si>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</si>
  <si>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</si>
  <si>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</si>
  <si>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</si>
  <si>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</si>
  <si>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</si>
  <si>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</si>
  <si>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</si>
  <si>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</si>
  <si>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</si>
  <si>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</si>
  <si>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</si>
  <si>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</si>
  <si>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</si>
  <si>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</si>
  <si>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</si>
  <si>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</si>
  <si>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</si>
  <si>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</si>
  <si>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</si>
  <si>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</si>
  <si>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</si>
  <si>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</si>
  <si>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</si>
  <si>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</si>
  <si>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</si>
  <si>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</si>
  <si>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</si>
  <si>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</si>
  <si>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</si>
  <si>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</si>
  <si>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</si>
  <si>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</si>
  <si>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</si>
  <si>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</si>
  <si>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</si>
  <si>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</si>
  <si>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</si>
  <si>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</si>
  <si>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</si>
  <si>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</si>
  <si>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</si>
  <si>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</si>
  <si>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</si>
  <si>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</si>
  <si>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</si>
  <si>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</si>
  <si>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</si>
  <si>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</si>
  <si>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</si>
  <si>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</si>
  <si>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</si>
  <si>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</si>
  <si>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</si>
  <si>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</si>
  <si>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</si>
  <si>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</si>
  <si>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</si>
  <si>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</si>
  <si>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</si>
  <si>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</si>
  <si>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</si>
  <si>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</si>
  <si>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</si>
  <si>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</si>
  <si>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</si>
  <si>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</si>
  <si>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</si>
  <si>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</si>
  <si>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</si>
  <si>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</si>
  <si>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</si>
  <si>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</si>
  <si>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</si>
  <si>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</si>
  <si>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</si>
  <si>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</si>
  <si>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</si>
  <si>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</si>
  <si>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</si>
  <si>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</si>
  <si>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</si>
  <si>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</si>
  <si>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</si>
  <si>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</si>
  <si>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</si>
  <si>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</si>
  <si>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</si>
  <si>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</si>
  <si>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</si>
  <si>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</si>
  <si>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</si>
  <si>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</si>
  <si>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</si>
  <si>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</si>
  <si>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</si>
  <si>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</si>
  <si>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</si>
  <si>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</si>
  <si>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</si>
  <si>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</si>
  <si>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</si>
  <si>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</si>
  <si>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</si>
  <si>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</si>
  <si>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</si>
  <si>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</si>
  <si>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</si>
  <si>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</si>
  <si>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</si>
  <si>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</si>
  <si>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</si>
  <si>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</si>
  <si>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</si>
  <si>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</si>
  <si>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</si>
  <si>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</si>
  <si>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</si>
  <si>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</si>
  <si>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</si>
  <si>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</si>
  <si>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</si>
  <si>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</si>
  <si>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</si>
  <si>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</si>
  <si>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</si>
  <si>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</si>
  <si>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</si>
  <si>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</si>
  <si>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</si>
  <si>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</si>
  <si>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</si>
  <si>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</si>
  <si>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</si>
  <si>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</si>
  <si>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</si>
  <si>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</si>
  <si>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</si>
  <si>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</si>
  <si>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</si>
  <si>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</si>
  <si>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</si>
  <si>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</si>
  <si>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</si>
  <si>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</si>
  <si>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</si>
  <si>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</si>
  <si>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</si>
  <si>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</si>
  <si>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</si>
  <si>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</si>
  <si>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</si>
  <si>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</si>
  <si>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</si>
  <si>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</si>
  <si>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</si>
  <si>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</si>
  <si>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</si>
  <si>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</si>
  <si>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</si>
  <si>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</si>
  <si>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</si>
  <si>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</si>
  <si>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</si>
  <si>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</si>
  <si>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</si>
  <si>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</si>
  <si>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</si>
  <si>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</si>
  <si>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</si>
  <si>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</si>
  <si>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</si>
  <si>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</si>
  <si>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</si>
  <si>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</si>
  <si>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</si>
  <si>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</si>
  <si>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</si>
  <si>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</si>
  <si>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</si>
  <si>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</si>
  <si>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</si>
  <si>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</si>
  <si>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</si>
  <si>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</si>
  <si>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</si>
  <si>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</si>
  <si>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</si>
  <si>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</si>
  <si>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</si>
  <si>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</si>
  <si>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</si>
  <si>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</si>
  <si>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</si>
  <si>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</si>
  <si>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</si>
  <si>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</si>
  <si>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</si>
  <si>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</si>
  <si>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</si>
  <si>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</si>
  <si>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</si>
  <si>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</si>
  <si>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</si>
  <si>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</si>
  <si>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</si>
  <si>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</si>
  <si>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</si>
  <si>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</si>
  <si>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</si>
  <si>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</si>
  <si>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</si>
  <si>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</si>
  <si>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</si>
  <si>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</si>
  <si>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</si>
  <si>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</si>
  <si>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</si>
  <si>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</si>
  <si>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</si>
  <si>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</si>
  <si>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</si>
  <si>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</si>
  <si>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</si>
  <si>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</si>
  <si>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</si>
  <si>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</si>
  <si>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</si>
  <si>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</si>
  <si>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</si>
  <si>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</si>
  <si>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</si>
  <si>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</si>
  <si>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</si>
  <si>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</si>
  <si>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</si>
  <si>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</si>
  <si>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</si>
  <si>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</si>
  <si>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</si>
  <si>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</si>
  <si>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</si>
  <si>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</si>
  <si>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</si>
  <si>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</si>
  <si>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</si>
  <si>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</si>
  <si>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</si>
  <si>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</si>
  <si>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</si>
  <si>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</si>
  <si>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</si>
  <si>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</si>
  <si>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</si>
  <si>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</si>
  <si>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</si>
  <si>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</si>
  <si>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</si>
  <si>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</si>
  <si>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</si>
  <si>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</si>
  <si>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</si>
  <si>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</si>
  <si>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</si>
  <si>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</si>
  <si>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</si>
  <si>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</si>
  <si>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</si>
  <si>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</si>
  <si>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</si>
  <si>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</si>
  <si>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</si>
  <si>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</si>
  <si>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</si>
  <si>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</si>
  <si>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</si>
  <si>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</si>
  <si>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</si>
  <si>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</si>
  <si>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</si>
  <si>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</si>
  <si>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</si>
  <si>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</si>
  <si>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</si>
  <si>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</si>
  <si>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</si>
  <si>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</si>
  <si>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</si>
  <si>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</si>
  <si>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</si>
  <si>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</si>
  <si>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</si>
  <si>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</si>
  <si>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</si>
  <si>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</si>
  <si>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</si>
  <si>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</si>
  <si>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</si>
  <si>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</si>
  <si>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</si>
  <si>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</si>
  <si>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</si>
  <si>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</si>
  <si>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</si>
  <si>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</si>
  <si>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</si>
  <si>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</si>
  <si>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</si>
  <si>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</si>
  <si>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</si>
  <si>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</si>
  <si>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</si>
  <si>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</si>
  <si>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</si>
  <si>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</si>
  <si>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</si>
  <si>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</si>
  <si>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</si>
  <si>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</si>
  <si>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</si>
  <si>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</si>
  <si>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</si>
  <si>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</si>
  <si>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</si>
  <si>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</si>
  <si>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</si>
  <si>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</si>
  <si>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</si>
  <si>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</si>
  <si>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</si>
  <si>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</si>
  <si>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</si>
  <si>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</si>
  <si>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</si>
  <si>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</si>
  <si>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</si>
  <si>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</si>
  <si>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</si>
  <si>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</si>
  <si>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</si>
  <si>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</si>
  <si>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</si>
  <si>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</si>
  <si>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</si>
  <si>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</si>
  <si>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</si>
  <si>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</si>
  <si>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</si>
  <si>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</si>
  <si>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</si>
  <si>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</si>
  <si>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</si>
  <si>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</si>
  <si>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</si>
  <si>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</si>
  <si>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</si>
  <si>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</si>
  <si>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</si>
  <si>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</si>
  <si>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</si>
  <si>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</si>
  <si>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</si>
  <si>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</si>
  <si>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</si>
  <si>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</si>
  <si>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</si>
  <si>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</si>
  <si>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</si>
  <si>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</si>
  <si>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</si>
  <si>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</si>
  <si>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</si>
  <si>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</si>
  <si>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</si>
  <si>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</si>
  <si>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</si>
  <si>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</si>
  <si>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</si>
  <si>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</si>
  <si>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</si>
  <si>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</si>
  <si>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</si>
  <si>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</si>
  <si>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</si>
  <si>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</si>
  <si>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</si>
  <si>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</si>
  <si>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</si>
  <si>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</si>
  <si>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</si>
  <si>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</si>
  <si>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</si>
  <si>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</si>
  <si>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</si>
  <si>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</si>
  <si>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</si>
  <si>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</si>
  <si>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</si>
  <si>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</si>
  <si>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</si>
  <si>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</si>
  <si>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</si>
  <si>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</si>
  <si>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</si>
  <si>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</si>
  <si>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</si>
  <si>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</si>
  <si>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</si>
  <si>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</si>
  <si>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</si>
  <si>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</si>
  <si>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</si>
  <si>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</si>
  <si>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</si>
  <si>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</si>
  <si>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</si>
  <si>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</si>
  <si>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</si>
  <si>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</si>
  <si>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</si>
  <si>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</si>
  <si>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</si>
  <si>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</si>
  <si>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</si>
  <si>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</si>
  <si>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</si>
  <si>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</si>
  <si>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</si>
  <si>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</si>
  <si>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</si>
  <si>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</si>
  <si>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</si>
  <si>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</si>
  <si>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</si>
  <si>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</si>
  <si>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</si>
  <si>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</si>
  <si>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</si>
  <si>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</si>
  <si>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</si>
  <si>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</si>
  <si>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</si>
  <si>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</si>
  <si>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</si>
  <si>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</si>
  <si>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</si>
  <si>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</si>
  <si>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</si>
  <si>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</si>
  <si>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</si>
  <si>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</si>
  <si>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</si>
  <si>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</si>
  <si>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</si>
  <si>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</si>
  <si>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</si>
  <si>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</si>
  <si>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</si>
  <si>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</si>
  <si>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</si>
  <si>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</si>
  <si>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</si>
  <si>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</si>
  <si>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</si>
  <si>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</si>
  <si>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</si>
  <si>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</si>
  <si>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</si>
  <si>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</si>
  <si>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</si>
  <si>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</si>
  <si>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</si>
  <si>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</si>
  <si>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</si>
  <si>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</si>
  <si>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</si>
  <si>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</si>
  <si>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</si>
  <si>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</si>
  <si>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</si>
  <si>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</si>
  <si>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</si>
  <si>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</si>
  <si>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</si>
  <si>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</si>
  <si>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</si>
  <si>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</si>
  <si>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</si>
  <si>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</si>
  <si>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</si>
  <si>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</si>
  <si>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</si>
  <si>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</si>
  <si>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</si>
  <si>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</si>
  <si>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</si>
  <si>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</si>
  <si>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</si>
  <si>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</si>
  <si>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</si>
  <si>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</si>
  <si>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</si>
  <si>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</si>
  <si>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</si>
  <si>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</si>
  <si>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</si>
  <si>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</si>
  <si>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</si>
  <si>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</si>
  <si>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</si>
  <si>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</si>
  <si>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</si>
  <si>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</si>
  <si>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</si>
  <si>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</si>
  <si>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</si>
  <si>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</si>
  <si>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</si>
  <si>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</si>
  <si>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</si>
  <si>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</si>
  <si>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</si>
  <si>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</si>
  <si>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</si>
  <si>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</si>
  <si>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</si>
  <si>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</si>
  <si>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</si>
  <si>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</si>
  <si>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</si>
  <si>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</si>
  <si>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</si>
  <si>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</si>
  <si>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</si>
  <si>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</si>
  <si>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</si>
  <si>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</si>
  <si>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</si>
  <si>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</si>
  <si>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</si>
  <si>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</si>
  <si>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</si>
  <si>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</si>
  <si>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</si>
  <si>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</si>
  <si>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</si>
  <si>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</si>
  <si>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</si>
  <si>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</si>
  <si>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</si>
  <si>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</si>
  <si>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</si>
  <si>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</si>
  <si>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</si>
  <si>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</si>
  <si>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</si>
  <si>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</si>
  <si>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</si>
  <si>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</si>
  <si>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</si>
  <si>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</si>
  <si>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</si>
  <si>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</si>
  <si>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</si>
  <si>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</si>
  <si>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</si>
  <si>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</si>
  <si>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</si>
  <si>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</si>
  <si>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</si>
  <si>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</si>
  <si>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</si>
  <si>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</si>
  <si>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</si>
  <si>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</si>
  <si>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</si>
  <si>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</si>
  <si>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</si>
  <si>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</si>
  <si>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</si>
  <si>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</si>
  <si>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</si>
  <si>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</si>
  <si>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</si>
  <si>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</si>
  <si>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</si>
  <si>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</si>
  <si>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</si>
  <si>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</si>
  <si>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</si>
  <si>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</si>
  <si>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</si>
  <si>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</si>
  <si>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</si>
  <si>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</si>
  <si>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</si>
  <si>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</si>
  <si>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</si>
  <si>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</si>
  <si>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</si>
  <si>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</si>
  <si>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</si>
  <si>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</si>
  <si>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</si>
  <si>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</si>
  <si>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</si>
  <si>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</si>
  <si>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</si>
  <si>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</si>
  <si>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</si>
  <si>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</si>
  <si>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</si>
  <si>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</si>
  <si>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</si>
  <si>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</si>
  <si>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</si>
  <si>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</si>
  <si>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</si>
  <si>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</si>
  <si>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</si>
  <si>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</si>
  <si>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</si>
  <si>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</si>
  <si>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</si>
  <si>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</si>
  <si>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</si>
  <si>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</si>
  <si>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</si>
  <si>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</si>
  <si>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</si>
  <si>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</si>
  <si>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</si>
  <si>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</si>
  <si>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</si>
  <si>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</si>
  <si>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</si>
  <si>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</si>
  <si>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</si>
  <si>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</si>
  <si>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</si>
  <si>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</si>
  <si>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</si>
  <si>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</si>
  <si>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</si>
  <si>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</si>
  <si>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</si>
  <si>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</si>
  <si>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</si>
  <si>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</si>
  <si>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</si>
  <si>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</si>
  <si>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</si>
  <si>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</si>
  <si>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</si>
  <si>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</si>
  <si>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</si>
  <si>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</si>
  <si>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</si>
  <si>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</si>
  <si>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</si>
  <si>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</si>
  <si>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</si>
  <si>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</si>
  <si>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</si>
  <si>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</si>
  <si>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</si>
  <si>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</si>
  <si>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</si>
  <si>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</si>
  <si>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</si>
  <si>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</si>
  <si>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</si>
  <si>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</si>
  <si>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</si>
  <si>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</si>
  <si>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</si>
  <si>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</si>
  <si>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</si>
  <si>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</si>
  <si>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</si>
  <si>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</si>
  <si>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</si>
  <si>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</si>
  <si>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</si>
  <si>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</si>
  <si>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</si>
  <si>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</si>
  <si>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</si>
  <si>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</si>
  <si>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</si>
  <si>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</si>
  <si>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</si>
  <si>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</si>
  <si>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</si>
  <si>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</si>
  <si>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</si>
  <si>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</si>
  <si>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</si>
  <si>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</si>
  <si>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</si>
  <si>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</si>
  <si>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</si>
  <si>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</si>
  <si>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</si>
  <si>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</si>
  <si>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</si>
  <si>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</si>
  <si>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</si>
  <si>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</si>
  <si>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</si>
  <si>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</si>
  <si>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</si>
  <si>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</si>
  <si>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</si>
  <si>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</si>
  <si>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</si>
  <si>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</si>
  <si>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</si>
  <si>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</si>
  <si>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</si>
  <si>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</si>
  <si>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</si>
  <si>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</si>
  <si>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</si>
  <si>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</si>
  <si>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</si>
  <si>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</si>
  <si>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</si>
  <si>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</si>
  <si>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</si>
  <si>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</si>
  <si>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</si>
  <si>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</si>
  <si>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</si>
  <si>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</si>
  <si>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</si>
  <si>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</si>
  <si>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</si>
  <si>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</si>
  <si>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</si>
  <si>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</si>
  <si>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</si>
  <si>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</si>
  <si>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</si>
  <si>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</si>
  <si>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</si>
  <si>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</si>
  <si>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</si>
  <si>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</si>
  <si>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</si>
  <si>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</si>
  <si>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</si>
  <si>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</si>
  <si>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</si>
  <si>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</si>
  <si>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</si>
  <si>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</si>
  <si>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</si>
  <si>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</si>
  <si>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</si>
  <si>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</si>
  <si>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</si>
  <si>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</si>
  <si>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</si>
  <si>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</si>
  <si>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</si>
  <si>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</si>
  <si>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</si>
  <si>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</si>
  <si>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</si>
  <si>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</si>
  <si>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</si>
  <si>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</si>
  <si>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</si>
  <si>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</si>
  <si>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</si>
  <si>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</si>
  <si>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</si>
  <si>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</si>
  <si>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</si>
  <si>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</si>
  <si>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</si>
  <si>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</si>
  <si>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</si>
  <si>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</si>
  <si>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</si>
  <si>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</si>
  <si>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</si>
  <si>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</si>
  <si>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</si>
  <si>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</si>
  <si>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</si>
  <si>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</si>
  <si>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</si>
  <si>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</si>
  <si>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</si>
  <si>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</si>
  <si>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</si>
  <si>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</si>
  <si>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</si>
  <si>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</si>
  <si>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</si>
  <si>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</si>
  <si>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</si>
  <si>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</si>
  <si>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</si>
  <si>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</si>
  <si>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</si>
  <si>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</si>
  <si>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</si>
  <si>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</si>
  <si>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</si>
  <si>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</si>
  <si>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</si>
  <si>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</si>
  <si>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</si>
  <si>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</si>
  <si>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</si>
  <si>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</si>
  <si>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</si>
  <si>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</si>
  <si>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</si>
  <si>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</si>
  <si>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</si>
  <si>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</si>
  <si>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</si>
  <si>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</si>
  <si>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</si>
  <si>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</si>
  <si>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</si>
  <si>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</si>
  <si>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</si>
  <si>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</si>
  <si>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</si>
  <si>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</si>
  <si>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</si>
  <si>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</si>
  <si>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</si>
  <si>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</si>
  <si>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</si>
  <si>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</si>
  <si>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</si>
  <si>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</si>
  <si>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</si>
  <si>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</si>
  <si>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</si>
  <si>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</si>
  <si>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</si>
  <si>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</si>
  <si>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</si>
  <si>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</si>
  <si>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</si>
  <si>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</si>
  <si>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</si>
  <si>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</si>
  <si>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</si>
  <si>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</si>
  <si>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</si>
  <si>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</si>
  <si>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</si>
  <si>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</si>
  <si>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</si>
  <si>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</si>
  <si>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</si>
  <si>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</si>
  <si>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</si>
  <si>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</si>
  <si>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</si>
  <si>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</si>
  <si>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</si>
  <si>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</si>
  <si>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</si>
  <si>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</si>
  <si>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</si>
  <si>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</si>
  <si>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</si>
  <si>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</si>
  <si>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</si>
  <si>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</si>
  <si>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</si>
  <si>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</si>
  <si>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</si>
  <si>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</si>
  <si>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</si>
  <si>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</si>
  <si>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</si>
  <si>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</si>
  <si>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</si>
  <si>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</si>
  <si>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</si>
  <si>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</si>
  <si>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</si>
  <si>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</si>
  <si>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</si>
  <si>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</si>
  <si>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</si>
  <si>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</si>
  <si>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</si>
  <si>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</si>
  <si>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</si>
  <si>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</si>
  <si>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</si>
  <si>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</si>
  <si>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</si>
  <si>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</si>
  <si>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</si>
  <si>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</si>
  <si>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</si>
  <si>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</si>
  <si>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</si>
  <si>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</si>
  <si>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</si>
  <si>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</si>
  <si>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</si>
  <si>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</si>
  <si>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</si>
  <si>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</si>
  <si>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</si>
  <si>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</si>
  <si>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</si>
  <si>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</si>
  <si>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</si>
  <si>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</si>
  <si>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</si>
  <si>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</si>
  <si>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</si>
  <si>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</si>
  <si>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</si>
  <si>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</si>
  <si>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</si>
  <si>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</si>
  <si>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</si>
  <si>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</si>
  <si>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</si>
  <si>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</si>
  <si>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</si>
  <si>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</si>
  <si>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</si>
  <si>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</si>
  <si>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</si>
  <si>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</si>
  <si>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</si>
  <si>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</si>
  <si>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</si>
  <si>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</si>
  <si>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</si>
  <si>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</si>
  <si>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</si>
  <si>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</si>
  <si>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</si>
  <si>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</si>
  <si>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</si>
  <si>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</si>
  <si>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</si>
  <si>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</si>
  <si>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</si>
  <si>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</si>
  <si>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</si>
  <si>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</si>
  <si>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</si>
  <si>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</si>
  <si>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</si>
  <si>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</si>
  <si>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</si>
  <si>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</si>
  <si>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</si>
  <si>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</si>
  <si>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</si>
  <si>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</si>
  <si>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</si>
  <si>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</si>
  <si>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</si>
  <si>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</si>
  <si>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</si>
  <si>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</si>
  <si>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</si>
  <si>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</si>
  <si>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</si>
  <si>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</si>
  <si>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</si>
  <si>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</si>
  <si>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</si>
  <si>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</si>
  <si>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</si>
  <si>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</si>
  <si>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</si>
  <si>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</si>
  <si>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</si>
  <si>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</si>
  <si>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</si>
  <si>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</si>
  <si>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</si>
  <si>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</si>
  <si>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</si>
  <si>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</si>
  <si>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</si>
  <si>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</si>
  <si>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</si>
  <si>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</si>
  <si>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</si>
  <si>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</si>
  <si>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</si>
  <si>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</si>
  <si>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</si>
  <si>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</si>
  <si>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</si>
  <si>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</si>
  <si>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</si>
  <si>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</si>
  <si>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</si>
  <si>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</si>
  <si>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</si>
  <si>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</si>
  <si>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</si>
  <si>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</si>
  <si>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</si>
  <si>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</si>
  <si>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</si>
  <si>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</si>
  <si>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</si>
  <si>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</si>
  <si>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</si>
  <si>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</si>
  <si>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</si>
  <si>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</si>
  <si>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</si>
  <si>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</si>
  <si>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</si>
  <si>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</si>
  <si>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</si>
  <si>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</si>
  <si>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</si>
  <si>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</si>
  <si>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</si>
  <si>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</si>
  <si>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</si>
  <si>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</si>
  <si>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</si>
  <si>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</si>
  <si>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</si>
  <si>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</si>
  <si>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</si>
  <si>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</si>
  <si>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</si>
  <si>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</si>
  <si>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</si>
  <si>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</si>
  <si>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</si>
  <si>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</si>
  <si>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</si>
  <si>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</si>
  <si>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</si>
  <si>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</si>
  <si>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</si>
  <si>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</si>
  <si>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</si>
  <si>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</si>
  <si>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</si>
  <si>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</si>
  <si>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</si>
  <si>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</si>
  <si>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</si>
  <si>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</si>
  <si>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</si>
  <si>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</si>
  <si>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</si>
  <si>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</si>
  <si>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</si>
  <si>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</si>
  <si>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</si>
  <si>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</si>
  <si>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</si>
  <si>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</si>
  <si>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</si>
  <si>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</si>
  <si>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</si>
  <si>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</si>
  <si>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</si>
  <si>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</si>
  <si>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</si>
  <si>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</si>
  <si>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</si>
  <si>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</si>
  <si>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</si>
  <si>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</si>
  <si>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</si>
  <si>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</si>
  <si>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</si>
  <si>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</si>
  <si>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</si>
  <si>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</si>
  <si>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</si>
  <si>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</si>
  <si>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</si>
  <si>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</si>
  <si>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</si>
  <si>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</si>
  <si>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</si>
  <si>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</si>
  <si>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</si>
  <si>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</si>
  <si>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</si>
  <si>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</si>
  <si>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</si>
  <si>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</si>
  <si>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</si>
  <si>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</si>
  <si>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</si>
  <si>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</si>
  <si>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</si>
  <si>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</si>
  <si>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</si>
  <si>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</si>
  <si>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</si>
  <si>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</si>
  <si>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</si>
  <si>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</si>
  <si>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</si>
  <si>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</si>
  <si>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</si>
  <si>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</si>
  <si>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</si>
  <si>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</si>
  <si>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</si>
  <si>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</si>
  <si>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</si>
  <si>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</si>
  <si>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</si>
  <si>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</si>
  <si>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</si>
  <si>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</si>
  <si>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</si>
  <si>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</si>
  <si>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</si>
  <si>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</si>
  <si>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</si>
  <si>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</si>
  <si>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</si>
  <si>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</si>
  <si>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</si>
  <si>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</si>
  <si>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</si>
  <si>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</si>
  <si>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</si>
  <si>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</si>
  <si>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</si>
  <si>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</si>
  <si>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</si>
  <si>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</si>
  <si>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</si>
  <si>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</si>
  <si>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</si>
  <si>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</si>
  <si>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</si>
  <si>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</si>
  <si>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</si>
  <si>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</si>
  <si>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</si>
  <si>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</si>
  <si>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</si>
  <si>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</si>
  <si>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</si>
  <si>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</si>
  <si>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</si>
  <si>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</si>
  <si>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</si>
  <si>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</si>
  <si>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</si>
  <si>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</si>
  <si>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</si>
  <si>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</si>
  <si>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</si>
  <si>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</si>
  <si>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</si>
  <si>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</si>
  <si>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</si>
  <si>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</si>
  <si>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</si>
  <si>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</si>
  <si>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</si>
  <si>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</si>
  <si>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</si>
  <si>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</si>
  <si>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</si>
  <si>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</si>
  <si>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</si>
  <si>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</si>
  <si>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</si>
  <si>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</si>
  <si>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</si>
  <si>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</si>
  <si>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</si>
  <si>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</si>
  <si>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</si>
  <si>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</si>
  <si>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</si>
  <si>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</si>
  <si>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</si>
  <si>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</si>
  <si>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</si>
  <si>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</si>
  <si>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</si>
  <si>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</si>
  <si>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</si>
  <si>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</si>
  <si>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</si>
  <si>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</si>
  <si>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</si>
  <si>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</si>
  <si>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</si>
  <si>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</si>
  <si>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</si>
  <si>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</si>
  <si>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</si>
  <si>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</si>
  <si>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</si>
  <si>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</si>
  <si>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</si>
  <si>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</si>
  <si>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</si>
  <si>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</si>
  <si>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</si>
  <si>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</si>
  <si>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</si>
  <si>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</si>
  <si>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</si>
  <si>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</si>
  <si>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</si>
  <si>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</si>
  <si>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</si>
  <si>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</si>
  <si>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</si>
  <si>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</si>
  <si>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</si>
  <si>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</si>
  <si>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</si>
  <si>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</si>
  <si>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</si>
  <si>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</si>
  <si>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</si>
  <si>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</si>
  <si>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</si>
  <si>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</si>
  <si>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</si>
  <si>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</si>
  <si>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</si>
  <si>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</si>
  <si>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</si>
  <si>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</si>
  <si>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</si>
  <si>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</si>
  <si>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</si>
  <si>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</si>
  <si>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</si>
  <si>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</si>
  <si>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</si>
  <si>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</si>
  <si>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</si>
  <si>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</si>
  <si>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</si>
  <si>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</si>
  <si>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</si>
  <si>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</si>
  <si>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</si>
  <si>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</si>
  <si>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</si>
  <si>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</si>
  <si>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</si>
  <si>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</si>
  <si>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</si>
  <si>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</si>
  <si>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</si>
  <si>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</si>
  <si>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</si>
  <si>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</si>
  <si>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</si>
  <si>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</si>
  <si>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</si>
  <si>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</si>
  <si>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</si>
  <si>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</si>
  <si>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</si>
  <si>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</si>
  <si>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</si>
  <si>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</si>
  <si>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</si>
  <si>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</si>
  <si>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</si>
  <si>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</si>
  <si>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</si>
  <si>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</si>
  <si>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</si>
  <si>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</si>
  <si>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</si>
  <si>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</si>
  <si>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</si>
  <si>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</si>
  <si>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</si>
  <si>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</si>
  <si>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</si>
  <si>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</si>
  <si>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</si>
  <si>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</si>
  <si>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</si>
  <si>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</si>
  <si>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</si>
  <si>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</si>
  <si>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</si>
  <si>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</si>
  <si>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</si>
  <si>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</si>
  <si>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</si>
  <si>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</si>
  <si>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</si>
  <si>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</si>
  <si>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</si>
  <si>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</si>
  <si>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</si>
  <si>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</si>
  <si>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</si>
  <si>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</si>
  <si>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</si>
  <si>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</si>
  <si>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</si>
  <si>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</si>
  <si>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</si>
  <si>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</si>
  <si>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</si>
  <si>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</si>
  <si>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</si>
  <si>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</si>
  <si>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</si>
  <si>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</si>
  <si>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</si>
  <si>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</si>
  <si>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</si>
  <si>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</si>
  <si>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</si>
  <si>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</si>
  <si>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</si>
  <si>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</si>
  <si>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</si>
  <si>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</si>
  <si>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</si>
  <si>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</si>
  <si>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</si>
  <si>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</si>
  <si>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</si>
  <si>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</si>
  <si>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</si>
  <si>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</si>
  <si>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</si>
  <si>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</si>
  <si>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</si>
  <si>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</si>
  <si>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</si>
  <si>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</si>
  <si>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</si>
  <si>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</si>
  <si>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</si>
  <si>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</si>
  <si>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</si>
  <si>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</si>
  <si>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</si>
  <si>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</si>
  <si>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</si>
  <si>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</si>
  <si>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</si>
  <si>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</si>
  <si>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</si>
  <si>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</si>
  <si>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</si>
  <si>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</si>
  <si>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</si>
  <si>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</si>
  <si>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</si>
  <si>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</si>
  <si>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</si>
  <si>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</si>
  <si>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</si>
  <si>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</si>
  <si>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</si>
  <si>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</si>
  <si>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</si>
  <si>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</si>
  <si>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</si>
  <si>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</si>
  <si>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</si>
  <si>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</si>
  <si>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</si>
  <si>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</si>
  <si>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</si>
  <si>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</si>
  <si>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</si>
  <si>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</si>
  <si>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</si>
  <si>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</si>
  <si>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</si>
  <si>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</si>
  <si>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</si>
  <si>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</si>
  <si>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</si>
  <si>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</si>
  <si>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</si>
  <si>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</si>
  <si>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</si>
  <si>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</si>
  <si>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</si>
  <si>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</si>
  <si>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</si>
  <si>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</si>
  <si>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</si>
  <si>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</si>
  <si>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</si>
  <si>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</si>
  <si>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</si>
  <si>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</si>
  <si>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</si>
  <si>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</si>
  <si>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</si>
  <si>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</si>
  <si>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</si>
  <si>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</si>
  <si>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</si>
  <si>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</si>
  <si>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</si>
  <si>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</si>
  <si>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</si>
  <si>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</si>
  <si>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</si>
  <si>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</si>
  <si>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</si>
  <si>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</si>
  <si>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</si>
  <si>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</si>
  <si>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</si>
  <si>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</si>
  <si>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</si>
  <si>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</si>
  <si>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</si>
  <si>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</si>
  <si>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</si>
  <si>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</si>
  <si>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</si>
  <si>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</si>
  <si>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</si>
  <si>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</si>
  <si>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</si>
  <si>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</si>
  <si>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</si>
  <si>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</si>
  <si>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</si>
  <si>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</si>
  <si>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</si>
  <si>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</si>
  <si>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</si>
  <si>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</si>
  <si>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</si>
  <si>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</si>
  <si>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</si>
  <si>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</si>
  <si>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</si>
  <si>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</si>
  <si>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</si>
  <si>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</si>
  <si>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</si>
  <si>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</si>
  <si>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</si>
  <si>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</si>
  <si>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</si>
  <si>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</si>
  <si>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</si>
  <si>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</si>
  <si>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</si>
  <si>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</si>
  <si>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</si>
  <si>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</si>
  <si>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</si>
  <si>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</si>
  <si>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</si>
  <si>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</si>
  <si>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</si>
  <si>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</si>
  <si>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</si>
  <si>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</si>
  <si>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</si>
  <si>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</si>
  <si>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</si>
  <si>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</si>
  <si>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</si>
  <si>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</si>
  <si>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</si>
  <si>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</si>
  <si>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</si>
  <si>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</si>
  <si>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</si>
  <si>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</si>
  <si>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</si>
  <si>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</si>
  <si>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</si>
  <si>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</si>
  <si>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</si>
  <si>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</si>
  <si>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</si>
  <si>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</si>
  <si>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</si>
  <si>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</si>
  <si>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</si>
  <si>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</si>
  <si>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</si>
  <si>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</si>
  <si>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</si>
  <si>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</si>
  <si>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</si>
  <si>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</si>
  <si>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</si>
  <si>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</si>
  <si>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</si>
  <si>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</si>
  <si>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</si>
  <si>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</si>
  <si>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</si>
  <si>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</si>
  <si>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</si>
  <si>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</si>
  <si>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</si>
  <si>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</si>
  <si>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</si>
  <si>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</si>
  <si>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</si>
  <si>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</si>
  <si>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</si>
  <si>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</si>
  <si>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</si>
  <si>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</si>
  <si>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</si>
  <si>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</si>
  <si>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</si>
  <si>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</si>
  <si>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</si>
  <si>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</si>
  <si>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</si>
  <si>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</si>
  <si>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</si>
  <si>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</si>
  <si>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</si>
  <si>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</si>
  <si>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</si>
  <si>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</si>
  <si>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</si>
  <si>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</si>
  <si>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</si>
  <si>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</si>
  <si>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</si>
  <si>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</si>
  <si>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</si>
  <si>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</si>
  <si>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</si>
  <si>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</si>
  <si>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</si>
  <si>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</si>
  <si>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</si>
  <si>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</si>
  <si>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</si>
  <si>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</si>
  <si>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</si>
  <si>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</si>
  <si>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</si>
  <si>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</si>
  <si>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</si>
  <si>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</si>
  <si>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</si>
  <si>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</si>
  <si>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</si>
  <si>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</si>
  <si>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</si>
  <si>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</si>
  <si>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</si>
  <si>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</si>
  <si>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</si>
  <si>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</si>
  <si>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</si>
  <si>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</si>
  <si>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</si>
  <si>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</si>
  <si>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</si>
  <si>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</si>
  <si>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</si>
  <si>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</si>
  <si>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</si>
  <si>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</si>
  <si>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</si>
  <si>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</si>
  <si>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</si>
  <si>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</si>
  <si>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</si>
  <si>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</si>
  <si>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</si>
  <si>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</si>
  <si>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</si>
  <si>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</si>
  <si>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</si>
  <si>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</si>
  <si>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</si>
  <si>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</si>
  <si>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</si>
  <si>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</si>
  <si>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</si>
  <si>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</si>
  <si>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</si>
  <si>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</si>
  <si>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</si>
  <si>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</si>
  <si>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</si>
  <si>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</si>
  <si>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</si>
  <si>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</si>
  <si>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</si>
  <si>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</si>
  <si>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</si>
  <si>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</si>
  <si>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</si>
  <si>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</si>
  <si>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</si>
  <si>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</si>
  <si>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</si>
  <si>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</si>
  <si>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</si>
  <si>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</si>
  <si>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</si>
  <si>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</si>
  <si>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</si>
  <si>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</si>
  <si>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</si>
  <si>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</si>
  <si>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</si>
  <si>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</si>
  <si>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</si>
  <si>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</si>
  <si>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</si>
  <si>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</si>
  <si>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</si>
  <si>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</si>
  <si>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</si>
  <si>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</si>
  <si>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</si>
  <si>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</si>
  <si>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</si>
  <si>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</si>
  <si>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</si>
  <si>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</si>
  <si>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</si>
  <si>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</si>
  <si>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</si>
  <si>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</si>
  <si>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</si>
  <si>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</si>
  <si>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</si>
  <si>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</si>
  <si>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</si>
  <si>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</si>
  <si>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</si>
  <si>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</si>
  <si>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</si>
  <si>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</si>
  <si>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</si>
  <si>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</si>
  <si>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</si>
  <si>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</si>
  <si>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</si>
  <si>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</si>
  <si>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</si>
  <si>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</si>
  <si>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</si>
  <si>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</si>
  <si>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</si>
  <si>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</si>
  <si>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</si>
  <si>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</si>
  <si>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</si>
  <si>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</si>
  <si>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</si>
  <si>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</si>
  <si>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</si>
  <si>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</si>
  <si>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</si>
  <si>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</si>
  <si>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</si>
  <si>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</si>
  <si>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</si>
  <si>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</si>
  <si>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</si>
  <si>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</si>
  <si>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</si>
  <si>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</si>
  <si>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</si>
  <si>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</si>
  <si>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</si>
  <si>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</si>
  <si>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</si>
  <si>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</si>
  <si>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</si>
  <si>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</si>
  <si>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</si>
  <si>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</si>
  <si>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</si>
  <si>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</si>
  <si>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</si>
  <si>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</si>
  <si>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</si>
  <si>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</si>
  <si>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</si>
  <si>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</si>
  <si>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</si>
  <si>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</si>
  <si>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</si>
  <si>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</si>
  <si>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</si>
  <si>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</si>
  <si>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</si>
  <si>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</si>
  <si>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</si>
  <si>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</si>
  <si>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</si>
  <si>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</si>
  <si>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</si>
  <si>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</si>
  <si>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</si>
  <si>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</si>
  <si>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</si>
  <si>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</si>
  <si>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</si>
  <si>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</si>
  <si>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</si>
  <si>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</si>
  <si>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</si>
  <si>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</si>
  <si>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</si>
  <si>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</si>
  <si>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</si>
  <si>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</si>
  <si>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</si>
  <si>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</si>
  <si>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</si>
  <si>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</si>
  <si>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</si>
  <si>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</si>
  <si>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</si>
  <si>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</si>
  <si>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</si>
  <si>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</si>
  <si>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</si>
  <si>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</si>
  <si>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</si>
  <si>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</si>
  <si>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</si>
  <si>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</si>
  <si>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</si>
  <si>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</si>
  <si>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</si>
  <si>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</si>
  <si>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</si>
  <si>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</si>
  <si>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</si>
  <si>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</si>
  <si>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</si>
  <si>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</si>
  <si>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</si>
  <si>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</si>
  <si>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</si>
  <si>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</si>
  <si>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</si>
  <si>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</si>
  <si>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</si>
  <si>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</si>
  <si>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</si>
  <si>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</si>
  <si>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</si>
  <si>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</si>
  <si>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</si>
  <si>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</si>
  <si>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</si>
  <si>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</si>
  <si>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</si>
  <si>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</si>
  <si>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</si>
  <si>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</si>
  <si>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</si>
  <si>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</si>
  <si>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</si>
  <si>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</si>
  <si>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</si>
  <si>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</si>
  <si>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</si>
  <si>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</si>
  <si>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</si>
  <si>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</si>
  <si>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</si>
  <si>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</si>
  <si>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</si>
  <si>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</si>
  <si>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</si>
  <si>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</si>
  <si>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</si>
  <si>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</si>
  <si>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</si>
  <si>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</si>
  <si>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</si>
  <si>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</si>
  <si>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</si>
  <si>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</si>
  <si>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</si>
  <si>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</si>
  <si>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</si>
  <si>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</si>
  <si>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</si>
  <si>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</si>
  <si>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</si>
  <si>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</si>
  <si>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</si>
  <si>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</si>
  <si>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</si>
  <si>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</si>
  <si>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</si>
  <si>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</si>
  <si>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</si>
  <si>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</si>
  <si>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</si>
  <si>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</si>
  <si>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</si>
  <si>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</si>
  <si>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</si>
  <si>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</si>
  <si>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</si>
  <si>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</si>
  <si>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</si>
  <si>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</si>
  <si>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</si>
  <si>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</si>
  <si>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</si>
  <si>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</si>
  <si>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</si>
  <si>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</si>
  <si>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</si>
  <si>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</si>
  <si>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</si>
  <si>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</si>
  <si>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</si>
  <si>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</si>
  <si>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</si>
  <si>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</si>
  <si>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</si>
  <si>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</si>
  <si>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</si>
  <si>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</si>
  <si>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</si>
  <si>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</si>
  <si>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</si>
  <si>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</si>
  <si>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</si>
  <si>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</si>
  <si>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</si>
  <si>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</si>
  <si>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</si>
  <si>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</si>
  <si>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</si>
  <si>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</si>
  <si>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</si>
  <si>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</si>
  <si>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</si>
  <si>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</si>
  <si>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</si>
  <si>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</si>
  <si>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</si>
  <si>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</si>
  <si>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</si>
  <si>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</si>
  <si>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</si>
  <si>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</si>
  <si>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</si>
  <si>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</si>
  <si>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</si>
  <si>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</si>
  <si>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</si>
  <si>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</si>
  <si>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</si>
  <si>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</si>
  <si>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</si>
  <si>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</si>
  <si>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</si>
  <si>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</si>
  <si>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</si>
  <si>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</si>
  <si>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</si>
  <si>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</si>
  <si>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</si>
  <si>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</si>
  <si>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</si>
  <si>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</si>
  <si>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</si>
  <si>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</si>
  <si>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</si>
  <si>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</si>
  <si>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</si>
  <si>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</si>
  <si>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</si>
  <si>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</si>
  <si>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</si>
  <si>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</si>
  <si>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</si>
  <si>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</si>
  <si>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</si>
  <si>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</si>
  <si>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</si>
  <si>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</si>
  <si>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</si>
  <si>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</si>
  <si>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</si>
  <si>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</si>
  <si>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</si>
  <si>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</si>
  <si>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</si>
  <si>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</si>
  <si>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</si>
  <si>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</si>
  <si>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</si>
  <si>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</si>
  <si>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</si>
  <si>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</si>
  <si>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</si>
  <si>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</si>
  <si>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</si>
  <si>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</si>
  <si>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</si>
  <si>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</si>
  <si>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</si>
  <si>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</si>
  <si>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</si>
  <si>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</si>
  <si>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</si>
  <si>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</si>
  <si>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</si>
  <si>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</si>
  <si>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</si>
  <si>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</si>
  <si>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</si>
  <si>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</si>
  <si>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</si>
  <si>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</si>
  <si>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</si>
  <si>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</si>
  <si>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</si>
  <si>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</si>
  <si>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</si>
  <si>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</si>
  <si>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</si>
  <si>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</si>
  <si>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</si>
  <si>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</si>
  <si>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</si>
  <si>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</si>
  <si>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</si>
  <si>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</si>
  <si>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</si>
  <si>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</si>
  <si>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</si>
  <si>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</si>
  <si>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</si>
  <si>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</si>
  <si>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</si>
  <si>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</si>
  <si>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</si>
  <si>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</si>
  <si>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</si>
  <si>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</si>
  <si>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</si>
  <si>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</si>
  <si>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</si>
  <si>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</si>
  <si>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</si>
  <si>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</si>
  <si>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</si>
  <si>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</si>
  <si>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</si>
  <si>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</si>
  <si>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</si>
  <si>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</si>
  <si>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</si>
  <si>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</si>
  <si>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</si>
  <si>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</si>
  <si>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</si>
  <si>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</si>
  <si>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</si>
  <si>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</si>
  <si>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</si>
  <si>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</si>
  <si>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</si>
  <si>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</si>
  <si>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</si>
  <si>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</si>
  <si>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</si>
  <si>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</si>
  <si>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</si>
  <si>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</si>
  <si>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</si>
  <si>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</si>
  <si>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</si>
  <si>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</si>
  <si>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</si>
  <si>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</si>
  <si>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</si>
  <si>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</si>
  <si>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</si>
  <si>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</si>
  <si>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</si>
  <si>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</si>
  <si>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</si>
  <si>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</si>
  <si>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</si>
  <si>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</si>
  <si>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</si>
  <si>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</si>
  <si>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</si>
  <si>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</si>
  <si>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</si>
  <si>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</si>
  <si>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</si>
  <si>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</si>
  <si>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</si>
  <si>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</si>
  <si>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</si>
  <si>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</si>
  <si>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</si>
  <si>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</si>
  <si>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</si>
  <si>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</si>
  <si>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</si>
  <si>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</si>
  <si>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</si>
  <si>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</si>
  <si>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</si>
  <si>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</si>
  <si>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</si>
  <si>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</si>
  <si>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</si>
  <si>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</si>
  <si>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</si>
  <si>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</si>
  <si>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</si>
  <si>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</si>
  <si>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</si>
  <si>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</si>
  <si>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</si>
  <si>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</si>
  <si>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</si>
  <si>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</si>
  <si>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</si>
  <si>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</si>
  <si>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</si>
  <si>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</si>
  <si>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</si>
  <si>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</si>
  <si>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</si>
  <si>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</si>
  <si>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</si>
  <si>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</si>
  <si>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</si>
  <si>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</si>
  <si>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</si>
  <si>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</si>
  <si>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</si>
  <si>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</si>
  <si>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</si>
  <si>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</si>
  <si>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</si>
  <si>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</si>
  <si>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</si>
  <si>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</si>
  <si>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</si>
  <si>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</si>
  <si>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</si>
  <si>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</si>
  <si>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</si>
  <si>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</si>
  <si>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</si>
  <si>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</si>
  <si>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</si>
  <si>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</si>
  <si>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</si>
  <si>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</si>
  <si>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</si>
  <si>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</si>
  <si>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</si>
  <si>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</si>
  <si>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</si>
  <si>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</si>
  <si>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</si>
  <si>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</si>
  <si>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</si>
  <si>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</si>
  <si>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</si>
  <si>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</si>
  <si>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</si>
  <si>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</si>
  <si>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</si>
  <si>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</si>
  <si>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</si>
  <si>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</si>
  <si>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</si>
  <si>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</si>
  <si>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</si>
  <si>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</si>
  <si>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</si>
  <si>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</si>
  <si>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</si>
  <si>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</si>
  <si>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</si>
  <si>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</si>
  <si>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</si>
  <si>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</si>
  <si>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</si>
  <si>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</si>
  <si>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</si>
  <si>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</si>
  <si>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</si>
  <si>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</si>
  <si>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</si>
  <si>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</si>
  <si>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</si>
  <si>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</si>
  <si>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</si>
  <si>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</si>
  <si>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</si>
  <si>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</si>
  <si>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</si>
  <si>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</si>
  <si>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</si>
  <si>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</si>
  <si>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</si>
  <si>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</si>
  <si>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</si>
  <si>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</si>
  <si>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</si>
  <si>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</si>
  <si>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</si>
  <si>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</si>
  <si>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</si>
  <si>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</si>
  <si>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</si>
  <si>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</si>
  <si>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</si>
  <si>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</si>
  <si>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</si>
  <si>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</si>
  <si>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</si>
  <si>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</si>
  <si>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</si>
  <si>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</si>
  <si>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</si>
  <si>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</si>
  <si>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</si>
  <si>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</si>
  <si>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</si>
  <si>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</si>
  <si>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</si>
  <si>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</si>
  <si>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</si>
  <si>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</si>
  <si>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</si>
  <si>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</si>
  <si>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</si>
  <si>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</si>
  <si>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</si>
  <si>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</si>
  <si>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</si>
  <si>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</si>
  <si>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</si>
  <si>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</si>
  <si>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</si>
  <si>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</si>
  <si>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</si>
  <si>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</si>
  <si>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</si>
  <si>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</si>
  <si>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</si>
  <si>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</si>
  <si>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</si>
  <si>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</si>
  <si>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</si>
  <si>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</si>
  <si>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</si>
  <si>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</si>
  <si>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</si>
  <si>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</si>
  <si>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</si>
  <si>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</si>
  <si>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</si>
  <si>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</si>
  <si>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</si>
  <si>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</si>
  <si>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</si>
  <si>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</si>
  <si>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</si>
  <si>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</si>
  <si>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</si>
  <si>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</si>
  <si>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</si>
  <si>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</si>
  <si>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</si>
  <si>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</si>
  <si>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</si>
  <si>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</si>
  <si>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</si>
  <si>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</si>
  <si>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</si>
  <si>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</si>
  <si>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</si>
  <si>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</si>
  <si>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</si>
  <si>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</si>
  <si>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</si>
  <si>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</si>
  <si>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</si>
  <si>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</si>
  <si>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</si>
  <si>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</si>
  <si>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</si>
  <si>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</si>
  <si>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</si>
  <si>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</si>
  <si>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</si>
  <si>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</si>
  <si>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</si>
  <si>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</si>
  <si>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</si>
  <si>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</si>
  <si>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</si>
  <si>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</si>
  <si>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</si>
  <si>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</si>
  <si>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</si>
  <si>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</si>
  <si>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</si>
  <si>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</si>
  <si>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</si>
  <si>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</si>
  <si>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</si>
  <si>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</si>
  <si>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</si>
  <si>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</si>
  <si>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</si>
  <si>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</si>
  <si>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</si>
  <si>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</si>
  <si>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</si>
  <si>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</si>
  <si>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</si>
  <si>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</si>
  <si>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</si>
  <si>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</si>
  <si>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</si>
  <si>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</si>
  <si>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</si>
  <si>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</si>
  <si>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</si>
  <si>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</si>
  <si>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</si>
  <si>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</si>
  <si>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</si>
  <si>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</si>
  <si>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</si>
  <si>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</si>
  <si>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</si>
  <si>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</si>
  <si>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</si>
  <si>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</si>
  <si>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</si>
  <si>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</si>
  <si>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</si>
  <si>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</si>
  <si>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</si>
  <si>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</si>
  <si>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</si>
  <si>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</si>
  <si>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</si>
  <si>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</si>
  <si>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</si>
  <si>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</si>
  <si>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</si>
  <si>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</si>
  <si>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</si>
  <si>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</si>
  <si>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</si>
  <si>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</si>
  <si>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</si>
  <si>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</si>
  <si>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</si>
  <si>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</si>
  <si>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</si>
  <si>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</si>
  <si>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</si>
  <si>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</si>
  <si>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</si>
  <si>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</si>
  <si>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</si>
  <si>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</si>
  <si>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</si>
  <si>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</si>
  <si>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</si>
  <si>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</si>
  <si>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</si>
  <si>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</si>
  <si>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</si>
  <si>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</si>
  <si>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</si>
  <si>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</si>
  <si>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</si>
  <si>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</si>
  <si>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</si>
  <si>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</si>
  <si>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</si>
  <si>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</si>
  <si>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</si>
  <si>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</si>
  <si>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</si>
  <si>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</si>
  <si>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</si>
  <si>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</si>
  <si>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</si>
  <si>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</si>
  <si>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</si>
  <si>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</si>
  <si>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</si>
  <si>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</si>
  <si>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</si>
  <si>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</si>
  <si>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</si>
  <si>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</si>
  <si>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</si>
  <si>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</si>
  <si>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</si>
  <si>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</si>
  <si>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</si>
  <si>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</si>
  <si>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</si>
  <si>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</si>
  <si>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</si>
  <si>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</si>
  <si>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</si>
  <si>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</si>
  <si>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</si>
  <si>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</si>
  <si>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</si>
  <si>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</si>
  <si>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</si>
  <si>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</si>
  <si>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</si>
  <si>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</si>
  <si>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</si>
  <si>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</si>
  <si>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</si>
  <si>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</si>
  <si>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</si>
  <si>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</si>
  <si>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</si>
  <si>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</si>
  <si>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</si>
  <si>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</si>
  <si>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</si>
  <si>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</si>
  <si>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</si>
  <si>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</si>
  <si>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</si>
  <si>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</si>
  <si>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</si>
  <si>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</si>
  <si>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</si>
  <si>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</si>
  <si>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</si>
  <si>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</si>
  <si>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</si>
  <si>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</si>
  <si>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</si>
  <si>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</si>
  <si>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</si>
  <si>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</si>
  <si>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</si>
  <si>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</si>
  <si>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</si>
  <si>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</si>
  <si>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</si>
  <si>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</si>
  <si>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</si>
  <si>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</si>
  <si>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</si>
  <si>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</si>
  <si>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</si>
  <si>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</si>
  <si>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</si>
  <si>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</si>
  <si>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</si>
  <si>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</si>
  <si>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</si>
  <si>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</si>
  <si>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</si>
  <si>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</si>
  <si>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</si>
  <si>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</si>
  <si>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</si>
  <si>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</si>
  <si>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</si>
  <si>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</si>
  <si>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</si>
  <si>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</si>
  <si>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</si>
  <si>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</si>
  <si>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</si>
  <si>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</si>
  <si>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</si>
  <si>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</si>
  <si>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</si>
  <si>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</si>
  <si>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</si>
  <si>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</si>
  <si>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</si>
  <si>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</si>
  <si>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</si>
  <si>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</si>
  <si>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</si>
  <si>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</si>
  <si>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</si>
  <si>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</si>
  <si>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</si>
  <si>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</si>
  <si>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</si>
  <si>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</si>
  <si>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</si>
  <si>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</si>
  <si>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</si>
  <si>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</si>
  <si>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</si>
  <si>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</si>
  <si>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</si>
  <si>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</si>
  <si>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</si>
  <si>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</si>
  <si>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</si>
  <si>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</si>
  <si>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</si>
  <si>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</si>
  <si>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</si>
  <si>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</si>
  <si>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</si>
  <si>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</si>
  <si>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</si>
  <si>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</si>
  <si>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</si>
  <si>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</si>
  <si>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</si>
  <si>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</si>
  <si>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</si>
  <si>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</si>
  <si>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</si>
  <si>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</si>
  <si>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</si>
  <si>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</si>
  <si>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</si>
  <si>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</si>
  <si>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</si>
  <si>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</si>
  <si>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</si>
  <si>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</si>
  <si>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</si>
  <si>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</si>
  <si>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</si>
  <si>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</si>
  <si>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</si>
  <si>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</si>
  <si>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</si>
  <si>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</si>
  <si>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</si>
  <si>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</si>
  <si>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</si>
  <si>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</si>
  <si>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</si>
  <si>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</si>
  <si>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</si>
  <si>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</si>
  <si>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</si>
  <si>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</si>
  <si>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</si>
  <si>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</si>
  <si>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</si>
  <si>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</si>
  <si>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</si>
  <si>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</si>
  <si>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</si>
  <si>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</si>
  <si>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</si>
  <si>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</si>
  <si>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</si>
  <si>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</si>
  <si>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</si>
  <si>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</si>
  <si>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</si>
  <si>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</si>
  <si>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</si>
  <si>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</si>
  <si>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</si>
  <si>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</si>
  <si>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</si>
  <si>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</si>
  <si>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</si>
  <si>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</si>
  <si>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</si>
  <si>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</si>
  <si>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</si>
  <si>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</si>
  <si>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</si>
  <si>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</si>
  <si>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</si>
  <si>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</si>
  <si>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</si>
  <si>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</si>
  <si>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</si>
  <si>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</si>
  <si>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</si>
  <si>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</si>
  <si>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</si>
  <si>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</si>
  <si>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</si>
  <si>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</si>
  <si>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</si>
  <si>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</si>
  <si>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</si>
  <si>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</si>
  <si>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</si>
  <si>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</si>
  <si>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</si>
  <si>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</si>
  <si>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</si>
  <si>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</si>
  <si>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</si>
  <si>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</si>
  <si>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</si>
  <si>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</si>
  <si>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</si>
  <si>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</si>
  <si>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</si>
  <si>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</si>
  <si>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</si>
  <si>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</si>
  <si>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</si>
  <si>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</si>
  <si>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</si>
  <si>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</si>
  <si>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</si>
  <si>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</si>
  <si>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</si>
  <si>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</si>
  <si>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</si>
  <si>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</si>
  <si>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</si>
  <si>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</si>
  <si>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</si>
  <si>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</si>
  <si>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</si>
  <si>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</si>
  <si>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</si>
  <si>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</si>
  <si>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</si>
  <si>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</si>
  <si>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</si>
  <si>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</si>
  <si>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</si>
  <si>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</si>
  <si>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</si>
  <si>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</si>
  <si>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</si>
  <si>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</si>
  <si>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</si>
  <si>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</si>
  <si>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</si>
  <si>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</si>
  <si>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</si>
  <si>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</si>
  <si>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</si>
  <si>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</si>
  <si>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</si>
  <si>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</si>
  <si>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</si>
  <si>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</si>
  <si>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</si>
  <si>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</si>
  <si>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</si>
  <si>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</si>
  <si>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</si>
  <si>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</si>
  <si>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</si>
  <si>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</si>
  <si>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</si>
  <si>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</si>
  <si>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</si>
  <si>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</si>
  <si>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</si>
  <si>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</si>
  <si>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</si>
  <si>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</si>
  <si>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</si>
  <si>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</si>
  <si>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</si>
  <si>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</si>
  <si>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</si>
  <si>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</si>
  <si>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</si>
  <si>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</si>
  <si>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</si>
  <si>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</si>
  <si>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</si>
  <si>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</si>
  <si>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</si>
  <si>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</si>
  <si>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</si>
  <si>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</si>
  <si>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</si>
  <si>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</si>
  <si>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</si>
  <si>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</si>
  <si>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</si>
  <si>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</si>
  <si>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</si>
  <si>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</si>
  <si>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</si>
  <si>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</si>
  <si>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</si>
  <si>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</si>
  <si>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</si>
  <si>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</si>
  <si>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</si>
  <si>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</si>
  <si>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</si>
  <si>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</si>
  <si>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</si>
  <si>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</si>
  <si>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</si>
  <si>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</si>
  <si>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</si>
  <si>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</si>
  <si>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</si>
  <si>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</si>
  <si>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</si>
  <si>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</si>
  <si>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</si>
  <si>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</si>
  <si>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</si>
  <si>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</si>
  <si>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</si>
  <si>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</si>
  <si>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</si>
  <si>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</si>
  <si>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</si>
  <si>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</si>
  <si>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</si>
  <si>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</si>
  <si>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</si>
  <si>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</si>
  <si>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</si>
  <si>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</si>
  <si>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</si>
  <si>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</si>
  <si>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</si>
  <si>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</si>
  <si>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</si>
  <si>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</si>
  <si>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</si>
  <si>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</si>
  <si>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</si>
  <si>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</si>
  <si>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</si>
  <si>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</si>
  <si>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</si>
  <si>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</si>
  <si>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</si>
  <si>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</si>
  <si>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</si>
  <si>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</si>
  <si>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</si>
  <si>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</si>
  <si>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</si>
  <si>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</si>
  <si>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</si>
  <si>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</si>
  <si>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</si>
  <si>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</si>
  <si>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</si>
  <si>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</si>
  <si>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</si>
  <si>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</si>
  <si>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</si>
  <si>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</si>
  <si>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</si>
  <si>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</si>
  <si>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</si>
  <si>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</si>
  <si>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</si>
  <si>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</si>
  <si>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</si>
  <si>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</si>
  <si>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</si>
  <si>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</si>
  <si>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</si>
  <si>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</si>
  <si>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</si>
  <si>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</si>
  <si>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</si>
  <si>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</si>
  <si>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</si>
  <si>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</si>
  <si>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</si>
  <si>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</si>
  <si>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</si>
  <si>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</si>
  <si>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</si>
  <si>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</si>
  <si>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</si>
  <si>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</si>
  <si>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</si>
  <si>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</si>
  <si>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</si>
  <si>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</si>
  <si>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</si>
  <si>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</si>
  <si>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</si>
  <si>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</si>
  <si>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</si>
  <si>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</si>
  <si>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</si>
  <si>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</si>
  <si>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</si>
  <si>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</si>
  <si>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</si>
  <si>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</si>
  <si>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</si>
  <si>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</si>
  <si>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</si>
  <si>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</si>
  <si>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</si>
  <si>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</si>
  <si>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</si>
  <si>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</si>
  <si>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</si>
  <si>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</si>
  <si>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</si>
  <si>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</si>
  <si>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</si>
  <si>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</si>
  <si>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</si>
  <si>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</si>
  <si>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</si>
  <si>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</si>
  <si>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</si>
  <si>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</si>
  <si>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</si>
  <si>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</si>
  <si>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</si>
  <si>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</si>
  <si>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</si>
  <si>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</si>
  <si>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</si>
  <si>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</si>
  <si>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</si>
  <si>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</si>
  <si>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</si>
  <si>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</si>
  <si>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</si>
  <si>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</si>
  <si>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</si>
  <si>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</si>
  <si>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</si>
  <si>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</si>
  <si>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</si>
  <si>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</si>
  <si>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</si>
  <si>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</si>
  <si>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</si>
  <si>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</si>
  <si>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</si>
  <si>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</si>
  <si>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</si>
  <si>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</si>
  <si>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</si>
  <si>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</si>
  <si>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</si>
  <si>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</si>
  <si>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</si>
  <si>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</si>
  <si>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</si>
  <si>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</si>
  <si>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</si>
  <si>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</si>
  <si>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</si>
  <si>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</si>
  <si>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</si>
  <si>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</si>
  <si>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</si>
  <si>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</si>
  <si>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</si>
  <si>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</si>
  <si>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</si>
  <si>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</si>
  <si>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</si>
  <si>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</si>
  <si>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</si>
  <si>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</si>
  <si>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</si>
  <si>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</si>
  <si>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</si>
  <si>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</si>
  <si>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</si>
  <si>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</si>
  <si>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</si>
  <si>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</si>
  <si>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</si>
  <si>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</si>
  <si>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</si>
  <si>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</si>
  <si>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</si>
  <si>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</si>
  <si>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</si>
  <si>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</si>
  <si>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</si>
  <si>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</si>
  <si>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</si>
  <si>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</si>
  <si>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</si>
  <si>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</si>
  <si>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</si>
  <si>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</si>
  <si>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</si>
  <si>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</si>
  <si>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</si>
  <si>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</si>
  <si>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</si>
  <si>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</si>
  <si>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</si>
  <si>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</si>
  <si>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</si>
  <si>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</si>
  <si>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</si>
  <si>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</si>
  <si>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</si>
  <si>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</si>
  <si>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</si>
  <si>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</si>
  <si>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</si>
  <si>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</si>
  <si>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</si>
  <si>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</si>
  <si>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</si>
  <si>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</si>
  <si>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</si>
  <si>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</si>
  <si>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</si>
  <si>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</si>
  <si>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</si>
  <si>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</si>
  <si>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</si>
  <si>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</si>
  <si>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</si>
  <si>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</si>
  <si>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</si>
  <si>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</si>
  <si>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</si>
  <si>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</si>
  <si>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</si>
  <si>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</si>
  <si>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</si>
  <si>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</si>
  <si>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</si>
  <si>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</si>
  <si>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</si>
  <si>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</si>
  <si>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</si>
  <si>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</si>
  <si>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</si>
  <si>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</si>
  <si>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</si>
  <si>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</si>
  <si>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</si>
  <si>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</si>
  <si>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</si>
  <si>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</si>
  <si>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</si>
  <si>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</si>
  <si>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</si>
  <si>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</si>
  <si>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</si>
  <si>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</si>
  <si>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</si>
  <si>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</si>
  <si>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</si>
  <si>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</si>
  <si>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</si>
  <si>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</si>
  <si>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</si>
  <si>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</si>
  <si>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</si>
  <si>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</si>
  <si>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</si>
  <si>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</si>
  <si>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</si>
  <si>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</si>
  <si>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</si>
  <si>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</si>
  <si>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</si>
  <si>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</si>
  <si>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</si>
  <si>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</si>
  <si>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</si>
  <si>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</si>
  <si>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</si>
  <si>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</si>
  <si>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</si>
  <si>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</si>
  <si>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</si>
  <si>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</si>
  <si>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</si>
  <si>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</si>
  <si>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</si>
  <si>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</si>
  <si>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</si>
  <si>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</si>
  <si>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</si>
  <si>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</si>
  <si>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</si>
  <si>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</si>
  <si>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</si>
  <si>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</si>
  <si>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</si>
  <si>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</si>
  <si>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</si>
  <si>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</si>
  <si>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</si>
  <si>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</si>
  <si>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</si>
  <si>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</si>
  <si>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</si>
  <si>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</si>
  <si>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</si>
  <si>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</si>
  <si>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</si>
  <si>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</si>
  <si>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</si>
  <si>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</si>
  <si>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</si>
  <si>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</si>
  <si>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</si>
  <si>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</si>
  <si>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</si>
  <si>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</si>
  <si>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</si>
  <si>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</si>
  <si>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</si>
  <si>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</si>
  <si>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</si>
  <si>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</si>
  <si>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</si>
  <si>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</si>
  <si>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</si>
  <si>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</si>
  <si>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</si>
  <si>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</si>
  <si>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</si>
  <si>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</si>
  <si>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</si>
  <si>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</si>
  <si>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</si>
  <si>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</si>
  <si>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</si>
  <si>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</si>
  <si>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</si>
  <si>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</si>
  <si>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</si>
  <si>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</si>
  <si>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</si>
  <si>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</si>
  <si>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</si>
  <si>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</si>
  <si>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</si>
  <si>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</si>
  <si>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</si>
  <si>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</si>
  <si>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</si>
  <si>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</si>
  <si>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</si>
  <si>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</si>
  <si>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</si>
  <si>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</si>
  <si>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</si>
  <si>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</si>
  <si>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</si>
  <si>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</si>
  <si>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</si>
  <si>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</si>
  <si>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</si>
  <si>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</si>
  <si>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</si>
  <si>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</si>
  <si>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</si>
  <si>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</si>
  <si>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</si>
  <si>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</si>
  <si>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</si>
  <si>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</si>
  <si>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</si>
  <si>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</si>
  <si>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</si>
  <si>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</si>
  <si>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</si>
  <si>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</si>
  <si>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</si>
  <si>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</si>
  <si>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</si>
  <si>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</si>
  <si>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</si>
  <si>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</si>
  <si>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</si>
  <si>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</si>
  <si>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</si>
  <si>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</si>
  <si>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</si>
  <si>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</si>
  <si>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</si>
  <si>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</si>
  <si>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</si>
  <si>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</si>
  <si>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</si>
  <si>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</si>
  <si>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</si>
  <si>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</si>
  <si>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</si>
  <si>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</si>
  <si>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</si>
  <si>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</si>
  <si>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</si>
  <si>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</si>
  <si>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</si>
  <si>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</si>
  <si>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</si>
  <si>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</si>
  <si>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</si>
  <si>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</si>
  <si>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</si>
  <si>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</si>
  <si>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</si>
  <si>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</si>
  <si>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</si>
  <si>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</si>
  <si>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</si>
  <si>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</si>
  <si>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</si>
  <si>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</si>
  <si>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</si>
  <si>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</si>
  <si>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</si>
  <si>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</si>
  <si>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</si>
  <si>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</si>
  <si>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</si>
  <si>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</si>
  <si>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</si>
  <si>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</si>
  <si>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</si>
  <si>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</si>
  <si>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</si>
  <si>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</si>
  <si>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</si>
  <si>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</si>
  <si>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</si>
  <si>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</si>
  <si>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</si>
  <si>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</si>
  <si>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</si>
  <si>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</si>
  <si>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</si>
  <si>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</si>
  <si>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</si>
  <si>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</si>
  <si>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</si>
  <si>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</si>
  <si>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</si>
  <si>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</si>
  <si>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</si>
  <si>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</si>
  <si>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</si>
  <si>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</si>
  <si>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</si>
  <si>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</si>
  <si>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</si>
  <si>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</si>
  <si>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</si>
  <si>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</si>
  <si>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</si>
  <si>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</si>
  <si>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</si>
  <si>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</si>
  <si>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</si>
  <si>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</si>
  <si>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</si>
  <si>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</si>
  <si>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</si>
  <si>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</si>
  <si>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</si>
  <si>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</si>
  <si>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</si>
  <si>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</si>
  <si>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</si>
  <si>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</si>
  <si>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</si>
  <si>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</si>
  <si>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</si>
  <si>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</si>
  <si>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</si>
  <si>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</si>
  <si>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</si>
  <si>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</si>
  <si>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</si>
  <si>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</si>
  <si>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</si>
  <si>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</si>
  <si>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</si>
  <si>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</si>
  <si>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</si>
  <si>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</si>
  <si>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</si>
  <si>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</si>
  <si>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</si>
  <si>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</si>
  <si>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</si>
  <si>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</si>
  <si>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</si>
  <si>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</si>
  <si>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</si>
  <si>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</si>
  <si>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</si>
  <si>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</si>
  <si>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</si>
  <si>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</si>
  <si>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</si>
  <si>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</si>
  <si>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</si>
  <si>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</si>
  <si>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</si>
  <si>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</si>
  <si>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</si>
  <si>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</si>
  <si>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</si>
  <si>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</si>
  <si>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</si>
  <si>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</si>
  <si>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</si>
  <si>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</si>
  <si>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</si>
  <si>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</si>
  <si>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</si>
  <si>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</si>
  <si>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</si>
  <si>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</si>
  <si>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</si>
  <si>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</si>
  <si>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</si>
  <si>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</si>
  <si>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</si>
  <si>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</si>
  <si>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</si>
  <si>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</si>
  <si>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</si>
  <si>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</si>
  <si>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</si>
  <si>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</si>
  <si>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</si>
  <si>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</si>
  <si>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</si>
  <si>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</si>
  <si>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</si>
  <si>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</si>
  <si>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</si>
  <si>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</si>
  <si>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</si>
  <si>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</si>
  <si>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</si>
  <si>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</si>
  <si>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</si>
  <si>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</si>
  <si>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</si>
  <si>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</si>
  <si>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</si>
  <si>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</si>
  <si>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</si>
  <si>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</si>
  <si>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</si>
  <si>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</si>
  <si>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</si>
  <si>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</si>
  <si>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</si>
  <si>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</si>
  <si>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</si>
  <si>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</si>
  <si>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</si>
  <si>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</si>
  <si>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</si>
  <si>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</si>
  <si>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</si>
  <si>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</si>
  <si>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</si>
  <si>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</si>
  <si>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</si>
  <si>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</si>
  <si>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</si>
  <si>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</si>
  <si>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</si>
  <si>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</si>
  <si>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</si>
  <si>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</si>
  <si>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</si>
  <si>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</si>
  <si>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</si>
  <si>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</si>
  <si>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</si>
  <si>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</si>
  <si>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</si>
  <si>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</si>
  <si>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</si>
  <si>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</si>
  <si>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</si>
  <si>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</si>
  <si>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</si>
  <si>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</si>
  <si>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</si>
  <si>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</si>
  <si>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</si>
  <si>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</si>
  <si>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</si>
  <si>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</si>
  <si>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</si>
  <si>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</si>
  <si>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</si>
  <si>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</si>
  <si>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</si>
  <si>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</si>
  <si>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</si>
  <si>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</si>
  <si>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</si>
  <si>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</si>
  <si>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</si>
  <si>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</si>
  <si>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</si>
  <si>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</si>
  <si>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</si>
  <si>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</si>
  <si>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</si>
  <si>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</si>
  <si>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</si>
  <si>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</si>
  <si>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</si>
  <si>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</si>
  <si>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</si>
  <si>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</si>
  <si>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</si>
  <si>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</si>
  <si>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</si>
  <si>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</si>
  <si>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</si>
  <si>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</si>
  <si>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</si>
  <si>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</si>
  <si>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</si>
  <si>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</si>
  <si>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</si>
  <si>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</si>
  <si>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</si>
  <si>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</si>
  <si>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</si>
  <si>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</si>
  <si>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</si>
  <si>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</si>
  <si>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</si>
  <si>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</si>
  <si>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</si>
  <si>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</si>
  <si>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</si>
  <si>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</si>
  <si>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</si>
  <si>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</si>
  <si>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</si>
  <si>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</si>
  <si>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</si>
  <si>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</si>
  <si>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</si>
  <si>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</si>
  <si>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</si>
  <si>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</si>
  <si>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</si>
  <si>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</si>
  <si>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</si>
  <si>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</si>
  <si>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</si>
  <si>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</si>
  <si>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</si>
  <si>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</si>
  <si>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</si>
  <si>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</si>
  <si>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</si>
  <si>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</si>
  <si>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</si>
  <si>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</si>
  <si>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</si>
  <si>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</si>
  <si>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</si>
  <si>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</si>
  <si>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</si>
  <si>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</si>
  <si>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</si>
  <si>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</si>
  <si>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</si>
  <si>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</si>
  <si>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</si>
  <si>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</si>
  <si>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</si>
  <si>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</si>
  <si>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</si>
  <si>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</si>
  <si>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</si>
  <si>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</si>
  <si>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</si>
  <si>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</si>
  <si>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</si>
  <si>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</si>
  <si>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</si>
  <si>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</si>
  <si>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</si>
  <si>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</si>
  <si>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</si>
  <si>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</si>
  <si>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</si>
  <si>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</si>
  <si>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</si>
  <si>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</si>
  <si>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</si>
  <si>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</si>
  <si>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</si>
  <si>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</si>
  <si>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</si>
  <si>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</si>
  <si>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</si>
  <si>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</si>
  <si>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</si>
  <si>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</si>
  <si>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</si>
  <si>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</si>
  <si>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</si>
  <si>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</si>
  <si>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</si>
  <si>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</si>
  <si>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</si>
  <si>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</si>
  <si>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</si>
  <si>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</si>
  <si>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</si>
  <si>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</si>
  <si>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</si>
  <si>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</si>
  <si>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</si>
  <si>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</si>
  <si>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</si>
  <si>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</si>
  <si>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</si>
  <si>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</si>
  <si>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</si>
  <si>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</si>
  <si>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</si>
  <si>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</si>
  <si>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</si>
  <si>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</si>
  <si>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</si>
  <si>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</si>
  <si>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</si>
  <si>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</si>
  <si>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</si>
  <si>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</si>
  <si>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</si>
  <si>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</si>
  <si>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</si>
  <si>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</si>
  <si>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</si>
  <si>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</si>
  <si>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</si>
  <si>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</si>
  <si>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</si>
  <si>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</si>
  <si>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</si>
  <si>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</si>
  <si>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</si>
  <si>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</si>
  <si>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</si>
  <si>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</si>
  <si>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</si>
  <si>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</si>
  <si>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</si>
  <si>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</si>
  <si>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</si>
  <si>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</si>
  <si>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</si>
  <si>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</si>
  <si>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</si>
  <si>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</si>
  <si>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</si>
  <si>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</si>
  <si>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</si>
  <si>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</si>
  <si>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</si>
  <si>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</si>
  <si>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</si>
  <si>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</si>
  <si>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</si>
  <si>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</si>
  <si>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</si>
  <si>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</si>
  <si>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</si>
  <si>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</si>
  <si>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</si>
  <si>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</si>
  <si>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</si>
  <si>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</si>
  <si>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</si>
  <si>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</si>
  <si>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</si>
  <si>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</si>
  <si>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</si>
  <si>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</si>
  <si>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</si>
  <si>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</si>
  <si>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</si>
  <si>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</si>
  <si>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</si>
  <si>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</si>
  <si>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</si>
  <si>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</si>
  <si>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</si>
  <si>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</si>
  <si>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</si>
  <si>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</si>
  <si>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</si>
  <si>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</si>
  <si>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</si>
  <si>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</si>
  <si>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</si>
  <si>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</si>
  <si>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</si>
  <si>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</si>
  <si>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</si>
  <si>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</si>
  <si>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</si>
  <si>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</si>
  <si>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</si>
  <si>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</si>
  <si>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</si>
  <si>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</si>
  <si>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</si>
  <si>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</si>
  <si>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</si>
  <si>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</si>
  <si>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</si>
  <si>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</si>
  <si>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</si>
  <si>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</si>
  <si>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</si>
  <si>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</si>
  <si>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</si>
  <si>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</si>
  <si>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</si>
  <si>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</si>
  <si>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</si>
  <si>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</si>
  <si>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</si>
  <si>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</si>
  <si>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</si>
  <si>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</si>
  <si>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</si>
  <si>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</si>
  <si>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</si>
  <si>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</si>
  <si>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</si>
  <si>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</si>
  <si>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</si>
  <si>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</si>
  <si>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</si>
  <si>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</si>
  <si>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</si>
  <si>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</si>
  <si>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</si>
  <si>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</si>
  <si>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</si>
  <si>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</si>
  <si>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</si>
  <si>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</si>
  <si>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</si>
  <si>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</si>
  <si>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</si>
  <si>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</si>
  <si>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</si>
  <si>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</si>
  <si>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</si>
  <si>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</si>
  <si>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</si>
  <si>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</si>
  <si>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</si>
  <si>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</si>
  <si>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</si>
  <si>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</si>
  <si>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</si>
  <si>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</si>
  <si>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</si>
  <si>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</si>
  <si>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</si>
  <si>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</si>
  <si>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</si>
  <si>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</si>
  <si>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</si>
  <si>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</si>
  <si>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</si>
  <si>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</si>
  <si>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</si>
  <si>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</si>
  <si>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</si>
  <si>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</si>
  <si>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</si>
  <si>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</si>
  <si>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</si>
  <si>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</si>
  <si>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</si>
  <si>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</si>
  <si>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</si>
  <si>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</si>
  <si>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</si>
  <si>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</si>
  <si>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</si>
  <si>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</si>
  <si>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</si>
  <si>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</si>
  <si>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</si>
  <si>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</si>
  <si>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</si>
  <si>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</si>
  <si>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</si>
  <si>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</si>
  <si>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</si>
  <si>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</si>
  <si>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</si>
  <si>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</si>
  <si>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</si>
  <si>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</si>
  <si>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</si>
  <si>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</si>
  <si>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</si>
  <si>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</si>
  <si>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</si>
  <si>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</si>
  <si>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</si>
  <si>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</si>
  <si>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</si>
  <si>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</si>
  <si>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</si>
  <si>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</si>
  <si>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</si>
  <si>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</si>
  <si>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</si>
  <si>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</si>
  <si>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</si>
  <si>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</si>
  <si>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</si>
  <si>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</si>
  <si>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</si>
  <si>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</si>
  <si>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</si>
  <si>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</si>
  <si>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</si>
  <si>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</si>
  <si>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</si>
  <si>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</si>
  <si>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</si>
  <si>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</si>
  <si>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</si>
  <si>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</si>
  <si>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</si>
  <si>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</si>
  <si>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</si>
  <si>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</si>
  <si>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</si>
  <si>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</si>
  <si>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</si>
  <si>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</si>
  <si>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</si>
  <si>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</si>
  <si>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</si>
  <si>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</si>
  <si>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</si>
  <si>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</si>
  <si>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</si>
  <si>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</si>
  <si>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</si>
  <si>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</si>
  <si>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</si>
  <si>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</si>
  <si>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</si>
  <si>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</si>
  <si>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</si>
  <si>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</si>
  <si>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</si>
  <si>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</si>
  <si>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</si>
  <si>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</si>
  <si>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</si>
  <si>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</si>
  <si>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</si>
  <si>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</si>
  <si>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</si>
  <si>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</si>
  <si>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</si>
  <si>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</si>
  <si>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</si>
  <si>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</si>
  <si>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</si>
  <si>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</si>
  <si>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</si>
  <si>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</si>
  <si>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</si>
  <si>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</si>
  <si>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</si>
  <si>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</si>
  <si>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</si>
  <si>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</si>
  <si>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</si>
  <si>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</si>
  <si>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</si>
  <si>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</si>
  <si>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</si>
  <si>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</si>
  <si>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</si>
  <si>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</si>
  <si>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</si>
  <si>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</si>
  <si>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</si>
  <si>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</si>
  <si>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</si>
  <si>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</si>
  <si>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</si>
  <si>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</si>
  <si>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</si>
  <si>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</si>
  <si>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</si>
  <si>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</si>
  <si>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</si>
  <si>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</si>
  <si>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</si>
  <si>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</si>
  <si>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</si>
  <si>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</si>
  <si>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</si>
  <si>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</si>
  <si>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</si>
  <si>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</si>
  <si>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</si>
  <si>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</si>
  <si>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</si>
  <si>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</si>
  <si>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</si>
  <si>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</si>
  <si>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</si>
  <si>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</si>
  <si>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</si>
  <si>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</si>
  <si>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</si>
  <si>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</si>
  <si>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</si>
  <si>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</si>
  <si>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</si>
  <si>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</si>
  <si>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</si>
  <si>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</si>
  <si>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</si>
  <si>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</si>
  <si>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</si>
  <si>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</si>
  <si>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</si>
  <si>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</si>
  <si>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</si>
  <si>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</si>
  <si>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</si>
  <si>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</si>
  <si>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</si>
  <si>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</si>
  <si>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</si>
  <si>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</si>
  <si>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</si>
  <si>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</si>
  <si>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</si>
  <si>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</si>
  <si>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</si>
  <si>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</si>
  <si>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</si>
  <si>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</si>
  <si>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</si>
  <si>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</si>
  <si>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</si>
  <si>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</si>
  <si>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</si>
  <si>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</si>
  <si>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</si>
  <si>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</si>
  <si>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</si>
  <si>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</si>
  <si>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</si>
  <si>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</si>
  <si>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</si>
  <si>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</si>
  <si>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</si>
  <si>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</si>
  <si>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</si>
  <si>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</si>
  <si>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</si>
  <si>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</si>
  <si>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</si>
  <si>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</si>
  <si>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</si>
  <si>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</si>
  <si>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</si>
  <si>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</si>
  <si>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</si>
  <si>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</si>
  <si>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</si>
  <si>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</si>
  <si>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</si>
  <si>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</si>
  <si>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</si>
  <si>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</si>
  <si>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</si>
  <si>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</si>
  <si>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</si>
  <si>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</si>
  <si>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</si>
  <si>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</si>
  <si>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</si>
  <si>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</si>
  <si>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</si>
  <si>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</si>
  <si>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</si>
  <si>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</si>
  <si>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</si>
  <si>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</si>
  <si>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</si>
  <si>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</si>
  <si>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</si>
  <si>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</si>
  <si>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</si>
  <si>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</si>
  <si>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</si>
  <si>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</si>
  <si>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</si>
  <si>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</si>
  <si>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</si>
  <si>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</si>
  <si>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</si>
  <si>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</si>
  <si>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</si>
  <si>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</si>
  <si>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</si>
  <si>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</si>
  <si>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</si>
  <si>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</si>
  <si>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</si>
  <si>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</si>
  <si>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</si>
  <si>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</si>
  <si>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</si>
  <si>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</si>
  <si>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</si>
  <si>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</si>
  <si>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</si>
  <si>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</si>
  <si>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</si>
  <si>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</si>
  <si>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</si>
  <si>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</si>
  <si>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</si>
  <si>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</si>
  <si>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</si>
  <si>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</si>
  <si>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</si>
  <si>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</si>
  <si>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</si>
  <si>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</si>
  <si>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</si>
  <si>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</si>
  <si>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</si>
  <si>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</si>
  <si>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</si>
  <si>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</si>
  <si>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</si>
  <si>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</si>
  <si>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</si>
  <si>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</si>
  <si>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</si>
  <si>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</si>
  <si>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</si>
  <si>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</si>
  <si>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</si>
  <si>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</si>
  <si>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</si>
  <si>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</si>
  <si>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</si>
  <si>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</si>
  <si>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</si>
  <si>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</si>
  <si>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</si>
  <si>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</si>
  <si>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</si>
  <si>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</si>
  <si>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</si>
  <si>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</si>
  <si>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</si>
  <si>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</si>
  <si>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</si>
  <si>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</si>
  <si>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</si>
  <si>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</si>
  <si>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</si>
  <si>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</si>
  <si>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</si>
  <si>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</si>
  <si>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</si>
  <si>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</si>
  <si>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</si>
  <si>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</si>
  <si>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</si>
  <si>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</si>
  <si>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</si>
  <si>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</si>
  <si>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</si>
  <si>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</si>
  <si>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</si>
  <si>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</si>
  <si>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</si>
  <si>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</si>
  <si>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</si>
  <si>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</si>
  <si>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</si>
  <si>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</si>
  <si>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</si>
  <si>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</si>
  <si>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</si>
  <si>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</si>
  <si>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</si>
  <si>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</si>
  <si>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</si>
  <si>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</si>
  <si>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</si>
  <si>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</si>
  <si>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</si>
  <si>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</si>
  <si>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</si>
  <si>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</si>
  <si>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</si>
  <si>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</si>
  <si>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</si>
  <si>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</si>
  <si>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</si>
  <si>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</si>
  <si>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</si>
  <si>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</si>
  <si>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</si>
  <si>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</si>
  <si>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</si>
  <si>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</si>
  <si>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</si>
  <si>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</si>
  <si>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</si>
  <si>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</si>
  <si>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</si>
  <si>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</si>
  <si>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</si>
  <si>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</si>
  <si>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</si>
  <si>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</si>
  <si>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</si>
  <si>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</si>
  <si>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</si>
  <si>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</si>
  <si>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</si>
  <si>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</si>
  <si>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</si>
  <si>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</si>
  <si>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</si>
  <si>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</si>
  <si>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</si>
  <si>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</si>
  <si>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</si>
  <si>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</si>
  <si>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</si>
  <si>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</si>
  <si>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</si>
  <si>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</si>
  <si>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</si>
  <si>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</si>
  <si>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</si>
  <si>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</si>
  <si>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</si>
  <si>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</si>
  <si>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</si>
  <si>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</si>
  <si>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</si>
  <si>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</si>
  <si>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</si>
  <si>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</si>
  <si>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</si>
  <si>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</si>
  <si>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</si>
  <si>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</si>
  <si>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</si>
  <si>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</si>
  <si>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</si>
  <si>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</si>
  <si>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</si>
  <si>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</si>
  <si>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</si>
  <si>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</si>
  <si>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</si>
  <si>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</si>
  <si>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</si>
  <si>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</si>
  <si>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</si>
  <si>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</si>
  <si>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</si>
  <si>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</si>
  <si>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</si>
  <si>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</si>
  <si>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</si>
  <si>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</si>
  <si>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</si>
  <si>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</si>
  <si>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</si>
  <si>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</si>
  <si>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</si>
  <si>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</si>
  <si>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</si>
  <si>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</si>
  <si>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</si>
  <si>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</si>
  <si>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</si>
  <si>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</si>
  <si>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</si>
  <si>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</si>
  <si>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</si>
  <si>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</si>
  <si>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</si>
  <si>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</si>
  <si>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</si>
  <si>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</si>
  <si>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</si>
  <si>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</si>
  <si>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</si>
  <si>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</si>
  <si>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</si>
  <si>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</si>
  <si>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</si>
  <si>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</si>
  <si>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</si>
  <si>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</si>
  <si>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</si>
  <si>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</si>
  <si>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</si>
  <si>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</si>
  <si>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</si>
  <si>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</si>
  <si>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</si>
  <si>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</si>
  <si>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</si>
  <si>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</si>
  <si>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</si>
  <si>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</si>
  <si>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</si>
  <si>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</si>
  <si>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</si>
  <si>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</si>
  <si>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</si>
  <si>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</si>
  <si>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</si>
  <si>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</si>
  <si>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</si>
  <si>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</si>
  <si>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</si>
  <si>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</si>
  <si>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</si>
  <si>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</si>
  <si>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</si>
  <si>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</si>
  <si>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</si>
  <si>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</si>
  <si>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</si>
  <si>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</si>
  <si>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</si>
  <si>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</si>
  <si>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</si>
  <si>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</si>
  <si>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</si>
  <si>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</si>
  <si>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</si>
  <si>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</si>
  <si>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</si>
  <si>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</si>
  <si>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</si>
  <si>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</si>
  <si>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</si>
  <si>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</si>
  <si>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</si>
  <si>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</si>
  <si>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</si>
  <si>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</si>
  <si>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</si>
  <si>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</si>
  <si>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</si>
  <si>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</si>
  <si>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</si>
  <si>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</si>
  <si>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</si>
  <si>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</si>
  <si>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</si>
  <si>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</si>
  <si>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</si>
  <si>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</si>
  <si>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</si>
  <si>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</si>
  <si>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</si>
  <si>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</si>
  <si>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</si>
  <si>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</si>
  <si>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</si>
  <si>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</si>
  <si>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</si>
  <si>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</si>
  <si>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</si>
  <si>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</si>
  <si>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</si>
  <si>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</si>
  <si>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</si>
  <si>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</si>
  <si>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</si>
  <si>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</si>
  <si>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</si>
  <si>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</si>
  <si>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</si>
  <si>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</si>
  <si>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</si>
  <si>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</si>
  <si>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</si>
  <si>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</si>
  <si>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</si>
  <si>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</si>
  <si>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</si>
  <si>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</si>
  <si>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</si>
  <si>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</si>
  <si>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</si>
  <si>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</si>
  <si>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</si>
  <si>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</si>
  <si>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</si>
  <si>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</si>
  <si>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</si>
  <si>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</si>
  <si>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</si>
  <si>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</si>
  <si>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</si>
  <si>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</si>
  <si>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</si>
  <si>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</si>
  <si>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</si>
  <si>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</si>
  <si>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</si>
  <si>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</si>
  <si>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</si>
  <si>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</si>
  <si>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</si>
  <si>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</si>
  <si>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</si>
  <si>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</si>
  <si>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</si>
  <si>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</si>
  <si>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</si>
  <si>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</si>
  <si>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</si>
  <si>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</si>
  <si>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</si>
  <si>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</si>
  <si>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</si>
  <si>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</si>
  <si>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</si>
  <si>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</si>
  <si>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</si>
  <si>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</si>
  <si>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</si>
  <si>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</si>
  <si>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</si>
  <si>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</si>
  <si>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</si>
  <si>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</si>
  <si>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</si>
  <si>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</si>
  <si>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</si>
  <si>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</si>
  <si>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</si>
  <si>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</si>
  <si>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</si>
  <si>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</si>
  <si>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</si>
  <si>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</si>
  <si>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</si>
  <si>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</si>
  <si>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</si>
  <si>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</si>
  <si>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</si>
  <si>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</si>
  <si>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</si>
  <si>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</si>
  <si>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</si>
  <si>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</si>
  <si>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</si>
  <si>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</si>
  <si>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</si>
  <si>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</si>
  <si>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</si>
  <si>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</si>
  <si>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</si>
  <si>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</si>
  <si>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</si>
  <si>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</si>
  <si>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</si>
  <si>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</si>
  <si>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</si>
  <si>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</si>
  <si>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</si>
  <si>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</si>
  <si>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</si>
  <si>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</si>
  <si>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</si>
  <si>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</si>
  <si>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</si>
  <si>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</si>
  <si>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</si>
  <si>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</si>
  <si>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</si>
  <si>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</si>
  <si>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</si>
  <si>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</si>
  <si>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</si>
  <si>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</si>
  <si>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</si>
  <si>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</si>
  <si>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</si>
  <si>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</si>
  <si>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</si>
  <si>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</si>
  <si>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</si>
  <si>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</si>
  <si>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</si>
  <si>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</si>
  <si>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</si>
  <si>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</si>
  <si>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</si>
  <si>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</si>
  <si>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</si>
  <si>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</si>
  <si>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</si>
  <si>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</si>
  <si>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</si>
  <si>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</si>
  <si>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</si>
  <si>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</si>
  <si>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</si>
  <si>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</si>
  <si>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</si>
  <si>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</si>
  <si>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</si>
  <si>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</si>
  <si>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</si>
  <si>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</si>
  <si>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</si>
  <si>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</si>
  <si>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</si>
  <si>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</si>
  <si>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</si>
  <si>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</si>
  <si>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</si>
  <si>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</si>
  <si>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</si>
  <si>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</si>
  <si>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</si>
  <si>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</si>
  <si>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</si>
  <si>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</si>
  <si>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</si>
  <si>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</si>
  <si>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</si>
  <si>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</si>
  <si>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</si>
  <si>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</si>
  <si>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</si>
  <si>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</si>
  <si>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</si>
  <si>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</si>
  <si>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</si>
  <si>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</si>
  <si>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</si>
  <si>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</si>
  <si>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</si>
  <si>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</si>
  <si>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</si>
  <si>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</si>
  <si>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</si>
  <si>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</si>
  <si>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</si>
  <si>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</si>
  <si>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</si>
  <si>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</si>
  <si>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</si>
  <si>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</si>
  <si>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</si>
  <si>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</si>
  <si>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</si>
  <si>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</si>
  <si>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</si>
  <si>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</si>
  <si>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</si>
  <si>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</si>
  <si>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</si>
  <si>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</si>
  <si>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</si>
  <si>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</si>
  <si>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</si>
  <si>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</si>
  <si>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</si>
  <si>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</si>
  <si>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</si>
  <si>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</si>
  <si>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</si>
  <si>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</si>
  <si>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</si>
  <si>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</si>
  <si>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</si>
  <si>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</si>
  <si>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</si>
  <si>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</si>
  <si>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</si>
  <si>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</si>
  <si>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</si>
  <si>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</si>
  <si>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</si>
  <si>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</si>
  <si>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</si>
  <si>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</si>
  <si>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</si>
  <si>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</si>
  <si>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</si>
  <si>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</si>
  <si>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</si>
  <si>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</si>
  <si>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</si>
  <si>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</si>
  <si>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</si>
  <si>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</si>
  <si>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</si>
  <si>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</si>
  <si>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</si>
  <si>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</si>
  <si>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</si>
  <si>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</si>
  <si>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</si>
  <si>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</si>
  <si>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</si>
  <si>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</si>
  <si>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</si>
  <si>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</si>
  <si>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</si>
  <si>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</si>
  <si>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</si>
  <si>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</si>
  <si>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</si>
  <si>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</si>
  <si>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</si>
  <si>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</si>
  <si>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</si>
  <si>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</si>
  <si>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</si>
  <si>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</si>
  <si>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</si>
  <si>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</si>
  <si>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</si>
  <si>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</si>
  <si>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</si>
  <si>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</si>
  <si>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</si>
  <si>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</si>
  <si>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</si>
  <si>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</si>
  <si>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</si>
  <si>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</si>
  <si>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</si>
  <si>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</si>
  <si>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</si>
  <si>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</si>
  <si>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</si>
  <si>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</si>
  <si>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</si>
  <si>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</si>
  <si>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</si>
  <si>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</si>
  <si>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</si>
  <si>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</si>
  <si>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</si>
  <si>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</si>
  <si>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</si>
  <si>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</si>
  <si>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</si>
  <si>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</si>
  <si>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</si>
  <si>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</si>
  <si>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</si>
  <si>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</si>
  <si>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</si>
  <si>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</si>
  <si>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</si>
  <si>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</si>
  <si>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</si>
  <si>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</si>
  <si>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</si>
  <si>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</si>
  <si>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</si>
  <si>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</si>
  <si>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</si>
  <si>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</si>
  <si>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</si>
  <si>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</si>
  <si>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</si>
  <si>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</si>
  <si>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</si>
  <si>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</si>
  <si>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</si>
  <si>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</si>
  <si>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</si>
  <si>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</si>
  <si>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</si>
  <si>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</si>
  <si>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</si>
  <si>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</si>
  <si>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</si>
  <si>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</si>
  <si>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</si>
  <si>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</si>
  <si>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</si>
  <si>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</si>
  <si>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</si>
  <si>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</si>
  <si>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</si>
  <si>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</si>
  <si>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</si>
  <si>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</si>
  <si>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</si>
  <si>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</si>
  <si>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</si>
  <si>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</si>
  <si>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</si>
  <si>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</si>
  <si>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</si>
  <si>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</si>
  <si>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</si>
  <si>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</si>
  <si>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</si>
  <si>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</si>
  <si>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</si>
  <si>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</si>
  <si>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</si>
  <si>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</si>
  <si>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</si>
  <si>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</si>
  <si>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</si>
  <si>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</si>
  <si>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</si>
  <si>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</si>
  <si>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</si>
  <si>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</si>
  <si>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</si>
  <si>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</si>
  <si>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</si>
  <si>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</si>
  <si>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</si>
  <si>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</si>
  <si>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</si>
  <si>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</si>
  <si>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</si>
  <si>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</si>
  <si>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</si>
  <si>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</si>
  <si>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</si>
  <si>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</si>
  <si>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</si>
  <si>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</si>
  <si>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</si>
  <si>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</si>
  <si>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</si>
  <si>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</si>
  <si>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</si>
  <si>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</si>
  <si>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</si>
  <si>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</si>
  <si>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</si>
  <si>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</si>
  <si>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</si>
  <si>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</si>
  <si>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</si>
  <si>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</si>
  <si>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</si>
  <si>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</si>
  <si>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</si>
  <si>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</si>
  <si>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</si>
  <si>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</si>
  <si>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</si>
  <si>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</si>
  <si>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</si>
  <si>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</si>
  <si>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</si>
  <si>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</si>
  <si>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</si>
  <si>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</si>
  <si>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</si>
  <si>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</si>
  <si>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</si>
  <si>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</si>
  <si>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</si>
  <si>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</si>
  <si>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</si>
  <si>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</si>
  <si>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</si>
  <si>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</si>
  <si>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</si>
  <si>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</si>
  <si>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</si>
  <si>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</si>
  <si>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</si>
  <si>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</si>
  <si>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</si>
  <si>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</si>
  <si>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</si>
  <si>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</si>
  <si>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</si>
  <si>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</si>
  <si>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</si>
  <si>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</si>
  <si>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</si>
  <si>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</si>
  <si>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</si>
  <si>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</si>
  <si>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</si>
  <si>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</si>
  <si>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</si>
  <si>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</si>
  <si>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</si>
  <si>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</si>
  <si>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</si>
  <si>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</si>
  <si>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</si>
  <si>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</si>
  <si>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</si>
  <si>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</si>
  <si>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</si>
  <si>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</si>
  <si>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</si>
  <si>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</si>
  <si>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</si>
  <si>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</si>
  <si>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</si>
  <si>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</si>
  <si>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</si>
  <si>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</si>
  <si>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</si>
  <si>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</si>
  <si>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</si>
  <si>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</si>
  <si>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</si>
  <si>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</si>
  <si>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</si>
  <si>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</si>
  <si>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</si>
  <si>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</si>
  <si>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</si>
  <si>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</si>
  <si>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</si>
  <si>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</si>
  <si>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</si>
  <si>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</si>
  <si>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</si>
  <si>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</si>
  <si>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</si>
  <si>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</si>
  <si>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</si>
  <si>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</si>
  <si>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</si>
  <si>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</si>
  <si>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</si>
  <si>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</si>
  <si>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</si>
  <si>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</si>
  <si>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</si>
  <si>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</si>
  <si>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</si>
  <si>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</si>
  <si>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</si>
  <si>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</si>
  <si>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</si>
  <si>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</si>
  <si>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</si>
  <si>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</si>
  <si>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</si>
  <si>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</si>
  <si>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</si>
  <si>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</si>
  <si>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</si>
  <si>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</si>
  <si>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</si>
  <si>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</si>
  <si>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</si>
  <si>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</si>
  <si>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</si>
  <si>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</si>
  <si>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</si>
  <si>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</si>
  <si>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</si>
  <si>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</si>
  <si>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</si>
  <si>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</si>
  <si>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</si>
  <si>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</si>
  <si>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</si>
  <si>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</si>
  <si>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</si>
  <si>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</si>
  <si>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</si>
  <si>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</si>
  <si>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</si>
  <si>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</si>
  <si>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</si>
  <si>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</si>
  <si>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</si>
  <si>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</si>
  <si>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</si>
  <si>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</si>
  <si>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</si>
  <si>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</si>
  <si>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</si>
  <si>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</si>
  <si>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</si>
  <si>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</si>
  <si>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</si>
  <si>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</si>
  <si>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</si>
  <si>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</si>
  <si>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</si>
  <si>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</si>
  <si>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</si>
  <si>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</si>
  <si>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</si>
  <si>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</si>
  <si>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</si>
  <si>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</si>
  <si>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</si>
  <si>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</si>
  <si>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</si>
  <si>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</si>
  <si>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</si>
  <si>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</si>
  <si>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</si>
  <si>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</si>
  <si>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</si>
  <si>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</si>
  <si>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</si>
  <si>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</si>
  <si>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</si>
  <si>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</si>
  <si>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</si>
  <si>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</si>
  <si>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</si>
  <si>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</si>
  <si>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</si>
  <si>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</si>
  <si>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</si>
  <si>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</si>
  <si>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</si>
  <si>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</si>
  <si>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</si>
  <si>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</si>
  <si>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</si>
  <si>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</si>
  <si>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</si>
  <si>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</si>
  <si>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</si>
  <si>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</si>
  <si>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</si>
  <si>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</si>
  <si>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</si>
  <si>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</si>
  <si>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</si>
  <si>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</si>
  <si>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</si>
  <si>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</si>
  <si>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</si>
  <si>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</si>
  <si>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</si>
  <si>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</si>
  <si>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</si>
  <si>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</si>
  <si>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</si>
  <si>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</si>
  <si>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</si>
  <si>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</si>
  <si>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</si>
  <si>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</si>
  <si>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</si>
  <si>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</si>
  <si>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</si>
  <si>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</si>
  <si>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</si>
  <si>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</si>
  <si>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</si>
  <si>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</si>
  <si>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</si>
  <si>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</si>
  <si>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</si>
  <si>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</si>
  <si>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</si>
  <si>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</si>
  <si>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</si>
  <si>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</si>
  <si>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</si>
  <si>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</si>
  <si>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</si>
  <si>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</si>
  <si>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</si>
  <si>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</si>
  <si>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</si>
  <si>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</si>
  <si>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</si>
  <si>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</si>
  <si>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</si>
  <si>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</si>
  <si>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</si>
  <si>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</si>
  <si>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</si>
  <si>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</si>
  <si>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</si>
  <si>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</si>
  <si>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</si>
  <si>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</si>
  <si>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</si>
  <si>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</si>
  <si>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</si>
  <si>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</si>
  <si>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</si>
  <si>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</si>
  <si>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</si>
  <si>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</si>
  <si>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</si>
  <si>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</si>
  <si>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</si>
  <si>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</si>
  <si>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</si>
  <si>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</si>
  <si>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</si>
  <si>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</si>
  <si>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</si>
  <si>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</si>
  <si>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</si>
  <si>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</si>
  <si>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</si>
  <si>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</si>
  <si>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</si>
  <si>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</si>
  <si>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</si>
  <si>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</si>
  <si>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</si>
  <si>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</si>
  <si>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</si>
  <si>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</si>
  <si>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</si>
  <si>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</si>
  <si>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</si>
  <si>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</si>
  <si>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</si>
  <si>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</si>
  <si>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</si>
  <si>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</si>
  <si>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</si>
  <si>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</si>
  <si>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</si>
  <si>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</si>
  <si>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</si>
  <si>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</si>
  <si>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</si>
  <si>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</si>
  <si>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</si>
  <si>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</si>
  <si>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</si>
  <si>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</si>
  <si>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</si>
  <si>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</si>
  <si>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</si>
  <si>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</si>
  <si>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</si>
  <si>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</si>
  <si>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</si>
  <si>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</si>
  <si>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</si>
  <si>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</si>
  <si>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</si>
  <si>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</si>
  <si>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</si>
  <si>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</si>
  <si>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</si>
  <si>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</si>
  <si>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</si>
  <si>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</si>
  <si>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</si>
  <si>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</si>
  <si>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</si>
  <si>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</si>
  <si>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</si>
  <si>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</si>
  <si>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</si>
  <si>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</si>
  <si>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</si>
  <si>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</si>
  <si>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</si>
  <si>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</si>
  <si>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</si>
  <si>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</si>
  <si>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</si>
  <si>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</si>
  <si>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</si>
  <si>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</si>
  <si>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</si>
  <si>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</si>
  <si>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</si>
  <si>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</si>
  <si>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</si>
  <si>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</si>
  <si>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</si>
  <si>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</si>
  <si>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</si>
  <si>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</si>
  <si>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</si>
  <si>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</si>
  <si>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</si>
  <si>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</si>
  <si>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</si>
  <si>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</si>
  <si>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</si>
  <si>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</si>
  <si>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</si>
  <si>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</si>
  <si>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</si>
  <si>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</si>
  <si>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</si>
  <si>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</si>
  <si>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</si>
  <si>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</si>
  <si>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</si>
  <si>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</si>
  <si>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</si>
  <si>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</si>
  <si>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</si>
  <si>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</si>
  <si>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</si>
  <si>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</si>
  <si>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</si>
  <si>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</si>
  <si>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</si>
  <si>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</si>
  <si>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</si>
  <si>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</si>
  <si>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</si>
  <si>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</si>
  <si>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</si>
  <si>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</si>
  <si>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</si>
  <si>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</si>
  <si>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</si>
  <si>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</si>
  <si>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</si>
  <si>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</si>
  <si>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</si>
  <si>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</si>
  <si>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</si>
  <si>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</si>
  <si>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</si>
  <si>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</si>
  <si>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</si>
  <si>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</si>
  <si>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</si>
  <si>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</si>
  <si>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</si>
  <si>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</si>
  <si>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</si>
  <si>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</si>
  <si>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</si>
  <si>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</si>
  <si>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</si>
  <si>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</si>
  <si>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</si>
  <si>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</si>
  <si>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</si>
  <si>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</si>
  <si>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</si>
  <si>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</si>
  <si>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</si>
  <si>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</si>
  <si>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</si>
  <si>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</si>
  <si>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</si>
  <si>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</si>
  <si>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</si>
  <si>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</si>
  <si>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</si>
  <si>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</si>
  <si>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</si>
  <si>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</si>
  <si>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</si>
  <si>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</si>
  <si>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</si>
  <si>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</si>
  <si>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</si>
  <si>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</si>
  <si>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</si>
  <si>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</si>
  <si>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</si>
  <si>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</si>
  <si>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</si>
  <si>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</si>
  <si>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</si>
  <si>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</si>
  <si>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</si>
  <si>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</si>
  <si>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</si>
  <si>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</si>
  <si>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</si>
  <si>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</si>
  <si>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</si>
  <si>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</si>
  <si>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</si>
  <si>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</si>
  <si>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</si>
  <si>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</si>
  <si>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</si>
  <si>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</si>
  <si>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</si>
  <si>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</si>
  <si>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</si>
  <si>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</si>
  <si>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</si>
  <si>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</si>
  <si>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</si>
  <si>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</si>
  <si>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</si>
  <si>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</si>
  <si>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</si>
  <si>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</si>
  <si>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</si>
  <si>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</si>
  <si>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</si>
  <si>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</si>
  <si>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</si>
  <si>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</si>
  <si>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</si>
  <si>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</si>
  <si>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</si>
  <si>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</si>
  <si>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</si>
  <si>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</si>
  <si>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</si>
  <si>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</si>
  <si>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</si>
  <si>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</si>
  <si>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</si>
  <si>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</si>
  <si>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</si>
  <si>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</si>
  <si>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</si>
  <si>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</si>
  <si>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</si>
  <si>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</si>
  <si>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</si>
  <si>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</si>
  <si>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</si>
  <si>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</si>
  <si>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</si>
  <si>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</si>
  <si>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</si>
  <si>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</si>
  <si>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</si>
  <si>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</si>
  <si>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</si>
  <si>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</si>
  <si>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</si>
  <si>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</si>
  <si>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</si>
  <si>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</si>
  <si>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</si>
  <si>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</si>
  <si>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</si>
  <si>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</si>
  <si>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</si>
  <si>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</si>
  <si>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</si>
  <si>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</si>
  <si>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</si>
  <si>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</si>
  <si>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</si>
  <si>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</si>
  <si>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</si>
  <si>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</si>
  <si>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</si>
  <si>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</si>
  <si>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</si>
  <si>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</si>
  <si>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</si>
  <si>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</si>
  <si>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</si>
  <si>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</si>
  <si>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</si>
  <si>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</si>
  <si>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</si>
  <si>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</si>
  <si>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</si>
  <si>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</si>
  <si>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</si>
  <si>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</si>
  <si>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</si>
  <si>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</si>
  <si>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</si>
  <si>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</si>
  <si>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</si>
  <si>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</si>
  <si>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</si>
  <si>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</si>
  <si>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</si>
  <si>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</si>
  <si>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</si>
  <si>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</si>
  <si>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</si>
  <si>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</si>
  <si>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</si>
  <si>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</si>
  <si>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</si>
  <si>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</si>
  <si>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</si>
  <si>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</si>
  <si>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</si>
  <si>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</si>
  <si>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</si>
  <si>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</si>
  <si>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</si>
  <si>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</si>
  <si>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</si>
  <si>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</si>
  <si>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</si>
  <si>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</si>
  <si>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</si>
  <si>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</si>
  <si>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</si>
  <si>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</si>
  <si>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</si>
  <si>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</si>
  <si>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</si>
  <si>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</si>
  <si>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</si>
  <si>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</si>
  <si>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</si>
  <si>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</si>
  <si>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</si>
  <si>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</si>
  <si>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</si>
  <si>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</si>
  <si>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</si>
  <si>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</si>
  <si>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</si>
  <si>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</si>
  <si>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</si>
  <si>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</si>
  <si>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</si>
  <si>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</si>
  <si>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</si>
  <si>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</si>
  <si>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</si>
  <si>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</si>
  <si>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</si>
  <si>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</si>
  <si>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</si>
  <si>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</si>
  <si>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</si>
  <si>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</si>
  <si>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</si>
  <si>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</si>
  <si>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</si>
  <si>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</si>
  <si>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</si>
  <si>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</si>
  <si>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</si>
  <si>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</si>
  <si>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</si>
  <si>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</si>
  <si>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</si>
  <si>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</si>
  <si>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</si>
  <si>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</si>
  <si>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</si>
  <si>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</si>
  <si>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</si>
  <si>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</si>
  <si>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</si>
  <si>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</si>
  <si>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</si>
  <si>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</si>
  <si>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</si>
  <si>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</si>
  <si>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</si>
  <si>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</si>
  <si>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</si>
  <si>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</si>
  <si>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</si>
  <si>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</si>
  <si>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</si>
  <si>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</si>
  <si>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</si>
  <si>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</si>
  <si>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</si>
  <si>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</si>
  <si>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</si>
  <si>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</si>
  <si>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</si>
  <si>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</si>
  <si>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</si>
  <si>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</si>
  <si>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</si>
  <si>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</si>
  <si>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</si>
  <si>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</si>
  <si>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</si>
  <si>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</si>
  <si>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</si>
  <si>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</si>
  <si>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</si>
  <si>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</si>
  <si>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</si>
  <si>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</si>
  <si>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</si>
  <si>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</si>
  <si>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</si>
  <si>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</si>
  <si>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</si>
  <si>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</si>
  <si>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</si>
  <si>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</si>
  <si>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</si>
  <si>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</si>
  <si>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</si>
  <si>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</si>
  <si>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</si>
  <si>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</si>
  <si>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</si>
  <si>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</si>
  <si>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</si>
  <si>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</si>
  <si>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</si>
  <si>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</si>
  <si>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</si>
  <si>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</si>
  <si>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</si>
  <si>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</si>
  <si>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</si>
  <si>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</si>
  <si>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</si>
  <si>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</si>
  <si>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</si>
  <si>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</si>
  <si>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</si>
  <si>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</si>
  <si>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</si>
  <si>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</si>
  <si>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</si>
  <si>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</si>
  <si>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</si>
  <si>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</si>
  <si>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</si>
  <si>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</si>
  <si>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</si>
  <si>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</si>
  <si>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</si>
  <si>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</si>
  <si>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</si>
  <si>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</si>
  <si>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</si>
  <si>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</si>
  <si>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</si>
  <si>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</si>
  <si>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</si>
  <si>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</si>
  <si>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</si>
  <si>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</si>
  <si>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</si>
  <si>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</si>
  <si>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</si>
  <si>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</si>
  <si>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</si>
  <si>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</si>
  <si>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</si>
  <si>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</si>
  <si>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</si>
  <si>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</si>
  <si>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</si>
  <si>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</si>
  <si>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</si>
  <si>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</si>
  <si>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</si>
  <si>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</si>
  <si>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</si>
  <si>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</si>
  <si>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</si>
  <si>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</si>
  <si>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</si>
  <si>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</si>
  <si>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</si>
  <si>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</si>
  <si>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</si>
  <si>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</si>
  <si>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</si>
  <si>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</si>
  <si>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</si>
  <si>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</si>
  <si>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</si>
  <si>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</si>
  <si>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</si>
  <si>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</si>
  <si>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</si>
  <si>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</si>
  <si>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</si>
  <si>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</si>
  <si>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</si>
  <si>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</si>
  <si>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</si>
  <si>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</si>
  <si>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</si>
  <si>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</si>
  <si>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</si>
  <si>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</si>
  <si>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</si>
  <si>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</si>
  <si>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</si>
  <si>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</si>
  <si>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</si>
  <si>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</si>
  <si>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</si>
  <si>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</si>
  <si>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</si>
  <si>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</si>
  <si>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</si>
  <si>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</si>
  <si>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</si>
  <si>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</si>
  <si>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</si>
  <si>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</si>
  <si>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</si>
  <si>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</si>
  <si>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</si>
  <si>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</si>
  <si>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</si>
  <si>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</si>
  <si>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</si>
  <si>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</si>
  <si>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</si>
  <si>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</si>
  <si>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</si>
  <si>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</si>
  <si>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</si>
  <si>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</si>
  <si>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</si>
  <si>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</si>
  <si>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</si>
  <si>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</si>
  <si>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</si>
  <si>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</si>
  <si>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</si>
  <si>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</si>
  <si>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</si>
  <si>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</si>
  <si>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</si>
  <si>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</si>
  <si>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</si>
  <si>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</si>
  <si>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</si>
  <si>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</si>
  <si>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</si>
  <si>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</si>
  <si>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</si>
  <si>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</si>
  <si>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</si>
  <si>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</si>
  <si>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</si>
  <si>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</si>
  <si>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</si>
  <si>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</si>
  <si>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</si>
  <si>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</si>
  <si>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</si>
  <si>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</si>
  <si>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</si>
  <si>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</si>
  <si>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</si>
  <si>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</si>
  <si>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</si>
  <si>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</si>
  <si>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</si>
  <si>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</si>
  <si>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</si>
  <si>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</si>
  <si>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</si>
  <si>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</si>
  <si>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</si>
  <si>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</si>
  <si>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</si>
  <si>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</si>
  <si>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</si>
  <si>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</si>
  <si>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</si>
  <si>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</si>
  <si>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</si>
  <si>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</si>
  <si>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</si>
  <si>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</si>
  <si>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</si>
  <si>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</si>
  <si>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</si>
  <si>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</si>
  <si>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</si>
  <si>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</si>
  <si>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</si>
  <si>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</si>
  <si>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</si>
  <si>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</si>
  <si>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</si>
  <si>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</si>
  <si>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</si>
  <si>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</si>
  <si>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</si>
  <si>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</si>
  <si>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</si>
  <si>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</si>
  <si>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</si>
  <si>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</si>
  <si>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</si>
  <si>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</si>
  <si>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</si>
  <si>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</si>
  <si>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</si>
  <si>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</si>
  <si>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</si>
  <si>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</si>
  <si>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</si>
  <si>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</si>
  <si>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</si>
  <si>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</si>
  <si>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</si>
  <si>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</si>
  <si>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</si>
  <si>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</si>
  <si>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</si>
  <si>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</si>
  <si>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</si>
  <si>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</si>
  <si>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</si>
  <si>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</si>
  <si>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</si>
  <si>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</si>
  <si>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</si>
  <si>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</si>
  <si>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</si>
  <si>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</si>
  <si>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</si>
  <si>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</si>
  <si>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</si>
  <si>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</si>
  <si>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</si>
  <si>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</si>
  <si>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</si>
  <si>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</si>
  <si>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</si>
  <si>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</si>
  <si>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</si>
  <si>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</si>
  <si>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</si>
  <si>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</si>
  <si>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</si>
  <si>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</si>
  <si>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</si>
  <si>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</si>
  <si>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</si>
  <si>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</si>
  <si>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</si>
  <si>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</si>
  <si>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</si>
  <si>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</si>
  <si>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</si>
  <si>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</si>
  <si>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</si>
  <si>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</si>
  <si>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</si>
  <si>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</si>
  <si>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</si>
  <si>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</si>
  <si>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</si>
  <si>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</si>
  <si>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</si>
  <si>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</si>
  <si>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</si>
  <si>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</si>
  <si>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</si>
  <si>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</si>
  <si>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</si>
  <si>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</si>
  <si>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</si>
  <si>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</si>
  <si>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</si>
  <si>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</si>
  <si>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</si>
  <si>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</si>
  <si>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</si>
  <si>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</si>
  <si>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</si>
  <si>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</si>
  <si>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</si>
  <si>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</si>
  <si>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</si>
  <si>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</si>
  <si>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</si>
  <si>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</si>
  <si>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</si>
  <si>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</si>
  <si>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</si>
  <si>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</si>
  <si>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</si>
  <si>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</si>
  <si>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</si>
  <si>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</si>
  <si>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</si>
  <si>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</si>
  <si>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</si>
  <si>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</si>
  <si>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</si>
  <si>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</si>
  <si>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</si>
  <si>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</si>
  <si>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</si>
  <si>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</si>
  <si>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</si>
  <si>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</si>
  <si>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</si>
  <si>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</si>
  <si>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</si>
  <si>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</si>
  <si>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</si>
  <si>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</si>
  <si>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</si>
  <si>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</si>
  <si>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</si>
  <si>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</si>
  <si>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</si>
  <si>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</si>
  <si>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</si>
  <si>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</si>
  <si>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</si>
  <si>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</si>
  <si>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</si>
  <si>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</si>
  <si>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</si>
  <si>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</si>
  <si>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</si>
  <si>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</si>
  <si>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</si>
  <si>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</si>
  <si>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</si>
  <si>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</si>
  <si>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</si>
  <si>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</si>
  <si>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</si>
  <si>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</si>
  <si>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</si>
  <si>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</si>
  <si>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</si>
  <si>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</si>
  <si>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</si>
  <si>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</si>
  <si>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</si>
  <si>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</si>
  <si>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</si>
  <si>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</si>
  <si>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</si>
  <si>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</si>
  <si>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</si>
  <si>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</si>
  <si>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</si>
  <si>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</si>
  <si>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</si>
  <si>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</si>
  <si>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</si>
  <si>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</si>
  <si>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</si>
  <si>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</si>
  <si>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</si>
  <si>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</si>
  <si>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</si>
  <si>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</si>
  <si>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</si>
  <si>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</si>
  <si>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</si>
  <si>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</si>
  <si>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</si>
  <si>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</si>
  <si>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</si>
  <si>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</si>
  <si>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</si>
  <si>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</si>
  <si>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</si>
  <si>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</si>
  <si>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</si>
  <si>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</si>
  <si>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</si>
  <si>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</si>
  <si>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</si>
  <si>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</si>
  <si>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</si>
  <si>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</si>
  <si>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</si>
  <si>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</si>
  <si>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</si>
  <si>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</si>
  <si>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</si>
  <si>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</si>
  <si>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</si>
  <si>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</si>
  <si>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</si>
  <si>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</si>
  <si>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</si>
  <si>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</si>
  <si>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</si>
  <si>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</si>
  <si>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</si>
  <si>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</si>
  <si>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</si>
  <si>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</si>
  <si>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</si>
  <si>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</si>
  <si>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</si>
  <si>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</si>
  <si>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</si>
  <si>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</si>
  <si>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</si>
  <si>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</si>
  <si>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</si>
  <si>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</si>
  <si>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</si>
  <si>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</si>
  <si>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</si>
  <si>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</si>
  <si>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</si>
  <si>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</si>
  <si>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</si>
  <si>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</si>
  <si>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</si>
  <si>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</si>
  <si>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</si>
  <si>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</si>
  <si>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</si>
  <si>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</si>
  <si>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</si>
  <si>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</si>
  <si>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</si>
  <si>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</si>
  <si>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</si>
  <si>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</si>
  <si>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</si>
  <si>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</si>
  <si>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</si>
  <si>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</si>
  <si>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</si>
  <si>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</si>
  <si>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</si>
  <si>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</si>
  <si>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</si>
  <si>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</si>
  <si>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</si>
  <si>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</si>
  <si>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</si>
  <si>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</si>
  <si>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</si>
  <si>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</si>
  <si>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</si>
  <si>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</si>
  <si>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</si>
  <si>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</si>
  <si>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</si>
  <si>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</si>
  <si>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</si>
  <si>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</si>
  <si>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</si>
  <si>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</si>
  <si>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</si>
  <si>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</si>
  <si>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</si>
  <si>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</si>
  <si>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</si>
  <si>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</si>
  <si>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</si>
  <si>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</si>
  <si>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</si>
  <si>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</si>
  <si>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</si>
  <si>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</si>
  <si>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</si>
  <si>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</si>
  <si>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</si>
  <si>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</si>
  <si>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</si>
  <si>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</si>
  <si>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</si>
  <si>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</si>
  <si>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</si>
  <si>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</si>
  <si>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</si>
  <si>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</si>
  <si>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</si>
  <si>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</si>
  <si>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</si>
  <si>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</si>
  <si>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</si>
  <si>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</si>
  <si>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</si>
  <si>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</si>
  <si>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</si>
  <si>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</si>
  <si>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</si>
  <si>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</si>
  <si>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</si>
  <si>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</si>
  <si>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</si>
  <si>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</si>
  <si>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</si>
  <si>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</si>
  <si>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</si>
  <si>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</si>
  <si>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</si>
  <si>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</si>
  <si>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</si>
  <si>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</si>
  <si>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</si>
  <si>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</si>
  <si>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</si>
  <si>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</si>
  <si>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</si>
  <si>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</si>
  <si>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</si>
  <si>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</si>
  <si>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</si>
  <si>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</si>
  <si>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</si>
  <si>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</si>
  <si>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</si>
  <si>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</si>
  <si>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</si>
  <si>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</si>
  <si>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</si>
  <si>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</si>
  <si>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</si>
  <si>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</si>
  <si>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</si>
  <si>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</si>
  <si>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</si>
  <si>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</si>
  <si>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</si>
  <si>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</si>
  <si>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</si>
  <si>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</si>
  <si>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</si>
  <si>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</si>
  <si>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</si>
  <si>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</si>
  <si>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</si>
  <si>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</si>
  <si>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</si>
  <si>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</si>
  <si>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</si>
  <si>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</si>
  <si>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</si>
  <si>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</si>
  <si>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</si>
  <si>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</si>
  <si>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</si>
  <si>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</si>
  <si>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</si>
  <si>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</si>
  <si>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</si>
  <si>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</si>
  <si>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</si>
  <si>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</si>
  <si>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</si>
  <si>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</si>
  <si>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</si>
  <si>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</si>
  <si>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</si>
  <si>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</si>
  <si>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</si>
  <si>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</si>
  <si>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</si>
  <si>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</si>
  <si>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</si>
  <si>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</si>
  <si>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</si>
  <si>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</si>
  <si>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</si>
  <si>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</si>
  <si>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</si>
  <si>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</si>
  <si>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</si>
  <si>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</si>
  <si>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</si>
  <si>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</si>
  <si>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</si>
  <si>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</si>
  <si>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</si>
  <si>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</si>
  <si>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</si>
  <si>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</si>
  <si>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</si>
  <si>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</si>
  <si>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</si>
  <si>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</si>
  <si>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</si>
  <si>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</si>
  <si>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</si>
  <si>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</si>
  <si>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</si>
  <si>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</si>
  <si>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</si>
  <si>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</si>
  <si>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</si>
  <si>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</si>
  <si>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</si>
  <si>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</si>
  <si>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</si>
  <si>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</si>
  <si>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</si>
  <si>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</si>
  <si>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</si>
  <si>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</si>
  <si>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</si>
  <si>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</si>
  <si>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</si>
  <si>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</si>
  <si>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</si>
  <si>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</si>
  <si>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</si>
  <si>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</si>
  <si>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</si>
  <si>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</si>
  <si>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</si>
  <si>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</si>
  <si>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</si>
  <si>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</si>
  <si>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</si>
  <si>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</si>
  <si>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</si>
  <si>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</si>
  <si>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</si>
  <si>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</si>
  <si>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</si>
  <si>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</si>
  <si>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</si>
  <si>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</si>
  <si>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</si>
  <si>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</si>
  <si>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</si>
  <si>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</si>
  <si>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</si>
  <si>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</si>
  <si>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</si>
  <si>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</si>
  <si>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</si>
  <si>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</si>
  <si>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</si>
  <si>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</si>
  <si>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</si>
  <si>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</si>
  <si>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</si>
  <si>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</si>
  <si>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</si>
  <si>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</si>
  <si>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</si>
  <si>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</si>
  <si>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</si>
  <si>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</si>
  <si>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</si>
  <si>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</si>
  <si>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</si>
  <si>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</si>
  <si>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</si>
  <si>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</si>
  <si>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</si>
  <si>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</si>
  <si>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</si>
  <si>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</si>
  <si>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</si>
  <si>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</si>
  <si>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</si>
  <si>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</si>
  <si>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</si>
  <si>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</si>
  <si>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</si>
  <si>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</si>
  <si>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</si>
  <si>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</si>
  <si>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</si>
  <si>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</si>
  <si>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</si>
  <si>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</si>
  <si>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</si>
  <si>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</si>
  <si>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</si>
  <si>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</si>
  <si>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</si>
  <si>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</si>
  <si>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</si>
  <si>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</si>
  <si>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</si>
  <si>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</si>
  <si>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</si>
  <si>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</si>
  <si>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</si>
  <si>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</si>
  <si>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</si>
  <si>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</si>
  <si>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</si>
  <si>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</si>
  <si>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</si>
  <si>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</si>
  <si>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</si>
  <si>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</si>
  <si>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</si>
  <si>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</si>
  <si>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</si>
  <si>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</si>
  <si>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</si>
  <si>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</si>
  <si>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</si>
  <si>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</si>
  <si>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</si>
  <si>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</si>
  <si>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</si>
  <si>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</si>
  <si>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</si>
  <si>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</si>
  <si>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</si>
  <si>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</si>
  <si>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</si>
  <si>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</si>
  <si>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</si>
  <si>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</si>
  <si>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</si>
  <si>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</si>
  <si>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</si>
  <si>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</si>
  <si>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</si>
  <si>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</si>
  <si>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</si>
  <si>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</si>
  <si>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</si>
  <si>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</si>
  <si>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</si>
  <si>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</si>
  <si>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</si>
  <si>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</si>
  <si>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</si>
  <si>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</si>
  <si>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</si>
  <si>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</si>
  <si>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</si>
  <si>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</si>
  <si>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</si>
  <si>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</si>
  <si>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</si>
  <si>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</si>
  <si>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</si>
  <si>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</si>
  <si>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</si>
  <si>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</si>
  <si>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</si>
  <si>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</si>
  <si>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</si>
  <si>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</si>
  <si>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</si>
  <si>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</si>
  <si>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</si>
  <si>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</si>
  <si>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</si>
  <si>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</si>
  <si>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</si>
  <si>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</si>
  <si>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</si>
  <si>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</si>
  <si>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</si>
  <si>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</si>
  <si>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</si>
  <si>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</si>
  <si>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</si>
  <si>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</si>
  <si>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</si>
  <si>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</si>
  <si>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</si>
  <si>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</si>
  <si>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</si>
  <si>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</si>
  <si>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</si>
  <si>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</si>
  <si>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</si>
  <si>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</si>
  <si>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</si>
  <si>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</si>
  <si>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</si>
  <si>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</si>
  <si>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</si>
  <si>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</si>
  <si>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</si>
  <si>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</si>
  <si>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</si>
  <si>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</si>
  <si>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</si>
  <si>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</si>
  <si>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</si>
  <si>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</si>
  <si>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</si>
  <si>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</si>
  <si>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</si>
  <si>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</si>
  <si>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</si>
  <si>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</si>
  <si>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</si>
  <si>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</si>
  <si>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</si>
  <si>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</si>
  <si>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</si>
  <si>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</si>
  <si>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</si>
  <si>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</si>
  <si>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</si>
  <si>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</si>
  <si>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</si>
  <si>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</si>
  <si>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</si>
  <si>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</si>
  <si>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</si>
  <si>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</si>
  <si>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</si>
  <si>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</si>
  <si>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</si>
  <si>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</si>
  <si>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</si>
  <si>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</si>
  <si>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</si>
  <si>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</si>
  <si>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</si>
  <si>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</si>
  <si>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</si>
  <si>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</si>
  <si>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</si>
  <si>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</si>
  <si>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</si>
  <si>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</si>
  <si>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</si>
  <si>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</si>
  <si>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</si>
  <si>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</si>
  <si>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</si>
  <si>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</si>
  <si>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</si>
  <si>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</si>
  <si>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</si>
  <si>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</si>
  <si>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</si>
  <si>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</si>
  <si>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</si>
  <si>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</si>
  <si>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</si>
  <si>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</si>
  <si>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</si>
  <si>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</si>
  <si>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</si>
  <si>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</si>
  <si>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</si>
  <si>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</si>
  <si>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</si>
  <si>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</si>
  <si>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</si>
  <si>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</si>
  <si>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</si>
  <si>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</si>
  <si>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</si>
  <si>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</si>
  <si>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</si>
  <si>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</si>
  <si>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</si>
  <si>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</si>
  <si>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</si>
  <si>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</si>
  <si>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</si>
  <si>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</si>
  <si>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</si>
  <si>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</si>
  <si>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</si>
  <si>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</si>
  <si>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</si>
  <si>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</si>
  <si>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</si>
  <si>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</si>
  <si>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</si>
  <si>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</si>
  <si>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</si>
  <si>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</si>
  <si>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</si>
  <si>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</si>
  <si>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</si>
  <si>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</si>
  <si>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</si>
  <si>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</si>
  <si>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</si>
  <si>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</si>
  <si>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</si>
  <si>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</si>
  <si>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</si>
  <si>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</si>
  <si>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</si>
  <si>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</si>
  <si>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</si>
  <si>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</si>
  <si>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</si>
  <si>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</si>
  <si>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</si>
  <si>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</si>
  <si>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</si>
  <si>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</si>
  <si>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</si>
  <si>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</si>
  <si>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</si>
  <si>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</si>
  <si>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</si>
  <si>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</si>
  <si>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</si>
  <si>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</si>
  <si>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</si>
  <si>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</si>
  <si>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</si>
  <si>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</si>
  <si>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</si>
  <si>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</si>
  <si>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</si>
  <si>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</si>
  <si>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</si>
  <si>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</si>
  <si>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</si>
  <si>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</si>
  <si>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</si>
  <si>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</si>
  <si>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</si>
  <si>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</si>
  <si>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</si>
  <si>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</si>
  <si>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</si>
  <si>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</si>
  <si>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</si>
  <si>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</si>
  <si>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</si>
  <si>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</si>
  <si>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</si>
  <si>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</si>
  <si>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</si>
  <si>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</si>
  <si>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</si>
  <si>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</si>
  <si>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</si>
  <si>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</si>
  <si>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</si>
  <si>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</si>
  <si>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</si>
  <si>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</si>
  <si>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</si>
  <si>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</si>
  <si>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</si>
  <si>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</si>
  <si>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</si>
  <si>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</si>
  <si>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</si>
  <si>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</si>
  <si>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</si>
  <si>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</si>
  <si>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</si>
  <si>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</si>
  <si>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</si>
  <si>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</si>
  <si>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</si>
  <si>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</si>
  <si>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</si>
  <si>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</si>
  <si>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</si>
  <si>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</si>
  <si>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</si>
  <si>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</si>
  <si>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</si>
  <si>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</si>
  <si>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</si>
  <si>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</si>
  <si>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</si>
  <si>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</si>
  <si>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</si>
  <si>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</si>
  <si>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</si>
  <si>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</si>
  <si>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</si>
  <si>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</si>
  <si>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</si>
  <si>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</si>
  <si>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</si>
  <si>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</si>
  <si>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</si>
  <si>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</si>
  <si>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</si>
  <si>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</si>
  <si>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</si>
  <si>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</si>
  <si>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</si>
  <si>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</si>
  <si>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</si>
  <si>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</si>
  <si>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</si>
  <si>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</si>
  <si>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</si>
  <si>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</si>
  <si>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</si>
  <si>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</si>
  <si>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</si>
  <si>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</si>
  <si>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</si>
  <si>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</si>
  <si>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</si>
  <si>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</si>
  <si>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</si>
  <si>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</si>
  <si>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</si>
  <si>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</si>
  <si>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</si>
  <si>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</si>
  <si>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</si>
  <si>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</si>
  <si>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</si>
  <si>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</si>
  <si>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</si>
  <si>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</si>
  <si>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</si>
  <si>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</si>
  <si>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</si>
  <si>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</si>
  <si>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</si>
  <si>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</si>
  <si>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</si>
  <si>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</si>
  <si>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</si>
  <si>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</si>
  <si>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</si>
  <si>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</si>
  <si>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</si>
  <si>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</si>
  <si>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</si>
  <si>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</si>
  <si>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</si>
  <si>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</si>
  <si>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</si>
  <si>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</si>
  <si>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</si>
  <si>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</si>
  <si>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</si>
  <si>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</si>
  <si>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</si>
  <si>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</si>
  <si>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</si>
  <si>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</si>
  <si>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</si>
  <si>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</si>
  <si>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</si>
  <si>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</si>
  <si>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</si>
  <si>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</si>
  <si>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</si>
  <si>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</si>
  <si>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</si>
  <si>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</si>
  <si>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</si>
  <si>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</si>
  <si>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</si>
  <si>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</si>
  <si>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</si>
  <si>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</si>
  <si>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</si>
  <si>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</si>
  <si>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</si>
  <si>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</si>
  <si>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</si>
  <si>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</si>
  <si>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</si>
  <si>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</si>
  <si>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</si>
  <si>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</si>
  <si>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</si>
  <si>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</si>
  <si>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</si>
  <si>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</si>
  <si>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</si>
  <si>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</si>
  <si>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</si>
  <si>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</si>
  <si>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</si>
  <si>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</si>
  <si>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</si>
  <si>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</si>
  <si>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</si>
  <si>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</si>
  <si>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</si>
  <si>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</si>
  <si>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</si>
  <si>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</si>
  <si>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</si>
  <si>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</si>
  <si>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</si>
  <si>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</si>
  <si>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</si>
  <si>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</si>
  <si>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</si>
  <si>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</si>
  <si>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</si>
  <si>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</si>
  <si>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</si>
  <si>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</si>
  <si>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</si>
  <si>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</si>
  <si>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</si>
  <si>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</si>
  <si>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</si>
  <si>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</si>
  <si>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</si>
  <si>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</si>
  <si>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</si>
  <si>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</si>
  <si>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</si>
  <si>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</si>
  <si>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</si>
  <si>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</si>
  <si>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</si>
  <si>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</si>
  <si>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</si>
  <si>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</si>
  <si>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</si>
  <si>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</si>
  <si>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</si>
  <si>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</si>
  <si>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</si>
  <si>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</si>
  <si>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</si>
  <si>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</si>
  <si>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</si>
  <si>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</si>
  <si>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</si>
  <si>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</si>
  <si>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</si>
  <si>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</si>
  <si>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</si>
  <si>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</si>
  <si>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</si>
  <si>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</si>
  <si>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</si>
  <si>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</si>
  <si>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</si>
  <si>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</si>
  <si>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</si>
  <si>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</si>
  <si>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</si>
  <si>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</si>
  <si>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</si>
  <si>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</si>
  <si>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</si>
  <si>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</si>
  <si>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</si>
  <si>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</si>
  <si>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</si>
  <si>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</si>
  <si>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</si>
  <si>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</si>
  <si>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</si>
  <si>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</si>
  <si>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</si>
  <si>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</si>
  <si>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</si>
  <si>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</si>
  <si>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</si>
  <si>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</si>
  <si>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</si>
  <si>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</si>
  <si>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</si>
  <si>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</si>
  <si>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</si>
  <si>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</si>
  <si>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</si>
  <si>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</si>
  <si>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</si>
  <si>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</si>
  <si>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</si>
  <si>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</si>
  <si>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</si>
  <si>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</si>
  <si>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</si>
  <si>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</si>
  <si>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</si>
  <si>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</si>
  <si>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</si>
  <si>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</si>
  <si>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</si>
  <si>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</si>
  <si>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</si>
  <si>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</si>
  <si>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</si>
  <si>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</si>
  <si>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</si>
  <si>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</si>
  <si>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</si>
  <si>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</si>
  <si>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</si>
  <si>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</si>
  <si>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</si>
  <si>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</si>
  <si>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</si>
  <si>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</si>
  <si>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</si>
  <si>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</si>
  <si>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</si>
  <si>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</si>
  <si>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</si>
  <si>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</si>
  <si>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</si>
  <si>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</si>
  <si>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</si>
  <si>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</si>
  <si>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</si>
  <si>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</si>
  <si>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</si>
  <si>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</si>
  <si>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</si>
  <si>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</si>
  <si>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</si>
  <si>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</si>
  <si>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</si>
  <si>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</si>
  <si>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</si>
  <si>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</si>
  <si>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</si>
  <si>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</si>
  <si>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</si>
  <si>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</si>
  <si>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</si>
  <si>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</si>
  <si>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</si>
  <si>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</si>
  <si>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</si>
  <si>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</si>
  <si>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</si>
  <si>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</si>
  <si>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</si>
  <si>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</si>
  <si>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</si>
  <si>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</si>
  <si>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</si>
  <si>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</si>
  <si>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</si>
  <si>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</si>
  <si>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</si>
  <si>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</si>
  <si>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</si>
  <si>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</si>
  <si>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</si>
  <si>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</si>
  <si>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</si>
  <si>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</si>
  <si>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</si>
  <si>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</si>
  <si>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</si>
  <si>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</si>
  <si>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</si>
  <si>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</si>
  <si>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</si>
  <si>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</si>
  <si>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</si>
  <si>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</si>
  <si>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</si>
  <si>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</si>
  <si>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</si>
  <si>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</si>
  <si>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</si>
  <si>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</si>
  <si>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</si>
  <si>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</si>
  <si>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</si>
  <si>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</si>
  <si>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</si>
  <si>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</si>
  <si>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</si>
  <si>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</si>
  <si>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</si>
  <si>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</si>
  <si>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</si>
  <si>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</si>
  <si>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</si>
  <si>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</si>
  <si>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</si>
  <si>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</si>
  <si>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</si>
  <si>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</si>
  <si>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</si>
  <si>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</si>
  <si>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</si>
  <si>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</si>
  <si>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</si>
  <si>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</si>
  <si>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</si>
  <si>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</si>
  <si>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</si>
  <si>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</si>
  <si>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</si>
  <si>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</si>
  <si>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</si>
  <si>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</si>
  <si>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</si>
  <si>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</si>
  <si>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</si>
  <si>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</si>
  <si>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</si>
  <si>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</si>
  <si>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</si>
  <si>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</si>
  <si>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</si>
  <si>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</si>
  <si>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</si>
  <si>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</si>
  <si>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</si>
  <si>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</si>
  <si>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</si>
  <si>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</si>
  <si>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</si>
  <si>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</si>
  <si>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</si>
  <si>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</si>
  <si>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</si>
  <si>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</si>
  <si>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</si>
  <si>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</si>
  <si>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</si>
  <si>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</si>
  <si>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</si>
  <si>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</si>
  <si>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</si>
  <si>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</si>
  <si>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</si>
  <si>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</si>
  <si>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</si>
  <si>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</si>
  <si>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</si>
  <si>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</si>
  <si>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</si>
  <si>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</si>
  <si>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</si>
  <si>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</si>
  <si>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</si>
  <si>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</si>
  <si>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</si>
  <si>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</si>
  <si>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</si>
  <si>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</si>
  <si>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</si>
  <si>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</si>
  <si>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</si>
  <si>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</si>
  <si>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</si>
  <si>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</si>
  <si>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</si>
  <si>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</si>
  <si>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</si>
  <si>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</si>
  <si>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</si>
  <si>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</si>
  <si>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</si>
  <si>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</si>
  <si>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</si>
  <si>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</si>
  <si>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</si>
  <si>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</si>
  <si>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</si>
  <si>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</si>
  <si>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</si>
  <si>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</si>
  <si>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</si>
  <si>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</si>
  <si>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</si>
  <si>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</si>
  <si>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</si>
  <si>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</si>
  <si>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</si>
  <si>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</si>
  <si>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</si>
  <si>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</si>
  <si>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</si>
  <si>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</si>
  <si>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</si>
  <si>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</si>
  <si>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</si>
  <si>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</si>
  <si>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</si>
  <si>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</si>
  <si>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</si>
  <si>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</si>
  <si>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</si>
  <si>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</si>
  <si>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</si>
  <si>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</si>
  <si>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</si>
  <si>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</si>
  <si>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</si>
  <si>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</si>
  <si>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</si>
  <si>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</si>
  <si>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</si>
  <si>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</si>
  <si>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</si>
  <si>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</si>
  <si>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</si>
  <si>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</si>
  <si>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</si>
  <si>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</si>
  <si>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</si>
  <si>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</si>
  <si>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</si>
  <si>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</si>
  <si>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</si>
  <si>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</si>
  <si>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</si>
  <si>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</si>
  <si>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</si>
  <si>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</si>
  <si>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</si>
  <si>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</si>
  <si>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</si>
  <si>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</si>
  <si>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</si>
  <si>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</si>
  <si>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</si>
  <si>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</si>
  <si>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</si>
  <si>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</si>
  <si>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</si>
  <si>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</si>
  <si>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</si>
  <si>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</si>
  <si>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</si>
  <si>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</si>
  <si>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</si>
  <si>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</si>
  <si>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</si>
  <si>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</si>
  <si>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</si>
  <si>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</si>
  <si>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</si>
  <si>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</si>
  <si>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</si>
  <si>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</si>
  <si>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</si>
  <si>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</si>
  <si>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</si>
  <si>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</si>
  <si>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</si>
  <si>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</si>
  <si>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</si>
  <si>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</si>
  <si>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</si>
  <si>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</si>
  <si>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</si>
  <si>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</si>
  <si>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</si>
  <si>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</si>
  <si>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</si>
  <si>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</si>
  <si>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</si>
  <si>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</si>
  <si>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</si>
  <si>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</si>
  <si>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</si>
  <si>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</si>
  <si>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</si>
  <si>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</si>
  <si>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</si>
  <si>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</si>
  <si>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</si>
  <si>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</si>
  <si>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</si>
  <si>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</si>
  <si>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</si>
  <si>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</si>
  <si>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</si>
  <si>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</si>
  <si>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</si>
  <si>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</si>
  <si>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</si>
  <si>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</si>
  <si>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</si>
  <si>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</si>
  <si>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</si>
  <si>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</si>
  <si>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</si>
  <si>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</si>
  <si>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</si>
  <si>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</si>
  <si>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</si>
  <si>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</si>
  <si>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</si>
  <si>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</si>
  <si>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</si>
  <si>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</si>
  <si>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</si>
  <si>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</si>
  <si>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</si>
  <si>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</si>
  <si>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</si>
  <si>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</si>
  <si>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</si>
  <si>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</si>
  <si>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</si>
  <si>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</si>
  <si>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</si>
  <si>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</si>
  <si>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</si>
  <si>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</si>
  <si>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</si>
  <si>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</si>
  <si>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</si>
  <si>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</si>
  <si>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</si>
  <si>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</si>
  <si>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</si>
  <si>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</si>
  <si>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</si>
  <si>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</si>
  <si>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</si>
  <si>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</si>
  <si>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</si>
  <si>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</si>
  <si>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</si>
  <si>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</si>
  <si>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</si>
  <si>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</si>
  <si>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</si>
  <si>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</si>
  <si>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</si>
  <si>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</si>
  <si>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</si>
  <si>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</si>
  <si>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</si>
  <si>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</si>
  <si>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</si>
  <si>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</si>
  <si>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</si>
  <si>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</si>
  <si>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</si>
  <si>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</si>
  <si>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</si>
  <si>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</si>
  <si>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</si>
  <si>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</si>
  <si>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</si>
  <si>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</si>
  <si>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</si>
  <si>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</si>
  <si>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</si>
  <si>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</si>
  <si>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</si>
  <si>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</si>
  <si>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</si>
  <si>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</si>
  <si>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</si>
  <si>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</si>
  <si>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</si>
  <si>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</si>
  <si>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</si>
  <si>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</si>
  <si>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</si>
  <si>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</si>
  <si>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</si>
  <si>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</si>
  <si>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</si>
  <si>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</si>
  <si>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</si>
  <si>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</si>
  <si>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</si>
  <si>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</si>
  <si>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</si>
  <si>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</si>
  <si>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</si>
  <si>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</si>
  <si>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</si>
  <si>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</si>
  <si>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</si>
  <si>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</si>
  <si>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</si>
  <si>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</si>
  <si>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</si>
  <si>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</si>
  <si>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</si>
  <si>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</si>
  <si>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</si>
  <si>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</si>
  <si>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</si>
  <si>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</si>
  <si>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</si>
  <si>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</si>
  <si>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</si>
  <si>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</si>
  <si>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</si>
  <si>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</si>
  <si>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</si>
  <si>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</si>
  <si>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</si>
  <si>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</si>
  <si>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</si>
  <si>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</si>
  <si>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</si>
  <si>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</si>
  <si>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</si>
  <si>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</si>
  <si>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</si>
  <si>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</si>
  <si>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</si>
  <si>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</si>
  <si>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</si>
  <si>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</si>
  <si>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</si>
  <si>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</si>
  <si>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</si>
  <si>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</si>
  <si>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</si>
  <si>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</si>
  <si>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</si>
  <si>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</si>
  <si>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</si>
  <si>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</si>
  <si>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</si>
  <si>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</si>
  <si>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</si>
  <si>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</si>
  <si>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</si>
  <si>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</si>
  <si>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</si>
  <si>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</si>
  <si>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</si>
  <si>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</si>
  <si>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</si>
  <si>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</si>
  <si>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</si>
  <si>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</si>
  <si>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</si>
  <si>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</si>
  <si>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</si>
  <si>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</si>
  <si>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</si>
  <si>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</si>
  <si>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</si>
  <si>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</si>
  <si>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</si>
  <si>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</si>
  <si>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</si>
  <si>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</si>
  <si>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</si>
  <si>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</si>
  <si>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</si>
  <si>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</si>
  <si>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</si>
  <si>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</si>
  <si>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</si>
  <si>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</si>
  <si>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</si>
  <si>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</si>
  <si>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</si>
  <si>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</si>
  <si>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</si>
  <si>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</si>
  <si>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</si>
  <si>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</si>
  <si>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</si>
  <si>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</si>
  <si>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</si>
  <si>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</si>
  <si>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</si>
  <si>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</si>
  <si>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</si>
  <si>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</si>
  <si>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</si>
  <si>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</si>
  <si>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</si>
  <si>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</si>
  <si>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</si>
  <si>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</si>
  <si>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</si>
  <si>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</si>
  <si>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</si>
  <si>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</si>
  <si>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</si>
  <si>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</si>
  <si>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</si>
  <si>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</si>
  <si>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</si>
  <si>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</si>
  <si>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</si>
  <si>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</si>
  <si>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</si>
  <si>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</si>
  <si>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</si>
  <si>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</si>
  <si>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</si>
  <si>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</si>
  <si>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</si>
  <si>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</si>
  <si>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</si>
  <si>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</si>
  <si>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</si>
  <si>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</si>
  <si>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</si>
  <si>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</si>
  <si>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</si>
  <si>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</si>
  <si>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</si>
  <si>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</si>
  <si>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</si>
  <si>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</si>
  <si>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</si>
  <si>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</si>
  <si>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</si>
  <si>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</si>
  <si>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</si>
  <si>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</si>
  <si>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</si>
  <si>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</si>
  <si>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</si>
  <si>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</si>
  <si>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</si>
  <si>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</si>
  <si>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</si>
  <si>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</si>
  <si>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</si>
  <si>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</si>
  <si>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</si>
  <si>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</si>
  <si>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</si>
  <si>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</si>
  <si>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</si>
  <si>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</si>
  <si>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</si>
  <si>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</si>
  <si>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</si>
  <si>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</si>
  <si>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</si>
  <si>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</si>
  <si>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</si>
  <si>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</si>
  <si>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</si>
  <si>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</si>
  <si>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</si>
  <si>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</si>
  <si>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</si>
  <si>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</si>
  <si>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</si>
  <si>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</si>
  <si>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</si>
  <si>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</si>
  <si>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</si>
  <si>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</si>
  <si>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</si>
  <si>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</si>
  <si>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</si>
  <si>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</si>
  <si>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</si>
  <si>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</si>
  <si>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</si>
  <si>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</si>
  <si>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</si>
  <si>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</si>
  <si>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</si>
  <si>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</si>
  <si>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</si>
  <si>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</si>
  <si>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</si>
  <si>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</si>
  <si>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</si>
  <si>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</si>
  <si>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</si>
  <si>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</si>
  <si>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</si>
  <si>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</si>
  <si>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</si>
  <si>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</si>
  <si>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</si>
  <si>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</si>
  <si>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</si>
  <si>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</si>
  <si>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</si>
  <si>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</si>
  <si>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</si>
  <si>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</si>
  <si>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</si>
  <si>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</si>
  <si>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</si>
  <si>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</si>
  <si>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</si>
  <si>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</si>
  <si>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</si>
  <si>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</si>
  <si>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</si>
  <si>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</si>
  <si>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</si>
  <si>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</si>
  <si>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</si>
  <si>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</si>
  <si>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</si>
  <si>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</si>
  <si>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</si>
  <si>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</si>
  <si>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</si>
  <si>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</si>
  <si>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</si>
  <si>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</si>
  <si>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</si>
  <si>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</si>
  <si>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</si>
  <si>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</si>
  <si>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</si>
  <si>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</si>
  <si>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</si>
  <si>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</si>
  <si>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</si>
  <si>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</si>
  <si>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</si>
  <si>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</si>
  <si>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</si>
  <si>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</si>
  <si>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</si>
  <si>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</si>
  <si>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</si>
  <si>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</si>
  <si>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</si>
  <si>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</si>
  <si>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</si>
  <si>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</si>
  <si>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</si>
  <si>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</si>
  <si>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</si>
  <si>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</si>
  <si>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</si>
  <si>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</si>
  <si>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</si>
  <si>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</si>
  <si>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</si>
  <si>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</si>
  <si>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</si>
  <si>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</si>
  <si>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</si>
  <si>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</si>
  <si>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</si>
  <si>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</si>
  <si>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</si>
  <si>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</si>
  <si>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</si>
  <si>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</si>
  <si>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</si>
  <si>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</si>
  <si>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</si>
  <si>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</si>
  <si>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</si>
  <si>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</si>
  <si>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</si>
  <si>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</si>
  <si>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</si>
  <si>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</si>
  <si>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</si>
  <si>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</si>
  <si>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</si>
  <si>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</si>
  <si>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</si>
  <si>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</si>
  <si>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</si>
  <si>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</si>
  <si>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</si>
  <si>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</si>
  <si>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</si>
  <si>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</si>
  <si>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</si>
  <si>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</si>
  <si>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</si>
  <si>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</si>
  <si>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</si>
  <si>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</si>
  <si>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</si>
  <si>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</si>
  <si>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</si>
  <si>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</si>
  <si>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</si>
  <si>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</si>
  <si>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</si>
  <si>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</si>
  <si>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</si>
  <si>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</si>
  <si>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</si>
  <si>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</si>
  <si>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</si>
  <si>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</si>
  <si>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</si>
  <si>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</si>
  <si>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</si>
  <si>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</si>
  <si>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</si>
  <si>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</si>
  <si>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</si>
  <si>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</si>
  <si>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</si>
  <si>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</si>
  <si>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</si>
  <si>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</si>
  <si>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</si>
  <si>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</si>
  <si>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</si>
  <si>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</si>
  <si>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</si>
  <si>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</si>
  <si>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</si>
  <si>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</si>
  <si>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</si>
  <si>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</si>
  <si>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</si>
  <si>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</si>
  <si>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</si>
  <si>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</si>
  <si>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</si>
  <si>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</si>
  <si>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</si>
  <si>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</si>
  <si>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</si>
  <si>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</si>
  <si>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</si>
  <si>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</si>
  <si>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</si>
  <si>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</si>
  <si>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</si>
  <si>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</si>
  <si>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</si>
  <si>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</si>
  <si>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</si>
  <si>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</si>
  <si>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</si>
  <si>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</si>
  <si>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</si>
  <si>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</si>
  <si>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</si>
  <si>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</si>
  <si>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</si>
  <si>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</si>
  <si>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</si>
  <si>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</si>
  <si>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</si>
  <si>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</si>
  <si>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</si>
  <si>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</si>
  <si>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</si>
  <si>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</si>
  <si>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</si>
  <si>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</si>
  <si>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</si>
  <si>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</si>
  <si>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</si>
  <si>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</si>
  <si>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</si>
  <si>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</si>
  <si>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</si>
  <si>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</si>
  <si>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</si>
  <si>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</si>
  <si>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</si>
  <si>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</si>
  <si>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</si>
  <si>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</si>
  <si>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</si>
  <si>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</si>
  <si>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</si>
  <si>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</si>
  <si>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</si>
  <si>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</si>
  <si>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</si>
  <si>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</si>
  <si>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</si>
  <si>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</si>
  <si>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</si>
  <si>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</si>
  <si>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</si>
  <si>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</si>
  <si>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</si>
  <si>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</si>
  <si>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</si>
  <si>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</si>
  <si>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</si>
  <si>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</si>
  <si>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</si>
  <si>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</si>
  <si>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</si>
  <si>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</si>
  <si>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</si>
  <si>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</si>
  <si>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</si>
  <si>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</si>
  <si>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</si>
  <si>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</si>
  <si>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</si>
  <si>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</si>
  <si>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</si>
  <si>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</si>
  <si>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</si>
  <si>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</si>
  <si>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</si>
  <si>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</si>
  <si>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</si>
  <si>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</si>
  <si>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</si>
  <si>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</si>
  <si>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</si>
  <si>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</si>
  <si>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</si>
  <si>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</si>
  <si>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</si>
  <si>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</si>
  <si>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</si>
  <si>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</si>
  <si>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</si>
  <si>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</si>
  <si>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</si>
  <si>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</si>
  <si>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</si>
  <si>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</si>
  <si>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</si>
  <si>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</si>
  <si>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</si>
  <si>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</si>
  <si>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</si>
  <si>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</si>
  <si>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</si>
  <si>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</si>
  <si>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</si>
  <si>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</si>
  <si>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</si>
  <si>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</si>
  <si>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</si>
  <si>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</si>
  <si>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</si>
  <si>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</si>
  <si>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</si>
  <si>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</si>
  <si>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</si>
  <si>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</si>
  <si>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</si>
  <si>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</si>
  <si>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</si>
  <si>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</si>
  <si>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</si>
  <si>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</si>
  <si>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</si>
  <si>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</si>
  <si>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</si>
  <si>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</si>
  <si>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</si>
  <si>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</si>
  <si>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</si>
  <si>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</si>
  <si>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</si>
  <si>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</si>
  <si>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</si>
  <si>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</si>
  <si>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</si>
  <si>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</si>
  <si>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</si>
  <si>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</si>
  <si>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</si>
  <si>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</si>
  <si>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</si>
  <si>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</si>
  <si>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</si>
  <si>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</si>
  <si>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</si>
  <si>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</si>
  <si>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</si>
  <si>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</si>
  <si>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</si>
  <si>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</si>
  <si>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</si>
  <si>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</si>
  <si>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</si>
  <si>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</si>
  <si>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</si>
  <si>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</si>
  <si>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</si>
  <si>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</si>
  <si>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</si>
  <si>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</si>
  <si>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</si>
  <si>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</si>
  <si>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</si>
  <si>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</si>
  <si>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</si>
  <si>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</si>
  <si>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</si>
  <si>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</si>
  <si>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</si>
  <si>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</si>
  <si>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</si>
  <si>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</si>
  <si>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</si>
  <si>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</si>
  <si>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</si>
  <si>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</si>
  <si>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</si>
  <si>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</si>
  <si>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</si>
  <si>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</si>
  <si>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</si>
  <si>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</si>
  <si>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</si>
  <si>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</si>
  <si>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</si>
  <si>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</si>
  <si>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</si>
  <si>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</si>
  <si>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</si>
  <si>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</si>
  <si>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</si>
  <si>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</si>
  <si>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</si>
  <si>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</si>
  <si>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</si>
  <si>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</si>
  <si>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</si>
  <si>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</si>
  <si>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</si>
  <si>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</si>
  <si>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</si>
  <si>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</si>
  <si>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</si>
  <si>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</si>
  <si>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</si>
  <si>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</si>
  <si>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</si>
  <si>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</si>
  <si>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</si>
  <si>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</si>
  <si>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</si>
  <si>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</si>
  <si>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</si>
  <si>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</si>
  <si>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</si>
  <si>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</si>
  <si>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</si>
  <si>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</si>
  <si>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</si>
  <si>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</si>
  <si>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</si>
  <si>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</si>
  <si>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</si>
  <si>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</si>
  <si>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</si>
  <si>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</si>
  <si>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</si>
  <si>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</si>
  <si>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</si>
  <si>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</si>
  <si>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</si>
  <si>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</si>
  <si>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</si>
  <si>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</si>
  <si>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</si>
  <si>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</si>
  <si>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</si>
  <si>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</si>
  <si>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</si>
  <si>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</si>
  <si>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</si>
  <si>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</si>
  <si>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</si>
  <si>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</si>
  <si>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</si>
  <si>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</si>
  <si>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</si>
  <si>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</si>
  <si>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</si>
  <si>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</si>
  <si>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</si>
  <si>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</si>
  <si>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</si>
  <si>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</si>
  <si>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</si>
  <si>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</si>
  <si>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</si>
  <si>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</si>
  <si>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</si>
  <si>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</si>
  <si>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</si>
  <si>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</si>
  <si>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</si>
  <si>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</si>
  <si>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</si>
  <si>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</si>
  <si>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</si>
  <si>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</si>
  <si>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</si>
  <si>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</si>
  <si>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</si>
  <si>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</si>
  <si>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</si>
  <si>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</si>
  <si>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</si>
  <si>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</si>
  <si>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</si>
  <si>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</si>
  <si>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</si>
  <si>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</si>
  <si>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</si>
  <si>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</si>
  <si>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</si>
  <si>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</si>
  <si>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</si>
  <si>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</si>
  <si>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</si>
  <si>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</si>
  <si>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</si>
  <si>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</si>
  <si>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</si>
  <si>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</si>
  <si>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</si>
  <si>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</si>
  <si>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</si>
  <si>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</si>
  <si>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</si>
  <si>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</si>
  <si>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</si>
  <si>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</si>
  <si>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</si>
  <si>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</si>
  <si>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</si>
  <si>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</si>
  <si>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</si>
  <si>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</si>
  <si>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</si>
  <si>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</si>
  <si>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</si>
  <si>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</si>
  <si>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</si>
  <si>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</si>
  <si>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</si>
  <si>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</si>
  <si>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</si>
  <si>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</si>
  <si>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</si>
  <si>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</si>
  <si>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</si>
  <si>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</si>
  <si>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</si>
  <si>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</si>
  <si>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</si>
  <si>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</si>
  <si>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</si>
  <si>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</si>
  <si>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</si>
  <si>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</si>
  <si>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</si>
  <si>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</si>
  <si>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</si>
  <si>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</si>
  <si>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</si>
  <si>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</si>
  <si>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</si>
  <si>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</si>
  <si>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</si>
  <si>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</si>
  <si>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</si>
  <si>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</si>
  <si>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</si>
  <si>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</si>
  <si>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</si>
  <si>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</si>
  <si>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</si>
  <si>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</si>
  <si>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</si>
  <si>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</si>
  <si>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</si>
  <si>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</si>
  <si>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</si>
  <si>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</si>
  <si>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</si>
  <si>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</si>
  <si>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</si>
  <si>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</si>
  <si>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</si>
  <si>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</si>
  <si>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</si>
  <si>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</si>
  <si>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</si>
  <si>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</si>
  <si>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</si>
  <si>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</si>
  <si>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</si>
  <si>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</si>
  <si>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</si>
  <si>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</si>
  <si>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</si>
  <si>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</si>
  <si>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</si>
  <si>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</si>
  <si>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</si>
  <si>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</si>
  <si>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</si>
  <si>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</si>
  <si>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</si>
  <si>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</si>
  <si>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</si>
  <si>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</si>
  <si>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</si>
  <si>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</si>
  <si>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</si>
  <si>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</si>
  <si>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</si>
  <si>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</si>
  <si>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</si>
  <si>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</si>
  <si>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</si>
  <si>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</si>
  <si>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</si>
  <si>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</si>
  <si>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</si>
  <si>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</si>
  <si>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</si>
  <si>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</si>
  <si>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</si>
  <si>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</si>
  <si>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</si>
  <si>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</si>
  <si>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</si>
  <si>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</si>
  <si>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</si>
  <si>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</si>
  <si>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</si>
  <si>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</si>
  <si>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</si>
  <si>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</si>
  <si>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</si>
  <si>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</si>
  <si>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</si>
  <si>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</si>
  <si>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</si>
  <si>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</si>
  <si>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</si>
  <si>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</si>
  <si>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</si>
  <si>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</si>
  <si>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</si>
  <si>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</si>
  <si>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</si>
  <si>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</si>
  <si>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</si>
  <si>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</si>
  <si>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</si>
  <si>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</si>
  <si>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</si>
  <si>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</si>
  <si>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</si>
  <si>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</si>
  <si>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</si>
  <si>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</si>
  <si>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</si>
  <si>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</si>
  <si>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</si>
  <si>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</si>
  <si>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</si>
  <si>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</si>
  <si>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</si>
  <si>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</si>
  <si>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</si>
  <si>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</si>
  <si>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</si>
  <si>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</si>
  <si>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</si>
  <si>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</si>
  <si>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</si>
  <si>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</si>
  <si>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</si>
  <si>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</si>
  <si>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</si>
  <si>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</si>
  <si>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</si>
  <si>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</si>
  <si>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</si>
  <si>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</si>
  <si>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</si>
  <si>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</si>
  <si>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</si>
  <si>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</si>
  <si>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</si>
  <si>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</si>
  <si>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</si>
  <si>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</si>
  <si>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</si>
  <si>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</si>
  <si>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</si>
  <si>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</si>
  <si>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</si>
  <si>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</si>
  <si>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</si>
  <si>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</si>
  <si>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</si>
  <si>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</si>
  <si>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</si>
  <si>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</si>
  <si>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</si>
  <si>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</si>
  <si>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</si>
  <si>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</si>
  <si>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</si>
  <si>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</si>
  <si>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</si>
  <si>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</si>
  <si>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</si>
  <si>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</si>
  <si>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</si>
  <si>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</si>
  <si>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</si>
  <si>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</si>
  <si>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</si>
  <si>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</si>
  <si>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</si>
  <si>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</si>
  <si>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</si>
  <si>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</si>
  <si>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</si>
  <si>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</si>
  <si>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</si>
  <si>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</si>
  <si>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</si>
  <si>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</si>
  <si>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</si>
  <si>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</si>
  <si>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</si>
  <si>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</si>
  <si>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</si>
  <si>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</si>
  <si>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</si>
  <si>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</si>
  <si>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</si>
  <si>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</si>
  <si>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</si>
  <si>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</si>
  <si>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</si>
  <si>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</si>
  <si>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</si>
  <si>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</si>
  <si>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</si>
  <si>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</si>
  <si>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</si>
  <si>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</si>
  <si>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</si>
  <si>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</si>
  <si>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</si>
  <si>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</si>
  <si>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</si>
  <si>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</si>
  <si>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</si>
  <si>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</si>
  <si>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</si>
  <si>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</si>
  <si>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</si>
  <si>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</si>
  <si>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</si>
  <si>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</si>
  <si>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</si>
  <si>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</si>
  <si>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</si>
  <si>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</si>
  <si>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</si>
  <si>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</si>
  <si>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</si>
  <si>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</si>
  <si>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</si>
  <si>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</si>
  <si>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</si>
  <si>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</si>
  <si>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</si>
  <si>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</si>
  <si>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</si>
  <si>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</si>
  <si>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</si>
  <si>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</si>
  <si>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</si>
  <si>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</si>
  <si>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</si>
  <si>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</si>
  <si>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</si>
  <si>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</si>
  <si>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</si>
  <si>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</si>
  <si>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</si>
  <si>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</si>
  <si>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</si>
  <si>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</si>
  <si>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</si>
  <si>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</si>
  <si>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</si>
  <si>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</si>
  <si>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</si>
  <si>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</si>
  <si>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</si>
  <si>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</si>
  <si>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</si>
  <si>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</si>
  <si>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</si>
  <si>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</si>
  <si>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</si>
  <si>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</si>
  <si>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</si>
  <si>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</si>
  <si>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</si>
  <si>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</si>
  <si>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</si>
  <si>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</si>
  <si>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</si>
  <si>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</si>
  <si>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</si>
  <si>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</si>
  <si>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</si>
  <si>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</si>
  <si>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</si>
  <si>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</si>
  <si>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</si>
  <si>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</si>
  <si>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</si>
  <si>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</si>
  <si>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</si>
  <si>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</si>
  <si>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</si>
  <si>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</si>
  <si>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</si>
  <si>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</si>
  <si>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</si>
  <si>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</si>
  <si>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</si>
  <si>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</si>
  <si>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</si>
  <si>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</si>
  <si>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</si>
  <si>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</si>
  <si>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</si>
  <si>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</si>
  <si>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</si>
  <si>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</si>
  <si>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</si>
  <si>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</si>
  <si>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</si>
  <si>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</si>
  <si>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</si>
  <si>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</si>
  <si>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</si>
  <si>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</si>
  <si>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</si>
  <si>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</si>
  <si>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</si>
  <si>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</si>
  <si>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</si>
  <si>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</si>
  <si>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</si>
  <si>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</si>
  <si>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</si>
  <si>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</si>
  <si>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</si>
  <si>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</si>
  <si>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</si>
  <si>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</si>
  <si>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</si>
  <si>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</si>
  <si>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</si>
  <si>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</si>
  <si>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</si>
  <si>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</si>
  <si>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</si>
  <si>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</si>
  <si>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</si>
  <si>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</si>
  <si>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</si>
  <si>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</si>
  <si>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</si>
  <si>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</si>
  <si>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</si>
  <si>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</si>
  <si>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</si>
  <si>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</si>
  <si>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</si>
  <si>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</si>
  <si>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</si>
  <si>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</si>
  <si>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</si>
  <si>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</si>
  <si>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</si>
  <si>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</si>
  <si>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</si>
  <si>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</si>
  <si>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</si>
  <si>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</si>
  <si>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</si>
  <si>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</si>
  <si>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</si>
  <si>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</si>
  <si>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</si>
  <si>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</si>
  <si>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</si>
  <si>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</si>
  <si>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</si>
  <si>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</si>
  <si>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</si>
  <si>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</si>
  <si>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</si>
  <si>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</si>
  <si>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</si>
  <si>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</si>
  <si>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</si>
  <si>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</si>
  <si>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</si>
  <si>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</si>
  <si>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</si>
  <si>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</si>
  <si>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</si>
  <si>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</si>
  <si>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</si>
  <si>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</si>
  <si>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</si>
  <si>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</si>
  <si>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</si>
  <si>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</si>
  <si>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</si>
  <si>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</si>
  <si>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</si>
  <si>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</si>
  <si>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</si>
  <si>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</si>
  <si>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</si>
  <si>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</si>
  <si>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</si>
  <si>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</si>
  <si>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</si>
  <si>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</si>
  <si>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</si>
  <si>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</si>
  <si>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</si>
  <si>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</si>
  <si>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</si>
  <si>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</si>
  <si>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</si>
  <si>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</si>
  <si>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</si>
  <si>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</si>
  <si>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</si>
  <si>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</si>
  <si>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</si>
  <si>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</si>
  <si>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</si>
  <si>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</si>
  <si>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</si>
  <si>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</si>
  <si>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</si>
  <si>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</si>
  <si>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</si>
  <si>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</si>
  <si>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</si>
  <si>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</si>
  <si>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</si>
  <si>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</si>
  <si>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</si>
  <si>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</si>
  <si>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</si>
  <si>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</si>
  <si>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</si>
  <si>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</si>
  <si>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</si>
  <si>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</si>
  <si>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</si>
  <si>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</si>
  <si>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</si>
  <si>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</si>
  <si>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</si>
  <si>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</si>
  <si>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</si>
  <si>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</si>
  <si>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</si>
  <si>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</si>
  <si>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</si>
  <si>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</si>
  <si>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</si>
  <si>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</si>
  <si>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</si>
  <si>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</si>
  <si>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</si>
  <si>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</si>
  <si>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</si>
  <si>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</si>
  <si>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</si>
  <si>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</si>
  <si>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</si>
  <si>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</si>
  <si>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</si>
  <si>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</si>
  <si>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</si>
  <si>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</si>
  <si>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</si>
  <si>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</si>
  <si>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</si>
  <si>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</si>
  <si>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</si>
  <si>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</si>
  <si>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</si>
  <si>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</si>
  <si>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</si>
  <si>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</si>
  <si>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</si>
  <si>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</si>
  <si>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</si>
  <si>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</si>
  <si>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</si>
  <si>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</si>
  <si>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</si>
  <si>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</si>
  <si>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</si>
  <si>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</si>
  <si>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</si>
  <si>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</si>
  <si>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</si>
  <si>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</si>
  <si>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</si>
  <si>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</si>
  <si>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</si>
  <si>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</si>
  <si>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</si>
  <si>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</si>
  <si>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</si>
  <si>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</si>
  <si>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</si>
  <si>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</si>
  <si>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</si>
  <si>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</si>
  <si>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</si>
  <si>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</si>
  <si>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</si>
  <si>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</si>
  <si>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</si>
  <si>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</si>
  <si>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</si>
  <si>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</si>
  <si>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</si>
  <si>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</si>
  <si>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</si>
  <si>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</si>
  <si>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</si>
  <si>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</si>
  <si>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</si>
  <si>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</si>
  <si>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</si>
  <si>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</si>
  <si>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</si>
  <si>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</si>
  <si>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</si>
  <si>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</si>
  <si>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</si>
  <si>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</si>
  <si>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</si>
  <si>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</si>
  <si>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</si>
  <si>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</si>
  <si>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</si>
  <si>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</si>
  <si>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</si>
  <si>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</si>
  <si>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</si>
  <si>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</si>
  <si>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</si>
  <si>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</si>
  <si>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</si>
  <si>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</si>
  <si>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</si>
  <si>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</si>
  <si>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</si>
  <si>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</si>
  <si>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</si>
  <si>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</si>
  <si>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</si>
  <si>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</si>
  <si>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</si>
  <si>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</si>
  <si>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</si>
  <si>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</si>
  <si>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</si>
  <si>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</si>
  <si>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</si>
  <si>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</si>
  <si>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</si>
  <si>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</si>
  <si>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</si>
  <si>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</si>
  <si>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</si>
  <si>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</si>
  <si>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</si>
  <si>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</si>
  <si>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</si>
  <si>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</si>
  <si>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</si>
  <si>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</si>
  <si>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</si>
  <si>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</si>
  <si>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</si>
  <si>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</si>
  <si>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</si>
  <si>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</si>
  <si>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</si>
  <si>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</si>
  <si>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</si>
  <si>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</si>
  <si>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</si>
  <si>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</si>
  <si>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</si>
  <si>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</si>
  <si>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</si>
  <si>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</si>
  <si>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</si>
  <si>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</si>
  <si>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</si>
  <si>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</si>
  <si>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</si>
  <si>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</si>
  <si>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</si>
  <si>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</si>
  <si>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</si>
  <si>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</si>
  <si>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</si>
  <si>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</si>
  <si>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</si>
  <si>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</si>
  <si>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</si>
  <si>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</si>
  <si>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</si>
  <si>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</si>
  <si>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</si>
  <si>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</si>
  <si>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</si>
  <si>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</si>
  <si>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</si>
  <si>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</si>
  <si>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</si>
  <si>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</si>
  <si>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</si>
  <si>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</si>
  <si>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</si>
  <si>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</si>
  <si>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</si>
  <si>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</si>
  <si>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</si>
  <si>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</si>
  <si>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</si>
  <si>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</si>
  <si>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</si>
  <si>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</si>
  <si>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</si>
  <si>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</si>
  <si>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</si>
  <si>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</si>
  <si>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</si>
  <si>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</si>
  <si>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</si>
  <si>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</si>
  <si>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</si>
  <si>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</si>
  <si>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</si>
  <si>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</si>
  <si>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</si>
  <si>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</si>
  <si>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</si>
  <si>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</si>
  <si>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</si>
  <si>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</si>
  <si>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</si>
  <si>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</si>
  <si>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</si>
  <si>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</si>
  <si>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</si>
  <si>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</si>
  <si>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</si>
  <si>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</si>
  <si>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</si>
  <si>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</si>
  <si>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</si>
  <si>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</si>
  <si>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</si>
  <si>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</si>
  <si>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</si>
  <si>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</si>
  <si>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</si>
  <si>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</si>
  <si>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</si>
  <si>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</si>
  <si>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</si>
  <si>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</si>
  <si>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</si>
  <si>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</si>
  <si>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</si>
  <si>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</si>
  <si>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</si>
  <si>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</si>
  <si>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</si>
  <si>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</si>
  <si>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</si>
  <si>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</si>
  <si>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</si>
  <si>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</si>
  <si>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</si>
  <si>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</si>
  <si>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</si>
  <si>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</si>
  <si>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</si>
  <si>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</si>
  <si>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</si>
  <si>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</si>
  <si>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</si>
  <si>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</si>
  <si>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</si>
  <si>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</si>
  <si>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</si>
  <si>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</si>
  <si>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</si>
  <si>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</si>
  <si>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</si>
  <si>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</si>
  <si>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</si>
  <si>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</si>
  <si>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</si>
  <si>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</si>
  <si>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</si>
  <si>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</si>
  <si>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</si>
  <si>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</si>
  <si>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</si>
  <si>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</si>
  <si>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</si>
  <si>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</si>
  <si>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</si>
  <si>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</si>
  <si>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</si>
  <si>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</si>
  <si>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</si>
  <si>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</si>
  <si>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</si>
  <si>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</si>
  <si>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</si>
  <si>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</si>
  <si>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</si>
  <si>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</si>
  <si>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</si>
  <si>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</si>
  <si>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</si>
  <si>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</si>
  <si>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</si>
  <si>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</si>
  <si>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</si>
  <si>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</si>
  <si>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</si>
  <si>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</si>
  <si>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</si>
  <si>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</si>
  <si>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</si>
  <si>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</si>
  <si>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</si>
  <si>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</si>
  <si>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</si>
  <si>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</si>
  <si>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</si>
  <si>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</si>
  <si>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</si>
  <si>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</si>
  <si>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</si>
  <si>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</si>
  <si>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</si>
  <si>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</si>
  <si>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</si>
  <si>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</si>
  <si>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</si>
  <si>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</si>
  <si>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</si>
  <si>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</si>
  <si>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</si>
  <si>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</si>
  <si>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</si>
  <si>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</si>
  <si>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</si>
  <si>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</si>
  <si>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</si>
  <si>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</si>
  <si>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</si>
  <si>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</si>
  <si>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</si>
  <si>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</si>
  <si>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</si>
  <si>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</si>
  <si>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</si>
  <si>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</si>
  <si>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</si>
  <si>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</si>
  <si>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</si>
  <si>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</si>
  <si>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</si>
  <si>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</si>
  <si>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</si>
  <si>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</si>
  <si>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</si>
  <si>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</si>
  <si>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</si>
  <si>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</si>
  <si>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</si>
  <si>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</si>
  <si>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</si>
  <si>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</si>
  <si>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</si>
  <si>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</si>
  <si>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</si>
  <si>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</si>
  <si>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</si>
  <si>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</si>
  <si>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</si>
  <si>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</si>
  <si>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</si>
  <si>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</si>
  <si>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</si>
  <si>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</si>
  <si>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</si>
  <si>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</si>
  <si>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</si>
  <si>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</si>
  <si>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</si>
  <si>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</si>
  <si>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</si>
  <si>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</si>
  <si>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</si>
  <si>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</si>
  <si>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</si>
  <si>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</si>
  <si>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</si>
  <si>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</si>
  <si>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</si>
  <si>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</si>
  <si>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</si>
  <si>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</si>
  <si>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</si>
  <si>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</si>
  <si>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</si>
  <si>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</si>
  <si>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</si>
  <si>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</si>
  <si>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</si>
  <si>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</si>
  <si>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</si>
  <si>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</si>
  <si>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</si>
  <si>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</si>
  <si>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</si>
  <si>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</si>
  <si>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</si>
  <si>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</si>
  <si>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</si>
  <si>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</si>
  <si>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</si>
  <si>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</si>
  <si>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</si>
  <si>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</si>
  <si>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</si>
  <si>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</si>
  <si>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</si>
  <si>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</si>
  <si>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</si>
  <si>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</si>
  <si>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</si>
  <si>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</si>
  <si>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</si>
  <si>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</si>
  <si>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</si>
  <si>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</si>
  <si>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</si>
  <si>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</si>
  <si>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</si>
  <si>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</si>
  <si>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</si>
  <si>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</si>
  <si>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</si>
  <si>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</si>
  <si>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</si>
  <si>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</si>
  <si>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</si>
  <si>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</si>
  <si>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</si>
  <si>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</si>
  <si>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</si>
  <si>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</si>
  <si>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</si>
  <si>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</si>
  <si>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</si>
  <si>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</si>
  <si>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</si>
  <si>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</si>
  <si>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</si>
  <si>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</si>
  <si>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</si>
  <si>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</si>
  <si>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</si>
  <si>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</si>
  <si>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</si>
  <si>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</si>
  <si>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</si>
  <si>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</si>
  <si>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</si>
  <si>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</si>
  <si>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</si>
  <si>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</si>
  <si>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</si>
  <si>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</si>
  <si>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</si>
  <si>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</si>
  <si>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</si>
  <si>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</si>
  <si>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</si>
  <si>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</si>
  <si>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</si>
  <si>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</si>
  <si>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</si>
  <si>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</si>
  <si>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</si>
  <si>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</si>
  <si>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</si>
  <si>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</si>
  <si>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</si>
  <si>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</si>
  <si>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</si>
  <si>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</si>
  <si>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</si>
  <si>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</si>
  <si>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</si>
  <si>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</si>
  <si>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</si>
  <si>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</si>
  <si>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</si>
  <si>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</si>
  <si>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</si>
  <si>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</si>
  <si>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</si>
  <si>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</si>
  <si>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</si>
  <si>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</si>
  <si>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</si>
  <si>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</si>
  <si>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</si>
  <si>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</si>
  <si>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</si>
  <si>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</si>
  <si>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</si>
  <si>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</si>
  <si>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</si>
  <si>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</si>
  <si>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</si>
  <si>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</si>
  <si>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</si>
  <si>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</si>
  <si>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</si>
  <si>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</si>
  <si>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</si>
  <si>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</si>
  <si>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</si>
  <si>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</si>
  <si>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</si>
  <si>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</si>
  <si>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</si>
  <si>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</si>
  <si>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</si>
  <si>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</si>
  <si>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</si>
  <si>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</si>
  <si>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</si>
  <si>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</si>
  <si>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</si>
  <si>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</si>
  <si>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</si>
  <si>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</si>
  <si>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</si>
  <si>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</si>
  <si>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</si>
  <si>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</si>
  <si>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</si>
  <si>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</si>
  <si>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</si>
  <si>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</si>
  <si>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</si>
  <si>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</si>
  <si>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</si>
  <si>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</si>
  <si>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</si>
  <si>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</si>
  <si>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</si>
  <si>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</si>
  <si>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</si>
  <si>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</si>
  <si>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</si>
  <si>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</si>
  <si>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</si>
  <si>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</si>
  <si>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</si>
  <si>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</si>
  <si>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</si>
  <si>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</si>
  <si>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</si>
  <si>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</si>
  <si>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</si>
  <si>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</si>
  <si>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</si>
  <si>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</si>
  <si>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</si>
  <si>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</si>
  <si>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</si>
  <si>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</si>
  <si>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</si>
  <si>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</si>
  <si>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</si>
  <si>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</si>
  <si>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</si>
  <si>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</si>
  <si>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</si>
  <si>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</si>
  <si>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</si>
  <si>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</si>
  <si>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</si>
  <si>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</si>
  <si>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</si>
  <si>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</si>
  <si>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</si>
  <si>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</si>
  <si>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</si>
  <si>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</si>
  <si>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</si>
  <si>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</si>
  <si>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</si>
  <si>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</si>
  <si>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</si>
  <si>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</si>
  <si>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</si>
  <si>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</si>
  <si>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</si>
  <si>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</si>
  <si>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</si>
  <si>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</si>
  <si>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</si>
  <si>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</si>
  <si>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</si>
  <si>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</si>
  <si>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</si>
  <si>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</si>
  <si>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</si>
  <si>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</si>
  <si>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</si>
  <si>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</si>
  <si>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</si>
  <si>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</si>
  <si>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</si>
  <si>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</si>
  <si>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</si>
  <si>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</si>
  <si>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</si>
  <si>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</si>
  <si>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</si>
  <si>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</si>
  <si>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</si>
  <si>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</si>
  <si>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</si>
  <si>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</si>
  <si>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</si>
  <si>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</si>
  <si>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</si>
  <si>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</si>
  <si>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</si>
  <si>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</si>
  <si>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</si>
  <si>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</si>
  <si>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</si>
  <si>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</si>
  <si>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</si>
  <si>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</si>
  <si>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</si>
  <si>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</si>
  <si>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</si>
  <si>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</si>
  <si>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</si>
  <si>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</si>
  <si>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</si>
  <si>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</si>
  <si>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</si>
  <si>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</si>
  <si>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</si>
  <si>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</si>
  <si>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</si>
  <si>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</si>
  <si>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</si>
  <si>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</si>
  <si>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</si>
  <si>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</si>
  <si>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</si>
  <si>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</si>
  <si>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</si>
  <si>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</si>
  <si>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</si>
  <si>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</si>
  <si>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</si>
  <si>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</si>
  <si>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</si>
  <si>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</si>
  <si>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</si>
  <si>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</si>
  <si>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</si>
  <si>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</si>
  <si>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</si>
  <si>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</si>
  <si>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</si>
  <si>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</si>
  <si>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</si>
  <si>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</si>
  <si>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</si>
  <si>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</si>
  <si>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</si>
  <si>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</si>
  <si>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</si>
  <si>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</si>
  <si>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</si>
  <si>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</si>
  <si>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</si>
  <si>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</si>
  <si>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</si>
  <si>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</si>
  <si>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</si>
  <si>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</si>
  <si>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</si>
  <si>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</si>
  <si>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</si>
  <si>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</si>
  <si>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</si>
  <si>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</si>
  <si>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</si>
  <si>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</si>
  <si>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</si>
  <si>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</si>
  <si>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</si>
  <si>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</si>
  <si>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</si>
  <si>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</si>
  <si>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</si>
  <si>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</si>
  <si>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</si>
  <si>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</si>
  <si>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</si>
  <si>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</si>
  <si>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</si>
  <si>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</si>
  <si>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</si>
  <si>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</si>
  <si>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</si>
  <si>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</si>
  <si>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</si>
  <si>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</si>
  <si>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</si>
  <si>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</si>
  <si>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</si>
  <si>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</si>
  <si>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</si>
  <si>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</si>
  <si>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</si>
  <si>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</si>
  <si>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</si>
  <si>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</si>
  <si>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</si>
  <si>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</si>
  <si>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</si>
  <si>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</si>
  <si>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</si>
  <si>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</si>
  <si>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</si>
  <si>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</si>
  <si>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</si>
  <si>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</si>
  <si>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</si>
  <si>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</si>
  <si>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</si>
  <si>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</si>
  <si>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</si>
  <si>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</si>
  <si>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</si>
  <si>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</si>
  <si>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</si>
  <si>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</si>
  <si>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</si>
  <si>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</si>
  <si>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</si>
  <si>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</si>
  <si>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</si>
  <si>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</si>
  <si>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</si>
  <si>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</si>
  <si>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</si>
  <si>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</si>
  <si>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</si>
  <si>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</si>
  <si>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</si>
  <si>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</si>
  <si>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</si>
  <si>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</si>
  <si>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</si>
  <si>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</si>
  <si>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</si>
  <si>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</si>
  <si>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</si>
  <si>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</si>
  <si>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</si>
  <si>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</si>
  <si>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</si>
  <si>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</si>
  <si>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</si>
  <si>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</si>
  <si>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</si>
  <si>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</si>
  <si>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</si>
  <si>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</si>
  <si>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</si>
  <si>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</si>
  <si>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</si>
  <si>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</si>
  <si>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</si>
  <si>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</si>
  <si>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</si>
  <si>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</si>
  <si>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</si>
  <si>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</si>
  <si>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</si>
  <si>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</si>
  <si>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</si>
  <si>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</si>
  <si>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</si>
  <si>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</si>
  <si>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</si>
  <si>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</si>
  <si>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</si>
  <si>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</si>
  <si>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</si>
  <si>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</si>
  <si>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</si>
  <si>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</si>
  <si>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</si>
  <si>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</si>
  <si>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</si>
  <si>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</si>
  <si>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</si>
  <si>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</si>
  <si>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</si>
  <si>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</si>
  <si>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</si>
  <si>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</si>
  <si>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</si>
  <si>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</si>
  <si>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</si>
  <si>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</si>
  <si>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</si>
  <si>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</si>
  <si>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</si>
  <si>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</si>
  <si>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</si>
  <si>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</si>
  <si>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</si>
  <si>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</si>
  <si>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</si>
  <si>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</si>
  <si>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</si>
  <si>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</si>
  <si>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</si>
  <si>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</si>
  <si>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</si>
  <si>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</si>
  <si>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</si>
  <si>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</si>
  <si>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</si>
  <si>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</si>
  <si>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</si>
  <si>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</si>
  <si>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</si>
  <si>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</si>
  <si>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</si>
  <si>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</si>
  <si>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</si>
  <si>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</si>
  <si>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</si>
  <si>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</si>
  <si>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</si>
  <si>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</si>
  <si>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</si>
  <si>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</si>
  <si>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</si>
  <si>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</si>
  <si>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</si>
  <si>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</si>
  <si>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</si>
  <si>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</si>
  <si>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</si>
  <si>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</si>
  <si>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</si>
  <si>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</si>
  <si>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</si>
  <si>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</si>
  <si>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</si>
  <si>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</si>
  <si>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</si>
  <si>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</si>
  <si>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</si>
  <si>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</si>
  <si>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</si>
  <si>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</si>
  <si>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</si>
  <si>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</si>
  <si>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</si>
  <si>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</si>
  <si>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</si>
  <si>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</si>
  <si>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</si>
  <si>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</si>
  <si>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</si>
  <si>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</si>
  <si>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</si>
  <si>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</si>
  <si>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</si>
  <si>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</si>
  <si>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</si>
  <si>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</si>
  <si>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</si>
  <si>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</si>
  <si>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</si>
  <si>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</si>
  <si>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</si>
  <si>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</si>
  <si>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</si>
  <si>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</si>
  <si>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</si>
  <si>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</si>
  <si>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</si>
  <si>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</si>
  <si>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</si>
  <si>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</si>
  <si>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</si>
  <si>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</si>
  <si>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</si>
  <si>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</si>
  <si>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</si>
  <si>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</si>
  <si>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</si>
  <si>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</si>
  <si>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</si>
  <si>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</si>
  <si>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</si>
  <si>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</si>
  <si>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</si>
  <si>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</si>
  <si>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</si>
  <si>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</si>
  <si>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</si>
  <si>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</si>
  <si>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</si>
  <si>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</si>
  <si>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</si>
  <si>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</si>
  <si>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</si>
  <si>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</si>
  <si>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</si>
  <si>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</si>
  <si>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</si>
  <si>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</si>
  <si>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</si>
  <si>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</si>
  <si>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</si>
  <si>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</si>
  <si>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</si>
  <si>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</si>
  <si>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</si>
  <si>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</si>
  <si>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</si>
  <si>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</si>
  <si>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</si>
  <si>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</si>
  <si>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</si>
  <si>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</si>
  <si>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</si>
  <si>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</si>
  <si>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</si>
  <si>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</si>
  <si>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</si>
  <si>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</si>
  <si>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</si>
  <si>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</si>
  <si>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</si>
  <si>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</si>
  <si>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</si>
  <si>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</si>
  <si>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</si>
  <si>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</si>
  <si>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</si>
  <si>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</si>
  <si>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</si>
  <si>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</si>
  <si>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</si>
  <si>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</si>
  <si>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</si>
  <si>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</si>
  <si>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</si>
  <si>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</si>
  <si>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</si>
  <si>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</si>
  <si>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</si>
  <si>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</si>
  <si>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</si>
  <si>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</si>
  <si>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</si>
  <si>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</si>
  <si>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</si>
  <si>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</si>
  <si>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</si>
  <si>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</si>
  <si>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</si>
  <si>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</si>
  <si>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</si>
  <si>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</si>
  <si>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</si>
  <si>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</si>
  <si>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</si>
  <si>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</si>
  <si>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</si>
  <si>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</si>
  <si>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</si>
  <si>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</si>
  <si>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</si>
  <si>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</si>
  <si>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</si>
  <si>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</si>
  <si>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</si>
  <si>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</si>
  <si>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</si>
  <si>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</si>
  <si>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</si>
  <si>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</si>
  <si>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</si>
  <si>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</si>
  <si>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</si>
  <si>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</si>
  <si>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</si>
  <si>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</si>
  <si>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</si>
  <si>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</si>
  <si>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</si>
  <si>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</si>
  <si>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</si>
  <si>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</si>
  <si>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</si>
  <si>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</si>
  <si>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</si>
  <si>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</si>
  <si>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</si>
  <si>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</si>
  <si>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</si>
  <si>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</si>
  <si>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</si>
  <si>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</si>
  <si>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</si>
  <si>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</si>
  <si>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</si>
  <si>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</si>
  <si>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</si>
  <si>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</si>
  <si>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</si>
  <si>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</si>
  <si>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</si>
  <si>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</si>
  <si>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</si>
  <si>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</si>
  <si>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</si>
  <si>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</si>
  <si>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</si>
  <si>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</si>
  <si>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</si>
  <si>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</si>
  <si>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</si>
  <si>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</si>
  <si>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</si>
  <si>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</si>
  <si>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</si>
  <si>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</si>
  <si>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</si>
  <si>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</si>
  <si>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</si>
  <si>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</si>
  <si>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</si>
  <si>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</si>
  <si>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</si>
  <si>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</si>
  <si>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</si>
  <si>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</si>
  <si>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</si>
  <si>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</si>
  <si>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</si>
  <si>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</si>
  <si>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</si>
  <si>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</si>
  <si>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</si>
  <si>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</si>
  <si>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</si>
  <si>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</si>
  <si>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</si>
  <si>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</si>
  <si>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</si>
  <si>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</si>
  <si>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</si>
  <si>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</si>
  <si>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</si>
  <si>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</si>
  <si>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</si>
  <si>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</si>
  <si>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</si>
  <si>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</si>
  <si>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</si>
  <si>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</si>
  <si>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</si>
  <si>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</si>
  <si>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</si>
  <si>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</si>
  <si>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</si>
  <si>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</si>
  <si>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</si>
  <si>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</si>
  <si>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</si>
  <si>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</si>
  <si>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</si>
  <si>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</si>
  <si>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</si>
  <si>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</si>
  <si>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</si>
  <si>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</si>
  <si>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</si>
  <si>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</si>
  <si>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</si>
  <si>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</si>
  <si>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</si>
  <si>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</si>
  <si>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</si>
  <si>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</si>
  <si>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</si>
  <si>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</si>
  <si>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</si>
  <si>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</si>
  <si>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</si>
  <si>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</si>
  <si>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</si>
  <si>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</si>
  <si>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</si>
  <si>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</si>
  <si>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</si>
  <si>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</si>
  <si>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</si>
  <si>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</si>
  <si>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</si>
  <si>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</si>
  <si>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</si>
  <si>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</si>
  <si>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</si>
  <si>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</si>
  <si>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</si>
  <si>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</si>
  <si>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</si>
  <si>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</si>
  <si>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</si>
  <si>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</si>
  <si>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</si>
  <si>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</si>
  <si>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</si>
  <si>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</si>
  <si>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</si>
  <si>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</si>
  <si>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</si>
  <si>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</si>
  <si>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</si>
  <si>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</si>
  <si>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</si>
  <si>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</si>
  <si>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</si>
  <si>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</si>
  <si>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</si>
  <si>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</si>
  <si>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</si>
  <si>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</si>
  <si>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</si>
  <si>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</si>
  <si>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</si>
  <si>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</si>
  <si>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</si>
  <si>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</si>
  <si>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</si>
  <si>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</si>
  <si>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</si>
  <si>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</si>
  <si>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</si>
  <si>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</si>
  <si>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</si>
  <si>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</si>
  <si>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</si>
  <si>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</si>
  <si>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</si>
  <si>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</si>
  <si>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</si>
  <si>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</si>
  <si>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</si>
  <si>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</si>
  <si>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</si>
  <si>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</si>
  <si>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</si>
  <si>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</si>
  <si>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</si>
  <si>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</si>
  <si>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</si>
  <si>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</si>
  <si>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</si>
  <si>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</si>
  <si>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</si>
  <si>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</si>
  <si>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</si>
  <si>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</si>
  <si>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</si>
  <si>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</si>
  <si>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</si>
  <si>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</si>
  <si>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</si>
  <si>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</si>
  <si>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</si>
  <si>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</si>
  <si>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</si>
  <si>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</si>
  <si>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</si>
  <si>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</si>
  <si>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</si>
  <si>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</si>
  <si>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</si>
  <si>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</si>
  <si>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</si>
  <si>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</si>
  <si>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</si>
  <si>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</si>
  <si>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</si>
  <si>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</si>
  <si>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</si>
  <si>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</si>
  <si>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</si>
  <si>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</si>
  <si>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</si>
  <si>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</si>
  <si>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</si>
  <si>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</si>
  <si>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</si>
  <si>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</si>
  <si>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</si>
  <si>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</si>
  <si>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</si>
  <si>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</si>
  <si>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</si>
  <si>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</si>
  <si>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</si>
  <si>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</si>
  <si>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</si>
  <si>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</si>
  <si>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</si>
  <si>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</si>
  <si>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</si>
  <si>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</si>
  <si>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</si>
  <si>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</si>
  <si>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</si>
  <si>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</si>
  <si>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</si>
  <si>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</si>
  <si>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</si>
  <si>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</si>
  <si>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</si>
  <si>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</si>
  <si>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</si>
  <si>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</si>
  <si>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</si>
  <si>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</si>
  <si>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</si>
  <si>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</si>
  <si>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</si>
  <si>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</si>
  <si>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</si>
  <si>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</si>
  <si>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</si>
  <si>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</si>
  <si>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</si>
  <si>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</si>
  <si>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</si>
  <si>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</si>
  <si>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</si>
  <si>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</si>
  <si>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</si>
  <si>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</si>
  <si>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</si>
  <si>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</si>
  <si>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</si>
  <si>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</si>
  <si>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</si>
  <si>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</si>
  <si>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</si>
  <si>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</si>
  <si>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</si>
  <si>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</si>
  <si>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</si>
  <si>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</si>
  <si>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</si>
  <si>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</si>
  <si>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</si>
  <si>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</si>
  <si>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</si>
  <si>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</si>
  <si>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</si>
  <si>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</si>
  <si>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</si>
  <si>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</si>
  <si>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</si>
  <si>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</si>
  <si>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</si>
  <si>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</si>
  <si>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</si>
  <si>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</si>
  <si>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</si>
  <si>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</si>
  <si>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</si>
  <si>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</si>
  <si>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</si>
  <si>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</si>
  <si>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</si>
  <si>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</si>
  <si>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</si>
  <si>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</si>
  <si>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</si>
  <si>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</si>
  <si>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</si>
  <si>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</si>
  <si>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</si>
  <si>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</si>
  <si>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</si>
  <si>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</si>
  <si>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</si>
  <si>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</si>
  <si>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</si>
  <si>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</si>
  <si>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</si>
  <si>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</si>
  <si>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</si>
  <si>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</si>
  <si>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</si>
  <si>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</si>
  <si>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</si>
  <si>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</si>
  <si>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</si>
  <si>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</si>
  <si>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</si>
  <si>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</si>
  <si>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</si>
  <si>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</si>
  <si>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</si>
  <si>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</si>
  <si>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</si>
  <si>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</si>
  <si>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</si>
  <si>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</si>
  <si>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</si>
  <si>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</si>
  <si>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</si>
  <si>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</si>
  <si>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</si>
  <si>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</si>
  <si>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</si>
  <si>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</si>
  <si>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</si>
  <si>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</si>
  <si>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</si>
  <si>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</si>
  <si>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</si>
  <si>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</si>
  <si>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</si>
  <si>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</si>
  <si>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</si>
  <si>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</si>
  <si>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</si>
  <si>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</si>
  <si>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</si>
  <si>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</si>
  <si>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</si>
  <si>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</si>
  <si>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</si>
  <si>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</si>
  <si>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</si>
  <si>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</si>
  <si>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</si>
  <si>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</si>
  <si>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</si>
  <si>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</si>
  <si>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</si>
  <si>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</si>
  <si>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</si>
  <si>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</si>
  <si>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</si>
  <si>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</si>
  <si>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</si>
  <si>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</si>
  <si>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</si>
  <si>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</si>
  <si>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</si>
  <si>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</si>
  <si>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</si>
  <si>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</si>
  <si>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</si>
  <si>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</si>
  <si>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</si>
  <si>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</si>
  <si>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</si>
  <si>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</si>
  <si>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</si>
  <si>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</si>
  <si>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</si>
  <si>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</si>
  <si>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</si>
  <si>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</si>
  <si>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</si>
  <si>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</si>
  <si>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</si>
  <si>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</si>
  <si>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</si>
  <si>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</si>
  <si>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</si>
  <si>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</si>
  <si>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</si>
  <si>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</si>
  <si>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</si>
  <si>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</si>
  <si>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</si>
  <si>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</si>
  <si>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</si>
  <si>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</si>
  <si>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</si>
  <si>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</si>
  <si>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</si>
  <si>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</si>
  <si>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</si>
  <si>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</si>
  <si>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</si>
  <si>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</si>
  <si>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</si>
  <si>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</si>
  <si>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</si>
  <si>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</si>
  <si>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</si>
  <si>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</si>
  <si>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</si>
  <si>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</si>
  <si>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</si>
  <si>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</si>
  <si>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</si>
  <si>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</si>
  <si>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</si>
  <si>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</si>
  <si>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</si>
  <si>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</si>
  <si>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</si>
  <si>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</si>
  <si>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</si>
  <si>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</si>
  <si>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</si>
  <si>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</si>
  <si>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</si>
  <si>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</si>
  <si>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</si>
  <si>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</si>
  <si>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</si>
  <si>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</si>
  <si>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</si>
  <si>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</si>
  <si>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</si>
  <si>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</si>
  <si>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</si>
  <si>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</si>
  <si>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</si>
  <si>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</si>
  <si>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</si>
  <si>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</si>
  <si>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</si>
  <si>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</si>
  <si>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</si>
  <si>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</si>
  <si>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</si>
  <si>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</si>
  <si>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</si>
  <si>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</si>
  <si>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</si>
  <si>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</si>
  <si>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</si>
  <si>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</si>
  <si>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</si>
  <si>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</si>
  <si>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</si>
  <si>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</si>
  <si>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</si>
  <si>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</si>
  <si>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</si>
  <si>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</si>
  <si>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</si>
  <si>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</si>
  <si>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</si>
  <si>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</si>
  <si>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</si>
  <si>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</si>
  <si>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</si>
  <si>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</si>
  <si>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</si>
  <si>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</si>
  <si>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</si>
  <si>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</si>
  <si>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</si>
  <si>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</si>
  <si>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</si>
  <si>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</si>
  <si>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</si>
  <si>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</si>
  <si>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</si>
  <si>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</si>
  <si>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</si>
  <si>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</si>
  <si>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</si>
  <si>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</si>
  <si>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</si>
  <si>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</si>
  <si>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</si>
  <si>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</si>
  <si>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</si>
  <si>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</si>
  <si>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</si>
  <si>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</si>
  <si>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</si>
  <si>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</si>
  <si>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</si>
  <si>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</si>
  <si>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</si>
  <si>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</si>
  <si>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</si>
  <si>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</si>
  <si>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</si>
  <si>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</si>
  <si>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</si>
  <si>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</si>
  <si>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</si>
  <si>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</si>
  <si>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</si>
  <si>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</si>
  <si>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</si>
  <si>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</si>
  <si>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</si>
  <si>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</si>
  <si>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</si>
  <si>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</si>
  <si>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</si>
  <si>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</si>
  <si>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</si>
  <si>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</si>
  <si>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</si>
  <si>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</si>
  <si>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</si>
  <si>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</si>
  <si>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</si>
  <si>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</si>
  <si>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</si>
  <si>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</si>
  <si>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</si>
  <si>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</si>
  <si>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</si>
  <si>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</si>
  <si>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</si>
  <si>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</si>
  <si>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</si>
  <si>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</si>
  <si>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</si>
  <si>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</si>
  <si>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</si>
  <si>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</si>
  <si>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</si>
  <si>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</si>
  <si>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</si>
  <si>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</si>
  <si>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</si>
  <si>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</si>
  <si>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</si>
  <si>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</si>
  <si>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</si>
  <si>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</si>
  <si>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</si>
  <si>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</si>
  <si>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</si>
  <si>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</si>
  <si>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</si>
  <si>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</si>
  <si>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</si>
  <si>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</si>
  <si>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</si>
  <si>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</si>
  <si>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</si>
  <si>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</si>
  <si>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</si>
  <si>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</si>
  <si>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</si>
  <si>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</si>
  <si>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</si>
  <si>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</si>
  <si>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</si>
  <si>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</si>
  <si>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</si>
  <si>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</si>
  <si>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</si>
  <si>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</si>
  <si>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</si>
  <si>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</si>
  <si>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</si>
  <si>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</si>
  <si>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</si>
  <si>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</si>
  <si>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</si>
  <si>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</si>
  <si>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</si>
  <si>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</si>
  <si>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</si>
  <si>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</si>
  <si>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</si>
  <si>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</si>
  <si>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</si>
  <si>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</si>
  <si>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</si>
  <si>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</si>
  <si>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</si>
  <si>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</si>
  <si>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</si>
  <si>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</si>
  <si>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</si>
  <si>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</si>
  <si>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</si>
  <si>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</si>
  <si>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</si>
  <si>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</si>
  <si>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</si>
  <si>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</si>
  <si>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</si>
  <si>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</si>
  <si>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</si>
  <si>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</si>
  <si>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</si>
  <si>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</si>
  <si>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</si>
  <si>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</si>
  <si>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</si>
  <si>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</si>
  <si>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</si>
  <si>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</si>
  <si>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</si>
  <si>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</si>
  <si>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</si>
  <si>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</si>
  <si>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</si>
  <si>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</si>
  <si>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</si>
  <si>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</si>
  <si>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</si>
  <si>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</si>
  <si>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</si>
  <si>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</si>
  <si>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</si>
  <si>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</si>
  <si>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</si>
  <si>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</si>
  <si>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</si>
  <si>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</si>
  <si>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</si>
  <si>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</si>
  <si>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</si>
  <si>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</si>
  <si>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</si>
  <si>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</si>
  <si>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</si>
  <si>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</si>
  <si>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</si>
  <si>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</si>
  <si>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</si>
  <si>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</si>
  <si>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</si>
  <si>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</si>
  <si>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</si>
  <si>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</si>
  <si>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</si>
  <si>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</si>
  <si>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</si>
  <si>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</si>
  <si>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</si>
  <si>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</si>
  <si>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</si>
  <si>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</si>
  <si>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</si>
  <si>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</si>
  <si>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</si>
  <si>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</si>
  <si>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</si>
  <si>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</si>
  <si>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</si>
  <si>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</si>
  <si>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</si>
  <si>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</si>
  <si>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</si>
  <si>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</si>
  <si>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</si>
  <si>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</si>
  <si>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</si>
  <si>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</si>
  <si>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</si>
  <si>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</si>
  <si>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</si>
  <si>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</si>
  <si>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</si>
  <si>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</si>
  <si>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</si>
  <si>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</si>
  <si>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</si>
  <si>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</si>
  <si>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</si>
  <si>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</si>
  <si>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</si>
  <si>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</si>
  <si>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</si>
  <si>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</si>
  <si>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</si>
  <si>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</si>
  <si>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</si>
  <si>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</si>
  <si>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</si>
  <si>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</si>
  <si>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</si>
  <si>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</si>
  <si>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</si>
  <si>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</si>
  <si>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</si>
  <si>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</si>
  <si>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</si>
  <si>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</si>
  <si>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</si>
  <si>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</si>
  <si>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</si>
  <si>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</si>
  <si>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</si>
  <si>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</si>
  <si>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</si>
  <si>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</si>
  <si>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</si>
  <si>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</si>
  <si>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</si>
  <si>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</si>
  <si>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</si>
  <si>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</si>
  <si>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</si>
  <si>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</si>
  <si>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</si>
  <si>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</si>
  <si>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</si>
  <si>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</si>
  <si>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</si>
  <si>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</si>
  <si>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</si>
  <si>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</si>
  <si>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</si>
  <si>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</si>
  <si>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</si>
  <si>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</si>
  <si>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</si>
  <si>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</si>
  <si>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</si>
  <si>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</si>
  <si>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</si>
  <si>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</si>
  <si>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</si>
  <si>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</si>
  <si>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</si>
  <si>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</si>
  <si>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</si>
  <si>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</si>
  <si>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</si>
  <si>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</si>
  <si>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</si>
  <si>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</si>
  <si>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</si>
  <si>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</si>
  <si>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</si>
  <si>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</si>
  <si>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</si>
  <si>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</si>
  <si>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</si>
  <si>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</si>
  <si>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</si>
  <si>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</si>
  <si>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</si>
  <si>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</si>
  <si>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</si>
  <si>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</si>
  <si>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</si>
  <si>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</si>
  <si>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</si>
  <si>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</si>
  <si>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</si>
  <si>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</si>
  <si>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</si>
  <si>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</si>
  <si>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</si>
  <si>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</si>
  <si>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</si>
  <si>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</si>
  <si>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</si>
  <si>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</si>
  <si>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</si>
  <si>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</si>
  <si>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</si>
  <si>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</si>
  <si>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</si>
  <si>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</si>
  <si>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</si>
  <si>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</si>
  <si>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</si>
  <si>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</si>
  <si>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</si>
  <si>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</si>
  <si>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</si>
  <si>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</si>
  <si>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</si>
  <si>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</si>
  <si>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</si>
  <si>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</si>
  <si>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</si>
  <si>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</si>
  <si>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</si>
  <si>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</si>
  <si>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</si>
  <si>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</si>
  <si>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</si>
  <si>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</si>
  <si>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</si>
  <si>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</si>
  <si>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</si>
  <si>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</si>
  <si>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</si>
  <si>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</si>
  <si>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</si>
  <si>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</si>
  <si>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</si>
  <si>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</si>
  <si>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</si>
  <si>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</si>
  <si>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</si>
  <si>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</si>
  <si>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</si>
  <si>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</si>
  <si>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</si>
  <si>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</si>
  <si>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</si>
  <si>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</si>
  <si>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</si>
  <si>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</si>
  <si>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</si>
  <si>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</si>
  <si>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</si>
  <si>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</si>
  <si>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</si>
  <si>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</si>
  <si>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</si>
  <si>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</si>
  <si>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</si>
  <si>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</si>
  <si>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</si>
  <si>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</si>
  <si>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</si>
  <si>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</si>
  <si>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</si>
  <si>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</si>
  <si>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</si>
  <si>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</si>
  <si>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</si>
  <si>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</si>
  <si>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</si>
  <si>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</si>
  <si>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</si>
  <si>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</si>
  <si>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</si>
  <si>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</si>
  <si>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</si>
  <si>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</si>
  <si>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</si>
  <si>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</si>
  <si>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</si>
  <si>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</si>
  <si>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</si>
  <si>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</si>
  <si>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</si>
  <si>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</si>
  <si>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</si>
  <si>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</si>
  <si>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</si>
  <si>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</si>
  <si>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</si>
  <si>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</si>
  <si>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</si>
  <si>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</si>
  <si>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</si>
  <si>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</si>
  <si>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</si>
  <si>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</si>
  <si>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</si>
  <si>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</si>
  <si>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</si>
  <si>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</si>
  <si>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</si>
  <si>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</si>
  <si>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</si>
  <si>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</si>
  <si>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</si>
  <si>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</si>
  <si>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</si>
  <si>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</si>
  <si>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</si>
  <si>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</si>
  <si>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</si>
  <si>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</si>
  <si>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</si>
  <si>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</si>
  <si>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</si>
  <si>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</si>
  <si>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</si>
  <si>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</si>
  <si>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</si>
  <si>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</si>
  <si>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</si>
  <si>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</si>
  <si>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</si>
  <si>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</si>
  <si>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</si>
  <si>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</si>
  <si>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</si>
  <si>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</si>
  <si>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</si>
  <si>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</si>
  <si>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</si>
  <si>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</si>
  <si>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</si>
  <si>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</si>
  <si>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</si>
  <si>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</si>
  <si>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</si>
  <si>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</si>
  <si>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</si>
  <si>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</si>
  <si>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</si>
  <si>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</si>
  <si>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</si>
  <si>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</si>
  <si>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</si>
  <si>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</si>
  <si>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</si>
  <si>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</si>
  <si>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</si>
  <si>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</si>
  <si>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</si>
  <si>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</si>
  <si>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</si>
  <si>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</si>
  <si>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</si>
  <si>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</si>
  <si>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</si>
  <si>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</si>
  <si>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</si>
  <si>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</si>
  <si>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</si>
  <si>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</si>
  <si>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</si>
  <si>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</si>
  <si>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</si>
  <si>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</si>
  <si>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</si>
  <si>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</si>
  <si>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</si>
  <si>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</si>
  <si>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</si>
  <si>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</si>
  <si>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</si>
  <si>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</si>
  <si>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</si>
  <si>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</si>
  <si>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</si>
  <si>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</si>
  <si>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</si>
  <si>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</si>
  <si>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</si>
  <si>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</si>
  <si>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</si>
  <si>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</si>
  <si>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</si>
  <si>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</si>
  <si>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</si>
  <si>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</si>
  <si>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</si>
  <si>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</si>
  <si>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</si>
  <si>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</si>
  <si>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</si>
  <si>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</si>
  <si>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</si>
  <si>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</si>
  <si>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</si>
  <si>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</si>
  <si>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</si>
  <si>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</si>
  <si>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</si>
  <si>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</si>
  <si>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</si>
  <si>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</si>
  <si>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</si>
  <si>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</si>
  <si>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</si>
  <si>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</si>
  <si>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</si>
  <si>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</si>
  <si>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</si>
  <si>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</si>
  <si>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</si>
  <si>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</si>
  <si>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</si>
  <si>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</si>
  <si>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</si>
  <si>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</si>
  <si>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</si>
  <si>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</si>
  <si>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</si>
  <si>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</si>
  <si>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</si>
  <si>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</si>
  <si>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</si>
  <si>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</si>
  <si>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</si>
  <si>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</si>
  <si>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</si>
  <si>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</si>
  <si>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</si>
  <si>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</si>
  <si>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</si>
  <si>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</si>
  <si>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</si>
  <si>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</si>
  <si>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</si>
  <si>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</si>
  <si>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</si>
  <si>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</si>
  <si>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</si>
  <si>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</si>
  <si>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</si>
  <si>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</si>
  <si>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</si>
  <si>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</si>
  <si>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</si>
  <si>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</si>
  <si>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</si>
  <si>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</si>
  <si>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</si>
  <si>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</si>
  <si>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</si>
  <si>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</si>
  <si>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</si>
  <si>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</si>
  <si>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</si>
  <si>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</si>
  <si>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</si>
  <si>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</si>
  <si>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</si>
  <si>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</si>
  <si>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</si>
  <si>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</si>
  <si>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</si>
  <si>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</si>
  <si>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</si>
  <si>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</si>
  <si>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</si>
  <si>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</si>
  <si>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</si>
  <si>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</si>
  <si>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</si>
  <si>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</si>
  <si>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</si>
  <si>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</si>
  <si>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</si>
  <si>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</si>
  <si>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</si>
  <si>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</si>
  <si>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</si>
  <si>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</si>
  <si>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</si>
  <si>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</si>
  <si>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</si>
  <si>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</si>
  <si>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</si>
  <si>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</si>
  <si>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</si>
  <si>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</si>
  <si>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</si>
  <si>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</si>
  <si>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</si>
  <si>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</si>
  <si>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</si>
  <si>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</si>
  <si>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</si>
  <si>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</si>
  <si>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</si>
  <si>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</si>
  <si>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</si>
  <si>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</si>
  <si>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</si>
  <si>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</si>
  <si>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</si>
  <si>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</si>
  <si>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</si>
  <si>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</si>
  <si>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</si>
  <si>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</si>
  <si>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</si>
  <si>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</si>
  <si>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</si>
  <si>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</si>
  <si>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</si>
  <si>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</si>
  <si>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</si>
  <si>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</si>
  <si>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</si>
  <si>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</si>
  <si>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</si>
  <si>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</si>
  <si>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</si>
  <si>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</si>
  <si>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</si>
  <si>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</si>
  <si>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</si>
  <si>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</si>
  <si>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</si>
  <si>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</si>
  <si>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</si>
  <si>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</si>
  <si>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</si>
  <si>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</si>
  <si>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</si>
  <si>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</si>
  <si>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</si>
  <si>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</si>
  <si>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</si>
  <si>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</si>
  <si>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</si>
  <si>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</si>
  <si>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</si>
  <si>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</si>
  <si>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</si>
  <si>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</si>
  <si>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</si>
  <si>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</si>
  <si>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</si>
  <si>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</si>
  <si>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</si>
  <si>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</si>
  <si>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</si>
  <si>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</si>
  <si>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</si>
  <si>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</si>
  <si>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</si>
  <si>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</si>
  <si>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</si>
  <si>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</si>
  <si>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</si>
  <si>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</si>
  <si>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</si>
  <si>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</si>
  <si>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</si>
  <si>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</si>
  <si>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</si>
  <si>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</si>
  <si>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</si>
  <si>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</si>
  <si>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</si>
  <si>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</si>
  <si>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</si>
  <si>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</si>
  <si>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</si>
  <si>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</si>
  <si>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</si>
  <si>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</si>
  <si>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</si>
  <si>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</si>
  <si>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</si>
  <si>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</si>
  <si>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</si>
  <si>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</si>
  <si>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</si>
  <si>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</si>
  <si>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</si>
  <si>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</si>
  <si>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</si>
  <si>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</si>
  <si>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</si>
  <si>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</si>
  <si>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</si>
  <si>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</si>
  <si>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</si>
  <si>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</si>
  <si>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</si>
  <si>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</si>
  <si>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</si>
  <si>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</si>
  <si>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</si>
  <si>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</si>
  <si>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</si>
  <si>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</si>
  <si>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</si>
  <si>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</si>
  <si>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</si>
  <si>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</si>
  <si>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</si>
  <si>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</si>
  <si>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</si>
  <si>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</si>
  <si>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</si>
  <si>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</si>
  <si>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</si>
  <si>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</si>
  <si>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</si>
  <si>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</si>
  <si>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</si>
  <si>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</si>
  <si>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</si>
  <si>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</si>
  <si>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</si>
  <si>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</si>
  <si>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</si>
  <si>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</si>
  <si>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</si>
  <si>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</si>
  <si>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</si>
  <si>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</si>
  <si>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</si>
  <si>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</si>
  <si>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</si>
  <si>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</si>
  <si>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</si>
  <si>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</si>
  <si>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</si>
  <si>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</si>
  <si>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</si>
  <si>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</si>
  <si>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</si>
  <si>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</si>
  <si>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</si>
  <si>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</si>
  <si>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</si>
  <si>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</si>
  <si>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</si>
  <si>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</si>
  <si>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</si>
  <si>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</si>
  <si>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</si>
  <si>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</si>
  <si>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</si>
  <si>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</si>
  <si>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</si>
  <si>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</si>
  <si>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</si>
  <si>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</si>
  <si>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</si>
  <si>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</si>
  <si>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</si>
  <si>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</si>
  <si>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</si>
  <si>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</si>
  <si>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</si>
  <si>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</si>
  <si>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</si>
  <si>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</si>
  <si>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</si>
  <si>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</si>
  <si>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</si>
  <si>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</si>
  <si>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</si>
  <si>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</si>
  <si>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</si>
  <si>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</si>
  <si>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</si>
  <si>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</si>
  <si>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</si>
  <si>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</si>
  <si>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</si>
  <si>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</si>
  <si>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</si>
  <si>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</si>
  <si>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</si>
  <si>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</si>
  <si>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</si>
  <si>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</si>
  <si>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</si>
  <si>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</si>
  <si>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</si>
  <si>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</si>
  <si>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</si>
  <si>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</si>
  <si>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</si>
  <si>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</si>
  <si>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</si>
  <si>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</si>
  <si>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</si>
  <si>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</si>
  <si>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</si>
  <si>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</si>
  <si>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</si>
  <si>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</si>
  <si>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</si>
  <si>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</si>
  <si>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</si>
  <si>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</si>
  <si>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</si>
  <si>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</si>
  <si>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</si>
  <si>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</si>
  <si>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</si>
  <si>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</si>
  <si>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</si>
  <si>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</si>
  <si>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</si>
  <si>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</si>
  <si>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</si>
  <si>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</si>
  <si>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</si>
  <si>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</si>
  <si>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</si>
  <si>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</si>
  <si>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</si>
  <si>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</si>
  <si>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</si>
  <si>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</si>
  <si>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</si>
  <si>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</si>
  <si>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</si>
  <si>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</si>
  <si>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</si>
  <si>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</si>
  <si>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</si>
  <si>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</si>
  <si>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</si>
  <si>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</si>
  <si>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</si>
  <si>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</si>
  <si>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</si>
  <si>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</si>
  <si>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</si>
  <si>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</si>
  <si>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</si>
  <si>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</si>
  <si>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</si>
  <si>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</si>
  <si>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</si>
  <si>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</si>
  <si>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</si>
  <si>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</si>
  <si>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</si>
  <si>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</si>
  <si>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</si>
  <si>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</si>
  <si>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</si>
  <si>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</si>
  <si>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</si>
  <si>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</si>
  <si>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</si>
  <si>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</si>
  <si>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</si>
  <si>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</si>
  <si>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</si>
  <si>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</si>
  <si>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</si>
  <si>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</si>
  <si>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</si>
  <si>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</si>
  <si>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</si>
  <si>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</si>
  <si>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</si>
  <si>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</si>
  <si>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</si>
  <si>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</si>
  <si>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</si>
  <si>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</si>
  <si>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</si>
  <si>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</si>
  <si>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</si>
  <si>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</si>
  <si>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</si>
  <si>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</si>
  <si>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</si>
  <si>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</si>
  <si>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</si>
  <si>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</si>
  <si>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</si>
  <si>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</si>
  <si>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</si>
  <si>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</si>
  <si>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</si>
  <si>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</si>
  <si>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</si>
  <si>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</si>
  <si>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</si>
  <si>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</si>
  <si>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</si>
  <si>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</si>
  <si>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</si>
  <si>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</si>
  <si>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</si>
  <si>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</si>
  <si>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</si>
  <si>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</si>
  <si>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</si>
  <si>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</si>
  <si>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</si>
  <si>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</si>
  <si>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</si>
  <si>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</si>
  <si>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</si>
  <si>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</si>
  <si>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</si>
  <si>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</si>
  <si>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</si>
  <si>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</si>
  <si>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</si>
  <si>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</si>
  <si>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</si>
  <si>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</si>
  <si>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</si>
  <si>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</si>
  <si>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</si>
  <si>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</si>
  <si>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</si>
  <si>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</si>
  <si>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</si>
  <si>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</si>
  <si>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</si>
  <si>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</si>
  <si>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</si>
  <si>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</si>
  <si>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</si>
  <si>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</si>
  <si>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</si>
  <si>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</si>
  <si>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</si>
  <si>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</si>
  <si>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</si>
  <si>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</si>
  <si>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</si>
  <si>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</si>
  <si>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</si>
  <si>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</si>
  <si>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</si>
  <si>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</si>
  <si>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</si>
  <si>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</si>
  <si>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</si>
  <si>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</si>
  <si>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</si>
  <si>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</si>
  <si>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</si>
  <si>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</si>
  <si>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</si>
  <si>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</si>
  <si>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</si>
  <si>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</si>
  <si>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</si>
  <si>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</si>
  <si>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</si>
  <si>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</si>
  <si>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</si>
  <si>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</si>
  <si>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</si>
  <si>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</si>
  <si>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</si>
  <si>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</si>
  <si>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</si>
  <si>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</si>
  <si>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</si>
  <si>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</si>
  <si>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</si>
  <si>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</si>
  <si>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</si>
  <si>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</si>
  <si>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</si>
  <si>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</si>
  <si>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</si>
  <si>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</si>
  <si>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</si>
  <si>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</si>
  <si>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</si>
  <si>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</si>
  <si>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</si>
  <si>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</si>
  <si>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</si>
  <si>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</si>
  <si>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</si>
  <si>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</si>
  <si>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</si>
  <si>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</si>
  <si>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</si>
  <si>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</si>
  <si>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</si>
  <si>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</si>
  <si>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</si>
  <si>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</si>
  <si>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</si>
  <si>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</si>
  <si>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</si>
  <si>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</si>
  <si>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</si>
  <si>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</si>
  <si>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</si>
  <si>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</si>
  <si>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</si>
  <si>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</si>
  <si>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</si>
  <si>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</si>
  <si>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</si>
  <si>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</si>
  <si>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</si>
  <si>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</si>
  <si>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</si>
  <si>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</si>
  <si>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</si>
  <si>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</si>
  <si>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</si>
  <si>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</si>
  <si>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</si>
  <si>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</si>
  <si>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</si>
  <si>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</si>
  <si>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</si>
  <si>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</si>
  <si>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</si>
  <si>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</si>
  <si>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</si>
  <si>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</si>
  <si>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</si>
  <si>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</si>
  <si>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</si>
  <si>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</si>
  <si>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</si>
  <si>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</si>
  <si>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</si>
  <si>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</si>
  <si>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</si>
  <si>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</si>
  <si>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</si>
  <si>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</si>
  <si>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</si>
  <si>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</si>
  <si>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</si>
  <si>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</si>
  <si>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</si>
  <si>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</si>
  <si>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</si>
  <si>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</si>
  <si>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</si>
  <si>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</si>
  <si>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</si>
  <si>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</si>
  <si>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</si>
  <si>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</si>
  <si>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</si>
  <si>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</si>
  <si>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</si>
  <si>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</si>
  <si>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</si>
  <si>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</si>
  <si>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</si>
  <si>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</si>
  <si>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</si>
  <si>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</si>
  <si>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</si>
  <si>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</si>
  <si>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</si>
  <si>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</si>
  <si>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</si>
  <si>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</si>
  <si>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</si>
  <si>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</si>
  <si>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</si>
  <si>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</si>
  <si>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</si>
  <si>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</si>
  <si>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</si>
  <si>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</si>
  <si>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</si>
  <si>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</si>
  <si>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</si>
  <si>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</si>
  <si>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</si>
  <si>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</si>
  <si>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</si>
  <si>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</si>
  <si>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</si>
  <si>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</si>
  <si>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</si>
  <si>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</si>
  <si>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</si>
  <si>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</si>
  <si>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</si>
  <si>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</si>
  <si>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</si>
  <si>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</si>
  <si>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</si>
  <si>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</si>
  <si>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</si>
  <si>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</si>
  <si>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</si>
  <si>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</si>
  <si>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</si>
  <si>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</si>
  <si>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</si>
  <si>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</si>
  <si>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</si>
  <si>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</si>
  <si>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</si>
  <si>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</si>
  <si>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</si>
  <si>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</si>
  <si>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</si>
  <si>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</si>
  <si>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</si>
  <si>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</si>
  <si>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</si>
  <si>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</si>
  <si>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</si>
  <si>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</si>
  <si>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</si>
  <si>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</si>
  <si>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</si>
  <si>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</si>
  <si>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</si>
  <si>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</si>
  <si>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</si>
  <si>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</si>
  <si>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</si>
  <si>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</si>
  <si>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</si>
  <si>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</si>
  <si>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</si>
  <si>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</si>
  <si>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</si>
  <si>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</si>
  <si>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</si>
  <si>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</si>
  <si>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</si>
  <si>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</si>
  <si>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</si>
  <si>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</si>
  <si>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</si>
  <si>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</si>
  <si>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</si>
  <si>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</si>
  <si>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</si>
  <si>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</si>
  <si>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</si>
  <si>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</si>
  <si>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</si>
  <si>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</si>
  <si>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</si>
  <si>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</si>
  <si>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</si>
  <si>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</si>
  <si>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</si>
  <si>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</si>
  <si>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</si>
  <si>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</si>
  <si>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</si>
  <si>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</si>
  <si>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</si>
  <si>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</si>
  <si>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</si>
  <si>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</si>
  <si>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</si>
  <si>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</si>
  <si>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</si>
  <si>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</si>
  <si>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</si>
  <si>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</si>
  <si>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</si>
  <si>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</si>
  <si>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</si>
  <si>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</si>
  <si>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</si>
  <si>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</si>
  <si>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</si>
  <si>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</si>
  <si>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</si>
  <si>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</si>
  <si>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</si>
  <si>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</si>
  <si>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</si>
  <si>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</si>
  <si>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</si>
  <si>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</si>
  <si>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</si>
  <si>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</si>
  <si>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</si>
  <si>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</si>
  <si>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</si>
  <si>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</si>
  <si>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</si>
  <si>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</si>
  <si>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</si>
  <si>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</si>
  <si>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</si>
  <si>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</si>
  <si>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</si>
  <si>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</si>
  <si>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</si>
  <si>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</si>
  <si>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</si>
  <si>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</si>
  <si>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</si>
  <si>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</si>
  <si>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</si>
  <si>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</si>
  <si>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</si>
  <si>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</si>
  <si>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</si>
  <si>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</si>
  <si>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</si>
  <si>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</si>
  <si>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</si>
  <si>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</si>
  <si>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</si>
  <si>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</si>
  <si>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</si>
  <si>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</si>
  <si>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</si>
  <si>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</si>
  <si>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</si>
  <si>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</si>
  <si>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</si>
  <si>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</si>
  <si>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</si>
  <si>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</si>
  <si>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</si>
  <si>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</si>
  <si>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</si>
  <si>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</si>
  <si>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</si>
  <si>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</si>
  <si>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</si>
  <si>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</si>
  <si>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</si>
  <si>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</si>
  <si>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</si>
  <si>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</si>
  <si>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</si>
  <si>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</si>
  <si>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</si>
  <si>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</si>
  <si>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</si>
  <si>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</si>
  <si>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</si>
  <si>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</si>
  <si>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</si>
  <si>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</si>
  <si>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</si>
  <si>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</si>
  <si>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</si>
  <si>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</si>
  <si>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</si>
  <si>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</si>
  <si>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</si>
  <si>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</si>
  <si>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</si>
  <si>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</si>
  <si>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</si>
  <si>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</si>
  <si>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</si>
  <si>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</si>
  <si>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</si>
  <si>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</si>
  <si>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</si>
  <si>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</si>
  <si>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</si>
  <si>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</si>
  <si>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</si>
  <si>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</si>
  <si>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</si>
  <si>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</si>
  <si>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</si>
  <si>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</si>
  <si>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</si>
  <si>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</si>
  <si>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</si>
  <si>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</si>
  <si>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</si>
  <si>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</si>
  <si>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</si>
  <si>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</si>
  <si>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</si>
  <si>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</si>
  <si>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</si>
  <si>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</si>
  <si>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</si>
  <si>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</si>
  <si>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</si>
  <si>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</si>
  <si>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</si>
  <si>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</si>
  <si>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</si>
  <si>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</si>
  <si>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</si>
  <si>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</si>
  <si>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</si>
  <si>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</si>
  <si>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</si>
  <si>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</si>
  <si>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</si>
  <si>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</si>
  <si>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</si>
  <si>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</si>
  <si>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</si>
  <si>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</si>
  <si>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</si>
  <si>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</si>
  <si>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</si>
  <si>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</si>
  <si>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</si>
  <si>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</si>
  <si>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</si>
  <si>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</si>
  <si>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</si>
  <si>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</si>
  <si>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</si>
  <si>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</si>
  <si>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</si>
  <si>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</si>
  <si>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</si>
  <si>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</si>
  <si>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</si>
  <si>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</si>
  <si>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</si>
  <si>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</si>
  <si>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</si>
  <si>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</si>
  <si>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</si>
  <si>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</si>
  <si>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</si>
  <si>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</si>
  <si>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</si>
  <si>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</si>
  <si>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</si>
  <si>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</si>
  <si>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</si>
  <si>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</si>
  <si>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</si>
  <si>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</si>
  <si>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</si>
  <si>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</si>
  <si>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</si>
  <si>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</si>
  <si>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</si>
  <si>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</si>
  <si>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</si>
  <si>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</si>
  <si>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</si>
  <si>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</si>
  <si>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</si>
  <si>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</si>
  <si>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</si>
  <si>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</si>
  <si>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</si>
  <si>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</si>
  <si>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</si>
  <si>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</si>
  <si>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</si>
  <si>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</si>
  <si>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</si>
  <si>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</si>
  <si>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</si>
  <si>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</si>
  <si>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</si>
  <si>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</si>
  <si>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</si>
  <si>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</si>
  <si>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</si>
  <si>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</si>
  <si>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</si>
  <si>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</si>
  <si>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</si>
  <si>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</si>
  <si>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</si>
  <si>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</si>
  <si>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</si>
  <si>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</si>
  <si>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</si>
  <si>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</si>
  <si>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</si>
  <si>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</si>
  <si>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</si>
  <si>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</si>
  <si>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</si>
  <si>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</si>
  <si>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</si>
  <si>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</si>
  <si>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</si>
  <si>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</si>
  <si>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</si>
  <si>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</si>
  <si>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</si>
  <si>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</si>
  <si>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</si>
  <si>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</si>
  <si>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</si>
  <si>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</si>
  <si>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</si>
  <si>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</si>
  <si>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</si>
  <si>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</si>
  <si>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</si>
  <si>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</si>
  <si>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</si>
  <si>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</si>
  <si>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</si>
  <si>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</si>
  <si>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</si>
  <si>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</si>
  <si>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</si>
  <si>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</si>
  <si>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</si>
  <si>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</si>
  <si>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</si>
  <si>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</si>
  <si>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</si>
  <si>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</si>
  <si>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</si>
  <si>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</si>
  <si>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</si>
  <si>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</si>
  <si>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</si>
  <si>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</si>
  <si>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</si>
  <si>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</si>
  <si>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</si>
  <si>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</si>
  <si>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</si>
  <si>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</si>
  <si>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</si>
  <si>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</si>
  <si>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</si>
  <si>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</si>
  <si>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</si>
  <si>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</si>
  <si>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</si>
  <si>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</si>
  <si>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</si>
  <si>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</si>
  <si>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</si>
  <si>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</si>
  <si>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</si>
  <si>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</si>
  <si>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</si>
  <si>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</si>
  <si>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</si>
  <si>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</si>
  <si>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</si>
  <si>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</si>
  <si>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</si>
  <si>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</si>
  <si>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</si>
  <si>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</si>
  <si>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</si>
  <si>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</si>
  <si>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</si>
  <si>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</si>
  <si>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</si>
  <si>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</si>
  <si>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</si>
  <si>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</si>
  <si>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</si>
  <si>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</si>
  <si>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</si>
  <si>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</si>
  <si>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</si>
  <si>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</si>
  <si>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</si>
  <si>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</si>
  <si>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</si>
  <si>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</si>
  <si>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</si>
  <si>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</si>
  <si>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</si>
  <si>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</si>
  <si>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</si>
  <si>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</si>
  <si>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</si>
  <si>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</si>
  <si>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</si>
  <si>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</si>
  <si>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</si>
  <si>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</si>
  <si>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</si>
  <si>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</si>
  <si>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</si>
  <si>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</si>
  <si>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</si>
  <si>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</si>
  <si>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</si>
  <si>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</si>
  <si>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</si>
  <si>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</si>
  <si>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</si>
  <si>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</si>
  <si>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</si>
  <si>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</si>
  <si>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</si>
  <si>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</si>
  <si>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</si>
  <si>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</si>
  <si>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</si>
  <si>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</si>
  <si>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</si>
  <si>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</si>
  <si>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</si>
  <si>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</si>
  <si>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</si>
  <si>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</si>
  <si>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</si>
  <si>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</si>
  <si>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</si>
  <si>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</si>
  <si>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</si>
  <si>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</si>
  <si>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</si>
  <si>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</si>
  <si>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</si>
  <si>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</si>
  <si>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</si>
  <si>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</si>
  <si>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</si>
  <si>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</si>
  <si>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</si>
  <si>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</si>
  <si>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</si>
  <si>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</si>
  <si>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</si>
  <si>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</si>
  <si>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</si>
  <si>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</si>
  <si>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</si>
  <si>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</si>
  <si>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</si>
  <si>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</si>
  <si>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</si>
  <si>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</si>
  <si>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</si>
  <si>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</si>
  <si>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</si>
  <si>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</si>
  <si>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</si>
  <si>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</si>
  <si>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</si>
  <si>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</si>
  <si>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</si>
  <si>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</si>
  <si>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</si>
  <si>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</si>
  <si>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</si>
  <si>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</si>
  <si>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</si>
  <si>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</si>
  <si>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</si>
  <si>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</si>
  <si>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</si>
  <si>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</si>
  <si>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</si>
  <si>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</si>
  <si>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</si>
  <si>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</si>
  <si>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</si>
  <si>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</si>
  <si>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</si>
  <si>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</si>
  <si>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</si>
  <si>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</si>
  <si>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</si>
  <si>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</si>
  <si>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</si>
  <si>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</si>
  <si>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</si>
  <si>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</si>
  <si>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</si>
  <si>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</si>
  <si>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</si>
  <si>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</si>
  <si>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</si>
  <si>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</si>
  <si>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</si>
  <si>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</si>
  <si>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</si>
  <si>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</si>
  <si>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</si>
  <si>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</si>
  <si>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</si>
  <si>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</si>
  <si>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</si>
  <si>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</si>
  <si>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</si>
  <si>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</si>
  <si>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</si>
  <si>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</si>
  <si>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</si>
  <si>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</si>
  <si>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</si>
  <si>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</si>
  <si>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</si>
  <si>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</si>
  <si>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</si>
  <si>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</si>
  <si>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</si>
  <si>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</si>
  <si>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</si>
  <si>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</si>
  <si>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</si>
  <si>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</si>
  <si>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</si>
  <si>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</si>
  <si>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</si>
  <si>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</si>
  <si>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</si>
  <si>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</si>
  <si>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</si>
  <si>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</si>
  <si>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</si>
  <si>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</si>
  <si>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</si>
  <si>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</si>
  <si>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</si>
  <si>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</si>
  <si>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</si>
  <si>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</si>
  <si>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</si>
  <si>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</si>
  <si>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</si>
  <si>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</si>
  <si>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</si>
  <si>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</si>
  <si>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</si>
  <si>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</si>
  <si>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</si>
  <si>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</si>
  <si>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</si>
  <si>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</si>
  <si>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</si>
  <si>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</si>
  <si>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</si>
  <si>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</si>
  <si>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</si>
  <si>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</si>
  <si>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</si>
  <si>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</si>
  <si>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</si>
  <si>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</si>
  <si>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</si>
  <si>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</si>
  <si>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</si>
  <si>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</si>
  <si>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</si>
  <si>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</si>
  <si>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</si>
  <si>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</si>
  <si>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</si>
  <si>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</si>
  <si>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</si>
  <si>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</si>
  <si>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</si>
  <si>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</si>
  <si>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</si>
  <si>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</si>
  <si>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</si>
  <si>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</si>
  <si>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</si>
  <si>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</si>
  <si>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</si>
  <si>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</si>
  <si>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</si>
  <si>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</si>
  <si>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</si>
  <si>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</si>
  <si>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</si>
  <si>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</si>
  <si>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</si>
  <si>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</si>
  <si>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</si>
  <si>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</si>
  <si>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</si>
  <si>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</si>
  <si>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</si>
  <si>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</si>
  <si>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</si>
  <si>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</si>
  <si>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</si>
  <si>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</si>
  <si>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</si>
  <si>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</si>
  <si>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</si>
  <si>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</si>
  <si>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</si>
  <si>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</si>
  <si>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</si>
  <si>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</si>
  <si>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</si>
  <si>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</si>
  <si>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</si>
  <si>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</si>
  <si>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</si>
  <si>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</si>
  <si>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</si>
  <si>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</si>
  <si>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</si>
  <si>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</si>
  <si>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</si>
  <si>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</si>
  <si>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</si>
  <si>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</si>
  <si>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</si>
  <si>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</si>
  <si>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</si>
  <si>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</si>
  <si>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</si>
  <si>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</si>
  <si>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</si>
  <si>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</si>
  <si>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</si>
  <si>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</si>
  <si>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</si>
  <si>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</si>
  <si>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</si>
  <si>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</si>
  <si>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</si>
  <si>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</si>
  <si>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</si>
  <si>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</si>
  <si>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</si>
  <si>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</si>
  <si>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</si>
  <si>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</si>
  <si>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</si>
  <si>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</si>
  <si>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</si>
  <si>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</si>
  <si>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</si>
  <si>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</si>
  <si>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</si>
  <si>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</si>
  <si>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</si>
  <si>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</si>
  <si>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</si>
  <si>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</si>
  <si>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</si>
  <si>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</si>
  <si>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</si>
  <si>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</si>
  <si>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</si>
  <si>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</si>
  <si>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</si>
  <si>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</si>
  <si>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</si>
  <si>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</si>
  <si>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</si>
  <si>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</si>
  <si>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</si>
  <si>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</si>
  <si>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</si>
  <si>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</si>
  <si>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</si>
  <si>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</si>
  <si>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</si>
  <si>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</si>
  <si>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</si>
  <si>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</si>
  <si>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</si>
  <si>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</si>
  <si>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</si>
  <si>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</si>
  <si>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</si>
  <si>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</si>
  <si>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</si>
  <si>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</si>
  <si>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</si>
  <si>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</si>
  <si>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</si>
  <si>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</si>
  <si>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</si>
  <si>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</si>
  <si>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</si>
  <si>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</si>
  <si>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</si>
  <si>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</si>
  <si>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</si>
  <si>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</si>
  <si>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</si>
  <si>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</si>
  <si>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</si>
  <si>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</si>
  <si>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</si>
  <si>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</si>
  <si>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</si>
  <si>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</si>
  <si>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</si>
  <si>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</si>
  <si>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</si>
  <si>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</si>
  <si>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</si>
  <si>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</si>
  <si>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</si>
  <si>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</si>
  <si>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</si>
  <si>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</si>
  <si>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</si>
  <si>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</si>
  <si>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</si>
  <si>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</si>
  <si>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</si>
  <si>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</si>
  <si>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</si>
  <si>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</si>
  <si>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</si>
  <si>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</si>
  <si>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</si>
  <si>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</si>
  <si>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</si>
  <si>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</si>
  <si>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</si>
  <si>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</si>
  <si>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</si>
  <si>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</si>
  <si>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</si>
  <si>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</si>
  <si>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</si>
  <si>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</si>
  <si>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</si>
  <si>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</si>
  <si>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</si>
  <si>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</si>
  <si>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</si>
  <si>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</si>
  <si>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</si>
  <si>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</si>
  <si>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</si>
  <si>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</si>
  <si>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</si>
  <si>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</si>
  <si>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</si>
  <si>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</si>
  <si>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</si>
  <si>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</si>
  <si>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</si>
  <si>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</si>
  <si>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</si>
  <si>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</si>
  <si>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</si>
  <si>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</si>
  <si>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</si>
  <si>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</si>
  <si>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</si>
  <si>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</si>
  <si>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</si>
  <si>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</si>
  <si>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</si>
  <si>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</si>
  <si>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</si>
  <si>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</si>
  <si>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</si>
  <si>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</si>
  <si>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</si>
  <si>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</si>
  <si>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</si>
  <si>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</si>
  <si>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</si>
  <si>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</si>
  <si>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</si>
  <si>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</si>
  <si>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</si>
  <si>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</si>
  <si>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</si>
  <si>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</si>
  <si>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</si>
  <si>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</si>
  <si>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</si>
  <si>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</si>
  <si>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</si>
  <si>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</si>
  <si>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</si>
  <si>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</si>
  <si>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</si>
  <si>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</si>
  <si>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</si>
  <si>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</si>
  <si>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</si>
  <si>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</si>
  <si>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</si>
  <si>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</si>
  <si>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</si>
  <si>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</si>
  <si>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</si>
  <si>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</si>
  <si>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</si>
  <si>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</si>
  <si>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</si>
  <si>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</si>
  <si>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</si>
  <si>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</si>
  <si>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</si>
  <si>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</si>
  <si>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</si>
  <si>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</si>
  <si>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</si>
  <si>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</si>
  <si>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</si>
  <si>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</si>
  <si>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</si>
  <si>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</si>
  <si>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</si>
  <si>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</si>
  <si>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</si>
  <si>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</si>
  <si>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</si>
  <si>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</si>
  <si>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</si>
  <si>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</si>
  <si>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</si>
  <si>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</si>
  <si>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</si>
  <si>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</si>
  <si>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</si>
  <si>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</si>
  <si>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</si>
  <si>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</si>
  <si>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</si>
  <si>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</si>
  <si>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</si>
  <si>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</si>
  <si>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</si>
  <si>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</si>
  <si>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</si>
  <si>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</si>
  <si>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</si>
  <si>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</si>
  <si>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</si>
  <si>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</si>
  <si>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</si>
  <si>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</si>
  <si>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</si>
  <si>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</si>
  <si>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</si>
  <si>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</si>
  <si>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</si>
  <si>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</si>
  <si>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</si>
  <si>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</si>
  <si>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</si>
  <si>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</si>
  <si>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</si>
  <si>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</si>
  <si>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</si>
  <si>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</si>
  <si>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</si>
  <si>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</si>
  <si>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</si>
  <si>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</si>
  <si>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</si>
  <si>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</si>
  <si>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</si>
  <si>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</si>
  <si>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</si>
  <si>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</si>
  <si>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</si>
  <si>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</si>
  <si>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</si>
  <si>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</si>
  <si>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</si>
  <si>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</si>
  <si>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</si>
  <si>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</si>
  <si>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</si>
  <si>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</si>
  <si>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</si>
  <si>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</si>
  <si>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</si>
  <si>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</si>
  <si>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</si>
  <si>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</si>
  <si>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</si>
  <si>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</si>
  <si>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</si>
  <si>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</si>
  <si>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</si>
  <si>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</si>
  <si>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</si>
  <si>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</si>
  <si>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</si>
  <si>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</si>
  <si>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</si>
  <si>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</si>
  <si>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</si>
  <si>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</si>
  <si>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</si>
  <si>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</si>
  <si>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</si>
  <si>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</si>
  <si>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</si>
  <si>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</si>
  <si>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</si>
  <si>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</si>
  <si>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</si>
  <si>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</si>
  <si>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</si>
  <si>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</si>
  <si>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</si>
  <si>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</si>
  <si>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</si>
  <si>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</si>
  <si>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</si>
  <si>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</si>
  <si>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</si>
  <si>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</si>
  <si>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</si>
  <si>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</si>
  <si>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</si>
  <si>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</si>
  <si>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</si>
  <si>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</si>
  <si>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</si>
  <si>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</si>
  <si>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</si>
  <si>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</si>
  <si>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</si>
  <si>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</si>
  <si>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</si>
  <si>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</si>
  <si>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</si>
  <si>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</si>
  <si>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</si>
  <si>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</si>
  <si>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</si>
  <si>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</si>
  <si>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</si>
  <si>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</si>
  <si>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</si>
  <si>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</si>
  <si>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</si>
  <si>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</si>
  <si>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</si>
  <si>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</si>
  <si>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</si>
  <si>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</si>
  <si>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</si>
  <si>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</si>
  <si>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</si>
  <si>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</si>
  <si>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</si>
  <si>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</si>
  <si>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</si>
  <si>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</si>
  <si>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</si>
  <si>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</si>
  <si>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</si>
  <si>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</si>
  <si>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</si>
  <si>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</si>
  <si>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</si>
  <si>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</si>
  <si>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</si>
  <si>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</si>
  <si>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</si>
  <si>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</si>
  <si>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</si>
  <si>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</si>
  <si>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</si>
  <si>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</si>
  <si>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</si>
  <si>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</si>
  <si>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</si>
  <si>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</si>
  <si>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</si>
  <si>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</si>
  <si>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</si>
  <si>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</si>
  <si>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</si>
  <si>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</si>
  <si>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</si>
  <si>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</si>
  <si>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</si>
  <si>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</si>
  <si>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</si>
  <si>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</si>
  <si>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</si>
  <si>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</si>
  <si>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</si>
  <si>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</si>
  <si>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</si>
  <si>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</si>
  <si>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</si>
  <si>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</si>
  <si>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</si>
  <si>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</si>
  <si>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</si>
  <si>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</si>
  <si>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</si>
  <si>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</si>
  <si>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</si>
  <si>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</si>
  <si>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</si>
  <si>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</si>
  <si>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</si>
  <si>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</si>
  <si>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</si>
  <si>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</si>
  <si>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</si>
  <si>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</si>
  <si>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</si>
  <si>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</si>
  <si>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</si>
  <si>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</si>
  <si>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</si>
  <si>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</si>
  <si>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</si>
  <si>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</si>
  <si>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</si>
  <si>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</si>
  <si>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</si>
  <si>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</si>
  <si>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</si>
  <si>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</si>
  <si>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</si>
  <si>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</si>
  <si>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</si>
  <si>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</si>
  <si>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</si>
  <si>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</si>
  <si>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</si>
  <si>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</si>
  <si>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</si>
  <si>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</si>
  <si>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</si>
  <si>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</si>
  <si>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</si>
  <si>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</si>
  <si>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</si>
  <si>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</si>
  <si>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</si>
  <si>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</si>
  <si>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</si>
  <si>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</si>
  <si>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</si>
  <si>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</si>
  <si>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</si>
  <si>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</si>
  <si>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</si>
  <si>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</si>
  <si>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</si>
  <si>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</si>
  <si>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</si>
  <si>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</si>
  <si>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</si>
  <si>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</si>
  <si>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</si>
  <si>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</si>
  <si>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</si>
  <si>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</si>
  <si>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</si>
  <si>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</si>
  <si>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</si>
  <si>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</si>
  <si>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</si>
  <si>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</si>
  <si>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</si>
  <si>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</si>
  <si>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</si>
  <si>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</si>
  <si>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</si>
  <si>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</si>
  <si>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</si>
  <si>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</si>
  <si>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</si>
  <si>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</si>
  <si>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</si>
  <si>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</si>
  <si>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</si>
  <si>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</si>
  <si>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</si>
  <si>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</si>
  <si>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</si>
  <si>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</si>
  <si>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</si>
  <si>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</si>
  <si>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</si>
  <si>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</si>
  <si>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</si>
  <si>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</si>
  <si>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</si>
  <si>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</si>
  <si>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</si>
  <si>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</si>
  <si>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</si>
  <si>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</si>
  <si>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</si>
  <si>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</si>
  <si>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</si>
  <si>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</si>
  <si>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</si>
  <si>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</si>
  <si>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</si>
  <si>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</si>
  <si>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</si>
  <si>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</si>
  <si>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</si>
  <si>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</si>
  <si>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</si>
  <si>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</si>
  <si>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</si>
  <si>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</si>
  <si>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</si>
  <si>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</si>
  <si>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</si>
  <si>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</si>
  <si>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</si>
  <si>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</si>
  <si>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</si>
  <si>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</si>
  <si>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</si>
  <si>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</si>
  <si>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</si>
  <si>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</si>
  <si>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</si>
  <si>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</si>
  <si>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</si>
  <si>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</si>
  <si>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</si>
  <si>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</si>
  <si>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</si>
  <si>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</si>
  <si>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</si>
  <si>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</si>
  <si>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</si>
  <si>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</si>
  <si>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</si>
  <si>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</si>
  <si>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</si>
  <si>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</si>
  <si>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</si>
  <si>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</si>
  <si>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</si>
  <si>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</si>
  <si>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</si>
  <si>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</si>
  <si>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</si>
  <si>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</si>
  <si>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</si>
  <si>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</si>
  <si>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</si>
  <si>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</si>
  <si>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</si>
  <si>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</si>
  <si>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</si>
  <si>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</si>
  <si>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</si>
  <si>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</si>
  <si>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</si>
  <si>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</si>
  <si>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</si>
  <si>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</si>
  <si>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</si>
  <si>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</si>
  <si>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</si>
  <si>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</si>
  <si>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</si>
  <si>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</si>
  <si>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</si>
  <si>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</si>
  <si>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</si>
  <si>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</si>
  <si>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</si>
  <si>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</si>
  <si>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</si>
  <si>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</si>
  <si>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</si>
  <si>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</si>
  <si>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</si>
  <si>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</si>
  <si>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</si>
  <si>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</si>
  <si>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</si>
  <si>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</si>
  <si>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</si>
  <si>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</si>
  <si>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</si>
  <si>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</si>
  <si>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</si>
  <si>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</si>
  <si>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</si>
  <si>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</si>
  <si>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</si>
  <si>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</si>
  <si>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</si>
  <si>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</si>
  <si>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</si>
  <si>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</si>
  <si>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</si>
  <si>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</si>
  <si>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</si>
  <si>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</si>
  <si>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</si>
  <si>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</si>
  <si>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</si>
  <si>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</si>
  <si>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</si>
  <si>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</si>
  <si>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</si>
  <si>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</si>
  <si>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</si>
  <si>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</si>
  <si>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</si>
  <si>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</si>
  <si>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</si>
  <si>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</si>
  <si>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</si>
  <si>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</si>
  <si>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</si>
  <si>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</si>
  <si>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</si>
  <si>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</si>
  <si>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</si>
  <si>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</si>
  <si>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</si>
  <si>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</si>
  <si>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</si>
  <si>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</si>
  <si>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</si>
  <si>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</si>
  <si>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</si>
  <si>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</si>
  <si>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</si>
  <si>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</si>
  <si>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</si>
  <si>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</si>
  <si>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</si>
  <si>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</si>
  <si>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</si>
  <si>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</si>
  <si>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</si>
  <si>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</si>
  <si>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</si>
  <si>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</si>
  <si>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</si>
  <si>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</si>
  <si>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</si>
  <si>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</si>
  <si>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</si>
  <si>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</si>
  <si>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</si>
  <si>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</si>
  <si>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</si>
  <si>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</si>
  <si>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</si>
  <si>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</si>
  <si>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</si>
  <si>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</si>
  <si>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</si>
  <si>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</si>
  <si>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</si>
  <si>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</si>
  <si>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</si>
  <si>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</si>
  <si>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</si>
  <si>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</si>
  <si>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</si>
  <si>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</si>
  <si>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</si>
  <si>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</si>
  <si>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</si>
  <si>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</si>
  <si>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</si>
  <si>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</si>
  <si>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</si>
  <si>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</si>
  <si>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</si>
  <si>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</si>
  <si>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</si>
  <si>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</si>
  <si>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</si>
  <si>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</si>
  <si>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</si>
  <si>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</si>
  <si>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</si>
  <si>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</si>
  <si>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</si>
  <si>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</si>
  <si>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</si>
  <si>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</si>
  <si>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</si>
  <si>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</si>
  <si>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</si>
  <si>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</si>
  <si>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</si>
  <si>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</si>
  <si>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</si>
  <si>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</si>
  <si>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</si>
  <si>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</si>
  <si>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</si>
  <si>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</si>
  <si>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</si>
  <si>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</si>
  <si>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</si>
  <si>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</si>
  <si>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</si>
  <si>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</si>
  <si>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</si>
  <si>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</si>
  <si>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</si>
  <si>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</si>
  <si>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</si>
  <si>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</si>
  <si>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</si>
  <si>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</si>
  <si>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</si>
  <si>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</si>
  <si>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</si>
  <si>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</si>
  <si>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</si>
  <si>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</si>
  <si>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</si>
  <si>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</si>
  <si>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</si>
  <si>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</si>
  <si>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</si>
  <si>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</si>
  <si>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</si>
  <si>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</si>
  <si>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</si>
  <si>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</si>
  <si>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</si>
  <si>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</si>
  <si>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</si>
  <si>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</si>
  <si>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</si>
  <si>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</si>
  <si>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</si>
  <si>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</si>
  <si>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</si>
  <si>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</si>
  <si>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</si>
  <si>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</si>
  <si>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</si>
  <si>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</si>
  <si>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</si>
  <si>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</si>
  <si>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</si>
  <si>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</si>
  <si>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</si>
  <si>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</si>
  <si>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</si>
  <si>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</si>
  <si>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</si>
  <si>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</si>
  <si>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</si>
  <si>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</si>
  <si>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</si>
  <si>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</si>
  <si>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</si>
  <si>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</si>
  <si>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</si>
  <si>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</si>
  <si>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</si>
  <si>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</si>
  <si>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</si>
  <si>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</si>
  <si>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</si>
  <si>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</si>
  <si>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</si>
  <si>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</si>
  <si>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</si>
  <si>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</si>
  <si>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</si>
  <si>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</si>
  <si>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</si>
  <si>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</si>
  <si>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</si>
  <si>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</si>
  <si>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</si>
  <si>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</si>
  <si>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</si>
  <si>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</si>
  <si>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</si>
  <si>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</si>
  <si>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</si>
  <si>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</si>
  <si>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</si>
  <si>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</si>
  <si>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</si>
  <si>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</si>
  <si>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</si>
  <si>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</si>
  <si>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</si>
  <si>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</si>
  <si>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</si>
  <si>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</si>
  <si>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</si>
  <si>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</si>
  <si>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</si>
  <si>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</si>
  <si>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</si>
  <si>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</si>
  <si>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</si>
  <si>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</si>
  <si>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</si>
  <si>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</si>
  <si>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</si>
  <si>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</si>
  <si>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</si>
  <si>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</si>
  <si>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</si>
  <si>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</si>
  <si>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</si>
  <si>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</si>
  <si>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</si>
  <si>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</si>
  <si>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</si>
  <si>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</si>
  <si>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</si>
  <si>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</si>
  <si>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</si>
  <si>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</si>
  <si>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</si>
  <si>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</si>
  <si>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</si>
  <si>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</si>
  <si>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</si>
  <si>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</si>
  <si>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</si>
  <si>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</si>
  <si>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</si>
  <si>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</si>
  <si>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</si>
  <si>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</si>
  <si>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</si>
  <si>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</si>
  <si>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</si>
  <si>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</si>
  <si>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</si>
  <si>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</si>
  <si>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</si>
  <si>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</si>
  <si>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</si>
  <si>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</si>
  <si>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</si>
  <si>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</si>
  <si>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</si>
  <si>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</si>
  <si>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</si>
  <si>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</si>
  <si>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</si>
  <si>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</si>
  <si>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</si>
  <si>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</si>
  <si>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</si>
  <si>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</si>
  <si>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</si>
  <si>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</si>
  <si>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</si>
  <si>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</si>
  <si>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</si>
  <si>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</si>
  <si>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</si>
  <si>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</si>
  <si>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</si>
  <si>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</si>
  <si>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</si>
  <si>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</si>
  <si>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</si>
  <si>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</si>
  <si>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</si>
  <si>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</si>
  <si>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</si>
  <si>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</si>
  <si>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</si>
  <si>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</si>
  <si>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</si>
  <si>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</si>
  <si>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</si>
  <si>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</si>
  <si>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</si>
  <si>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</si>
  <si>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</si>
  <si>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</si>
  <si>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</si>
  <si>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</si>
  <si>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</si>
  <si>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</si>
  <si>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</si>
  <si>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</si>
  <si>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</si>
  <si>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</si>
  <si>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</si>
  <si>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</si>
  <si>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</si>
  <si>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</si>
  <si>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</si>
  <si>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</si>
  <si>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</si>
  <si>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</si>
  <si>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</si>
  <si>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</si>
  <si>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</si>
  <si>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</si>
  <si>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</si>
  <si>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</si>
  <si>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</si>
  <si>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</si>
  <si>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</si>
  <si>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</si>
  <si>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</si>
  <si>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</si>
  <si>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</si>
  <si>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</si>
  <si>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</si>
  <si>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</si>
  <si>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</si>
  <si>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</si>
  <si>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</si>
  <si>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</si>
  <si>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</si>
  <si>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</si>
  <si>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</si>
  <si>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</si>
  <si>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</si>
  <si>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</si>
  <si>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</si>
  <si>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</si>
  <si>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</si>
  <si>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</si>
  <si>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</si>
  <si>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</si>
  <si>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</si>
  <si>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</si>
  <si>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</si>
  <si>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</si>
  <si>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</si>
  <si>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</si>
  <si>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</si>
  <si>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</si>
  <si>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</si>
  <si>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</si>
  <si>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</si>
  <si>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</si>
  <si>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</si>
  <si>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</si>
  <si>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</si>
  <si>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</si>
  <si>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</si>
  <si>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</si>
  <si>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</si>
  <si>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</si>
  <si>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</si>
  <si>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</si>
  <si>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</si>
  <si>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</si>
  <si>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</si>
  <si>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</si>
  <si>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</si>
  <si>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</si>
  <si>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</si>
  <si>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</si>
  <si>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</si>
  <si>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</si>
  <si>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</si>
  <si>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</si>
  <si>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</si>
  <si>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</si>
  <si>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</si>
  <si>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</si>
  <si>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</si>
  <si>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</si>
  <si>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</si>
  <si>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</si>
  <si>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</si>
  <si>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</si>
  <si>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</si>
  <si>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</si>
  <si>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</si>
  <si>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</si>
  <si>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</si>
  <si>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</si>
  <si>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</si>
  <si>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</si>
  <si>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</si>
  <si>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</si>
  <si>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</si>
  <si>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</si>
  <si>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</si>
  <si>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</si>
  <si>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</si>
  <si>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</si>
  <si>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</si>
  <si>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</si>
  <si>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</si>
  <si>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</si>
  <si>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</si>
  <si>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</si>
  <si>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</si>
  <si>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</si>
  <si>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</si>
  <si>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</si>
  <si>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</si>
  <si>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</si>
  <si>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</si>
  <si>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</si>
  <si>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</si>
  <si>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</si>
  <si>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</si>
  <si>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</si>
  <si>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</si>
  <si>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</si>
  <si>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</si>
  <si>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</si>
  <si>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</si>
  <si>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</si>
  <si>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</si>
  <si>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</si>
  <si>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</si>
  <si>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</si>
  <si>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</si>
  <si>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</si>
  <si>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</si>
  <si>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</si>
  <si>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</si>
  <si>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</si>
  <si>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</si>
  <si>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</si>
  <si>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</si>
  <si>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</si>
  <si>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</si>
  <si>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</si>
  <si>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</si>
  <si>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</si>
  <si>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</si>
  <si>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</si>
  <si>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</si>
  <si>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</si>
  <si>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</si>
  <si>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</si>
  <si>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</si>
  <si>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</si>
  <si>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</si>
  <si>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</si>
  <si>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</si>
  <si>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</si>
  <si>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</si>
  <si>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</si>
  <si>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</si>
  <si>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</si>
  <si>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</si>
  <si>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</si>
  <si>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</si>
  <si>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</si>
  <si>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</si>
  <si>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</si>
  <si>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</si>
  <si>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</si>
  <si>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</si>
  <si>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</si>
  <si>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</si>
  <si>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</si>
  <si>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</si>
  <si>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</si>
  <si>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</si>
  <si>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</si>
  <si>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</si>
  <si>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</si>
  <si>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</si>
  <si>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</si>
  <si>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</si>
  <si>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</si>
  <si>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</si>
  <si>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</si>
  <si>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</si>
  <si>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</si>
  <si>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</si>
  <si>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</si>
  <si>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</si>
  <si>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</si>
  <si>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</si>
  <si>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</si>
  <si>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</si>
  <si>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</si>
  <si>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</si>
  <si>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</si>
  <si>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</si>
  <si>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</si>
  <si>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</si>
  <si>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</si>
  <si>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</si>
  <si>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</si>
  <si>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</si>
  <si>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</si>
  <si>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</si>
  <si>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</si>
  <si>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</si>
  <si>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</si>
  <si>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</si>
  <si>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</si>
  <si>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</si>
  <si>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</si>
  <si>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</si>
  <si>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</si>
  <si>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</si>
  <si>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</si>
  <si>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</si>
  <si>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</si>
  <si>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</si>
  <si>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</si>
  <si>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</si>
  <si>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</si>
  <si>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</si>
  <si>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</si>
  <si>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</si>
  <si>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</si>
  <si>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</si>
  <si>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</si>
  <si>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</si>
  <si>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</si>
  <si>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</si>
  <si>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</si>
  <si>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</si>
  <si>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</si>
  <si>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</si>
  <si>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</si>
  <si>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</si>
  <si>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</si>
  <si>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</si>
  <si>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</si>
  <si>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</si>
  <si>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</si>
  <si>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</si>
  <si>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</si>
  <si>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</si>
  <si>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</si>
  <si>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</si>
  <si>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</si>
  <si>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</si>
  <si>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</si>
  <si>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</si>
  <si>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</si>
  <si>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</si>
  <si>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</si>
  <si>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</si>
  <si>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</si>
  <si>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</si>
  <si>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</si>
  <si>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</si>
  <si>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</si>
  <si>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</si>
  <si>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</si>
  <si>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</si>
  <si>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</si>
  <si>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</si>
  <si>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</si>
  <si>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</si>
  <si>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</si>
  <si>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</si>
  <si>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</si>
  <si>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</si>
  <si>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</si>
  <si>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</si>
  <si>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</si>
  <si>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</si>
  <si>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</si>
  <si>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</si>
  <si>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</si>
  <si>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</si>
  <si>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</si>
  <si>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</si>
  <si>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</si>
  <si>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</si>
  <si>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</si>
  <si>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</si>
  <si>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</si>
  <si>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</si>
  <si>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</si>
  <si>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</si>
  <si>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</si>
  <si>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</si>
  <si>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</si>
  <si>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</si>
  <si>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</si>
  <si>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</si>
  <si>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</si>
  <si>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</si>
  <si>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</si>
  <si>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</si>
  <si>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</si>
  <si>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</si>
  <si>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</si>
  <si>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</si>
  <si>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</si>
  <si>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</si>
  <si>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</si>
  <si>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</si>
  <si>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</si>
  <si>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</si>
  <si>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</si>
  <si>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</si>
  <si>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</si>
  <si>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</si>
  <si>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</si>
  <si>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</si>
  <si>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</si>
  <si>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</si>
  <si>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</si>
  <si>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</si>
  <si>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</si>
  <si>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</si>
  <si>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</si>
  <si>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</si>
  <si>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</si>
  <si>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</si>
  <si>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</si>
  <si>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</si>
  <si>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</si>
  <si>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</si>
  <si>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</si>
  <si>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</si>
  <si>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</si>
  <si>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</si>
  <si>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</si>
  <si>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</si>
  <si>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</si>
  <si>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</si>
  <si>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</si>
  <si>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</si>
  <si>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</si>
  <si>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</si>
  <si>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</si>
  <si>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</si>
  <si>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</si>
  <si>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</si>
  <si>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</si>
  <si>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</si>
  <si>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</si>
  <si>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</si>
  <si>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</si>
  <si>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</si>
  <si>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</si>
  <si>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</si>
  <si>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</si>
  <si>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</si>
  <si>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</si>
  <si>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</si>
  <si>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</si>
  <si>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</si>
  <si>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</si>
  <si>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</si>
  <si>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</si>
  <si>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</si>
  <si>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</si>
  <si>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</si>
  <si>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</si>
  <si>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</si>
  <si>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</si>
  <si>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</si>
  <si>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</si>
  <si>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</si>
  <si>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</si>
  <si>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</si>
  <si>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</si>
  <si>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</si>
  <si>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</si>
  <si>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</si>
  <si>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</si>
  <si>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</si>
  <si>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</si>
  <si>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</si>
  <si>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</si>
  <si>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</si>
  <si>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</si>
  <si>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</si>
  <si>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</si>
  <si>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</si>
  <si>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</si>
  <si>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</si>
  <si>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</si>
  <si>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</si>
  <si>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</si>
  <si>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</si>
  <si>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</si>
  <si>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</si>
  <si>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</si>
  <si>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</si>
  <si>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</si>
  <si>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</si>
  <si>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</si>
  <si>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</si>
  <si>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</si>
  <si>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</si>
  <si>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</si>
  <si>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</si>
  <si>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</si>
  <si>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</si>
  <si>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</si>
  <si>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</si>
  <si>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</si>
  <si>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</si>
  <si>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</si>
  <si>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</si>
  <si>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</si>
  <si>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</si>
  <si>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</si>
  <si>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</si>
  <si>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</si>
  <si>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</si>
  <si>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</si>
  <si>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</si>
  <si>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</si>
  <si>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</si>
  <si>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</si>
  <si>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</si>
  <si>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</si>
  <si>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</si>
  <si>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</si>
  <si>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</si>
  <si>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</si>
  <si>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</si>
  <si>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</si>
  <si>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</si>
  <si>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</si>
  <si>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</si>
  <si>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</si>
  <si>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</si>
  <si>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</si>
  <si>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</si>
  <si>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</si>
  <si>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</si>
  <si>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</si>
  <si>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</si>
  <si>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</si>
  <si>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</si>
  <si>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</si>
  <si>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</si>
  <si>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</si>
  <si>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</si>
  <si>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</si>
  <si>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</si>
  <si>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</si>
  <si>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</si>
  <si>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</si>
  <si>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</si>
  <si>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</si>
  <si>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</si>
  <si>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</si>
  <si>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</si>
  <si>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</si>
  <si>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</si>
  <si>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</si>
  <si>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</si>
  <si>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</si>
  <si>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</si>
  <si>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</si>
  <si>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</si>
  <si>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</si>
  <si>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</si>
  <si>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</si>
  <si>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</si>
  <si>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</si>
  <si>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</si>
  <si>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</si>
  <si>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</si>
  <si>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</si>
  <si>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</si>
  <si>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</si>
  <si>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</si>
  <si>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</si>
  <si>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</si>
  <si>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</si>
  <si>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</si>
  <si>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</si>
  <si>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</si>
  <si>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</si>
  <si>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</si>
  <si>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</si>
  <si>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</si>
  <si>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</si>
  <si>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</si>
  <si>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</si>
  <si>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</si>
  <si>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</si>
  <si>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</si>
  <si>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</si>
  <si>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</si>
  <si>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</si>
  <si>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</si>
  <si>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</si>
  <si>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</si>
  <si>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</si>
  <si>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</si>
  <si>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</si>
  <si>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</si>
  <si>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</si>
  <si>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</si>
  <si>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</si>
  <si>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</si>
  <si>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</si>
  <si>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</si>
  <si>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</si>
  <si>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</si>
  <si>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</si>
  <si>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</si>
  <si>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</si>
  <si>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</si>
  <si>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</si>
  <si>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</si>
  <si>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</si>
  <si>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</si>
  <si>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</si>
  <si>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</si>
  <si>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</si>
  <si>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</si>
  <si>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</si>
  <si>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</si>
  <si>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</si>
  <si>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</si>
  <si>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</si>
  <si>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</si>
  <si>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</si>
  <si>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</si>
  <si>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</si>
  <si>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</si>
  <si>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</si>
  <si>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</si>
  <si>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</si>
  <si>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</si>
  <si>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</si>
  <si>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</si>
  <si>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</si>
  <si>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</si>
  <si>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</si>
  <si>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</si>
  <si>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</si>
  <si>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</si>
  <si>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</si>
  <si>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</si>
  <si>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</si>
  <si>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</si>
  <si>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</si>
  <si>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</si>
  <si>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</si>
  <si>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</si>
  <si>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</si>
  <si>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</si>
  <si>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</si>
  <si>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</si>
  <si>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</si>
  <si>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</si>
  <si>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</si>
  <si>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</si>
  <si>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</si>
  <si>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</si>
  <si>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</si>
  <si>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</si>
  <si>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</si>
  <si>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</si>
  <si>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</si>
  <si>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</si>
  <si>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</si>
  <si>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</si>
  <si>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</si>
  <si>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</si>
  <si>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</si>
  <si>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</si>
  <si>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</si>
  <si>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</si>
  <si>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</si>
  <si>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</si>
  <si>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</si>
  <si>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</si>
  <si>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</si>
  <si>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</si>
  <si>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</si>
  <si>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</si>
  <si>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</si>
  <si>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</si>
  <si>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</si>
  <si>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</si>
  <si>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</si>
  <si>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</si>
  <si>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</si>
  <si>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</si>
  <si>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</si>
  <si>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</si>
  <si>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</si>
  <si>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</si>
  <si>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</si>
  <si>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</si>
  <si>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</si>
  <si>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</si>
  <si>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</si>
  <si>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</si>
  <si>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</si>
  <si>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</si>
  <si>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</si>
  <si>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</si>
  <si>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</si>
  <si>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</si>
  <si>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</si>
  <si>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</si>
  <si>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</si>
  <si>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</si>
  <si>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</si>
  <si>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</si>
  <si>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</si>
  <si>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</si>
  <si>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</si>
  <si>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</si>
  <si>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</si>
  <si>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</si>
  <si>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</si>
  <si>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</si>
  <si>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</si>
  <si>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</si>
  <si>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</si>
  <si>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</si>
  <si>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</si>
  <si>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</si>
  <si>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</si>
  <si>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</si>
  <si>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</si>
  <si>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</si>
  <si>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</si>
  <si>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</si>
  <si>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</si>
  <si>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</si>
  <si>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</si>
  <si>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</si>
  <si>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</si>
  <si>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</si>
  <si>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</si>
  <si>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</si>
  <si>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</si>
  <si>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</si>
  <si>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</si>
  <si>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</si>
  <si>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</si>
  <si>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</si>
  <si>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</si>
  <si>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</si>
  <si>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</si>
  <si>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</si>
  <si>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</si>
  <si>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</si>
  <si>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</si>
  <si>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</si>
  <si>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</si>
  <si>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</si>
  <si>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</si>
  <si>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</si>
  <si>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</si>
  <si>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</si>
  <si>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</si>
  <si>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</si>
  <si>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</si>
  <si>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</si>
  <si>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</si>
  <si>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</si>
  <si>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</si>
  <si>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</si>
  <si>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</si>
  <si>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</si>
  <si>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</si>
  <si>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</si>
  <si>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</si>
  <si>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</si>
  <si>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</si>
  <si>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</si>
  <si>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</si>
  <si>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</si>
  <si>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</si>
  <si>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</si>
  <si>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</si>
  <si>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</si>
  <si>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</si>
  <si>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</si>
  <si>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</si>
  <si>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</si>
  <si>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</si>
  <si>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</si>
  <si>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</si>
  <si>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</si>
  <si>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</si>
  <si>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</si>
  <si>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</si>
  <si>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</si>
  <si>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</si>
  <si>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</si>
  <si>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</si>
  <si>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</si>
  <si>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</si>
  <si>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</si>
  <si>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</si>
  <si>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</si>
  <si>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</si>
  <si>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</si>
  <si>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</si>
  <si>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</si>
  <si>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</si>
  <si>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</si>
  <si>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</si>
  <si>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</si>
  <si>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</si>
  <si>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</si>
  <si>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</si>
  <si>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</si>
  <si>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</si>
  <si>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</si>
  <si>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</si>
  <si>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</si>
  <si>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</si>
  <si>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</si>
  <si>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</si>
  <si>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</si>
  <si>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</si>
  <si>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</si>
  <si>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</si>
  <si>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</si>
  <si>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</si>
  <si>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</si>
  <si>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</si>
  <si>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</si>
  <si>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</si>
  <si>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</si>
  <si>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</si>
  <si>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</si>
  <si>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</si>
  <si>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</si>
  <si>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</si>
  <si>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</si>
  <si>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</si>
  <si>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</si>
  <si>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</si>
  <si>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</si>
  <si>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</si>
  <si>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</si>
  <si>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</si>
  <si>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</si>
  <si>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</si>
  <si>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</si>
  <si>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</si>
  <si>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</si>
  <si>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</si>
  <si>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</si>
  <si>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</si>
  <si>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</si>
  <si>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</si>
  <si>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</si>
  <si>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</si>
  <si>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</si>
  <si>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</si>
  <si>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</si>
  <si>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</si>
  <si>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</si>
  <si>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</si>
  <si>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</si>
  <si>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</si>
  <si>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</si>
  <si>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</si>
  <si>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</si>
  <si>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</si>
  <si>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</si>
  <si>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</si>
  <si>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</si>
  <si>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</si>
  <si>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</si>
  <si>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</si>
  <si>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</si>
  <si>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</si>
  <si>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</si>
  <si>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</si>
  <si>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</si>
  <si>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</si>
  <si>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</si>
  <si>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</si>
  <si>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</si>
  <si>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</si>
  <si>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</si>
  <si>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</si>
  <si>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</si>
  <si>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</si>
  <si>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</si>
  <si>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</si>
  <si>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</si>
  <si>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</si>
  <si>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</si>
  <si>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</si>
  <si>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</si>
  <si>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</si>
  <si>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</si>
  <si>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</si>
  <si>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</si>
  <si>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</si>
  <si>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</si>
  <si>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</si>
  <si>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</si>
  <si>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</si>
  <si>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</si>
  <si>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</si>
  <si>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</si>
  <si>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</si>
  <si>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</si>
  <si>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</si>
  <si>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</si>
  <si>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</si>
  <si>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</si>
  <si>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</si>
  <si>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</si>
  <si>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</si>
  <si>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</si>
  <si>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</si>
  <si>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</si>
  <si>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</si>
  <si>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</si>
  <si>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</si>
  <si>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</si>
  <si>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</si>
  <si>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</si>
  <si>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</si>
  <si>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</si>
  <si>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</si>
  <si>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</si>
  <si>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</si>
  <si>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</si>
  <si>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</si>
  <si>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</si>
  <si>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</si>
  <si>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</si>
  <si>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</si>
  <si>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</si>
  <si>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</si>
  <si>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</si>
  <si>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</si>
  <si>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</si>
  <si>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</si>
  <si>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</si>
  <si>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</si>
  <si>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</si>
  <si>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</si>
  <si>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</si>
  <si>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</si>
  <si>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</si>
  <si>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</si>
  <si>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</si>
  <si>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</si>
  <si>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</si>
  <si>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</si>
  <si>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</si>
  <si>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</si>
  <si>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</si>
  <si>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</si>
  <si>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</si>
  <si>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</si>
  <si>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</si>
  <si>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</si>
  <si>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</si>
  <si>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</si>
  <si>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</si>
  <si>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</si>
  <si>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</si>
  <si>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</si>
  <si>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</si>
  <si>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</si>
  <si>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</si>
  <si>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</si>
  <si>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</si>
  <si>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</si>
  <si>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</si>
  <si>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</si>
  <si>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</si>
  <si>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</si>
  <si>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</si>
  <si>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</si>
  <si>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</si>
  <si>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</si>
  <si>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</si>
  <si>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</si>
  <si>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</si>
  <si>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</si>
  <si>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</si>
  <si>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</si>
  <si>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</si>
  <si>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</si>
  <si>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</si>
  <si>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</si>
  <si>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</si>
  <si>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</si>
  <si>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</si>
  <si>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</si>
  <si>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</si>
  <si>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</si>
  <si>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</si>
  <si>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</si>
  <si>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</si>
  <si>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</si>
  <si>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</si>
  <si>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</si>
  <si>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</si>
  <si>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</si>
  <si>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</si>
  <si>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</si>
  <si>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</si>
  <si>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</si>
  <si>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</si>
  <si>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</si>
  <si>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</si>
  <si>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</si>
  <si>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</si>
  <si>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</si>
  <si>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</si>
  <si>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</si>
  <si>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</si>
  <si>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</si>
  <si>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</si>
  <si>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</si>
  <si>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</si>
  <si>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</si>
  <si>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</si>
  <si>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</si>
  <si>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</si>
  <si>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</si>
  <si>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</si>
  <si>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</si>
  <si>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</si>
  <si>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</si>
  <si>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</si>
  <si>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</si>
  <si>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</si>
  <si>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</si>
  <si>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</si>
  <si>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</si>
  <si>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</si>
  <si>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</si>
  <si>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</si>
  <si>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</si>
  <si>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</si>
  <si>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</si>
  <si>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</si>
  <si>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</si>
  <si>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</si>
  <si>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</si>
  <si>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</si>
  <si>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</si>
  <si>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</si>
  <si>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</si>
  <si>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</si>
  <si>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</si>
  <si>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</si>
  <si>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</si>
  <si>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</si>
  <si>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</si>
  <si>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</si>
  <si>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</si>
  <si>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</si>
  <si>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</si>
  <si>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</si>
  <si>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</si>
  <si>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</si>
  <si>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</si>
  <si>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</si>
  <si>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</si>
  <si>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</si>
  <si>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</si>
  <si>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</si>
  <si>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</si>
  <si>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</si>
  <si>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</si>
  <si>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</si>
  <si>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</si>
  <si>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</si>
  <si>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</si>
  <si>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</si>
  <si>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</si>
  <si>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</si>
  <si>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</si>
  <si>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</si>
  <si>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</si>
  <si>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</si>
  <si>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</si>
  <si>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</si>
  <si>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</si>
  <si>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</si>
  <si>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</si>
  <si>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</si>
  <si>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</si>
  <si>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</si>
  <si>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</si>
  <si>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</si>
  <si>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</si>
  <si>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</si>
  <si>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</si>
  <si>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</si>
  <si>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</si>
  <si>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</si>
  <si>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</si>
  <si>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</si>
  <si>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</si>
  <si>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</si>
  <si>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</si>
  <si>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</si>
  <si>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</si>
  <si>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</si>
  <si>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</si>
  <si>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</si>
  <si>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</si>
  <si>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</si>
  <si>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</si>
  <si>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</si>
  <si>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</si>
  <si>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</si>
  <si>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</si>
  <si>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</si>
  <si>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</si>
  <si>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</si>
  <si>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</si>
  <si>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</si>
  <si>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</si>
  <si>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</si>
  <si>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</si>
  <si>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</si>
  <si>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</si>
  <si>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</si>
  <si>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</si>
  <si>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</si>
  <si>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</si>
  <si>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</si>
  <si>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</si>
  <si>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</si>
  <si>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</si>
  <si>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</si>
  <si>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</si>
  <si>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</si>
  <si>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</si>
  <si>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</si>
  <si>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</si>
  <si>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</si>
  <si>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</si>
  <si>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</si>
  <si>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</si>
  <si>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</si>
  <si>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</si>
  <si>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</si>
  <si>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</si>
  <si>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</si>
  <si>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</si>
  <si>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</si>
  <si>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</si>
  <si>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</si>
  <si>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</si>
  <si>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</si>
  <si>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</si>
  <si>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</si>
  <si>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</si>
  <si>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</si>
  <si>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</si>
  <si>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</si>
  <si>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</si>
  <si>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</si>
  <si>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</si>
  <si>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</si>
  <si>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</si>
  <si>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</si>
  <si>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</si>
  <si>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</si>
  <si>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</si>
  <si>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</si>
  <si>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</si>
  <si>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</si>
  <si>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</si>
  <si>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</si>
  <si>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</si>
  <si>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</si>
  <si>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</si>
  <si>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</si>
  <si>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</si>
  <si>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</si>
  <si>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</si>
  <si>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</si>
  <si>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</si>
  <si>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</si>
  <si>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</si>
  <si>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</si>
  <si>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</si>
  <si>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</si>
  <si>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</si>
  <si>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</si>
  <si>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</si>
  <si>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</si>
  <si>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</si>
  <si>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</si>
  <si>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</si>
  <si>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</si>
  <si>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</si>
  <si>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</si>
  <si>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</si>
  <si>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</si>
  <si>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</si>
  <si>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</si>
  <si>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</si>
  <si>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</si>
  <si>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</si>
  <si>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</si>
  <si>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</si>
  <si>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</si>
  <si>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</si>
  <si>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</si>
  <si>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</si>
  <si>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</si>
  <si>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</si>
  <si>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</si>
  <si>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</si>
  <si>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</si>
  <si>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</si>
  <si>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</si>
  <si>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</si>
  <si>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</si>
  <si>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</si>
  <si>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</si>
  <si>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</si>
  <si>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</si>
  <si>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</si>
  <si>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</si>
  <si>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</si>
  <si>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</si>
  <si>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</si>
  <si>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</si>
  <si>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</si>
  <si>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</si>
  <si>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</si>
  <si>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</si>
  <si>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</si>
  <si>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</si>
  <si>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</si>
  <si>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</si>
  <si>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</si>
  <si>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</si>
  <si>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</si>
  <si>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</si>
  <si>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</si>
  <si>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</si>
  <si>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</si>
  <si>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</si>
  <si>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</si>
  <si>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</si>
  <si>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</si>
  <si>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</si>
  <si>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</si>
  <si>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</si>
  <si>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</si>
  <si>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</si>
  <si>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</si>
  <si>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</si>
  <si>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</si>
  <si>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</si>
  <si>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</si>
  <si>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</si>
  <si>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</si>
  <si>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</si>
  <si>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</si>
  <si>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</si>
  <si>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</si>
  <si>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</si>
  <si>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</si>
  <si>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</si>
  <si>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</si>
  <si>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</si>
  <si>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</si>
  <si>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</si>
  <si>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</si>
  <si>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</si>
  <si>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</si>
  <si>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</si>
  <si>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</si>
  <si>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</si>
  <si>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</si>
  <si>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</si>
  <si>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</si>
  <si>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</si>
  <si>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</si>
  <si>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</si>
  <si>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</si>
  <si>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</si>
  <si>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</si>
  <si>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</si>
  <si>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</si>
  <si>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</si>
  <si>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</si>
  <si>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</si>
  <si>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</si>
  <si>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</si>
  <si>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</si>
  <si>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</si>
  <si>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</si>
  <si>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</si>
  <si>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</si>
  <si>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</si>
  <si>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</si>
  <si>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</si>
  <si>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</si>
  <si>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</si>
  <si>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</si>
  <si>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</si>
  <si>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</si>
  <si>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</si>
  <si>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</si>
  <si>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</si>
  <si>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</si>
  <si>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</si>
  <si>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</si>
  <si>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</si>
  <si>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</si>
  <si>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</si>
  <si>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</si>
  <si>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</si>
  <si>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</si>
  <si>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</si>
  <si>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</si>
  <si>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</si>
  <si>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</si>
  <si>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</si>
  <si>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</si>
  <si>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</si>
  <si>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</si>
  <si>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</si>
  <si>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</si>
  <si>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</si>
  <si>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</si>
  <si>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</si>
  <si>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</si>
  <si>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</si>
  <si>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</si>
  <si>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</si>
  <si>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</si>
  <si>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</si>
  <si>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</si>
  <si>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</si>
  <si>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</si>
  <si>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</si>
  <si>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</si>
  <si>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</si>
  <si>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</si>
  <si>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</si>
  <si>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</si>
  <si>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</si>
  <si>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</si>
  <si>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</si>
  <si>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</si>
  <si>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</si>
  <si>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</si>
  <si>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</si>
  <si>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</si>
  <si>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</si>
  <si>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</si>
  <si>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</si>
  <si>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</si>
  <si>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</si>
  <si>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</si>
  <si>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</si>
  <si>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</si>
  <si>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</si>
  <si>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</si>
  <si>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</si>
  <si>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</si>
  <si>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</si>
  <si>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</si>
  <si>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</si>
  <si>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</si>
  <si>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</si>
  <si>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</si>
  <si>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</si>
  <si>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</si>
  <si>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</si>
  <si>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</si>
  <si>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</si>
  <si>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</si>
  <si>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</si>
  <si>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</si>
  <si>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</si>
  <si>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</si>
  <si>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</si>
  <si>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</si>
  <si>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</si>
  <si>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</si>
  <si>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</si>
  <si>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</si>
  <si>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</si>
  <si>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</si>
  <si>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</si>
  <si>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</si>
  <si>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</si>
  <si>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</si>
  <si>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</si>
  <si>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</si>
  <si>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</si>
  <si>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</si>
  <si>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</si>
  <si>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</si>
  <si>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</si>
  <si>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</si>
  <si>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</si>
  <si>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</si>
  <si>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</si>
  <si>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</si>
  <si>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</si>
  <si>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</si>
  <si>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</si>
  <si>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</si>
  <si>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</si>
  <si>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</si>
  <si>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</si>
  <si>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</si>
  <si>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</si>
  <si>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</si>
  <si>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</si>
  <si>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</si>
  <si>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</si>
  <si>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</si>
  <si>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</si>
  <si>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</si>
  <si>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</si>
  <si>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</si>
  <si>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</si>
  <si>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</si>
  <si>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</si>
  <si>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</si>
  <si>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</si>
  <si>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</si>
  <si>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</si>
  <si>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</si>
  <si>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</si>
  <si>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</si>
  <si>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</si>
  <si>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</si>
  <si>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</si>
  <si>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</si>
  <si>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</si>
  <si>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</si>
  <si>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</si>
  <si>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</si>
  <si>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</si>
  <si>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</si>
  <si>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</si>
  <si>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</si>
  <si>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</si>
  <si>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</si>
  <si>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</si>
  <si>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</si>
  <si>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</si>
  <si>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</si>
  <si>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</si>
  <si>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</si>
  <si>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</si>
  <si>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</si>
  <si>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</si>
  <si>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</si>
  <si>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</si>
  <si>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</si>
  <si>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</si>
  <si>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</si>
  <si>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</si>
  <si>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</si>
  <si>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</si>
  <si>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</si>
  <si>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</si>
  <si>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</si>
  <si>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</si>
  <si>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</si>
  <si>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</si>
  <si>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</si>
  <si>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</si>
  <si>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</si>
  <si>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</si>
  <si>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</si>
  <si>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</si>
  <si>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</si>
  <si>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</si>
  <si>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</si>
  <si>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</si>
  <si>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</si>
  <si>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</si>
  <si>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</si>
  <si>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</si>
  <si>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</si>
  <si>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</si>
  <si>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</si>
  <si>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</si>
  <si>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</si>
  <si>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</si>
  <si>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</si>
  <si>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</si>
  <si>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</si>
  <si>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</si>
  <si>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</si>
  <si>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</si>
  <si>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</si>
  <si>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</si>
  <si>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</si>
  <si>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</si>
  <si>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</si>
  <si>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</si>
  <si>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</si>
  <si>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</si>
  <si>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</si>
  <si>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</si>
  <si>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</si>
  <si>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</si>
  <si>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</si>
  <si>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</si>
  <si>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</si>
  <si>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</si>
  <si>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</si>
  <si>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</si>
  <si>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</si>
  <si>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</si>
  <si>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</si>
  <si>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</si>
  <si>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</si>
  <si>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</si>
  <si>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</si>
  <si>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</si>
  <si>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</si>
  <si>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</si>
  <si>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</si>
  <si>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</si>
  <si>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</si>
  <si>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</si>
  <si>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</si>
  <si>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</si>
  <si>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</si>
  <si>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</si>
  <si>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</si>
  <si>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</si>
  <si>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</si>
  <si>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</si>
  <si>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</si>
  <si>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</si>
  <si>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</si>
  <si>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</si>
  <si>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</si>
  <si>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</si>
  <si>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</si>
  <si>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</si>
  <si>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</si>
  <si>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</si>
  <si>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</si>
  <si>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</si>
  <si>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</si>
  <si>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</si>
  <si>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</si>
  <si>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</si>
  <si>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</si>
  <si>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</si>
  <si>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</si>
  <si>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</si>
  <si>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</si>
  <si>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</si>
  <si>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</si>
  <si>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</si>
  <si>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</si>
  <si>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</si>
  <si>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</si>
  <si>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</si>
  <si>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</si>
  <si>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</si>
  <si>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</si>
  <si>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</si>
  <si>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</si>
  <si>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</si>
  <si>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</si>
  <si>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</si>
  <si>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</si>
  <si>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</si>
  <si>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</si>
  <si>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</si>
  <si>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</si>
  <si>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</si>
  <si>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</si>
  <si>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</si>
  <si>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</si>
  <si>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</si>
  <si>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</si>
  <si>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</si>
  <si>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</si>
  <si>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</si>
  <si>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</si>
  <si>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</si>
  <si>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</si>
  <si>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</si>
  <si>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</si>
  <si>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</si>
  <si>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</si>
  <si>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</si>
  <si>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</si>
  <si>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</si>
  <si>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</si>
  <si>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</si>
  <si>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</si>
  <si>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</si>
  <si>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</si>
  <si>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</si>
  <si>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</si>
  <si>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</si>
  <si>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</si>
  <si>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</si>
  <si>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</si>
  <si>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</si>
  <si>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</si>
  <si>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</si>
  <si>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</si>
  <si>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</si>
  <si>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</si>
  <si>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</si>
  <si>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</si>
  <si>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</si>
  <si>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</si>
  <si>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</si>
  <si>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</si>
  <si>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</si>
  <si>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</si>
  <si>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</si>
  <si>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</si>
  <si>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</si>
  <si>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</si>
  <si>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</si>
  <si>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</si>
  <si>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</si>
  <si>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</si>
  <si>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</si>
  <si>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</si>
  <si>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</si>
  <si>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</si>
  <si>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</si>
  <si>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</si>
  <si>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</si>
  <si>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</si>
  <si>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</si>
  <si>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</si>
  <si>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</si>
  <si>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</si>
  <si>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</si>
  <si>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</si>
  <si>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</si>
  <si>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</si>
  <si>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</si>
  <si>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</si>
  <si>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</si>
  <si>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</si>
  <si>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</si>
  <si>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</si>
  <si>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</si>
  <si>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</si>
  <si>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</si>
  <si>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</si>
  <si>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</si>
  <si>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</si>
  <si>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</si>
  <si>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</si>
  <si>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</si>
  <si>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</si>
  <si>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</si>
  <si>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</si>
  <si>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</si>
  <si>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</si>
  <si>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</si>
  <si>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</si>
  <si>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</si>
  <si>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</si>
  <si>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</si>
  <si>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</si>
  <si>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</si>
  <si>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</si>
  <si>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</si>
  <si>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</si>
  <si>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</si>
  <si>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</si>
  <si>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</si>
  <si>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</si>
  <si>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</si>
  <si>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</si>
  <si>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</si>
  <si>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</si>
  <si>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</si>
  <si>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</si>
  <si>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</si>
  <si>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</si>
  <si>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</si>
  <si>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</si>
  <si>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</si>
  <si>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</si>
  <si>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</si>
  <si>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</si>
  <si>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</si>
  <si>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</si>
  <si>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</si>
  <si>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</si>
  <si>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</si>
  <si>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</si>
  <si>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</si>
  <si>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</si>
  <si>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</si>
  <si>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</si>
  <si>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</si>
  <si>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</si>
  <si>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</si>
  <si>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</si>
  <si>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</si>
  <si>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</si>
  <si>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</si>
  <si>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</si>
  <si>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</si>
  <si>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</si>
  <si>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</si>
  <si>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</si>
  <si>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</si>
  <si>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</si>
  <si>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</si>
  <si>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</si>
  <si>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</si>
  <si>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</si>
  <si>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</si>
  <si>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</si>
  <si>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</si>
  <si>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</si>
  <si>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</si>
  <si>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</si>
  <si>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</si>
  <si>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</si>
  <si>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</si>
  <si>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</si>
  <si>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</si>
  <si>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</si>
  <si>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</si>
  <si>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</si>
  <si>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</si>
  <si>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</si>
  <si>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</si>
  <si>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</si>
  <si>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</si>
  <si>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</si>
  <si>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</si>
  <si>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</si>
  <si>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</si>
  <si>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</si>
  <si>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</si>
  <si>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</si>
  <si>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</si>
  <si>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</si>
  <si>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</si>
  <si>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</si>
  <si>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</si>
  <si>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</si>
  <si>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</si>
  <si>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</si>
  <si>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</si>
  <si>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</si>
  <si>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</si>
  <si>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</si>
  <si>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</si>
  <si>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</si>
  <si>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</si>
  <si>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</si>
  <si>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</si>
  <si>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</si>
  <si>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</si>
  <si>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</si>
  <si>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</si>
  <si>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</si>
  <si>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</si>
  <si>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</si>
  <si>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</si>
  <si>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</si>
  <si>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</si>
  <si>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</si>
  <si>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</si>
  <si>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</si>
  <si>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</si>
  <si>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</si>
  <si>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</si>
  <si>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</si>
  <si>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</si>
  <si>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</si>
  <si>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</si>
  <si>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</si>
  <si>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</si>
  <si>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</si>
  <si>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</si>
  <si>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</si>
  <si>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</si>
  <si>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</si>
  <si>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</si>
  <si>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</si>
  <si>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</si>
  <si>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</si>
  <si>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</si>
  <si>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</si>
  <si>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</si>
  <si>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</si>
  <si>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</si>
  <si>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</si>
  <si>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</si>
  <si>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</si>
  <si>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</si>
  <si>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</si>
  <si>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</si>
  <si>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</si>
  <si>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</si>
  <si>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</si>
  <si>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</si>
  <si>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</si>
  <si>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</si>
  <si>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</si>
  <si>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</si>
  <si>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</si>
  <si>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</si>
  <si>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</si>
  <si>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</si>
  <si>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</si>
  <si>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</si>
  <si>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</si>
  <si>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</si>
  <si>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</si>
  <si>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</si>
  <si>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</si>
  <si>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MY-DINH2-CT5-3-NTM_HNI</t>
  </si>
  <si>
    <t>Tòa nhà CT5, Đơn Nguyên 3, khu đô thị Mỹ Đình 2, phường Mỹ Đình 2, quận Nam Từ Liêm, thành phố Hà Nội</t>
  </si>
  <si>
    <t>A03983181019TG05</t>
  </si>
  <si>
    <t>1903233/19/TG/TT1</t>
  </si>
  <si>
    <t>CHUNG-CU-C7-NTM_HNI</t>
  </si>
  <si>
    <t>Tòa nhà C7, ngõ 6, phố Trần Hữu Dực, phường Cầu Diễn, quận Nam Từ Liêm, thành phố Hà Nội</t>
  </si>
  <si>
    <t>A03984181019TG05</t>
  </si>
  <si>
    <t>1903231/19/TG/TT1</t>
  </si>
  <si>
    <t>DUONG-K2-256-NTM_HNI</t>
  </si>
  <si>
    <t>Số 256, đường K2, phường Cầu Diễn, quận Nam Từ Liêm, thành phố Hà Nội</t>
  </si>
  <si>
    <t>A03985181019TG05</t>
  </si>
  <si>
    <t>1902989/19/TG/TT1</t>
  </si>
  <si>
    <t>DINH-THON-85-NTM_HNI</t>
  </si>
  <si>
    <t>Số 85, đường Đình Thôn, phường Mỹ Đình 1, quận Nam Từ Liêm, thành phố Hà Nội</t>
  </si>
  <si>
    <t>A03986181019TG05</t>
  </si>
  <si>
    <t>1903229/19/TG/TT1</t>
  </si>
  <si>
    <t>DN3-CT4-SUDICO-NTL_HNI</t>
  </si>
  <si>
    <t>Tòa nhà CT4, khu đô thị Mỹ Đình-Sông Đà, phường Mỹ Đình 1, quận Nam Từ Liêm, thành phố Hà Nội</t>
  </si>
  <si>
    <t>A03987181019TG05</t>
  </si>
  <si>
    <t>1903225/19/TG/TT1</t>
  </si>
  <si>
    <t>ME-TRI-59-17-NTM_HNI</t>
  </si>
  <si>
    <t>Số 17, ngõ 59/93, đường Đồng Me, phường Mễ Trì, quận Nam Từ Liêm, thành phố Hà Nội</t>
  </si>
  <si>
    <t>A03988181019TG05</t>
  </si>
  <si>
    <t>1903232/19/TG/TT1</t>
  </si>
  <si>
    <t>PHU-DO-172-NTL_HNI</t>
  </si>
  <si>
    <t>Tổ 1, phường Phú Đô, quận Nam Từ Liêm, thành phố Hà Nội</t>
  </si>
  <si>
    <t>A03989181019TG05</t>
  </si>
  <si>
    <t>1903224/19/TG/TT1</t>
  </si>
  <si>
    <t>ME-TRI-HA-130-NTM_HNI</t>
  </si>
  <si>
    <t>Số 130, phố Mễ Trì Hạ, phường Mễ Trì, quận Nam Từ Liêm, thành phố Hà Nội</t>
  </si>
  <si>
    <t>A03990181019TG05</t>
  </si>
  <si>
    <t>1903230/19/TG/TT1</t>
  </si>
  <si>
    <t>DAI-MO-XOM-THAP-TLM_HNI</t>
  </si>
  <si>
    <t>Số 475, đường Đại Mỗ, phường Đại Mỗ, quận Nam Từ Liêm, thành phố Hà Nội</t>
  </si>
  <si>
    <t>A03991181019TG05</t>
  </si>
  <si>
    <t>1903236/19/TG/TT1</t>
  </si>
  <si>
    <t>LE-QUANG-DAO-43-8-24-NTM_HNI</t>
  </si>
  <si>
    <t>Số 24, ngách 8/43, đường Lê Quang Đạo, phường Phú Đô, quận Nam Từ Liêm, thành phố Hà Nội</t>
  </si>
  <si>
    <t>A03992181019TG05</t>
  </si>
  <si>
    <t>1902990/19/TG/TT1</t>
  </si>
  <si>
    <t>TAY-MO-THON-LO-TLM_HNI</t>
  </si>
  <si>
    <t>Số 36, ngõ 193/17/25, phố Cầu Cốc, phường Tây Mỗ, quận Nam Từ Liêm, thành phố Hà Nội</t>
  </si>
  <si>
    <t>A03993181019TG05</t>
  </si>
  <si>
    <t>1903235/19/TG/TT1</t>
  </si>
  <si>
    <t>XUAN-PHUONG-80-66-NTL_HNI</t>
  </si>
  <si>
    <t>Số 66, ngõ 80, đường Xuân Phương, phường Phương Canh, quận Nam Từ Liêm, thành phố Hà Nội</t>
  </si>
  <si>
    <t>A03994181019TG05</t>
  </si>
  <si>
    <t>1903226/19/TG/TT1</t>
  </si>
  <si>
    <t>VINASHIN-TRAN-THU-DO-HMI_HNI</t>
  </si>
  <si>
    <t>Lô CC1, đường Trần Thủ Độ, phường Hoàng Liệt, quận Hoàng Mai, thành phố Hà Nội</t>
  </si>
  <si>
    <t>A03995181019TG05</t>
  </si>
  <si>
    <t>1902974/19/TG/TT1</t>
  </si>
  <si>
    <t>THUY-LINH-95-8-6A-HMI_HNI</t>
  </si>
  <si>
    <t>Số 6A, ngõ 95/8, phố Thúy Lĩnh, phường Lĩnh Nam, quận Hoàng Mai, thành phố Hà Nội</t>
  </si>
  <si>
    <t>A03996181019TG05</t>
  </si>
  <si>
    <t>1902971/19/TG/TT1</t>
  </si>
  <si>
    <t>CC-LINH-NAM-282-NO2-HMI_HNI</t>
  </si>
  <si>
    <t>Chung cư NO2, số 282, phố Lĩnh Nam, phường Lĩnh Nam, quận Hoàng Mai, thành phố Hà Nội</t>
  </si>
  <si>
    <t>A03997181019TG05</t>
  </si>
  <si>
    <t>1902976/19/TG/TT1</t>
  </si>
  <si>
    <t>THINH-LIET-42-197-30-8-HMI_HNI</t>
  </si>
  <si>
    <t>Số 8, Ngõ 42/197/30, phố Thịnh Liệt, phường Thịnh Liệt, quận Hoàng Mai, thành phố Hà Nội</t>
  </si>
  <si>
    <t>A03998181019TG05</t>
  </si>
  <si>
    <t>1902977/19/TG/TT1</t>
  </si>
  <si>
    <t>LUONG-KHANH-THIEN-51-11-1-HMI_HNI</t>
  </si>
  <si>
    <t>Số 1, ngõ 11/51, phố Lương Khánh Thiện, phường Tương Mai, quận Hoàng Mai, thành phố Hà Nội</t>
  </si>
  <si>
    <t>A03999181019TG05</t>
  </si>
  <si>
    <t>1902969/19/TG/TT1</t>
  </si>
  <si>
    <t>NGOC-HOI-8-44-HMI_HNI</t>
  </si>
  <si>
    <t>Số 44, ngõ 8, đường Ngọc Hồi, phường Hoàng Liệt, quận Hoàng Mai, thành phố Hà Nội</t>
  </si>
  <si>
    <t>A04000181019TG05</t>
  </si>
  <si>
    <t>1902970/19/TG/TT1</t>
  </si>
  <si>
    <t>NGOC-HOI-161-20-HMI_HNI</t>
  </si>
  <si>
    <t>Số 6A, ngách 20, ngõ 161, đường Ngọc Hồi, phường Hoàng Liệt, quận Hoàng Mai, thành phố Hà Nội</t>
  </si>
  <si>
    <t>A04001181019TG05</t>
  </si>
  <si>
    <t>1902972/19/TG/TT1</t>
  </si>
  <si>
    <t>TU-HIEP-CO-KHI-Z179-TTI_HNI</t>
  </si>
  <si>
    <t>Công ty Cơ khí Z179, Km12, Quốc Lộ 1A, xã Tứ Hiệp, huyện Thanh Trì, thành phố Hà Nội</t>
  </si>
  <si>
    <t>A04002181019TG05</t>
  </si>
  <si>
    <t>1903240/19/TG/TT1</t>
  </si>
  <si>
    <t>TU-HIEP-TD8-TTI_HNI</t>
  </si>
  <si>
    <t>Khu D8, xã Tứ Hiệp, huyện Thanh Trì, thành phố Hà Nội</t>
  </si>
  <si>
    <t>A04003181019TG05</t>
  </si>
  <si>
    <t>1902979/19/TG/TT1</t>
  </si>
  <si>
    <t>VINH-QUYNH-TTI_HNI</t>
  </si>
  <si>
    <t>Ủy ban nhân dân xã Vĩnh Quỳnh, xã Vĩnh Quỳnh, huyện Thanh Trì, thành phố Hà Nội</t>
  </si>
  <si>
    <t>A04004181019TG05</t>
  </si>
  <si>
    <t>1903244/19/TG/TT1</t>
  </si>
  <si>
    <t>DONG-LA-LA-TINH-HDC_HNI</t>
  </si>
  <si>
    <t>Thôn La Tinh, xã Đông La, huyện Hoài Đức, thành phố Hà Nội</t>
  </si>
  <si>
    <t>A04005181019TG05</t>
  </si>
  <si>
    <t>1902953/19/TG/TT1</t>
  </si>
  <si>
    <t>KDT-NAM-AN-KHANH-CX100-HDC_HNI</t>
  </si>
  <si>
    <t>Khu cây xanh CX19, đô thị Nam An Khánh, xã An Khánh, huyện Hoài Đức, thành phố Hà Nội</t>
  </si>
  <si>
    <t>A04006181019TG05</t>
  </si>
  <si>
    <t>1902954/19/TG/TT1</t>
  </si>
  <si>
    <t>LICOGI13-DN-B-164-KHUAT-DUY-TIEN-TXN_HNI</t>
  </si>
  <si>
    <t>Số 164, đường Khuất Duy Tiến, phường Nhân Chính, quận Thanh Xuân, thành phố Hà Nội</t>
  </si>
  <si>
    <t>A04007181019TG05</t>
  </si>
  <si>
    <t>1903239/19/TG/TT1</t>
  </si>
  <si>
    <t>KHUONG-DINH-65-12-TXN_HNI</t>
  </si>
  <si>
    <t>Số 12, ngõ 65, đường Khương Đình, phường Thượng Đình, quận Thanh Xuân, thành phố Hà Nội</t>
  </si>
  <si>
    <t>A04008181019TG05</t>
  </si>
  <si>
    <t>1903237/19/TG/TT1</t>
  </si>
  <si>
    <t>LE-TRONG-TAN-198-24-TXN_HNI</t>
  </si>
  <si>
    <t>Số 24, ngõ 198, phố Lê Trọng Tấn, phường Khương Mai, quận Thanh Xuân, thành phố Hà Nội</t>
  </si>
  <si>
    <t>A04009181019TG05</t>
  </si>
  <si>
    <t>1903238/19/TG/TT1</t>
  </si>
  <si>
    <t>THUY-KHUE-424-17-THO_HNI</t>
  </si>
  <si>
    <t>Số 17, ngõ 424, phố Thụy Khuê, phường Bưởi, quận Tây Hồ, thành phố Hà Nội</t>
  </si>
  <si>
    <t>A04010181019TG05</t>
  </si>
  <si>
    <t>1902992/19/TG/TT1</t>
  </si>
  <si>
    <t>VINHOMES-GREENBAY-ME-TRI-NTM_HNI</t>
  </si>
  <si>
    <t>Dự án Vinhomes Green Bay Mễ Trì, phường Mễ Trì, quận Nam Từ Liêm, thành phố Hà Nội</t>
  </si>
  <si>
    <t>A04011181019TG05</t>
  </si>
  <si>
    <t>1903228/19/TG/TT1</t>
  </si>
  <si>
    <t>DUC-GIANG-117-LBN_HNI</t>
  </si>
  <si>
    <t>Số 117, phố Đức Giang, phường Thượng Thanh, quận Long Biên, thành phố Hà Nội</t>
  </si>
  <si>
    <t>A04012181019TG05</t>
  </si>
  <si>
    <t>1902968/19/TG/TT1</t>
  </si>
  <si>
    <t>NGOC-LAM-475-LBN_HNI</t>
  </si>
  <si>
    <t>Số 475, đường Ngọc Lâm, phường Ngọc Lâm, quận Long Biên, thành phố Hà Nội</t>
  </si>
  <si>
    <t>A04013181019TG05</t>
  </si>
  <si>
    <t>1902962/19/TG/TT1</t>
  </si>
  <si>
    <t>NGUYEN-DUC-THUAN-197-GLM_HNI</t>
  </si>
  <si>
    <t>Số 189, đường Nguyễn Đức Thuận, thị trấn Trâu Quỳ, huyện Gia Lâm, thành phố Hà Nội</t>
  </si>
  <si>
    <t>A04014181019TG05</t>
  </si>
  <si>
    <t>1902959/19/TG/TT1</t>
  </si>
  <si>
    <t>PHUC-LOI-TO2-NGO187-LBN_HNI</t>
  </si>
  <si>
    <t>Ngõ 87, đường Phúc Lợi, phường Phúc Lợi, quận Long Biên, thành phố Hà Nội</t>
  </si>
  <si>
    <t>A04015181019TG05</t>
  </si>
  <si>
    <t>1902963/19/TG/TT1</t>
  </si>
  <si>
    <t>TONG-DAI-KCN-BAC-THANG-LONG-DAH_HNI</t>
  </si>
  <si>
    <t>Tổng đài khu công nghiệp Bắc Thăng Long, xã Võng La, huyện Đông Anh, thành phố Hà Nội</t>
  </si>
  <si>
    <t>A04016181019TG05</t>
  </si>
  <si>
    <t>1902960/19/TG/TT1</t>
  </si>
  <si>
    <t>VONG-LA-SAP-MAI2-DAH_HNI</t>
  </si>
  <si>
    <t>Thôn Sáp Mai, xã Võng La, huyện Đông Anh, thành phố Hà Nội</t>
  </si>
  <si>
    <t>A04017181019TG05</t>
  </si>
  <si>
    <t>1902961/19/TG/TT1</t>
  </si>
  <si>
    <t>QUANG-MINH-TO5-MLH_HNI</t>
  </si>
  <si>
    <t>Tổ 5, thị trấn Quang Minh, huyện Mê Linh, thành phố Hà Nội</t>
  </si>
  <si>
    <t>A04018181019TG05</t>
  </si>
  <si>
    <t>1902965/19/TG/TT1</t>
  </si>
  <si>
    <t>DTT-ME-LINH-MLH_HNI</t>
  </si>
  <si>
    <t>Khu hành chính, xã Đại Thịnh, huyện Mê Linh, thành phố Hà Nội</t>
  </si>
  <si>
    <t>A04019181019TG05</t>
  </si>
  <si>
    <t>1902966/19/TG/TT1</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</si>
  <si>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</si>
  <si>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</si>
  <si>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</si>
  <si>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</si>
  <si>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</si>
  <si>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</si>
  <si>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</si>
  <si>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</si>
  <si>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</si>
  <si>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</si>
  <si>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</si>
  <si>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</si>
  <si>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</si>
  <si>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</si>
  <si>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</si>
  <si>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</si>
  <si>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</si>
  <si>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</si>
  <si>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</si>
  <si>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</si>
  <si>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</si>
  <si>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</si>
  <si>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</si>
  <si>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</si>
  <si>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</si>
  <si>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</si>
  <si>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</si>
  <si>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</si>
  <si>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</si>
  <si>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</si>
  <si>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</si>
  <si>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</si>
  <si>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</si>
  <si>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</si>
  <si>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</si>
  <si>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</si>
  <si>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</si>
  <si>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</si>
  <si>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</si>
  <si>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</si>
  <si>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</si>
  <si>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</si>
  <si>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</si>
  <si>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</si>
  <si>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</si>
  <si>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</si>
  <si>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</si>
  <si>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</si>
  <si>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</si>
  <si>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</si>
  <si>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</si>
  <si>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</si>
  <si>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</si>
  <si>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VINAPHONE</t>
  </si>
  <si>
    <t>TỔNG CÔNG TY HẠ TẦNG MẠNG;TỔNG CÔNG TY HẠ TẦNG MẠNG;TỔNG CÔNG TY HẠ TẦNG MẠNG</t>
  </si>
  <si>
    <t>MY-DINH2-CT5-3-NTM_HNI;MY-DINH2-CT5-3-NTM_HNI;MY-DINH2-CT5-3-NTM_HNI</t>
  </si>
  <si>
    <t>NOKIA FLEXI MULTIRADIO BTS RADIO MODULE AND REMOTE RADIO;NOKIA FLEXI MULTIRADIO BTS RADIO MODULE AND REMOTE RADIO (FRGY);NOKIA FLEXI MULTIRADIO BTS RADIO MODULE AND REMOTE RADIO (FHEL)</t>
  </si>
  <si>
    <t>3;3;3</t>
  </si>
  <si>
    <t>2/2/2;2/2/2;1/1/1</t>
  </si>
  <si>
    <t>80/80/80;60/60/60;60/60/60</t>
  </si>
  <si>
    <t>900;2100;1800</t>
  </si>
  <si>
    <t>52,5/52,5/52,5;52,5/52,5/52,5;52,5/52,5/52,5</t>
  </si>
  <si>
    <t>VCC1</t>
  </si>
  <si>
    <t>18/10/2019</t>
  </si>
  <si>
    <t>Vũ Văn Giáp</t>
  </si>
  <si>
    <t>Lê Tiến Cường</t>
  </si>
  <si>
    <t>TRUNG TÂM KIỂM ĐỊNH VÀ CHỨNG NHẬN 1</t>
  </si>
  <si>
    <t>TP. Hà Nội</t>
  </si>
  <si>
    <t/>
  </si>
  <si>
    <t>Bùi Ngọc Dũng</t>
  </si>
  <si>
    <t>Tổng Công ty Hạ tầng mạng</t>
  </si>
  <si>
    <t>TỔNG CÔNG TY HẠ TẦNG MẠNG</t>
  </si>
  <si>
    <t>thành phố Hà Nội</t>
  </si>
  <si>
    <t>quận Nam Từ Liêm</t>
  </si>
  <si>
    <t>phường Mỹ Đình 2</t>
  </si>
  <si>
    <t>VINAPHONE;VINAPHONE;VINAPHONE</t>
  </si>
  <si>
    <t>NOKIA FLEXI MULTIRADIO BTS RADIO MODULE AND REMOTE RADIO</t>
  </si>
  <si>
    <t>NOKIA FLEXI MULTIRADIO BTS RADIO MODULE AND REMOTE RADIO (FRGY)</t>
  </si>
  <si>
    <t>NOKIA FLEXI MULTIRADIO BTS RADIO MODULE AND REMOTE RADIO (FHEL)</t>
  </si>
  <si>
    <t>1/1/1</t>
  </si>
  <si>
    <t>80/80/80</t>
  </si>
  <si>
    <t>80W/ 80W/ 80W</t>
  </si>
  <si>
    <t>60/60/60</t>
  </si>
  <si>
    <t>60W/ 60W/ 60W</t>
  </si>
  <si>
    <t>2100</t>
  </si>
  <si>
    <t>1800</t>
  </si>
  <si>
    <t>52,5/52,5/52,5</t>
  </si>
  <si>
    <t>52,5m/ 52,5m/ 52,5m</t>
  </si>
  <si>
    <t>Trung tâm Kiểm định và Chứng nhận 1</t>
  </si>
  <si>
    <t>03983</t>
  </si>
  <si>
    <t>181019</t>
  </si>
  <si>
    <t>TG05</t>
  </si>
  <si>
    <t>TỔNG CÔNG TY HẠ TẦNG MẠNG;TỔNG CÔNG TY HẠ TẦNG MẠNG</t>
  </si>
  <si>
    <t>CHUNG-CU-C7-NTM_HNI;CHUNG-CU-C7-NTM_HNI</t>
  </si>
  <si>
    <t>NOKIA FLEXI MULTIRADIO BTS RADIO MODULE AND REMOTE RADIO (FRGY);NOKIA FLEXI MULTIRADIO BTS RADIO MODULE AND REMOTE RADIO (FHEL)</t>
  </si>
  <si>
    <t>3;3</t>
  </si>
  <si>
    <t>2/2/2;1/1/1</t>
  </si>
  <si>
    <t>60/60/60;60/60/60</t>
  </si>
  <si>
    <t>2100;1800</t>
  </si>
  <si>
    <t>42,5/42,5/42,5;42,5/42,5/42,5</t>
  </si>
  <si>
    <t>phường Cầu Diễn</t>
  </si>
  <si>
    <t>VINAPHONE;VINAPHONE</t>
  </si>
  <si>
    <t>42,5/42,5/42,5</t>
  </si>
  <si>
    <t>42,5m/ 42,5m/ 42,5m</t>
  </si>
  <si>
    <t>03984</t>
  </si>
  <si>
    <t>DUONG-K2-256-NTM_HNI;DUONG-K2-256-NTM_HNI</t>
  </si>
  <si>
    <t>16,5/16,5/16,5;16,5/16,5/16,5</t>
  </si>
  <si>
    <t>16,5/16,5/16,5</t>
  </si>
  <si>
    <t>16,5m/ 16,5m/ 16,5m</t>
  </si>
  <si>
    <t>DINH-THON-85-NTM_HNI;DINH-THON-85-NTM_HNI</t>
  </si>
  <si>
    <t>38/38/38;38/38/38</t>
  </si>
  <si>
    <t>phường Mỹ Đình 1</t>
  </si>
  <si>
    <t>38/38/38</t>
  </si>
  <si>
    <t>38m/ 38m/ 38m</t>
  </si>
  <si>
    <t>03986</t>
  </si>
  <si>
    <t>DN3-CT4-SUDICO-NTL_HNI;DN3-CT4-SUDICO-NTL_HNI</t>
  </si>
  <si>
    <t>03987</t>
  </si>
  <si>
    <t>ME-TRI-59-17-NTM_HNI;ME-TRI-59-17-NTM_HNI</t>
  </si>
  <si>
    <t>40/40/40;40/40/40</t>
  </si>
  <si>
    <t>phường Mễ Trì</t>
  </si>
  <si>
    <t>40/40/40</t>
  </si>
  <si>
    <t>40m/ 40m/ 40m</t>
  </si>
  <si>
    <t>PHU-DO-172-NTL_HNI;PHU-DO-172-NTL_HNI;PHU-DO-172-NTL_HNI</t>
  </si>
  <si>
    <t>HUAWEI BTS3900;HUAWEI DBS3900 WCDMA;NOKIA FLEXI MULTIRADIO BTS RADIO MODULE AND REMOTE RADIO (FHEL)</t>
  </si>
  <si>
    <t>26/26/26;26/26/26;26/26/26</t>
  </si>
  <si>
    <t>phường Phú Đô</t>
  </si>
  <si>
    <t>HUAWEI BTS3900</t>
  </si>
  <si>
    <t>HUAWEI DBS3900 WCDMA</t>
  </si>
  <si>
    <t>26/26/26</t>
  </si>
  <si>
    <t>26m/ 26m/ 26m</t>
  </si>
  <si>
    <t>03989</t>
  </si>
  <si>
    <t>ME-TRI-HA-130-NTM_HNI;ME-TRI-HA-130-NTM_HNI</t>
  </si>
  <si>
    <t>28,5/28,5/28,5;28,5/28,5/28,5</t>
  </si>
  <si>
    <t>28,5/28,5/28,5</t>
  </si>
  <si>
    <t>28,5m/ 28,5m/ 28,5m</t>
  </si>
  <si>
    <t>03990</t>
  </si>
  <si>
    <t>DAI-MO-XOM-THAP-TLM_HNI;DAI-MO-XOM-THAP-TLM_HNI;DAI-MO-XOM-THAP-TLM_HNI</t>
  </si>
  <si>
    <t>HUAWEI BTS3900;HUAWEI BTS3900;NOKIA FLEXI MULTIRADIO BTS RADIO MODULE AND REMOTE RADIO (FHEL)</t>
  </si>
  <si>
    <t>80/80/80;80/80/80;60/60/60</t>
  </si>
  <si>
    <t>900;1800;1800</t>
  </si>
  <si>
    <t>31/31/31;31/31/31;31/31/31</t>
  </si>
  <si>
    <t>phường Đại Mỗ</t>
  </si>
  <si>
    <t>31/31/31</t>
  </si>
  <si>
    <t>31m/ 31m/ 31m</t>
  </si>
  <si>
    <t>LE-QUANG-DAO-43-8-24-NTM_HNI;LE-QUANG-DAO-43-8-24-NTM_HNI</t>
  </si>
  <si>
    <t>03992</t>
  </si>
  <si>
    <t>TAY-MO-THON-LO-TLM_HNI;TAY-MO-THON-LO-TLM_HNI;TAY-MO-THON-LO-TLM_HNI</t>
  </si>
  <si>
    <t>16,5/16,5/16,5;16,5/16,5/16,5;16,5/16,5/16,5</t>
  </si>
  <si>
    <t>phường Tây Mỗ</t>
  </si>
  <si>
    <t>03993</t>
  </si>
  <si>
    <t>XUAN-PHUONG-80-66-NTL_HNI;XUAN-PHUONG-80-66-NTL_HNI;XUAN-PHUONG-80-66-NTL_HNI</t>
  </si>
  <si>
    <t>18/18/18;18/18/18;18/18/18</t>
  </si>
  <si>
    <t>phường Phương Canh</t>
  </si>
  <si>
    <t>18/18/18</t>
  </si>
  <si>
    <t>18m/ 18m/ 18m</t>
  </si>
  <si>
    <t>VINASHIN-TRAN-THU-DO-HMI_HNI;VINASHIN-TRAN-THU-DO-HMI_HNI</t>
  </si>
  <si>
    <t>HUAWEI BTS3900;HUAWEI DBS3900 WCDMA</t>
  </si>
  <si>
    <t>2/2/2;2/2/2</t>
  </si>
  <si>
    <t>80/80/80;60/60/60</t>
  </si>
  <si>
    <t>1800;2100</t>
  </si>
  <si>
    <t>33,5/33,5/33,5;33,5/33,5/33,5</t>
  </si>
  <si>
    <t>quận Hoàng Mai</t>
  </si>
  <si>
    <t>phường Hoàng Liệt</t>
  </si>
  <si>
    <t>33,5/33,5/33,5</t>
  </si>
  <si>
    <t>33,5m/ 33,5m/ 33,5m</t>
  </si>
  <si>
    <t>03995</t>
  </si>
  <si>
    <t>THUY-LINH-95-8-6A-HMI_HNI;THUY-LINH-95-8-6A-HMI_HNI</t>
  </si>
  <si>
    <t>24/24/24;24/24/24</t>
  </si>
  <si>
    <t>phường Lĩnh Nam</t>
  </si>
  <si>
    <t>24/24/24</t>
  </si>
  <si>
    <t>24m/ 24m/ 24m</t>
  </si>
  <si>
    <t>03996</t>
  </si>
  <si>
    <t>CC-LINH-NAM-282-NO2-HMI_HNI;CC-LINH-NAM-282-NO2-HMI_HNI</t>
  </si>
  <si>
    <t>1;1</t>
  </si>
  <si>
    <t>2/;1/</t>
  </si>
  <si>
    <t>60/;60/</t>
  </si>
  <si>
    <t>52;52</t>
  </si>
  <si>
    <t>2/</t>
  </si>
  <si>
    <t>1/</t>
  </si>
  <si>
    <t>60/</t>
  </si>
  <si>
    <t>60W</t>
  </si>
  <si>
    <t>52m</t>
  </si>
  <si>
    <t>THINH-LIET-42-197-30-8-HMI_HNI;THINH-LIET-42-197-30-8-HMI_HNI</t>
  </si>
  <si>
    <t>19,5/19,5/19,5;19,5/19,5/19,5</t>
  </si>
  <si>
    <t>phường Thịnh Liệt</t>
  </si>
  <si>
    <t>19,5/19,5/19,5</t>
  </si>
  <si>
    <t>19,5m/ 19,5m/ 19,5m</t>
  </si>
  <si>
    <t>03998</t>
  </si>
  <si>
    <t>LUONG-KHANH-THIEN-51-11-1-HMI_HNI;LUONG-KHANH-THIEN-51-11-1-HMI_HNI</t>
  </si>
  <si>
    <t>27,5/27,5/27,5;27,5/27,5/27,5</t>
  </si>
  <si>
    <t>phường Tương Mai</t>
  </si>
  <si>
    <t>27,5/27,5/27,5</t>
  </si>
  <si>
    <t>27,5m/ 27,5m/ 27,5m</t>
  </si>
  <si>
    <t>03999</t>
  </si>
  <si>
    <t>NGOC-HOI-8-44-HMI_HNI;NGOC-HOI-8-44-HMI_HNI</t>
  </si>
  <si>
    <t>22/22/22;22/22/22</t>
  </si>
  <si>
    <t>22/22/22</t>
  </si>
  <si>
    <t>22m/ 22m/ 22m</t>
  </si>
  <si>
    <t>NGOC-HOI-161-20-HMI_HNI;NGOC-HOI-161-20-HMI_HNI</t>
  </si>
  <si>
    <t>04001</t>
  </si>
  <si>
    <t>TU-HIEP-CO-KHI-Z179-TTI_HNI;TU-HIEP-CO-KHI-Z179-TTI_HNI</t>
  </si>
  <si>
    <t>900;2100</t>
  </si>
  <si>
    <t>27/27/27;27/27/27</t>
  </si>
  <si>
    <t>huyện Thanh Trì</t>
  </si>
  <si>
    <t>xã Tứ Hiệp</t>
  </si>
  <si>
    <t>27/27/27</t>
  </si>
  <si>
    <t>27m/ 27m/ 27m</t>
  </si>
  <si>
    <t>04002</t>
  </si>
  <si>
    <t>TU-HIEP-TD8-TTI_HNI;TU-HIEP-TD8-TTI_HNI;TU-HIEP-TD8-TTI_HNI</t>
  </si>
  <si>
    <t>21/21/21;19/19/19;21/21/21</t>
  </si>
  <si>
    <t>21/21/21</t>
  </si>
  <si>
    <t>21m/ 21m/ 21m</t>
  </si>
  <si>
    <t>19/19/19</t>
  </si>
  <si>
    <t>19m/ 19m/ 19m</t>
  </si>
  <si>
    <t>TỔNG CÔNG TY HẠ TẦNG MẠNG;TỔNG CÔNG TY HẠ TẦNG MẠNG;TỔNG CÔNG TY HẠ TẦNG MẠNG;TỔNG CÔNG TY HẠ TẦNG MẠNG</t>
  </si>
  <si>
    <t>VINH-QUYNH-TTI_HNI;VINH-QUYNH-TTI_HNI;VINH-QUYNH-TTI_HNI;VINH-QUYNH-TTI_HNI</t>
  </si>
  <si>
    <t>HUAWEI BTS3900;HUAWEI BTS3900;HUAWEI DBS3900 WCDMA;NOKIA FLEXI MULTIRADIO BTS RADIO MODULE AND REMOTE RADIO (FHEL)</t>
  </si>
  <si>
    <t>3;3;3;3</t>
  </si>
  <si>
    <t>2/2/2;2/2/2;2/2/2;1/1/1</t>
  </si>
  <si>
    <t>80/80/80;80/80/80;60/60/60;60/60/60</t>
  </si>
  <si>
    <t>900;1800;2100;1800</t>
  </si>
  <si>
    <t>26/26/26;26/26/26;26/26/26;26/26/26</t>
  </si>
  <si>
    <t>xã Vĩnh Quỳnh</t>
  </si>
  <si>
    <t>VINAPHONE;VINAPHONE;VINAPHONE;VINAPHONE</t>
  </si>
  <si>
    <t>04004</t>
  </si>
  <si>
    <t>DONG-LA-LA-TINH-HDC_HNI;DONG-LA-LA-TINH-HDC_HNI</t>
  </si>
  <si>
    <t>43/43/43;43/43/43</t>
  </si>
  <si>
    <t>huyện Hoài Đức</t>
  </si>
  <si>
    <t>xã Đông La</t>
  </si>
  <si>
    <t>43/43/43</t>
  </si>
  <si>
    <t>43m/ 43m/ 43m</t>
  </si>
  <si>
    <t>04005</t>
  </si>
  <si>
    <t>KDT-NAM-AN-KHANH-CX100-HDC_HNI;KDT-NAM-AN-KHANH-CX100-HDC_HNI</t>
  </si>
  <si>
    <t>28/28/28;28/28/28</t>
  </si>
  <si>
    <t>xã An Khánh</t>
  </si>
  <si>
    <t>28/28/28</t>
  </si>
  <si>
    <t>28m/ 28m/ 28m</t>
  </si>
  <si>
    <t>LICOGI13-DN-B-164-KHUAT-DUY-TIEN-TXN_HNI;LICOGI13-DN-B-164-KHUAT-DUY-TIEN-TXN_HNI;LICOGI13-DN-B-164-KHUAT-DUY-TIEN-TXN_HNI</t>
  </si>
  <si>
    <t>51/51/51;51/51/51;51/51/51</t>
  </si>
  <si>
    <t>quận Thanh Xuân</t>
  </si>
  <si>
    <t>phường Nhân Chính</t>
  </si>
  <si>
    <t>51/51/51</t>
  </si>
  <si>
    <t>51m/ 51m/ 51m</t>
  </si>
  <si>
    <t>04007</t>
  </si>
  <si>
    <t>KHUONG-DINH-65-12-TXN_HNI;KHUONG-DINH-65-12-TXN_HNI</t>
  </si>
  <si>
    <t>phường Thượng Đình</t>
  </si>
  <si>
    <t>04008</t>
  </si>
  <si>
    <t>LE-TRONG-TAN-198-24-TXN_HNI;LE-TRONG-TAN-198-24-TXN_HNI</t>
  </si>
  <si>
    <t>19/19/19;19/19/19</t>
  </si>
  <si>
    <t>phường Khương Mai</t>
  </si>
  <si>
    <t>THUY-KHUE-424-17-THO_HNI;THUY-KHUE-424-17-THO_HNI</t>
  </si>
  <si>
    <t>quận Tây Hồ</t>
  </si>
  <si>
    <t>phường Bưởi</t>
  </si>
  <si>
    <t>04010</t>
  </si>
  <si>
    <t>VINHOMES-GREENBAY-ME-TRI-NTM_HNI;VINHOMES-GREENBAY-ME-TRI-NTM_HNI</t>
  </si>
  <si>
    <t>04011</t>
  </si>
  <si>
    <t>DUC-GIANG-117-LBN_HNI;DUC-GIANG-117-LBN_HNI</t>
  </si>
  <si>
    <t>quận Long Biên</t>
  </si>
  <si>
    <t>phường Thượng Thanh</t>
  </si>
  <si>
    <t>NGOC-LAM-475-LBN_HNI;NGOC-LAM-475-LBN_HNI</t>
  </si>
  <si>
    <t>phường Ngọc Lâm</t>
  </si>
  <si>
    <t>04013</t>
  </si>
  <si>
    <t>NGUYEN-DUC-THUAN-197-GLM_HNI;NGUYEN-DUC-THUAN-197-GLM_HNI</t>
  </si>
  <si>
    <t>25/25/25;25/25/25</t>
  </si>
  <si>
    <t>huyện Gia Lâm</t>
  </si>
  <si>
    <t>thị trấn Trâu Quỳ</t>
  </si>
  <si>
    <t>25/25/25</t>
  </si>
  <si>
    <t>25m/ 25m/ 25m</t>
  </si>
  <si>
    <t>04014</t>
  </si>
  <si>
    <t>PHUC-LOI-TO2-NGO187-LBN_HNI;PHUC-LOI-TO2-NGO187-LBN_HNI</t>
  </si>
  <si>
    <t>phường Phúc Lợi</t>
  </si>
  <si>
    <t>TONG-DAI-KCN-BAC-THANG-LONG-DAH_HNI;TONG-DAI-KCN-BAC-THANG-LONG-DAH_HNI</t>
  </si>
  <si>
    <t>huyện Đông Anh</t>
  </si>
  <si>
    <t>xã Võng La</t>
  </si>
  <si>
    <t>04016</t>
  </si>
  <si>
    <t>VONG-LA-SAP-MAI2-DAH_HNI;VONG-LA-SAP-MAI2-DAH_HNI</t>
  </si>
  <si>
    <t>37/37/37;37/37/37</t>
  </si>
  <si>
    <t>37/37/37</t>
  </si>
  <si>
    <t>37m/ 37m/ 37m</t>
  </si>
  <si>
    <t>04017</t>
  </si>
  <si>
    <t>QUANG-MINH-TO5-MLH_HNI;QUANG-MINH-TO5-MLH_HNI</t>
  </si>
  <si>
    <t>26/26/26;26/26/26</t>
  </si>
  <si>
    <t>huyện Mê Linh</t>
  </si>
  <si>
    <t>thị trấn Quang Minh</t>
  </si>
  <si>
    <t>DTT-ME-LINH-MLH_HNI;DTT-ME-LINH-MLH_HNI;DTT-ME-LINH-MLH_HNI;TT-TAY-MO-79-NTL_HNI;TT-TAY-MO-79-NTL_HNI;TT-DUONG-SAT-LUU-PHAI-NGU-HIEP-TTI_HNI;TT-DUONG-SAT-LUU-PHAI-NGU-HIEP-TTI_HNI;TOA-NHA-VINAPHONE-XUAN-LA-THO_HNI;TOA-NHA-VINAPHONE-XUAN-LA-THO_HNI</t>
  </si>
  <si>
    <t>HUAWEI BTS3900;HUAWEI DBS3900 WCDMA;NOKIA FLEXI MULTIRADIO BTS RADIO MODULE AND REMOTE RADIO (FHEL);HUAWEI DBS3900 WCDMA;NOKIA FLEXI MULTIRADIO BTS RADIO MODULE AND REMOTE RADIO (FHEL);HUAWEI DBS3900 WCDMA;NOKIA FLEXI MULTIRADIO BTS RADIO MODULE AND REMOTE RADIO (FHEL);NOKIA FLEXI MULTIRADIO BTS RADIO MODULE AND REMOTE RADIO (FRGY);NOKIA FLEXI MULTIRADIO BTS RADIO MODULE AND REMOTE RADIO (FHEL)</t>
  </si>
  <si>
    <t>3;3;3;3;3;3;3;3;3</t>
  </si>
  <si>
    <t>2/2/2;2/2/2;1/1/1;2/2/2;1/1/1;2/2/2;1/1/1;2/2/2;1/1/1</t>
  </si>
  <si>
    <t>80/80/80;60/60/60;60/60/60;60/60/60;60/60/60;60/60/60;60/60/60;60/60/60;60/60/60</t>
  </si>
  <si>
    <t>900;2100;1800;2100;1800;2100;1800;2100;1800</t>
  </si>
  <si>
    <t>42/42/42;42/42/42;42/42/42;20/20/20;20/20/20;14,5/14,5/14,5;14,5/14,5/14,5;6,5/6,5/6,5;6,5/6,5/6,5</t>
  </si>
  <si>
    <t>xã Đại Thịnh</t>
  </si>
  <si>
    <t>VINAPHONE;VINAPHONE;VINAPHONE;VINAPHONE;VINAPHONE;VINAPHONE;VINAPHONE;VINAPHONE;VINAPHONE</t>
  </si>
  <si>
    <t>42/42/42</t>
  </si>
  <si>
    <t>42m/ 42m/ 42m</t>
  </si>
  <si>
    <t>04019</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</si>
  <si>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</si>
  <si>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</si>
  <si>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</si>
  <si>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</si>
  <si>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</si>
  <si>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</si>
  <si>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</si>
  <si>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</si>
  <si>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</si>
  <si>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</si>
  <si>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</si>
  <si>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</si>
  <si>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</si>
  <si>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</si>
  <si>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</si>
  <si>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</si>
  <si>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</si>
  <si>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</si>
  <si>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</si>
  <si>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</si>
  <si>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</si>
  <si>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</si>
  <si>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</si>
  <si>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</si>
  <si>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</si>
  <si>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</si>
  <si>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</si>
  <si>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</si>
  <si>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</si>
  <si>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</si>
  <si>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</si>
  <si>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</si>
  <si>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</si>
  <si>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</si>
  <si>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</si>
  <si>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</si>
  <si>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</si>
  <si>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</si>
  <si>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</si>
  <si>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</si>
  <si>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</si>
  <si>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</si>
  <si>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</si>
  <si>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</si>
  <si>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</si>
  <si>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</si>
  <si>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</si>
  <si>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</si>
  <si>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</si>
  <si>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</si>
  <si>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</si>
  <si>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</si>
  <si>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</si>
  <si>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</si>
  <si>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</si>
  <si>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</si>
  <si>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</si>
  <si>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</si>
  <si>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</si>
  <si>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</si>
  <si>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</si>
  <si>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</si>
  <si>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</si>
  <si>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</si>
  <si>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</si>
  <si>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</si>
  <si>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</si>
  <si>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</si>
  <si>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</si>
  <si>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</si>
  <si>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</si>
  <si>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</si>
  <si>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</si>
  <si>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</si>
  <si>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</si>
  <si>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</si>
  <si>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</si>
  <si>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</si>
  <si>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</si>
  <si>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</si>
  <si>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</si>
  <si>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</si>
  <si>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</si>
  <si>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</si>
  <si>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</si>
  <si>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</si>
  <si>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</si>
  <si>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</si>
  <si>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</si>
  <si>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</si>
  <si>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</si>
  <si>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</si>
  <si>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</si>
  <si>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</si>
  <si>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</si>
  <si>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</si>
  <si>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</si>
  <si>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</si>
  <si>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</si>
  <si>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</si>
  <si>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</si>
  <si>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</si>
  <si>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</si>
  <si>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</si>
  <si>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</si>
  <si>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</si>
  <si>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</si>
  <si>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</si>
  <si>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</si>
  <si>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</si>
  <si>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</si>
  <si>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</si>
  <si>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</si>
  <si>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</si>
  <si>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</si>
  <si>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</si>
  <si>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</si>
  <si>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</si>
  <si>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</si>
  <si>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</si>
  <si>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</si>
  <si>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</si>
  <si>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</si>
  <si>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</si>
  <si>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</si>
  <si>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</si>
  <si>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</si>
  <si>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</si>
  <si>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</si>
  <si>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</si>
  <si>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</si>
  <si>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</si>
  <si>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</si>
  <si>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</si>
  <si>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</si>
  <si>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</si>
  <si>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</si>
  <si>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</si>
  <si>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</si>
  <si>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</si>
  <si>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</si>
  <si>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</si>
  <si>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</si>
  <si>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</si>
  <si>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</si>
  <si>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</si>
  <si>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</si>
  <si>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</si>
  <si>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</si>
  <si>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</si>
  <si>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</si>
  <si>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</si>
  <si>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</si>
  <si>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</si>
  <si>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</si>
  <si>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</si>
  <si>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</si>
  <si>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</si>
  <si>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</si>
  <si>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</si>
  <si>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</si>
  <si>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</si>
  <si>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</si>
  <si>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</si>
  <si>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</si>
  <si>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</si>
  <si>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</si>
  <si>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</si>
  <si>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</si>
  <si>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</si>
  <si>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</si>
  <si>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</si>
  <si>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</si>
  <si>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</si>
  <si>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</si>
  <si>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</si>
  <si>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</si>
  <si>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</si>
  <si>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</si>
  <si>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</si>
  <si>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</si>
  <si>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</si>
  <si>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</si>
  <si>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</si>
  <si>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</si>
  <si>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</si>
  <si>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</si>
  <si>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</si>
  <si>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</si>
  <si>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</si>
  <si>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</si>
  <si>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</si>
  <si>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</si>
  <si>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</si>
  <si>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</si>
  <si>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</si>
  <si>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</si>
  <si>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</si>
  <si>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</si>
  <si>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</si>
  <si>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</si>
  <si>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</si>
  <si>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</si>
  <si>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</si>
  <si>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</si>
  <si>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</si>
  <si>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</si>
  <si>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</si>
  <si>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</si>
  <si>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</si>
  <si>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</si>
  <si>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</si>
  <si>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</si>
  <si>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</si>
  <si>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</si>
  <si>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</si>
  <si>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</si>
  <si>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</si>
  <si>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</si>
  <si>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</si>
  <si>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</si>
  <si>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</si>
  <si>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</si>
  <si>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</si>
  <si>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</si>
  <si>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</si>
  <si>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</si>
  <si>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</si>
  <si>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</si>
  <si>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</si>
  <si>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</si>
  <si>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</si>
  <si>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</si>
  <si>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</si>
  <si>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</si>
  <si>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</si>
  <si>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</si>
  <si>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</si>
  <si>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</si>
  <si>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</si>
  <si>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</si>
  <si>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Độ cao giới hạn an toàn</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</si>
  <si>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</si>
  <si>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</si>
  <si>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</si>
  <si>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</si>
  <si>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</si>
  <si>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</si>
  <si>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</si>
  <si>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</si>
  <si>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</si>
  <si>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</si>
  <si>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</si>
  <si>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</si>
  <si>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</si>
  <si>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</si>
  <si>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</si>
  <si>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</si>
  <si>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</si>
  <si>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</si>
  <si>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</si>
  <si>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</si>
  <si>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</si>
  <si>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</si>
  <si>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</si>
  <si>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</si>
  <si>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</si>
  <si>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</si>
  <si>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</si>
  <si>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</si>
  <si>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</si>
  <si>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</si>
  <si>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</si>
  <si>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</si>
  <si>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</si>
  <si>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</si>
  <si>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</si>
  <si>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</si>
  <si>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</si>
  <si>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</si>
  <si>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</si>
  <si>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</si>
  <si>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</si>
  <si>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</si>
  <si>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</si>
  <si>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</si>
  <si>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</si>
  <si>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</si>
  <si>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</si>
  <si>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</si>
  <si>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</si>
  <si>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</si>
  <si>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</si>
  <si>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</si>
  <si>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</si>
  <si>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</si>
  <si>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</si>
  <si>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</si>
  <si>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</si>
  <si>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</si>
  <si>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</si>
  <si>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</si>
  <si>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</si>
  <si>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</si>
  <si>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</si>
  <si>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</si>
  <si>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</si>
  <si>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</si>
  <si>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</si>
  <si>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</si>
  <si>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</si>
  <si>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</si>
  <si>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</si>
  <si>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</si>
  <si>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</si>
  <si>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</si>
  <si>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</si>
  <si>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</si>
  <si>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</si>
  <si>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</si>
  <si>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</si>
  <si>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</si>
  <si>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</si>
  <si>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</si>
  <si>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</si>
  <si>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</si>
  <si>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</si>
  <si>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</si>
  <si>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</si>
  <si>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</si>
  <si>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</si>
  <si>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</si>
  <si>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</si>
  <si>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</si>
  <si>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</si>
  <si>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</si>
  <si>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</si>
  <si>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</si>
  <si>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</si>
  <si>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</si>
  <si>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</si>
  <si>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</si>
  <si>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</si>
  <si>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</si>
  <si>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</si>
  <si>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</si>
  <si>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</si>
  <si>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</si>
  <si>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</si>
  <si>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</si>
  <si>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</si>
  <si>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</si>
  <si>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</si>
  <si>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</si>
  <si>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</si>
  <si>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</si>
  <si>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</si>
  <si>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</si>
  <si>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</si>
  <si>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</si>
  <si>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</si>
  <si>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</si>
  <si>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</si>
  <si>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</si>
  <si>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</si>
  <si>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</si>
  <si>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</si>
  <si>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</si>
  <si>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</si>
  <si>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</si>
  <si>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</si>
  <si>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</si>
  <si>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</si>
  <si>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</si>
  <si>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</si>
  <si>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</si>
  <si>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</si>
  <si>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</si>
  <si>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</si>
  <si>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</si>
  <si>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</si>
  <si>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</si>
  <si>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</si>
  <si>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</si>
  <si>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</si>
  <si>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</si>
  <si>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</si>
  <si>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</si>
  <si>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</si>
  <si>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</si>
  <si>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</si>
  <si>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</si>
  <si>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</si>
  <si>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</si>
  <si>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</si>
  <si>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</si>
  <si>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</si>
  <si>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</si>
  <si>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</si>
  <si>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</si>
  <si>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</si>
  <si>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</si>
  <si>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</si>
  <si>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</si>
  <si>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</si>
  <si>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</si>
  <si>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</si>
  <si>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</si>
  <si>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</si>
  <si>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</si>
  <si>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</si>
  <si>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</si>
  <si>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</si>
  <si>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</si>
  <si>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</si>
  <si>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</si>
  <si>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</si>
  <si>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</si>
  <si>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</si>
  <si>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</si>
  <si>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</si>
  <si>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</si>
  <si>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</si>
  <si>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</si>
  <si>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</si>
  <si>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</si>
  <si>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</si>
  <si>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</si>
  <si>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</si>
  <si>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</si>
  <si>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</si>
  <si>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</si>
  <si>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</si>
  <si>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</si>
  <si>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</si>
  <si>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</si>
  <si>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</si>
  <si>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</si>
  <si>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</si>
  <si>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</si>
  <si>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</si>
  <si>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</si>
  <si>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</si>
  <si>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</si>
  <si>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</si>
  <si>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</si>
  <si>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</si>
  <si>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</si>
  <si>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</si>
  <si>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</si>
  <si>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</si>
  <si>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3xx/VNP</t>
  </si>
  <si>
    <t>xx/PKĐ-TT1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</si>
  <si>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</si>
  <si>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</si>
  <si>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</si>
  <si>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</si>
  <si>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</si>
  <si>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</si>
  <si>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</si>
  <si>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</si>
  <si>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</si>
  <si>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</si>
  <si>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</si>
  <si>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</si>
  <si>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</si>
  <si>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</si>
  <si>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</si>
  <si>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</si>
  <si>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</si>
  <si>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</si>
  <si>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</si>
  <si>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</si>
  <si>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</si>
  <si>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</si>
  <si>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</si>
  <si>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</si>
  <si>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</si>
  <si>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VNMOBILE</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</si>
  <si>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</si>
  <si>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</si>
  <si>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</si>
  <si>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</si>
  <si>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</si>
  <si>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</si>
  <si>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</si>
  <si>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</si>
  <si>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</si>
  <si>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</si>
  <si>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</si>
  <si>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</si>
  <si>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</si>
  <si>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</si>
  <si>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</si>
  <si>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</si>
  <si>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</si>
  <si>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</si>
  <si>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</si>
  <si>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</si>
  <si>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</si>
  <si>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</si>
  <si>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</si>
  <si>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</si>
  <si>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</si>
  <si>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</si>
  <si>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</si>
  <si>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</si>
  <si>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</si>
  <si>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</si>
  <si>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</si>
  <si>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</si>
  <si>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</si>
  <si>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</si>
  <si>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</si>
  <si>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</si>
  <si>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</si>
  <si>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</si>
  <si>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</si>
  <si>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</si>
  <si>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</si>
  <si>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</si>
  <si>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</si>
  <si>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</si>
  <si>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</si>
  <si>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</si>
  <si>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</si>
  <si>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</si>
  <si>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</si>
  <si>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</si>
  <si>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</si>
  <si>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</si>
  <si>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</si>
  <si>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</si>
  <si>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</si>
  <si>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</si>
  <si>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</si>
  <si>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</si>
  <si>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</si>
  <si>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</si>
  <si>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</si>
  <si>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</si>
  <si>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</si>
  <si>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</si>
  <si>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</si>
  <si>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</si>
  <si>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</si>
  <si>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</si>
  <si>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</si>
  <si>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</si>
  <si>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</si>
  <si>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</si>
  <si>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</si>
  <si>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</si>
  <si>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</si>
  <si>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</si>
  <si>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</si>
  <si>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</si>
  <si>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</si>
  <si>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</si>
  <si>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</si>
  <si>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</si>
  <si>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</si>
  <si>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</si>
  <si>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</si>
  <si>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</si>
  <si>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</si>
  <si>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</si>
  <si>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</si>
  <si>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</si>
  <si>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</si>
  <si>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</si>
  <si>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</si>
  <si>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</si>
  <si>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</si>
  <si>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</si>
  <si>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</si>
  <si>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</si>
  <si>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</si>
  <si>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</si>
  <si>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</si>
  <si>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</si>
  <si>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</si>
  <si>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</si>
  <si>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</si>
  <si>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</si>
  <si>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</si>
  <si>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</si>
  <si>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</si>
  <si>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</si>
  <si>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</si>
  <si>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</si>
  <si>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</si>
  <si>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</si>
  <si>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</si>
  <si>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</si>
  <si>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</si>
  <si>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</si>
  <si>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</si>
  <si>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</si>
  <si>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</si>
  <si>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</si>
  <si>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</si>
  <si>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</si>
  <si>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</si>
  <si>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</si>
  <si>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</si>
  <si>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</si>
  <si>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</si>
  <si>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</si>
  <si>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</si>
  <si>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</si>
  <si>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Số 30, đường Phạm Hùng, phường Mỹ Đình 1, quận Nam Từ Liêm, thành phố Hà Nội</t>
  </si>
  <si>
    <t>024 37877777</t>
  </si>
  <si>
    <t>024 37876600</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</si>
  <si>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</si>
  <si>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</si>
  <si>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</si>
  <si>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</si>
  <si>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</si>
  <si>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</si>
  <si>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</si>
  <si>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</si>
  <si>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</si>
  <si>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</si>
  <si>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</si>
  <si>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</si>
  <si>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</si>
  <si>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</si>
  <si>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</si>
  <si>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</si>
  <si>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</si>
  <si>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</si>
  <si>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</si>
  <si>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</si>
  <si>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</si>
  <si>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</si>
  <si>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</si>
  <si>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</si>
  <si>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</si>
  <si>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</si>
  <si>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</si>
  <si>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</si>
  <si>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</si>
  <si>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</si>
  <si>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ERICSSON RBS 6601</t>
  </si>
  <si>
    <t>HUAWEI BTS3012</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</si>
  <si>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</si>
  <si>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</si>
  <si>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</si>
  <si>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</si>
  <si>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</si>
  <si>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</si>
  <si>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</si>
  <si>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</si>
  <si>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</si>
  <si>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</si>
  <si>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</si>
  <si>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</si>
  <si>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</si>
  <si>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</si>
  <si>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</si>
  <si>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</si>
  <si>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</si>
  <si>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</si>
  <si>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</si>
  <si>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</si>
  <si>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</si>
  <si>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</si>
  <si>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</si>
  <si>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</si>
  <si>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</si>
  <si>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</si>
  <si>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</si>
  <si>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</si>
  <si>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</si>
  <si>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</si>
  <si>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</si>
  <si>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</si>
  <si>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</si>
  <si>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</si>
  <si>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</si>
  <si>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</si>
  <si>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</si>
  <si>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CÔNG TY CỔ PHẦN VIỄN THÔNG DI ĐỘNG VIETNAMOBILE</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</si>
  <si>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</si>
  <si>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</si>
  <si>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</si>
  <si>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</si>
  <si>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</si>
  <si>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</si>
  <si>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</si>
  <si>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</si>
  <si>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</si>
  <si>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</si>
  <si>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</si>
  <si>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</si>
  <si>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</si>
  <si>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</si>
  <si>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</si>
  <si>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</si>
  <si>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</si>
  <si>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</si>
  <si>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</si>
  <si>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</si>
  <si>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</si>
  <si>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</si>
  <si>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</si>
  <si>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</si>
  <si>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</si>
  <si>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</si>
  <si>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</si>
  <si>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</si>
  <si>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</si>
  <si>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</si>
  <si>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</si>
  <si>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</si>
  <si>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</si>
  <si>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</si>
  <si>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</si>
  <si>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</si>
  <si>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</si>
  <si>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</si>
  <si>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</si>
  <si>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</si>
  <si>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</si>
  <si>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</si>
  <si>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</si>
  <si>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</si>
  <si>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</si>
  <si>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</si>
  <si>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</si>
  <si>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</si>
  <si>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</si>
  <si>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</si>
  <si>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</si>
  <si>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</si>
  <si>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</si>
  <si>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</si>
  <si>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</si>
  <si>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</si>
  <si>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</si>
  <si>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</si>
  <si>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</si>
  <si>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</si>
  <si>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</si>
  <si>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</si>
  <si>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</si>
  <si>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</si>
  <si>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</si>
  <si>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</si>
  <si>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</si>
  <si>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</si>
  <si>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</si>
  <si>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</si>
  <si>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</si>
  <si>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</si>
  <si>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</si>
  <si>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</si>
  <si>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</si>
  <si>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</si>
  <si>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</si>
  <si>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</si>
  <si>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</si>
  <si>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</si>
  <si>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</si>
  <si>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</si>
  <si>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</si>
  <si>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</si>
  <si>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</si>
  <si>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</si>
  <si>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</si>
  <si>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</si>
  <si>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</si>
  <si>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</si>
  <si>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</si>
  <si>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</si>
  <si>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</si>
  <si>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</si>
  <si>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</si>
  <si>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</si>
  <si>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</si>
  <si>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</si>
  <si>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</si>
  <si>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</si>
  <si>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</si>
  <si>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</si>
  <si>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</si>
  <si>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</si>
  <si>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</si>
  <si>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</si>
  <si>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</si>
  <si>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</si>
  <si>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</si>
  <si>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</si>
  <si>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</si>
  <si>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</si>
  <si>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</si>
  <si>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</si>
  <si>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</si>
  <si>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</si>
  <si>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</si>
  <si>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</si>
  <si>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</si>
  <si>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</si>
  <si>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</si>
  <si>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</si>
  <si>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</si>
  <si>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</si>
  <si>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</si>
  <si>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</si>
  <si>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</si>
  <si>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</si>
  <si>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</si>
  <si>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</si>
  <si>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</si>
  <si>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</si>
  <si>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</si>
  <si>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</si>
  <si>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</si>
  <si>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</si>
  <si>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</si>
  <si>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</si>
  <si>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</si>
  <si>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</si>
  <si>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</si>
  <si>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</si>
  <si>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</si>
  <si>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</si>
  <si>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</si>
  <si>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</si>
  <si>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</si>
  <si>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</si>
  <si>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</si>
  <si>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</si>
  <si>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</si>
  <si>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21.029509, 105.764660</t>
  </si>
  <si>
    <t>3</t>
  </si>
  <si>
    <t>//TG/TT1</t>
  </si>
  <si>
    <t>21.030860, 105.762325</t>
  </si>
  <si>
    <t>2</t>
  </si>
  <si>
    <t>21.030374, 105.759331</t>
  </si>
  <si>
    <t>21.019984, 105.777490</t>
  </si>
  <si>
    <t>21.017797, 105.775795</t>
  </si>
  <si>
    <t>21.011955, 105.779681</t>
  </si>
  <si>
    <t>21.013064, 105.765581</t>
  </si>
  <si>
    <t>1903224//TG/TT1</t>
  </si>
  <si>
    <t>21.012196, 105.782861</t>
  </si>
  <si>
    <t>20.995712, 105.753192</t>
  </si>
  <si>
    <t>21.013744, 105.767710</t>
  </si>
  <si>
    <t>21.002667, 105.744625</t>
  </si>
  <si>
    <t>21.050928, 105.732104</t>
  </si>
  <si>
    <t>20.960182, 105.847146</t>
  </si>
  <si>
    <t>20.975974, 105.893886</t>
  </si>
  <si>
    <t>20.981013, 105.878833</t>
  </si>
  <si>
    <t>20.971897, 105.850808</t>
  </si>
  <si>
    <t>20.985777, 105.851466</t>
  </si>
  <si>
    <t>20.962545, 105.840384</t>
  </si>
  <si>
    <t>20.955057, 105.844472</t>
  </si>
  <si>
    <t>20.936085, 105.845611</t>
  </si>
  <si>
    <t>20.940650, 105.845440</t>
  </si>
  <si>
    <t>20.936440, 105.830701</t>
  </si>
  <si>
    <t>4</t>
  </si>
  <si>
    <t>20.964811, 105.735023</t>
  </si>
  <si>
    <t>20.997391, 105.713595</t>
  </si>
  <si>
    <t>20.999661, 105.798988</t>
  </si>
  <si>
    <t>20.996429, 105.813943</t>
  </si>
  <si>
    <t>20.993583, 105.830771</t>
  </si>
  <si>
    <t>21.047256, 105.811422</t>
  </si>
  <si>
    <t>21.001691, 105.787131</t>
  </si>
  <si>
    <t>21.026803, 105.853985</t>
  </si>
  <si>
    <t>21.049645, 105.876561</t>
  </si>
  <si>
    <t>21.021868, 105.937558</t>
  </si>
  <si>
    <t>21.057921, 105.916195</t>
  </si>
  <si>
    <t>21.110002, 105.776841</t>
  </si>
  <si>
    <t>21.110651, 105.755618</t>
  </si>
  <si>
    <t>21.195116, 105.768676</t>
  </si>
  <si>
    <t>21.184451, 105.723142</t>
  </si>
  <si>
    <t>TT-TAY-MO-79-NTL_HNI</t>
  </si>
  <si>
    <t>20/20/20</t>
  </si>
  <si>
    <t>1903223//TG/TT1</t>
  </si>
  <si>
    <t>TT-DUONG-SAT-LUU-PHAI-NGU-HIEP-TTI_HNI</t>
  </si>
  <si>
    <t>14,5/14,5/14,5</t>
  </si>
  <si>
    <t>1903241//TG/TT1</t>
  </si>
  <si>
    <t>TOA-NHA-VINAPHONE-XUAN-LA-THO_HNI</t>
  </si>
  <si>
    <t>6,5/6,5/6,5</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</si>
</sst>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603">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0" applyNumberFormat="1" fontId="75" applyFont="1" fillId="0" applyFill="1" borderId="17" applyBorder="1" xfId="0" applyAlignment="1">
      <alignment vertical="center" wrapText="1"/>
      <protection locked="0"/>
    </xf>
    <xf numFmtId="14" applyNumberFormat="1" fontId="74" applyFont="1" fillId="0" applyFill="1" borderId="0" applyBorder="1" xfId="128" applyAlignment="1">
      <alignment vertical="center" wrapText="1"/>
      <protection locked="0"/>
    </xf>
    <xf numFmtId="14" applyNumberFormat="1" fontId="2" applyFont="1" fillId="39" applyFill="1" borderId="17" applyBorder="1" xfId="128" applyAlignment="1">
      <alignment horizontal="center" vertical="center" wrapText="1"/>
      <protection locked="0"/>
    </xf>
    <xf numFmtId="14" applyNumberFormat="1" fontId="103" applyFont="1" fillId="45" applyFill="1" borderId="17" applyBorder="1" xfId="128" applyAlignment="1">
      <alignment horizontal="center" vertical="center" wrapText="1"/>
      <protection locked="0"/>
    </xf>
    <xf numFmtId="14" applyNumberFormat="1" fontId="2" applyFont="1" fillId="39" applyFill="1" borderId="1" applyBorder="1" xfId="128" applyAlignment="1">
      <alignment horizontal="center" vertical="center" wrapText="1"/>
      <protection locked="0"/>
    </xf>
    <xf numFmtId="14" applyNumberFormat="1" fontId="101" applyFont="1" fillId="45" applyFill="1" borderId="1" applyBorder="1" xfId="0" applyAlignment="1">
      <alignment horizontal="center" vertical="center" wrapText="1"/>
      <protection locked="0"/>
    </xf>
    <xf numFmtId="14" applyNumberFormat="1" fontId="74" applyFont="1" fillId="0" applyFill="1" borderId="17" applyBorder="1" xfId="128"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199">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0]!ReturnMenu"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0]!ReturnMenu"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0]!ReturnMenu"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0]!ReturnMenu"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0]!ReturnMenu"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0]!ReturnMenu"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0]!ReturnMenu"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0]!ReturnMenu"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0]!ReturnMenu"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0]!ReturnMenu"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0]!ReturnMenu"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activeCell="E5" sqref="E5"/>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70" t="s">
        <v>20972</v>
      </c>
      <c r="B1" s="471"/>
      <c r="C1" s="471"/>
    </row>
    <row r="3">
      <c r="A3" s="391" t="s">
        <v>20973</v>
      </c>
      <c r="B3" s="391" t="s">
        <v>20974</v>
      </c>
      <c r="C3" s="391" t="s">
        <v>20975</v>
      </c>
    </row>
    <row r="4">
      <c r="A4" s="476" t="s">
        <v>20976</v>
      </c>
      <c r="B4" s="476"/>
      <c r="C4" s="476"/>
    </row>
    <row r="5">
      <c r="A5" s="392">
        <v>1</v>
      </c>
      <c r="B5" s="393" t="s">
        <v>20977</v>
      </c>
      <c r="C5" s="393"/>
    </row>
    <row r="6" ht="63">
      <c r="A6" s="392">
        <v>2</v>
      </c>
      <c r="B6" s="393" t="s">
        <v>20978</v>
      </c>
      <c r="C6" s="394" t="s">
        <v>20979</v>
      </c>
    </row>
    <row r="7" s="389" customFormat="1">
      <c r="A7" s="476" t="s">
        <v>20980</v>
      </c>
      <c r="B7" s="476"/>
      <c r="C7" s="476"/>
    </row>
    <row r="8" s="389" customFormat="1">
      <c r="A8" s="395" t="s">
        <v>20981</v>
      </c>
      <c r="B8" s="472" t="s">
        <v>20982</v>
      </c>
      <c r="C8" s="472"/>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72" t="s">
        <v>20996</v>
      </c>
      <c r="C16" s="472"/>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4" t="s">
        <v>21008</v>
      </c>
      <c r="C22" s="475"/>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73" t="s">
        <v>21017</v>
      </c>
      <c r="B27" s="473"/>
      <c r="C27" s="473"/>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21542</v>
      </c>
      <c r="E1" s="308" t="s">
        <v>21994</v>
      </c>
      <c r="F1" s="308" t="s">
        <v>21995</v>
      </c>
    </row>
    <row r="2">
      <c r="A2" s="307">
        <v>1</v>
      </c>
      <c r="B2" s="307" t="s">
        <v>22229</v>
      </c>
      <c r="C2" s="307" t="s">
        <v>22230</v>
      </c>
      <c r="D2" s="307" t="s">
        <v>21313</v>
      </c>
      <c r="E2" s="307" t="s">
        <v>21313</v>
      </c>
      <c r="F2" s="307" t="s">
        <v>21313</v>
      </c>
    </row>
    <row r="3" ht="30">
      <c r="A3" s="307">
        <v>2</v>
      </c>
      <c r="B3" s="307" t="s">
        <v>22231</v>
      </c>
      <c r="C3" s="307" t="s">
        <v>22232</v>
      </c>
      <c r="D3" s="307" t="s">
        <v>20855</v>
      </c>
      <c r="E3" s="307" t="s">
        <v>21313</v>
      </c>
      <c r="F3" s="307" t="s">
        <v>21313</v>
      </c>
    </row>
    <row r="4">
      <c r="A4" s="307">
        <v>3</v>
      </c>
      <c r="B4" s="307" t="s">
        <v>22233</v>
      </c>
      <c r="C4" s="307" t="s">
        <v>22234</v>
      </c>
      <c r="D4" s="307" t="s">
        <v>21313</v>
      </c>
      <c r="E4" s="307" t="s">
        <v>21313</v>
      </c>
      <c r="F4" s="307" t="s">
        <v>21313</v>
      </c>
    </row>
    <row r="5" ht="30">
      <c r="A5" s="311">
        <v>4</v>
      </c>
      <c r="B5" s="311" t="s">
        <v>22235</v>
      </c>
      <c r="C5" s="311" t="s">
        <v>21267</v>
      </c>
      <c r="D5" s="311" t="s">
        <v>22236</v>
      </c>
      <c r="E5" s="311" t="s">
        <v>22237</v>
      </c>
      <c r="F5" s="311" t="s">
        <v>22238</v>
      </c>
    </row>
    <row r="6">
      <c r="A6" s="311">
        <v>5</v>
      </c>
      <c r="B6" s="311" t="s">
        <v>21307</v>
      </c>
      <c r="C6" s="311" t="s">
        <v>21333</v>
      </c>
      <c r="D6" s="311" t="s">
        <v>22239</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22221</v>
      </c>
      <c r="D1" s="457" t="s">
        <v>20834</v>
      </c>
    </row>
    <row r="2" ht="30">
      <c r="A2" s="459">
        <v>1</v>
      </c>
      <c r="B2" s="460" t="s">
        <v>22161</v>
      </c>
      <c r="C2" s="460" t="s">
        <v>22161</v>
      </c>
      <c r="D2" s="460" t="s">
        <v>21031</v>
      </c>
    </row>
    <row r="3">
      <c r="A3" s="459">
        <v>2</v>
      </c>
      <c r="B3" s="460" t="s">
        <v>22003</v>
      </c>
      <c r="C3" s="460" t="s">
        <v>22003</v>
      </c>
      <c r="D3" s="460" t="s">
        <v>22222</v>
      </c>
    </row>
    <row r="4" ht="30">
      <c r="A4" s="459">
        <v>3</v>
      </c>
      <c r="B4" s="460" t="s">
        <v>22007</v>
      </c>
      <c r="C4" s="460" t="s">
        <v>22007</v>
      </c>
      <c r="D4" s="460" t="s">
        <v>22223</v>
      </c>
    </row>
    <row r="5">
      <c r="A5" s="459">
        <v>4</v>
      </c>
      <c r="B5" s="460" t="s">
        <v>21298</v>
      </c>
      <c r="C5" s="460" t="s">
        <v>21298</v>
      </c>
      <c r="D5" s="460" t="s">
        <v>21316</v>
      </c>
    </row>
    <row r="6" ht="30">
      <c r="A6" s="459">
        <v>5</v>
      </c>
      <c r="B6" s="460" t="s">
        <v>22019</v>
      </c>
      <c r="C6" s="460" t="s">
        <v>22019</v>
      </c>
      <c r="D6" s="460" t="s">
        <v>22224</v>
      </c>
    </row>
    <row r="7" ht="30">
      <c r="A7" s="459">
        <v>6</v>
      </c>
      <c r="B7" s="463" t="s">
        <v>22225</v>
      </c>
      <c r="C7" s="460" t="s">
        <v>22007</v>
      </c>
      <c r="D7" s="463" t="s">
        <v>22226</v>
      </c>
    </row>
    <row r="8" ht="30">
      <c r="A8" s="459">
        <v>7</v>
      </c>
      <c r="B8" s="460" t="s">
        <v>22227</v>
      </c>
      <c r="C8" s="460" t="s">
        <v>22019</v>
      </c>
      <c r="D8" s="460" t="s">
        <v>22228</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22159</v>
      </c>
      <c r="D1" s="312" t="s">
        <v>22160</v>
      </c>
      <c r="E1" s="312" t="s">
        <v>22003</v>
      </c>
      <c r="F1" s="312" t="s">
        <v>22007</v>
      </c>
      <c r="G1" s="312" t="s">
        <v>21298</v>
      </c>
      <c r="H1" s="312" t="s">
        <v>22019</v>
      </c>
      <c r="I1" s="312" t="s">
        <v>22161</v>
      </c>
    </row>
    <row r="2">
      <c r="A2" s="311">
        <v>1</v>
      </c>
      <c r="B2" s="311" t="s">
        <v>22162</v>
      </c>
      <c r="C2" s="311">
        <v>2</v>
      </c>
      <c r="D2" s="311" t="s">
        <v>22163</v>
      </c>
      <c r="E2" s="311">
        <v>60</v>
      </c>
      <c r="F2" s="311">
        <v>32.43</v>
      </c>
      <c r="G2" s="311">
        <v>0</v>
      </c>
      <c r="H2" s="311">
        <v>0</v>
      </c>
      <c r="I2" s="311">
        <v>0</v>
      </c>
    </row>
    <row r="3">
      <c r="A3" s="311">
        <v>2</v>
      </c>
      <c r="B3" s="311" t="s">
        <v>22162</v>
      </c>
      <c r="C3" s="311">
        <v>3</v>
      </c>
      <c r="D3" s="311" t="s">
        <v>22163</v>
      </c>
      <c r="E3" s="311">
        <v>60</v>
      </c>
      <c r="F3" s="311">
        <v>32.43</v>
      </c>
      <c r="G3" s="311">
        <v>0</v>
      </c>
      <c r="H3" s="311">
        <v>0</v>
      </c>
      <c r="I3" s="311">
        <v>0</v>
      </c>
    </row>
    <row r="4">
      <c r="A4" s="311">
        <v>3</v>
      </c>
      <c r="B4" s="311" t="s">
        <v>22162</v>
      </c>
      <c r="C4" s="311">
        <v>4</v>
      </c>
      <c r="D4" s="311" t="s">
        <v>22163</v>
      </c>
      <c r="E4" s="311">
        <v>60</v>
      </c>
      <c r="F4" s="311">
        <v>14.49</v>
      </c>
      <c r="G4" s="311">
        <v>0</v>
      </c>
      <c r="H4" s="311">
        <v>0</v>
      </c>
      <c r="I4" s="311">
        <v>0</v>
      </c>
    </row>
    <row r="5">
      <c r="A5" s="311">
        <v>4</v>
      </c>
      <c r="B5" s="311" t="s">
        <v>22162</v>
      </c>
      <c r="C5" s="311">
        <v>1</v>
      </c>
      <c r="D5" s="311" t="s">
        <v>22164</v>
      </c>
      <c r="E5" s="311">
        <v>60</v>
      </c>
      <c r="F5" s="311">
        <v>27.54</v>
      </c>
      <c r="G5" s="311">
        <v>0</v>
      </c>
      <c r="H5" s="311">
        <v>0</v>
      </c>
      <c r="I5" s="311">
        <v>0</v>
      </c>
    </row>
    <row r="6">
      <c r="A6" s="311">
        <v>5</v>
      </c>
      <c r="B6" s="311" t="s">
        <v>22162</v>
      </c>
      <c r="C6" s="311">
        <v>2</v>
      </c>
      <c r="D6" s="311" t="s">
        <v>22164</v>
      </c>
      <c r="E6" s="311">
        <v>60</v>
      </c>
      <c r="F6" s="311">
        <v>25.18</v>
      </c>
      <c r="G6" s="311">
        <v>0</v>
      </c>
      <c r="H6" s="311">
        <v>0</v>
      </c>
      <c r="I6" s="311">
        <v>0</v>
      </c>
    </row>
    <row r="7">
      <c r="A7" s="311">
        <v>6</v>
      </c>
      <c r="B7" s="311" t="s">
        <v>22162</v>
      </c>
      <c r="C7" s="311">
        <v>3</v>
      </c>
      <c r="D7" s="311" t="s">
        <v>22164</v>
      </c>
      <c r="E7" s="311">
        <v>60</v>
      </c>
      <c r="F7" s="311">
        <v>25.18</v>
      </c>
      <c r="G7" s="311">
        <v>0</v>
      </c>
      <c r="H7" s="311">
        <v>0</v>
      </c>
      <c r="I7" s="311">
        <v>0</v>
      </c>
    </row>
    <row r="8">
      <c r="A8" s="311">
        <v>7</v>
      </c>
      <c r="B8" s="311" t="s">
        <v>22162</v>
      </c>
      <c r="C8" s="311">
        <v>4</v>
      </c>
      <c r="D8" s="311" t="s">
        <v>22164</v>
      </c>
      <c r="E8" s="311">
        <v>60</v>
      </c>
      <c r="F8" s="311">
        <v>11.25</v>
      </c>
      <c r="G8" s="311">
        <v>0</v>
      </c>
      <c r="H8" s="311">
        <v>0</v>
      </c>
      <c r="I8" s="311">
        <v>0</v>
      </c>
    </row>
    <row r="9">
      <c r="A9" s="311">
        <v>8</v>
      </c>
      <c r="B9" s="311" t="s">
        <v>22162</v>
      </c>
      <c r="C9" s="311">
        <v>4</v>
      </c>
      <c r="D9" s="311" t="s">
        <v>22165</v>
      </c>
      <c r="E9" s="311">
        <v>60</v>
      </c>
      <c r="F9" s="311">
        <v>0</v>
      </c>
      <c r="G9" s="311">
        <v>0</v>
      </c>
      <c r="H9" s="311">
        <v>0</v>
      </c>
      <c r="I9" s="311">
        <v>0</v>
      </c>
    </row>
    <row r="10">
      <c r="A10" s="311">
        <v>9</v>
      </c>
      <c r="B10" s="311" t="s">
        <v>22162</v>
      </c>
      <c r="C10" s="311">
        <v>5</v>
      </c>
      <c r="D10" s="311" t="s">
        <v>22165</v>
      </c>
      <c r="E10" s="311">
        <v>60</v>
      </c>
      <c r="F10" s="311">
        <v>0</v>
      </c>
      <c r="G10" s="311">
        <v>0</v>
      </c>
      <c r="H10" s="311">
        <v>0</v>
      </c>
      <c r="I10" s="311">
        <v>0</v>
      </c>
    </row>
    <row r="11">
      <c r="A11" s="311">
        <v>10</v>
      </c>
      <c r="B11" s="311" t="s">
        <v>22162</v>
      </c>
      <c r="C11" s="311">
        <v>6</v>
      </c>
      <c r="D11" s="311" t="s">
        <v>22165</v>
      </c>
      <c r="E11" s="311">
        <v>60</v>
      </c>
      <c r="F11" s="311">
        <v>0</v>
      </c>
      <c r="G11" s="311">
        <v>0</v>
      </c>
      <c r="H11" s="311">
        <v>0</v>
      </c>
      <c r="I11" s="311">
        <v>0</v>
      </c>
    </row>
    <row r="12">
      <c r="A12" s="311">
        <v>11</v>
      </c>
      <c r="B12" s="311" t="s">
        <v>22162</v>
      </c>
      <c r="C12" s="311">
        <v>7</v>
      </c>
      <c r="D12" s="311" t="s">
        <v>22165</v>
      </c>
      <c r="E12" s="311">
        <v>60</v>
      </c>
      <c r="F12" s="311">
        <v>0</v>
      </c>
      <c r="G12" s="311">
        <v>0</v>
      </c>
      <c r="H12" s="311">
        <v>0</v>
      </c>
      <c r="I12" s="311">
        <v>0</v>
      </c>
    </row>
    <row r="13">
      <c r="A13" s="311">
        <v>12</v>
      </c>
      <c r="B13" s="311" t="s">
        <v>22162</v>
      </c>
      <c r="C13" s="311">
        <v>8</v>
      </c>
      <c r="D13" s="311" t="s">
        <v>22165</v>
      </c>
      <c r="E13" s="311">
        <v>60</v>
      </c>
      <c r="F13" s="311">
        <v>0</v>
      </c>
      <c r="G13" s="311">
        <v>0</v>
      </c>
      <c r="H13" s="311">
        <v>0</v>
      </c>
      <c r="I13" s="311">
        <v>0</v>
      </c>
    </row>
    <row r="14">
      <c r="A14" s="311">
        <v>13</v>
      </c>
      <c r="B14" s="311" t="s">
        <v>22166</v>
      </c>
      <c r="C14" s="311">
        <v>2</v>
      </c>
      <c r="D14" s="311" t="s">
        <v>22163</v>
      </c>
      <c r="E14" s="311">
        <v>60</v>
      </c>
      <c r="F14" s="311">
        <v>0</v>
      </c>
      <c r="G14" s="311">
        <v>0</v>
      </c>
      <c r="H14" s="311">
        <v>40</v>
      </c>
      <c r="I14" s="311">
        <v>0</v>
      </c>
    </row>
    <row r="15">
      <c r="A15" s="311">
        <v>14</v>
      </c>
      <c r="B15" s="311" t="s">
        <v>22166</v>
      </c>
      <c r="C15" s="311">
        <v>4</v>
      </c>
      <c r="D15" s="311" t="s">
        <v>22163</v>
      </c>
      <c r="E15" s="311">
        <v>60</v>
      </c>
      <c r="F15" s="311">
        <v>0</v>
      </c>
      <c r="G15" s="311">
        <v>0</v>
      </c>
      <c r="H15" s="311">
        <v>0</v>
      </c>
      <c r="I15" s="311">
        <v>0</v>
      </c>
    </row>
    <row r="16">
      <c r="A16" s="311">
        <v>15</v>
      </c>
      <c r="B16" s="311" t="s">
        <v>22166</v>
      </c>
      <c r="C16" s="311">
        <v>2</v>
      </c>
      <c r="D16" s="311" t="s">
        <v>22164</v>
      </c>
      <c r="E16" s="311">
        <v>60</v>
      </c>
      <c r="F16" s="311">
        <v>0</v>
      </c>
      <c r="G16" s="311">
        <v>0</v>
      </c>
      <c r="H16" s="311">
        <v>0</v>
      </c>
      <c r="I16" s="311">
        <v>0</v>
      </c>
    </row>
    <row r="17">
      <c r="A17" s="311">
        <v>16</v>
      </c>
      <c r="B17" s="311" t="s">
        <v>22166</v>
      </c>
      <c r="C17" s="311">
        <v>4</v>
      </c>
      <c r="D17" s="311" t="s">
        <v>22164</v>
      </c>
      <c r="E17" s="311">
        <v>60</v>
      </c>
      <c r="F17" s="311">
        <v>0</v>
      </c>
      <c r="G17" s="311">
        <v>0</v>
      </c>
      <c r="H17" s="311">
        <v>0</v>
      </c>
      <c r="I17" s="311">
        <v>0</v>
      </c>
    </row>
    <row r="18">
      <c r="A18" s="311">
        <v>17</v>
      </c>
      <c r="B18" s="311" t="s">
        <v>22167</v>
      </c>
      <c r="C18" s="311">
        <v>6</v>
      </c>
      <c r="D18" s="311" t="s">
        <v>22168</v>
      </c>
      <c r="E18" s="311">
        <v>60</v>
      </c>
      <c r="F18" s="311">
        <v>0</v>
      </c>
      <c r="G18" s="311">
        <v>0</v>
      </c>
      <c r="H18" s="311">
        <v>0</v>
      </c>
      <c r="I18" s="311">
        <v>0</v>
      </c>
    </row>
    <row r="19">
      <c r="A19" s="311">
        <v>18</v>
      </c>
      <c r="B19" s="311" t="s">
        <v>22167</v>
      </c>
      <c r="C19" s="311">
        <v>7</v>
      </c>
      <c r="D19" s="311" t="s">
        <v>22168</v>
      </c>
      <c r="E19" s="311">
        <v>60</v>
      </c>
      <c r="F19" s="311">
        <v>0</v>
      </c>
      <c r="G19" s="311">
        <v>0</v>
      </c>
      <c r="H19" s="311">
        <v>0</v>
      </c>
      <c r="I19" s="311">
        <v>0</v>
      </c>
    </row>
    <row r="20">
      <c r="A20" s="311">
        <v>19</v>
      </c>
      <c r="B20" s="311" t="s">
        <v>22169</v>
      </c>
      <c r="C20" s="311">
        <v>2</v>
      </c>
      <c r="D20" s="311" t="s">
        <v>22163</v>
      </c>
      <c r="E20" s="311">
        <v>60</v>
      </c>
      <c r="F20" s="311">
        <v>0</v>
      </c>
      <c r="G20" s="311">
        <v>0</v>
      </c>
      <c r="H20" s="311">
        <v>0</v>
      </c>
      <c r="I20" s="311">
        <v>0</v>
      </c>
    </row>
    <row r="21">
      <c r="A21" s="311">
        <v>20</v>
      </c>
      <c r="B21" s="311" t="s">
        <v>22169</v>
      </c>
      <c r="C21" s="311">
        <v>4</v>
      </c>
      <c r="D21" s="311" t="s">
        <v>22163</v>
      </c>
      <c r="E21" s="311">
        <v>60</v>
      </c>
      <c r="F21" s="311">
        <v>0</v>
      </c>
      <c r="G21" s="311">
        <v>0</v>
      </c>
      <c r="H21" s="311">
        <v>0</v>
      </c>
      <c r="I21" s="311">
        <v>0</v>
      </c>
    </row>
    <row r="22">
      <c r="A22" s="311">
        <v>21</v>
      </c>
      <c r="B22" s="311" t="s">
        <v>22169</v>
      </c>
      <c r="C22" s="311">
        <v>2</v>
      </c>
      <c r="D22" s="311" t="s">
        <v>22164</v>
      </c>
      <c r="E22" s="311">
        <v>60</v>
      </c>
      <c r="F22" s="311">
        <v>0</v>
      </c>
      <c r="G22" s="311">
        <v>0</v>
      </c>
      <c r="H22" s="311">
        <v>0</v>
      </c>
      <c r="I22" s="311">
        <v>0</v>
      </c>
    </row>
    <row r="23">
      <c r="A23" s="311">
        <v>22</v>
      </c>
      <c r="B23" s="311" t="s">
        <v>22169</v>
      </c>
      <c r="C23" s="311">
        <v>4</v>
      </c>
      <c r="D23" s="311" t="s">
        <v>22164</v>
      </c>
      <c r="E23" s="311">
        <v>60</v>
      </c>
      <c r="F23" s="311">
        <v>0</v>
      </c>
      <c r="G23" s="311">
        <v>0</v>
      </c>
      <c r="H23" s="311">
        <v>0</v>
      </c>
      <c r="I23" s="311">
        <v>0</v>
      </c>
    </row>
    <row r="24">
      <c r="A24" s="311">
        <v>23</v>
      </c>
      <c r="B24" s="311" t="s">
        <v>22170</v>
      </c>
      <c r="C24" s="311">
        <v>6</v>
      </c>
      <c r="D24" s="311" t="s">
        <v>22168</v>
      </c>
      <c r="E24" s="311">
        <v>60</v>
      </c>
      <c r="F24" s="311">
        <v>0</v>
      </c>
      <c r="G24" s="311">
        <v>0</v>
      </c>
      <c r="H24" s="311">
        <v>0</v>
      </c>
      <c r="I24" s="311">
        <v>0</v>
      </c>
    </row>
    <row r="25">
      <c r="A25" s="311">
        <v>24</v>
      </c>
      <c r="B25" s="311" t="s">
        <v>22170</v>
      </c>
      <c r="C25" s="311">
        <v>7</v>
      </c>
      <c r="D25" s="311" t="s">
        <v>22168</v>
      </c>
      <c r="E25" s="311">
        <v>60</v>
      </c>
      <c r="F25" s="311">
        <v>0</v>
      </c>
      <c r="G25" s="311">
        <v>0</v>
      </c>
      <c r="H25" s="311">
        <v>0</v>
      </c>
      <c r="I25" s="311">
        <v>0</v>
      </c>
    </row>
    <row r="26">
      <c r="A26" s="311">
        <v>25</v>
      </c>
      <c r="B26" s="311" t="s">
        <v>22171</v>
      </c>
      <c r="C26" s="311">
        <v>6</v>
      </c>
      <c r="D26" s="311" t="s">
        <v>22168</v>
      </c>
      <c r="E26" s="311">
        <v>60</v>
      </c>
      <c r="F26" s="311">
        <v>0</v>
      </c>
      <c r="G26" s="311">
        <v>0</v>
      </c>
      <c r="H26" s="311">
        <v>0</v>
      </c>
      <c r="I26" s="311">
        <v>0</v>
      </c>
    </row>
    <row r="27">
      <c r="A27" s="311">
        <v>26</v>
      </c>
      <c r="B27" s="311" t="s">
        <v>22171</v>
      </c>
      <c r="C27" s="311">
        <v>7</v>
      </c>
      <c r="D27" s="311" t="s">
        <v>22168</v>
      </c>
      <c r="E27" s="311">
        <v>60</v>
      </c>
      <c r="F27" s="311">
        <v>0</v>
      </c>
      <c r="G27" s="311">
        <v>0</v>
      </c>
      <c r="H27" s="311">
        <v>0</v>
      </c>
      <c r="I27" s="311">
        <v>0</v>
      </c>
    </row>
    <row r="28">
      <c r="A28" s="311">
        <v>27</v>
      </c>
      <c r="B28" s="311" t="s">
        <v>22172</v>
      </c>
      <c r="C28" s="311">
        <v>2</v>
      </c>
      <c r="D28" s="311" t="s">
        <v>22163</v>
      </c>
      <c r="E28" s="311">
        <v>60</v>
      </c>
      <c r="F28" s="311">
        <v>0</v>
      </c>
      <c r="G28" s="311">
        <v>0</v>
      </c>
      <c r="H28" s="311">
        <v>0</v>
      </c>
      <c r="I28" s="311">
        <v>0</v>
      </c>
    </row>
    <row r="29">
      <c r="A29" s="311">
        <v>28</v>
      </c>
      <c r="B29" s="311" t="s">
        <v>22172</v>
      </c>
      <c r="C29" s="311">
        <v>3</v>
      </c>
      <c r="D29" s="311" t="s">
        <v>22163</v>
      </c>
      <c r="E29" s="311">
        <v>60</v>
      </c>
      <c r="F29" s="311">
        <v>0</v>
      </c>
      <c r="G29" s="311">
        <v>0</v>
      </c>
      <c r="H29" s="311">
        <v>0</v>
      </c>
      <c r="I29" s="311">
        <v>0</v>
      </c>
    </row>
    <row r="30">
      <c r="A30" s="311">
        <v>29</v>
      </c>
      <c r="B30" s="311" t="s">
        <v>22172</v>
      </c>
      <c r="C30" s="311">
        <v>4</v>
      </c>
      <c r="D30" s="311" t="s">
        <v>22163</v>
      </c>
      <c r="E30" s="311">
        <v>60</v>
      </c>
      <c r="F30" s="311">
        <v>0</v>
      </c>
      <c r="G30" s="311">
        <v>0</v>
      </c>
      <c r="H30" s="311">
        <v>0</v>
      </c>
      <c r="I30" s="311">
        <v>0</v>
      </c>
    </row>
    <row r="31">
      <c r="A31" s="311">
        <v>30</v>
      </c>
      <c r="B31" s="311" t="s">
        <v>22172</v>
      </c>
      <c r="C31" s="311">
        <v>1</v>
      </c>
      <c r="D31" s="311" t="s">
        <v>22164</v>
      </c>
      <c r="E31" s="311">
        <v>60</v>
      </c>
      <c r="F31" s="311">
        <v>0</v>
      </c>
      <c r="G31" s="311">
        <v>0</v>
      </c>
      <c r="H31" s="311">
        <v>0</v>
      </c>
      <c r="I31" s="311">
        <v>0</v>
      </c>
    </row>
    <row r="32">
      <c r="A32" s="311">
        <v>31</v>
      </c>
      <c r="B32" s="311" t="s">
        <v>22172</v>
      </c>
      <c r="C32" s="311">
        <v>2</v>
      </c>
      <c r="D32" s="311" t="s">
        <v>22164</v>
      </c>
      <c r="E32" s="311">
        <v>60</v>
      </c>
      <c r="F32" s="311">
        <v>0</v>
      </c>
      <c r="G32" s="311">
        <v>0</v>
      </c>
      <c r="H32" s="311">
        <v>0</v>
      </c>
      <c r="I32" s="311">
        <v>0</v>
      </c>
    </row>
    <row r="33">
      <c r="A33" s="311">
        <v>32</v>
      </c>
      <c r="B33" s="311" t="s">
        <v>22172</v>
      </c>
      <c r="C33" s="311">
        <v>4</v>
      </c>
      <c r="D33" s="311" t="s">
        <v>22164</v>
      </c>
      <c r="E33" s="311">
        <v>60</v>
      </c>
      <c r="F33" s="311">
        <v>0</v>
      </c>
      <c r="G33" s="311">
        <v>0</v>
      </c>
      <c r="H33" s="311">
        <v>0</v>
      </c>
      <c r="I33" s="311">
        <v>0</v>
      </c>
    </row>
    <row r="34">
      <c r="A34" s="311">
        <v>33</v>
      </c>
      <c r="B34" s="311" t="s">
        <v>22172</v>
      </c>
      <c r="C34" s="311">
        <v>4</v>
      </c>
      <c r="D34" s="311" t="s">
        <v>22165</v>
      </c>
      <c r="E34" s="311">
        <v>60</v>
      </c>
      <c r="F34" s="311">
        <v>0</v>
      </c>
      <c r="G34" s="311">
        <v>0</v>
      </c>
      <c r="H34" s="311">
        <v>0</v>
      </c>
      <c r="I34" s="311">
        <v>0</v>
      </c>
    </row>
    <row r="35">
      <c r="A35" s="311">
        <v>34</v>
      </c>
      <c r="B35" s="311" t="s">
        <v>22172</v>
      </c>
      <c r="C35" s="311">
        <v>6</v>
      </c>
      <c r="D35" s="311" t="s">
        <v>22165</v>
      </c>
      <c r="E35" s="311">
        <v>60</v>
      </c>
      <c r="F35" s="311">
        <v>0</v>
      </c>
      <c r="G35" s="311">
        <v>0</v>
      </c>
      <c r="H35" s="311">
        <v>0</v>
      </c>
      <c r="I35" s="311">
        <v>0</v>
      </c>
    </row>
    <row r="36">
      <c r="A36" s="311">
        <v>35</v>
      </c>
      <c r="B36" s="311" t="s">
        <v>22172</v>
      </c>
      <c r="C36" s="311">
        <v>8</v>
      </c>
      <c r="D36" s="311" t="s">
        <v>22165</v>
      </c>
      <c r="E36" s="311">
        <v>60</v>
      </c>
      <c r="F36" s="311">
        <v>0</v>
      </c>
      <c r="G36" s="311">
        <v>0</v>
      </c>
      <c r="H36" s="311">
        <v>0</v>
      </c>
      <c r="I36" s="311">
        <v>0</v>
      </c>
    </row>
    <row r="37">
      <c r="A37" s="311">
        <v>36</v>
      </c>
      <c r="B37" s="311" t="s">
        <v>22173</v>
      </c>
      <c r="C37" s="311">
        <v>4</v>
      </c>
      <c r="D37" s="311" t="s">
        <v>22165</v>
      </c>
      <c r="E37" s="311">
        <v>60</v>
      </c>
      <c r="F37" s="311">
        <v>0</v>
      </c>
      <c r="G37" s="311">
        <v>0</v>
      </c>
      <c r="H37" s="311">
        <v>0</v>
      </c>
      <c r="I37" s="311">
        <v>0</v>
      </c>
    </row>
    <row r="38">
      <c r="A38" s="311">
        <v>37</v>
      </c>
      <c r="B38" s="311" t="s">
        <v>22173</v>
      </c>
      <c r="C38" s="311">
        <v>6</v>
      </c>
      <c r="D38" s="311" t="s">
        <v>22165</v>
      </c>
      <c r="E38" s="311">
        <v>60</v>
      </c>
      <c r="F38" s="311">
        <v>0</v>
      </c>
      <c r="G38" s="311">
        <v>0</v>
      </c>
      <c r="H38" s="311">
        <v>0</v>
      </c>
      <c r="I38" s="311">
        <v>0</v>
      </c>
    </row>
    <row r="39">
      <c r="A39" s="311">
        <v>38</v>
      </c>
      <c r="B39" s="311" t="s">
        <v>22173</v>
      </c>
      <c r="C39" s="311">
        <v>8</v>
      </c>
      <c r="D39" s="311" t="s">
        <v>22165</v>
      </c>
      <c r="E39" s="311">
        <v>60</v>
      </c>
      <c r="F39" s="311">
        <v>0</v>
      </c>
      <c r="G39" s="311">
        <v>0</v>
      </c>
      <c r="H39" s="311">
        <v>0</v>
      </c>
      <c r="I39" s="311">
        <v>0</v>
      </c>
    </row>
    <row r="40">
      <c r="A40" s="311">
        <v>39</v>
      </c>
      <c r="B40" s="311" t="s">
        <v>22174</v>
      </c>
      <c r="C40" s="311">
        <v>4</v>
      </c>
      <c r="D40" s="311" t="s">
        <v>22165</v>
      </c>
      <c r="E40" s="311">
        <v>60</v>
      </c>
      <c r="F40" s="311">
        <v>0</v>
      </c>
      <c r="G40" s="311">
        <v>0</v>
      </c>
      <c r="H40" s="311">
        <v>0</v>
      </c>
      <c r="I40" s="311">
        <v>0</v>
      </c>
    </row>
    <row r="41">
      <c r="A41" s="311">
        <v>40</v>
      </c>
      <c r="B41" s="311" t="s">
        <v>22174</v>
      </c>
      <c r="C41" s="311">
        <v>6</v>
      </c>
      <c r="D41" s="311" t="s">
        <v>22165</v>
      </c>
      <c r="E41" s="311">
        <v>60</v>
      </c>
      <c r="F41" s="311">
        <v>0</v>
      </c>
      <c r="G41" s="311">
        <v>0</v>
      </c>
      <c r="H41" s="311">
        <v>0</v>
      </c>
      <c r="I41" s="311">
        <v>0</v>
      </c>
    </row>
    <row r="42">
      <c r="A42" s="311">
        <v>41</v>
      </c>
      <c r="B42" s="311" t="s">
        <v>22174</v>
      </c>
      <c r="C42" s="311">
        <v>8</v>
      </c>
      <c r="D42" s="311" t="s">
        <v>22165</v>
      </c>
      <c r="E42" s="311">
        <v>60</v>
      </c>
      <c r="F42" s="311">
        <v>0</v>
      </c>
      <c r="G42" s="311">
        <v>0</v>
      </c>
      <c r="H42" s="311">
        <v>0</v>
      </c>
      <c r="I42" s="311">
        <v>0</v>
      </c>
    </row>
    <row r="43">
      <c r="A43" s="311">
        <v>42</v>
      </c>
      <c r="B43" s="311" t="s">
        <v>22175</v>
      </c>
      <c r="C43" s="311">
        <v>2</v>
      </c>
      <c r="D43" s="311" t="s">
        <v>22163</v>
      </c>
      <c r="E43" s="311">
        <v>60</v>
      </c>
      <c r="F43" s="311">
        <v>67.6</v>
      </c>
      <c r="G43" s="311">
        <v>0</v>
      </c>
      <c r="H43" s="311">
        <v>0</v>
      </c>
      <c r="I43" s="311">
        <v>0</v>
      </c>
    </row>
    <row r="44">
      <c r="A44" s="311">
        <v>43</v>
      </c>
      <c r="B44" s="311" t="s">
        <v>22175</v>
      </c>
      <c r="C44" s="311">
        <v>4</v>
      </c>
      <c r="D44" s="311" t="s">
        <v>22163</v>
      </c>
      <c r="E44" s="311">
        <v>60</v>
      </c>
      <c r="F44" s="311">
        <v>63.2</v>
      </c>
      <c r="G44" s="311">
        <v>0</v>
      </c>
      <c r="H44" s="311">
        <v>0</v>
      </c>
      <c r="I44" s="311">
        <v>0</v>
      </c>
    </row>
    <row r="45">
      <c r="A45" s="311">
        <v>44</v>
      </c>
      <c r="B45" s="311" t="s">
        <v>22175</v>
      </c>
      <c r="C45" s="311">
        <v>2</v>
      </c>
      <c r="D45" s="311" t="s">
        <v>22164</v>
      </c>
      <c r="E45" s="311">
        <v>60</v>
      </c>
      <c r="F45" s="311">
        <v>47.9</v>
      </c>
      <c r="G45" s="311">
        <v>0</v>
      </c>
      <c r="H45" s="311">
        <v>0</v>
      </c>
      <c r="I45" s="311">
        <v>0</v>
      </c>
    </row>
    <row r="46">
      <c r="A46" s="311">
        <v>45</v>
      </c>
      <c r="B46" s="311" t="s">
        <v>22175</v>
      </c>
      <c r="C46" s="311">
        <v>4</v>
      </c>
      <c r="D46" s="311" t="s">
        <v>22164</v>
      </c>
      <c r="E46" s="311">
        <v>60</v>
      </c>
      <c r="F46" s="311">
        <v>44.8</v>
      </c>
      <c r="G46" s="311">
        <v>0</v>
      </c>
      <c r="H46" s="311">
        <v>0</v>
      </c>
      <c r="I46" s="311">
        <v>0</v>
      </c>
    </row>
    <row r="47">
      <c r="A47" s="311">
        <v>46</v>
      </c>
      <c r="B47" s="311" t="s">
        <v>22175</v>
      </c>
      <c r="C47" s="311">
        <v>4</v>
      </c>
      <c r="D47" s="311" t="s">
        <v>22165</v>
      </c>
      <c r="E47" s="311">
        <v>60</v>
      </c>
      <c r="F47" s="311">
        <v>0</v>
      </c>
      <c r="G47" s="311">
        <v>0</v>
      </c>
      <c r="H47" s="311">
        <v>0</v>
      </c>
      <c r="I47" s="311">
        <v>0</v>
      </c>
    </row>
    <row r="48">
      <c r="A48" s="311">
        <v>47</v>
      </c>
      <c r="B48" s="311" t="s">
        <v>22175</v>
      </c>
      <c r="C48" s="311">
        <v>6</v>
      </c>
      <c r="D48" s="311" t="s">
        <v>22165</v>
      </c>
      <c r="E48" s="311">
        <v>60</v>
      </c>
      <c r="F48" s="311">
        <v>0</v>
      </c>
      <c r="G48" s="311">
        <v>0</v>
      </c>
      <c r="H48" s="311">
        <v>0</v>
      </c>
      <c r="I48" s="311">
        <v>0</v>
      </c>
    </row>
    <row r="49">
      <c r="A49" s="311">
        <v>48</v>
      </c>
      <c r="B49" s="311" t="s">
        <v>22175</v>
      </c>
      <c r="C49" s="311">
        <v>8</v>
      </c>
      <c r="D49" s="311" t="s">
        <v>22165</v>
      </c>
      <c r="E49" s="311">
        <v>60</v>
      </c>
      <c r="F49" s="311">
        <v>0</v>
      </c>
      <c r="G49" s="311">
        <v>0</v>
      </c>
      <c r="H49" s="311">
        <v>0</v>
      </c>
      <c r="I49" s="311">
        <v>0</v>
      </c>
    </row>
    <row r="50">
      <c r="A50" s="311">
        <v>49</v>
      </c>
      <c r="B50" s="311" t="s">
        <v>22176</v>
      </c>
      <c r="C50" s="311">
        <v>4</v>
      </c>
      <c r="D50" s="311" t="s">
        <v>22165</v>
      </c>
      <c r="E50" s="311">
        <v>60</v>
      </c>
      <c r="F50" s="311">
        <v>0</v>
      </c>
      <c r="G50" s="311">
        <v>0</v>
      </c>
      <c r="H50" s="311">
        <v>0</v>
      </c>
      <c r="I50" s="311">
        <v>0</v>
      </c>
    </row>
    <row r="51">
      <c r="A51" s="311">
        <v>50</v>
      </c>
      <c r="B51" s="311" t="s">
        <v>22176</v>
      </c>
      <c r="C51" s="311">
        <v>6</v>
      </c>
      <c r="D51" s="311" t="s">
        <v>22165</v>
      </c>
      <c r="E51" s="311">
        <v>60</v>
      </c>
      <c r="F51" s="311">
        <v>0</v>
      </c>
      <c r="G51" s="311">
        <v>0</v>
      </c>
      <c r="H51" s="311">
        <v>0</v>
      </c>
      <c r="I51" s="311">
        <v>0</v>
      </c>
    </row>
    <row r="52">
      <c r="A52" s="311">
        <v>51</v>
      </c>
      <c r="B52" s="311" t="s">
        <v>22176</v>
      </c>
      <c r="C52" s="311">
        <v>8</v>
      </c>
      <c r="D52" s="311" t="s">
        <v>22165</v>
      </c>
      <c r="E52" s="311">
        <v>60</v>
      </c>
      <c r="F52" s="311">
        <v>0</v>
      </c>
      <c r="G52" s="311">
        <v>0</v>
      </c>
      <c r="H52" s="311">
        <v>0</v>
      </c>
      <c r="I52" s="311">
        <v>0</v>
      </c>
    </row>
    <row r="53">
      <c r="A53" s="311">
        <v>52</v>
      </c>
      <c r="B53" s="311" t="s">
        <v>22177</v>
      </c>
      <c r="C53" s="311">
        <v>2</v>
      </c>
      <c r="D53" s="311" t="s">
        <v>22163</v>
      </c>
      <c r="E53" s="311">
        <v>60</v>
      </c>
      <c r="F53" s="311">
        <v>39.81</v>
      </c>
      <c r="G53" s="311">
        <v>0</v>
      </c>
      <c r="H53" s="311">
        <v>40</v>
      </c>
      <c r="I53" s="311">
        <v>0</v>
      </c>
    </row>
    <row r="54">
      <c r="A54" s="311">
        <v>53</v>
      </c>
      <c r="B54" s="311" t="s">
        <v>22177</v>
      </c>
      <c r="C54" s="311">
        <v>4</v>
      </c>
      <c r="D54" s="311" t="s">
        <v>22163</v>
      </c>
      <c r="E54" s="311">
        <v>60</v>
      </c>
      <c r="F54" s="311">
        <v>35.56</v>
      </c>
      <c r="G54" s="311">
        <v>0</v>
      </c>
      <c r="H54" s="311">
        <v>80</v>
      </c>
      <c r="I54" s="311">
        <v>0</v>
      </c>
    </row>
    <row r="55">
      <c r="A55" s="311">
        <v>54</v>
      </c>
      <c r="B55" s="311" t="s">
        <v>22177</v>
      </c>
      <c r="C55" s="311">
        <v>2</v>
      </c>
      <c r="D55" s="311" t="s">
        <v>22164</v>
      </c>
      <c r="E55" s="311">
        <v>60</v>
      </c>
      <c r="F55" s="311">
        <v>35.48</v>
      </c>
      <c r="G55" s="311">
        <v>0</v>
      </c>
      <c r="H55" s="311">
        <v>0</v>
      </c>
      <c r="I55" s="311">
        <v>0</v>
      </c>
    </row>
    <row r="56">
      <c r="A56" s="311">
        <v>55</v>
      </c>
      <c r="B56" s="311" t="s">
        <v>22177</v>
      </c>
      <c r="C56" s="311">
        <v>4</v>
      </c>
      <c r="D56" s="311" t="s">
        <v>22164</v>
      </c>
      <c r="E56" s="311">
        <v>60</v>
      </c>
      <c r="F56" s="311">
        <v>31.7</v>
      </c>
      <c r="G56" s="311">
        <v>0</v>
      </c>
      <c r="H56" s="311">
        <v>0</v>
      </c>
      <c r="I56" s="311">
        <v>0</v>
      </c>
    </row>
    <row r="57">
      <c r="A57" s="311">
        <v>56</v>
      </c>
      <c r="B57" s="311" t="s">
        <v>22177</v>
      </c>
      <c r="C57" s="311">
        <v>4</v>
      </c>
      <c r="D57" s="311" t="s">
        <v>22165</v>
      </c>
      <c r="E57" s="311">
        <v>60</v>
      </c>
      <c r="F57" s="311">
        <v>0</v>
      </c>
      <c r="G57" s="311">
        <v>0</v>
      </c>
      <c r="H57" s="311">
        <v>0</v>
      </c>
      <c r="I57" s="311">
        <v>0</v>
      </c>
    </row>
    <row r="58">
      <c r="A58" s="311">
        <v>57</v>
      </c>
      <c r="B58" s="311" t="s">
        <v>22177</v>
      </c>
      <c r="C58" s="311">
        <v>6</v>
      </c>
      <c r="D58" s="311" t="s">
        <v>22165</v>
      </c>
      <c r="E58" s="311">
        <v>60</v>
      </c>
      <c r="F58" s="311">
        <v>0</v>
      </c>
      <c r="G58" s="311">
        <v>0</v>
      </c>
      <c r="H58" s="311">
        <v>0</v>
      </c>
      <c r="I58" s="311">
        <v>0</v>
      </c>
    </row>
    <row r="59">
      <c r="A59" s="311">
        <v>58</v>
      </c>
      <c r="B59" s="311" t="s">
        <v>22177</v>
      </c>
      <c r="C59" s="311">
        <v>8</v>
      </c>
      <c r="D59" s="311" t="s">
        <v>22165</v>
      </c>
      <c r="E59" s="311">
        <v>60</v>
      </c>
      <c r="F59" s="311">
        <v>0</v>
      </c>
      <c r="G59" s="311">
        <v>0</v>
      </c>
      <c r="H59" s="311">
        <v>0</v>
      </c>
      <c r="I59" s="311">
        <v>0</v>
      </c>
    </row>
    <row r="60">
      <c r="A60" s="311">
        <v>59</v>
      </c>
      <c r="B60" s="311" t="s">
        <v>22178</v>
      </c>
      <c r="C60" s="311">
        <v>4</v>
      </c>
      <c r="D60" s="311" t="s">
        <v>22165</v>
      </c>
      <c r="E60" s="311">
        <v>60</v>
      </c>
      <c r="F60" s="311">
        <v>0</v>
      </c>
      <c r="G60" s="311">
        <v>0</v>
      </c>
      <c r="H60" s="311">
        <v>0</v>
      </c>
      <c r="I60" s="311">
        <v>0</v>
      </c>
    </row>
    <row r="61">
      <c r="A61" s="311">
        <v>60</v>
      </c>
      <c r="B61" s="311" t="s">
        <v>22178</v>
      </c>
      <c r="C61" s="311">
        <v>6</v>
      </c>
      <c r="D61" s="311" t="s">
        <v>22165</v>
      </c>
      <c r="E61" s="311">
        <v>60</v>
      </c>
      <c r="F61" s="311">
        <v>0</v>
      </c>
      <c r="G61" s="311">
        <v>0</v>
      </c>
      <c r="H61" s="311">
        <v>0</v>
      </c>
      <c r="I61" s="311">
        <v>0</v>
      </c>
    </row>
    <row r="62">
      <c r="A62" s="311">
        <v>61</v>
      </c>
      <c r="B62" s="311" t="s">
        <v>22178</v>
      </c>
      <c r="C62" s="311">
        <v>8</v>
      </c>
      <c r="D62" s="311" t="s">
        <v>22165</v>
      </c>
      <c r="E62" s="311">
        <v>60</v>
      </c>
      <c r="F62" s="311">
        <v>0</v>
      </c>
      <c r="G62" s="311">
        <v>0</v>
      </c>
      <c r="H62" s="311">
        <v>0</v>
      </c>
      <c r="I62" s="311">
        <v>0</v>
      </c>
    </row>
    <row r="63">
      <c r="A63" s="311">
        <v>62</v>
      </c>
      <c r="B63" s="311" t="s">
        <v>22179</v>
      </c>
      <c r="C63" s="311">
        <v>6</v>
      </c>
      <c r="D63" s="311" t="s">
        <v>22168</v>
      </c>
      <c r="E63" s="311">
        <v>60</v>
      </c>
      <c r="F63" s="311">
        <v>0</v>
      </c>
      <c r="G63" s="311">
        <v>0</v>
      </c>
      <c r="H63" s="311">
        <v>0</v>
      </c>
      <c r="I63" s="311">
        <v>0</v>
      </c>
    </row>
    <row r="64">
      <c r="A64" s="311">
        <v>63</v>
      </c>
      <c r="B64" s="311" t="s">
        <v>22179</v>
      </c>
      <c r="C64" s="311">
        <v>7</v>
      </c>
      <c r="D64" s="311" t="s">
        <v>22168</v>
      </c>
      <c r="E64" s="311">
        <v>60</v>
      </c>
      <c r="F64" s="311">
        <v>0</v>
      </c>
      <c r="G64" s="311">
        <v>0</v>
      </c>
      <c r="H64" s="311">
        <v>0</v>
      </c>
      <c r="I64" s="311">
        <v>0</v>
      </c>
    </row>
    <row r="65">
      <c r="A65" s="311">
        <v>64</v>
      </c>
      <c r="B65" s="311" t="s">
        <v>22180</v>
      </c>
      <c r="C65" s="311">
        <v>1</v>
      </c>
      <c r="D65" s="311" t="s">
        <v>22181</v>
      </c>
      <c r="E65" s="311">
        <v>20</v>
      </c>
      <c r="F65" s="311">
        <v>0</v>
      </c>
      <c r="G65" s="311">
        <v>0</v>
      </c>
      <c r="H65" s="311">
        <v>0</v>
      </c>
      <c r="I65" s="311">
        <v>0</v>
      </c>
    </row>
    <row r="66">
      <c r="A66" s="311">
        <v>65</v>
      </c>
      <c r="B66" s="311" t="s">
        <v>22180</v>
      </c>
      <c r="C66" s="311">
        <v>2</v>
      </c>
      <c r="D66" s="311" t="s">
        <v>22181</v>
      </c>
      <c r="E66" s="311">
        <v>40</v>
      </c>
      <c r="F66" s="311">
        <v>0</v>
      </c>
      <c r="G66" s="311">
        <v>0</v>
      </c>
      <c r="H66" s="311">
        <v>0</v>
      </c>
      <c r="I66" s="311">
        <v>0</v>
      </c>
    </row>
    <row r="67">
      <c r="A67" s="311">
        <v>66</v>
      </c>
      <c r="B67" s="311" t="s">
        <v>22180</v>
      </c>
      <c r="C67" s="311">
        <v>3</v>
      </c>
      <c r="D67" s="311" t="s">
        <v>22181</v>
      </c>
      <c r="E67" s="311">
        <v>60</v>
      </c>
      <c r="F67" s="311">
        <v>0</v>
      </c>
      <c r="G67" s="311">
        <v>0</v>
      </c>
      <c r="H67" s="311">
        <v>0</v>
      </c>
      <c r="I67" s="311">
        <v>0</v>
      </c>
    </row>
    <row r="68">
      <c r="A68" s="311">
        <v>67</v>
      </c>
      <c r="B68" s="311" t="s">
        <v>22182</v>
      </c>
      <c r="C68" s="311">
        <v>1</v>
      </c>
      <c r="D68" s="311" t="s">
        <v>22181</v>
      </c>
      <c r="E68" s="311">
        <v>20</v>
      </c>
      <c r="F68" s="311">
        <v>0</v>
      </c>
      <c r="G68" s="311">
        <v>0</v>
      </c>
      <c r="H68" s="311">
        <v>0</v>
      </c>
      <c r="I68" s="311">
        <v>0</v>
      </c>
    </row>
    <row r="69">
      <c r="A69" s="311">
        <v>68</v>
      </c>
      <c r="B69" s="311" t="s">
        <v>22182</v>
      </c>
      <c r="C69" s="311">
        <v>2</v>
      </c>
      <c r="D69" s="311" t="s">
        <v>22181</v>
      </c>
      <c r="E69" s="311">
        <v>40</v>
      </c>
      <c r="F69" s="311">
        <v>0</v>
      </c>
      <c r="G69" s="311">
        <v>40</v>
      </c>
      <c r="H69" s="311">
        <v>0</v>
      </c>
      <c r="I69" s="311">
        <v>0</v>
      </c>
    </row>
    <row r="70">
      <c r="A70" s="311">
        <v>69</v>
      </c>
      <c r="B70" s="311" t="s">
        <v>22183</v>
      </c>
      <c r="C70" s="311">
        <v>1</v>
      </c>
      <c r="D70" s="311" t="s">
        <v>22181</v>
      </c>
      <c r="E70" s="311">
        <v>20</v>
      </c>
      <c r="F70" s="311">
        <v>0</v>
      </c>
      <c r="G70" s="311">
        <v>30</v>
      </c>
      <c r="H70" s="311">
        <v>0</v>
      </c>
      <c r="I70" s="311">
        <v>0</v>
      </c>
    </row>
    <row r="71">
      <c r="A71" s="311">
        <v>70</v>
      </c>
      <c r="B71" s="311" t="s">
        <v>22183</v>
      </c>
      <c r="C71" s="311">
        <v>2</v>
      </c>
      <c r="D71" s="311" t="s">
        <v>22181</v>
      </c>
      <c r="E71" s="311">
        <v>40</v>
      </c>
      <c r="F71" s="311">
        <v>0</v>
      </c>
      <c r="G71" s="311">
        <v>60</v>
      </c>
      <c r="H71" s="311">
        <v>0</v>
      </c>
      <c r="I71" s="311">
        <v>0</v>
      </c>
    </row>
    <row r="72">
      <c r="A72" s="311">
        <v>71</v>
      </c>
      <c r="B72" s="311" t="s">
        <v>22183</v>
      </c>
      <c r="C72" s="311">
        <v>3</v>
      </c>
      <c r="D72" s="311" t="s">
        <v>22181</v>
      </c>
      <c r="E72" s="311">
        <v>60</v>
      </c>
      <c r="F72" s="311">
        <v>0</v>
      </c>
      <c r="G72" s="311">
        <v>0</v>
      </c>
      <c r="H72" s="311">
        <v>0</v>
      </c>
      <c r="I72" s="311">
        <v>0</v>
      </c>
    </row>
    <row r="73">
      <c r="A73" s="311">
        <v>72</v>
      </c>
      <c r="B73" s="311" t="s">
        <v>22184</v>
      </c>
      <c r="C73" s="311">
        <v>2</v>
      </c>
      <c r="D73" s="311" t="s">
        <v>22163</v>
      </c>
      <c r="E73" s="311">
        <v>60</v>
      </c>
      <c r="F73" s="311">
        <v>0</v>
      </c>
      <c r="G73" s="311">
        <v>40</v>
      </c>
      <c r="H73" s="311">
        <v>0</v>
      </c>
      <c r="I73" s="311">
        <v>0</v>
      </c>
    </row>
    <row r="74">
      <c r="A74" s="311">
        <v>73</v>
      </c>
      <c r="B74" s="311" t="s">
        <v>22184</v>
      </c>
      <c r="C74" s="311">
        <v>4</v>
      </c>
      <c r="D74" s="311" t="s">
        <v>22163</v>
      </c>
      <c r="E74" s="311">
        <v>60</v>
      </c>
      <c r="F74" s="311">
        <v>0</v>
      </c>
      <c r="G74" s="311">
        <v>80</v>
      </c>
      <c r="H74" s="311">
        <v>0</v>
      </c>
      <c r="I74" s="311">
        <v>0</v>
      </c>
    </row>
    <row r="75">
      <c r="A75" s="311">
        <v>74</v>
      </c>
      <c r="B75" s="311" t="s">
        <v>22184</v>
      </c>
      <c r="C75" s="311">
        <v>2</v>
      </c>
      <c r="D75" s="311" t="s">
        <v>22164</v>
      </c>
      <c r="E75" s="311">
        <v>60</v>
      </c>
      <c r="F75" s="311">
        <v>0</v>
      </c>
      <c r="G75" s="311">
        <v>40</v>
      </c>
      <c r="H75" s="311">
        <v>0</v>
      </c>
      <c r="I75" s="311">
        <v>0</v>
      </c>
    </row>
    <row r="76">
      <c r="A76" s="311">
        <v>75</v>
      </c>
      <c r="B76" s="311" t="s">
        <v>22184</v>
      </c>
      <c r="C76" s="311">
        <v>4</v>
      </c>
      <c r="D76" s="311" t="s">
        <v>22164</v>
      </c>
      <c r="E76" s="311">
        <v>60</v>
      </c>
      <c r="F76" s="311">
        <v>25.18</v>
      </c>
      <c r="G76" s="311">
        <v>80</v>
      </c>
      <c r="H76" s="311">
        <v>0</v>
      </c>
      <c r="I76" s="311">
        <v>0</v>
      </c>
    </row>
    <row r="77">
      <c r="A77" s="311">
        <v>76</v>
      </c>
      <c r="B77" s="311" t="s">
        <v>22184</v>
      </c>
      <c r="C77" s="311">
        <v>1</v>
      </c>
      <c r="D77" s="311" t="s">
        <v>22181</v>
      </c>
      <c r="E77" s="311">
        <v>20</v>
      </c>
      <c r="F77" s="311">
        <v>20</v>
      </c>
      <c r="G77" s="311">
        <v>30</v>
      </c>
      <c r="H77" s="311">
        <v>0</v>
      </c>
      <c r="I77" s="311">
        <v>0</v>
      </c>
    </row>
    <row r="78">
      <c r="A78" s="311">
        <v>77</v>
      </c>
      <c r="B78" s="311" t="s">
        <v>22184</v>
      </c>
      <c r="C78" s="311">
        <v>2</v>
      </c>
      <c r="D78" s="311" t="s">
        <v>22181</v>
      </c>
      <c r="E78" s="311">
        <v>40</v>
      </c>
      <c r="F78" s="311">
        <v>40</v>
      </c>
      <c r="G78" s="311">
        <v>60</v>
      </c>
      <c r="H78" s="311">
        <v>0</v>
      </c>
      <c r="I78" s="311">
        <v>0</v>
      </c>
    </row>
    <row r="79">
      <c r="A79" s="311">
        <v>78</v>
      </c>
      <c r="B79" s="311" t="s">
        <v>22184</v>
      </c>
      <c r="C79" s="311">
        <v>4</v>
      </c>
      <c r="D79" s="311" t="s">
        <v>22165</v>
      </c>
      <c r="E79" s="311">
        <v>60</v>
      </c>
      <c r="F79" s="311">
        <v>0</v>
      </c>
      <c r="G79" s="311">
        <v>40</v>
      </c>
      <c r="H79" s="311">
        <v>0</v>
      </c>
      <c r="I79" s="311">
        <v>0</v>
      </c>
    </row>
    <row r="80">
      <c r="A80" s="311">
        <v>79</v>
      </c>
      <c r="B80" s="311" t="s">
        <v>22184</v>
      </c>
      <c r="C80" s="311">
        <v>6</v>
      </c>
      <c r="D80" s="311" t="s">
        <v>22165</v>
      </c>
      <c r="E80" s="311">
        <v>60</v>
      </c>
      <c r="F80" s="311">
        <v>0</v>
      </c>
      <c r="G80" s="311">
        <v>60</v>
      </c>
      <c r="H80" s="311">
        <v>0</v>
      </c>
      <c r="I80" s="311">
        <v>0</v>
      </c>
    </row>
    <row r="81">
      <c r="A81" s="311">
        <v>80</v>
      </c>
      <c r="B81" s="311" t="s">
        <v>22184</v>
      </c>
      <c r="C81" s="311">
        <v>8</v>
      </c>
      <c r="D81" s="311" t="s">
        <v>22165</v>
      </c>
      <c r="E81" s="311">
        <v>60</v>
      </c>
      <c r="F81" s="311">
        <v>0</v>
      </c>
      <c r="G81" s="311">
        <v>80</v>
      </c>
      <c r="H81" s="311">
        <v>0</v>
      </c>
      <c r="I81" s="311">
        <v>0</v>
      </c>
    </row>
    <row r="82">
      <c r="A82" s="311">
        <v>81</v>
      </c>
      <c r="B82" s="311" t="s">
        <v>22185</v>
      </c>
      <c r="C82" s="311">
        <v>1</v>
      </c>
      <c r="D82" s="311" t="s">
        <v>22181</v>
      </c>
      <c r="E82" s="311">
        <v>20</v>
      </c>
      <c r="F82" s="311">
        <v>0</v>
      </c>
      <c r="G82" s="311">
        <v>30</v>
      </c>
      <c r="H82" s="311">
        <v>0</v>
      </c>
      <c r="I82" s="311">
        <v>0</v>
      </c>
    </row>
    <row r="83">
      <c r="A83" s="311">
        <v>82</v>
      </c>
      <c r="B83" s="311" t="s">
        <v>22185</v>
      </c>
      <c r="C83" s="311">
        <v>2</v>
      </c>
      <c r="D83" s="311" t="s">
        <v>22181</v>
      </c>
      <c r="E83" s="311">
        <v>40</v>
      </c>
      <c r="F83" s="311">
        <v>0</v>
      </c>
      <c r="G83" s="311">
        <v>60</v>
      </c>
      <c r="H83" s="311">
        <v>0</v>
      </c>
      <c r="I83" s="311">
        <v>0</v>
      </c>
    </row>
    <row r="84">
      <c r="A84" s="311">
        <v>83</v>
      </c>
      <c r="B84" s="311" t="s">
        <v>22185</v>
      </c>
      <c r="C84" s="311">
        <v>3</v>
      </c>
      <c r="D84" s="311" t="s">
        <v>22181</v>
      </c>
      <c r="E84" s="311">
        <v>60</v>
      </c>
      <c r="F84" s="311">
        <v>20</v>
      </c>
      <c r="G84" s="311">
        <v>80</v>
      </c>
      <c r="H84" s="311">
        <v>0</v>
      </c>
      <c r="I84" s="311">
        <v>0</v>
      </c>
    </row>
    <row r="85">
      <c r="A85" s="311">
        <v>84</v>
      </c>
      <c r="B85" s="311" t="s">
        <v>22186</v>
      </c>
      <c r="C85" s="311">
        <v>2</v>
      </c>
      <c r="D85" s="311" t="s">
        <v>22163</v>
      </c>
      <c r="E85" s="311">
        <v>60</v>
      </c>
      <c r="F85" s="311">
        <v>0</v>
      </c>
      <c r="G85" s="311">
        <v>60</v>
      </c>
      <c r="H85" s="311">
        <v>0</v>
      </c>
      <c r="I85" s="311">
        <v>0</v>
      </c>
    </row>
    <row r="86">
      <c r="A86" s="311">
        <v>85</v>
      </c>
      <c r="B86" s="311" t="s">
        <v>22186</v>
      </c>
      <c r="C86" s="311">
        <v>4</v>
      </c>
      <c r="D86" s="311" t="s">
        <v>22163</v>
      </c>
      <c r="E86" s="311">
        <v>60</v>
      </c>
      <c r="F86" s="311">
        <v>0</v>
      </c>
      <c r="G86" s="311">
        <v>60</v>
      </c>
      <c r="H86" s="311">
        <v>0</v>
      </c>
      <c r="I86" s="311">
        <v>0</v>
      </c>
    </row>
    <row r="87">
      <c r="A87" s="311">
        <v>86</v>
      </c>
      <c r="B87" s="311" t="s">
        <v>22186</v>
      </c>
      <c r="C87" s="311">
        <v>2</v>
      </c>
      <c r="D87" s="311" t="s">
        <v>22164</v>
      </c>
      <c r="E87" s="311">
        <v>60</v>
      </c>
      <c r="F87" s="311">
        <v>0</v>
      </c>
      <c r="G87" s="311">
        <v>60</v>
      </c>
      <c r="H87" s="311">
        <v>0</v>
      </c>
      <c r="I87" s="311">
        <v>0</v>
      </c>
    </row>
    <row r="88">
      <c r="A88" s="311">
        <v>87</v>
      </c>
      <c r="B88" s="311" t="s">
        <v>22186</v>
      </c>
      <c r="C88" s="311">
        <v>4</v>
      </c>
      <c r="D88" s="311" t="s">
        <v>22164</v>
      </c>
      <c r="E88" s="311">
        <v>60</v>
      </c>
      <c r="F88" s="311">
        <v>0</v>
      </c>
      <c r="G88" s="311">
        <v>60</v>
      </c>
      <c r="H88" s="311">
        <v>0</v>
      </c>
      <c r="I88" s="311">
        <v>0</v>
      </c>
    </row>
    <row r="89">
      <c r="A89" s="311">
        <v>88</v>
      </c>
      <c r="B89" s="311" t="s">
        <v>22186</v>
      </c>
      <c r="C89" s="311">
        <v>4</v>
      </c>
      <c r="D89" s="311" t="s">
        <v>22165</v>
      </c>
      <c r="E89" s="311">
        <v>60</v>
      </c>
      <c r="F89" s="311">
        <v>0</v>
      </c>
      <c r="G89" s="311">
        <v>60</v>
      </c>
      <c r="H89" s="311">
        <v>0</v>
      </c>
      <c r="I89" s="311">
        <v>0</v>
      </c>
    </row>
    <row r="90">
      <c r="A90" s="311">
        <v>89</v>
      </c>
      <c r="B90" s="311" t="s">
        <v>22186</v>
      </c>
      <c r="C90" s="311">
        <v>6</v>
      </c>
      <c r="D90" s="311" t="s">
        <v>22165</v>
      </c>
      <c r="E90" s="311">
        <v>60</v>
      </c>
      <c r="F90" s="311">
        <v>0</v>
      </c>
      <c r="G90" s="311">
        <v>60</v>
      </c>
      <c r="H90" s="311">
        <v>0</v>
      </c>
      <c r="I90" s="311">
        <v>0</v>
      </c>
    </row>
    <row r="91">
      <c r="A91" s="311">
        <v>90</v>
      </c>
      <c r="B91" s="311" t="s">
        <v>22186</v>
      </c>
      <c r="C91" s="311">
        <v>8</v>
      </c>
      <c r="D91" s="311" t="s">
        <v>22165</v>
      </c>
      <c r="E91" s="311">
        <v>60</v>
      </c>
      <c r="F91" s="311">
        <v>0</v>
      </c>
      <c r="G91" s="311">
        <v>60</v>
      </c>
      <c r="H91" s="311">
        <v>0</v>
      </c>
      <c r="I91" s="311">
        <v>0</v>
      </c>
    </row>
    <row r="92">
      <c r="A92" s="311">
        <v>91</v>
      </c>
      <c r="B92" s="311" t="s">
        <v>21371</v>
      </c>
      <c r="C92" s="311">
        <v>2</v>
      </c>
      <c r="D92" s="311" t="s">
        <v>22163</v>
      </c>
      <c r="E92" s="311">
        <v>60</v>
      </c>
      <c r="F92" s="311">
        <v>90</v>
      </c>
      <c r="G92" s="311">
        <v>71</v>
      </c>
      <c r="H92" s="311">
        <v>40</v>
      </c>
      <c r="I92" s="311">
        <v>0</v>
      </c>
    </row>
    <row r="93">
      <c r="A93" s="311">
        <v>92</v>
      </c>
      <c r="B93" s="311" t="s">
        <v>21371</v>
      </c>
      <c r="C93" s="311">
        <v>4</v>
      </c>
      <c r="D93" s="311" t="s">
        <v>22163</v>
      </c>
      <c r="E93" s="311">
        <v>60</v>
      </c>
      <c r="F93" s="311">
        <v>40</v>
      </c>
      <c r="G93" s="311">
        <v>71</v>
      </c>
      <c r="H93" s="311">
        <v>80</v>
      </c>
      <c r="I93" s="311">
        <v>0</v>
      </c>
    </row>
    <row r="94">
      <c r="A94" s="311">
        <v>93</v>
      </c>
      <c r="B94" s="311" t="s">
        <v>21371</v>
      </c>
      <c r="C94" s="311">
        <v>2</v>
      </c>
      <c r="D94" s="311" t="s">
        <v>22164</v>
      </c>
      <c r="E94" s="311">
        <v>60</v>
      </c>
      <c r="F94" s="311">
        <v>80</v>
      </c>
      <c r="G94" s="311">
        <v>63</v>
      </c>
      <c r="H94" s="311">
        <v>0</v>
      </c>
      <c r="I94" s="311">
        <v>40</v>
      </c>
    </row>
    <row r="95">
      <c r="A95" s="311">
        <v>94</v>
      </c>
      <c r="B95" s="311" t="s">
        <v>21371</v>
      </c>
      <c r="C95" s="311">
        <v>4</v>
      </c>
      <c r="D95" s="311" t="s">
        <v>22164</v>
      </c>
      <c r="E95" s="311">
        <v>60</v>
      </c>
      <c r="F95" s="311">
        <v>36</v>
      </c>
      <c r="G95" s="311">
        <v>63</v>
      </c>
      <c r="H95" s="311">
        <v>0</v>
      </c>
      <c r="I95" s="311">
        <v>20</v>
      </c>
    </row>
    <row r="96">
      <c r="A96" s="311">
        <v>95</v>
      </c>
      <c r="B96" s="311" t="s">
        <v>21371</v>
      </c>
      <c r="C96" s="311">
        <v>1</v>
      </c>
      <c r="D96" s="311" t="s">
        <v>22181</v>
      </c>
      <c r="E96" s="311">
        <v>20</v>
      </c>
      <c r="F96" s="311">
        <v>20</v>
      </c>
      <c r="G96" s="311">
        <v>0</v>
      </c>
      <c r="H96" s="311">
        <v>0</v>
      </c>
      <c r="I96" s="311">
        <v>0</v>
      </c>
    </row>
    <row r="97">
      <c r="A97" s="311">
        <v>96</v>
      </c>
      <c r="B97" s="311" t="s">
        <v>21371</v>
      </c>
      <c r="C97" s="311">
        <v>2</v>
      </c>
      <c r="D97" s="311" t="s">
        <v>22181</v>
      </c>
      <c r="E97" s="311">
        <v>40</v>
      </c>
      <c r="F97" s="311">
        <v>40</v>
      </c>
      <c r="G97" s="311">
        <v>0</v>
      </c>
      <c r="H97" s="311">
        <v>0</v>
      </c>
      <c r="I97" s="311">
        <v>0</v>
      </c>
    </row>
    <row r="98">
      <c r="A98" s="311">
        <v>97</v>
      </c>
      <c r="B98" s="311" t="s">
        <v>21371</v>
      </c>
      <c r="C98" s="311">
        <v>4</v>
      </c>
      <c r="D98" s="311" t="s">
        <v>22165</v>
      </c>
      <c r="E98" s="311">
        <v>60</v>
      </c>
      <c r="F98" s="311">
        <v>0</v>
      </c>
      <c r="G98" s="311">
        <v>71</v>
      </c>
      <c r="H98" s="311">
        <v>0</v>
      </c>
      <c r="I98" s="311">
        <v>0</v>
      </c>
    </row>
    <row r="99">
      <c r="A99" s="311">
        <v>98</v>
      </c>
      <c r="B99" s="311" t="s">
        <v>21371</v>
      </c>
      <c r="C99" s="311">
        <v>6</v>
      </c>
      <c r="D99" s="311" t="s">
        <v>22165</v>
      </c>
      <c r="E99" s="311">
        <v>60</v>
      </c>
      <c r="F99" s="311">
        <v>0</v>
      </c>
      <c r="G99" s="311">
        <v>71</v>
      </c>
      <c r="H99" s="311">
        <v>0</v>
      </c>
      <c r="I99" s="311">
        <v>0</v>
      </c>
    </row>
    <row r="100">
      <c r="A100" s="311">
        <v>99</v>
      </c>
      <c r="B100" s="311" t="s">
        <v>21371</v>
      </c>
      <c r="C100" s="311">
        <v>8</v>
      </c>
      <c r="D100" s="311" t="s">
        <v>22165</v>
      </c>
      <c r="E100" s="311">
        <v>60</v>
      </c>
      <c r="F100" s="311">
        <v>0</v>
      </c>
      <c r="G100" s="311">
        <v>71</v>
      </c>
      <c r="H100" s="311">
        <v>0</v>
      </c>
      <c r="I100" s="311">
        <v>0</v>
      </c>
    </row>
    <row r="101">
      <c r="A101" s="311">
        <v>100</v>
      </c>
      <c r="B101" s="311" t="s">
        <v>22187</v>
      </c>
      <c r="C101" s="311">
        <v>2</v>
      </c>
      <c r="D101" s="311" t="s">
        <v>22163</v>
      </c>
      <c r="E101" s="311">
        <v>60</v>
      </c>
      <c r="F101" s="311">
        <v>90</v>
      </c>
      <c r="G101" s="311">
        <v>0</v>
      </c>
      <c r="H101" s="311">
        <v>40</v>
      </c>
      <c r="I101" s="311">
        <v>0</v>
      </c>
    </row>
    <row r="102">
      <c r="A102" s="311">
        <v>101</v>
      </c>
      <c r="B102" s="311" t="s">
        <v>22187</v>
      </c>
      <c r="C102" s="311">
        <v>4</v>
      </c>
      <c r="D102" s="311" t="s">
        <v>22163</v>
      </c>
      <c r="E102" s="311">
        <v>60</v>
      </c>
      <c r="F102" s="311">
        <v>40</v>
      </c>
      <c r="G102" s="311">
        <v>0</v>
      </c>
      <c r="H102" s="311">
        <v>80</v>
      </c>
      <c r="I102" s="311">
        <v>0</v>
      </c>
    </row>
    <row r="103">
      <c r="A103" s="311">
        <v>102</v>
      </c>
      <c r="B103" s="311" t="s">
        <v>22187</v>
      </c>
      <c r="C103" s="311">
        <v>2</v>
      </c>
      <c r="D103" s="311" t="s">
        <v>22164</v>
      </c>
      <c r="E103" s="311">
        <v>60</v>
      </c>
      <c r="F103" s="311">
        <v>0</v>
      </c>
      <c r="G103" s="311">
        <v>0</v>
      </c>
      <c r="H103" s="311">
        <v>0</v>
      </c>
      <c r="I103" s="311">
        <v>40</v>
      </c>
    </row>
    <row r="104">
      <c r="A104" s="311">
        <v>103</v>
      </c>
      <c r="B104" s="311" t="s">
        <v>22187</v>
      </c>
      <c r="C104" s="311">
        <v>4</v>
      </c>
      <c r="D104" s="311" t="s">
        <v>22164</v>
      </c>
      <c r="E104" s="311">
        <v>60</v>
      </c>
      <c r="F104" s="311">
        <v>0</v>
      </c>
      <c r="G104" s="311">
        <v>0</v>
      </c>
      <c r="H104" s="311">
        <v>0</v>
      </c>
      <c r="I104" s="311">
        <v>20</v>
      </c>
    </row>
    <row r="105">
      <c r="A105" s="311">
        <v>104</v>
      </c>
      <c r="B105" s="311" t="s">
        <v>22188</v>
      </c>
      <c r="C105" s="311">
        <v>2</v>
      </c>
      <c r="D105" s="311" t="s">
        <v>22163</v>
      </c>
      <c r="E105" s="311">
        <v>60</v>
      </c>
      <c r="F105" s="311">
        <v>40</v>
      </c>
      <c r="G105" s="311">
        <v>20</v>
      </c>
      <c r="H105" s="311">
        <v>0</v>
      </c>
      <c r="I105" s="311">
        <v>0</v>
      </c>
    </row>
    <row r="106">
      <c r="A106" s="311">
        <v>105</v>
      </c>
      <c r="B106" s="311" t="s">
        <v>22188</v>
      </c>
      <c r="C106" s="311">
        <v>4</v>
      </c>
      <c r="D106" s="311" t="s">
        <v>22164</v>
      </c>
      <c r="E106" s="311">
        <v>60</v>
      </c>
      <c r="F106" s="311">
        <v>20</v>
      </c>
      <c r="G106" s="311">
        <v>15</v>
      </c>
      <c r="H106" s="311">
        <v>0</v>
      </c>
      <c r="I106" s="311">
        <v>20</v>
      </c>
    </row>
    <row r="107">
      <c r="A107" s="311">
        <v>106</v>
      </c>
      <c r="B107" s="311" t="s">
        <v>22188</v>
      </c>
      <c r="C107" s="311">
        <v>1</v>
      </c>
      <c r="D107" s="311" t="s">
        <v>22181</v>
      </c>
      <c r="E107" s="311">
        <v>20</v>
      </c>
      <c r="F107" s="311">
        <v>20</v>
      </c>
      <c r="G107" s="311">
        <v>0</v>
      </c>
      <c r="H107" s="311">
        <v>30</v>
      </c>
      <c r="I107" s="311">
        <v>0</v>
      </c>
    </row>
    <row r="108">
      <c r="A108" s="311">
        <v>107</v>
      </c>
      <c r="B108" s="311" t="s">
        <v>22188</v>
      </c>
      <c r="C108" s="311">
        <v>2</v>
      </c>
      <c r="D108" s="311" t="s">
        <v>22181</v>
      </c>
      <c r="E108" s="311">
        <v>40</v>
      </c>
      <c r="F108" s="311">
        <v>40</v>
      </c>
      <c r="G108" s="311">
        <v>0</v>
      </c>
      <c r="H108" s="311">
        <v>60</v>
      </c>
      <c r="I108" s="311">
        <v>0</v>
      </c>
    </row>
    <row r="109">
      <c r="A109" s="311">
        <v>108</v>
      </c>
      <c r="B109" s="311" t="s">
        <v>22189</v>
      </c>
      <c r="C109" s="311">
        <v>2</v>
      </c>
      <c r="D109" s="311" t="s">
        <v>22163</v>
      </c>
      <c r="E109" s="311">
        <v>60</v>
      </c>
      <c r="F109" s="311">
        <v>41.7</v>
      </c>
      <c r="G109" s="311">
        <v>0</v>
      </c>
      <c r="H109" s="311">
        <v>0</v>
      </c>
      <c r="I109" s="311">
        <v>0</v>
      </c>
    </row>
    <row r="110">
      <c r="A110" s="311">
        <v>109</v>
      </c>
      <c r="B110" s="311" t="s">
        <v>22190</v>
      </c>
      <c r="C110" s="311">
        <v>1</v>
      </c>
      <c r="D110" s="311" t="s">
        <v>22181</v>
      </c>
      <c r="E110" s="311">
        <v>20</v>
      </c>
      <c r="F110" s="311">
        <v>20</v>
      </c>
      <c r="G110" s="311">
        <v>0</v>
      </c>
      <c r="H110" s="311">
        <v>0</v>
      </c>
      <c r="I110" s="311">
        <v>0</v>
      </c>
    </row>
    <row r="111">
      <c r="A111" s="311">
        <v>110</v>
      </c>
      <c r="B111" s="311" t="s">
        <v>22190</v>
      </c>
      <c r="C111" s="311">
        <v>2</v>
      </c>
      <c r="D111" s="311" t="s">
        <v>22181</v>
      </c>
      <c r="E111" s="311">
        <v>40</v>
      </c>
      <c r="F111" s="311">
        <v>40</v>
      </c>
      <c r="G111" s="311">
        <v>0</v>
      </c>
      <c r="H111" s="311">
        <v>0</v>
      </c>
      <c r="I111" s="311">
        <v>0</v>
      </c>
    </row>
    <row r="112">
      <c r="A112" s="311">
        <v>111</v>
      </c>
      <c r="B112" s="311" t="s">
        <v>22191</v>
      </c>
      <c r="C112" s="311">
        <v>2</v>
      </c>
      <c r="D112" s="311" t="s">
        <v>22163</v>
      </c>
      <c r="E112" s="311">
        <v>60</v>
      </c>
      <c r="F112" s="311">
        <v>0</v>
      </c>
      <c r="G112" s="311">
        <v>0</v>
      </c>
      <c r="H112" s="311">
        <v>0</v>
      </c>
      <c r="I112" s="311">
        <v>0</v>
      </c>
    </row>
    <row r="113">
      <c r="A113" s="311">
        <v>112</v>
      </c>
      <c r="B113" s="311" t="s">
        <v>22191</v>
      </c>
      <c r="C113" s="311">
        <v>4</v>
      </c>
      <c r="D113" s="311" t="s">
        <v>22163</v>
      </c>
      <c r="E113" s="311">
        <v>60</v>
      </c>
      <c r="F113" s="311">
        <v>0</v>
      </c>
      <c r="G113" s="311">
        <v>0</v>
      </c>
      <c r="H113" s="311">
        <v>0</v>
      </c>
      <c r="I113" s="311">
        <v>0</v>
      </c>
    </row>
    <row r="114">
      <c r="A114" s="311">
        <v>113</v>
      </c>
      <c r="B114" s="311" t="s">
        <v>22191</v>
      </c>
      <c r="C114" s="311">
        <v>2</v>
      </c>
      <c r="D114" s="311" t="s">
        <v>22164</v>
      </c>
      <c r="E114" s="311">
        <v>60</v>
      </c>
      <c r="F114" s="311">
        <v>0</v>
      </c>
      <c r="G114" s="311">
        <v>0</v>
      </c>
      <c r="H114" s="311">
        <v>0</v>
      </c>
      <c r="I114" s="311">
        <v>0</v>
      </c>
    </row>
    <row r="115">
      <c r="A115" s="311">
        <v>114</v>
      </c>
      <c r="B115" s="311" t="s">
        <v>22191</v>
      </c>
      <c r="C115" s="311">
        <v>4</v>
      </c>
      <c r="D115" s="311" t="s">
        <v>22164</v>
      </c>
      <c r="E115" s="311">
        <v>60</v>
      </c>
      <c r="F115" s="311">
        <v>0</v>
      </c>
      <c r="G115" s="311">
        <v>0</v>
      </c>
      <c r="H115" s="311">
        <v>0</v>
      </c>
      <c r="I115" s="311">
        <v>0</v>
      </c>
    </row>
    <row r="116">
      <c r="A116" s="311">
        <v>115</v>
      </c>
      <c r="B116" s="311" t="s">
        <v>22191</v>
      </c>
      <c r="C116" s="311">
        <v>6</v>
      </c>
      <c r="D116" s="311" t="s">
        <v>22164</v>
      </c>
      <c r="E116" s="311">
        <v>60</v>
      </c>
      <c r="F116" s="311">
        <v>0</v>
      </c>
      <c r="G116" s="311">
        <v>0</v>
      </c>
      <c r="H116" s="311">
        <v>0</v>
      </c>
      <c r="I116" s="311">
        <v>0</v>
      </c>
    </row>
    <row r="117">
      <c r="A117" s="311">
        <v>116</v>
      </c>
      <c r="B117" s="311" t="s">
        <v>22191</v>
      </c>
      <c r="C117" s="311">
        <v>6</v>
      </c>
      <c r="D117" s="311" t="s">
        <v>22165</v>
      </c>
      <c r="E117" s="311">
        <v>60</v>
      </c>
      <c r="F117" s="311">
        <v>0</v>
      </c>
      <c r="G117" s="311">
        <v>0</v>
      </c>
      <c r="H117" s="311">
        <v>0</v>
      </c>
      <c r="I117" s="311">
        <v>0</v>
      </c>
    </row>
    <row r="118">
      <c r="A118" s="311">
        <v>117</v>
      </c>
      <c r="B118" s="311" t="s">
        <v>22191</v>
      </c>
      <c r="C118" s="311">
        <v>8</v>
      </c>
      <c r="D118" s="311" t="s">
        <v>22165</v>
      </c>
      <c r="E118" s="311">
        <v>60</v>
      </c>
      <c r="F118" s="311">
        <v>0</v>
      </c>
      <c r="G118" s="311">
        <v>0</v>
      </c>
      <c r="H118" s="311">
        <v>0</v>
      </c>
      <c r="I118" s="311">
        <v>0</v>
      </c>
    </row>
    <row r="119">
      <c r="A119" s="311">
        <v>118</v>
      </c>
      <c r="B119" s="311" t="s">
        <v>22191</v>
      </c>
      <c r="C119" s="311">
        <v>10</v>
      </c>
      <c r="D119" s="311" t="s">
        <v>22165</v>
      </c>
      <c r="E119" s="311">
        <v>60</v>
      </c>
      <c r="F119" s="311">
        <v>0</v>
      </c>
      <c r="G119" s="311">
        <v>0</v>
      </c>
      <c r="H119" s="311">
        <v>0</v>
      </c>
      <c r="I119" s="311">
        <v>0</v>
      </c>
    </row>
    <row r="120">
      <c r="A120" s="311">
        <v>119</v>
      </c>
      <c r="B120" s="311" t="s">
        <v>22191</v>
      </c>
      <c r="C120" s="311">
        <v>12</v>
      </c>
      <c r="D120" s="311" t="s">
        <v>22165</v>
      </c>
      <c r="E120" s="311">
        <v>60</v>
      </c>
      <c r="F120" s="311">
        <v>0</v>
      </c>
      <c r="G120" s="311">
        <v>0</v>
      </c>
      <c r="H120" s="311">
        <v>0</v>
      </c>
      <c r="I120" s="311">
        <v>0</v>
      </c>
    </row>
    <row r="121" ht="30">
      <c r="A121" s="311">
        <v>120</v>
      </c>
      <c r="B121" s="311" t="s">
        <v>22192</v>
      </c>
      <c r="C121" s="311">
        <v>6</v>
      </c>
      <c r="D121" s="311" t="s">
        <v>22193</v>
      </c>
      <c r="E121" s="311">
        <v>60</v>
      </c>
      <c r="F121" s="311">
        <v>0</v>
      </c>
      <c r="G121" s="311">
        <v>0</v>
      </c>
      <c r="H121" s="311">
        <v>0</v>
      </c>
      <c r="I121" s="311">
        <v>0</v>
      </c>
    </row>
    <row r="122" ht="30">
      <c r="A122" s="311">
        <v>121</v>
      </c>
      <c r="B122" s="311" t="s">
        <v>22192</v>
      </c>
      <c r="C122" s="311">
        <v>7</v>
      </c>
      <c r="D122" s="311" t="s">
        <v>22193</v>
      </c>
      <c r="E122" s="311">
        <v>60</v>
      </c>
      <c r="F122" s="311">
        <v>0</v>
      </c>
      <c r="G122" s="311">
        <v>0</v>
      </c>
      <c r="H122" s="311">
        <v>0</v>
      </c>
      <c r="I122" s="311">
        <v>0</v>
      </c>
    </row>
    <row r="123">
      <c r="A123" s="311">
        <v>122</v>
      </c>
      <c r="B123" s="311" t="s">
        <v>22194</v>
      </c>
      <c r="C123" s="311">
        <v>1</v>
      </c>
      <c r="D123" s="311" t="s">
        <v>22195</v>
      </c>
      <c r="E123" s="311">
        <v>40</v>
      </c>
      <c r="F123" s="311">
        <v>0</v>
      </c>
      <c r="G123" s="311">
        <v>0</v>
      </c>
      <c r="H123" s="311">
        <v>0</v>
      </c>
      <c r="I123" s="311">
        <v>0</v>
      </c>
    </row>
    <row r="124">
      <c r="A124" s="311">
        <v>123</v>
      </c>
      <c r="B124" s="311" t="s">
        <v>22196</v>
      </c>
      <c r="C124" s="311">
        <v>1</v>
      </c>
      <c r="D124" s="311" t="s">
        <v>22181</v>
      </c>
      <c r="E124" s="311">
        <v>20</v>
      </c>
      <c r="F124" s="311">
        <v>0</v>
      </c>
      <c r="G124" s="311">
        <v>0</v>
      </c>
      <c r="H124" s="311">
        <v>0</v>
      </c>
      <c r="I124" s="311">
        <v>0</v>
      </c>
    </row>
    <row r="125">
      <c r="A125" s="311">
        <v>124</v>
      </c>
      <c r="B125" s="311" t="s">
        <v>22196</v>
      </c>
      <c r="C125" s="311">
        <v>2</v>
      </c>
      <c r="D125" s="311" t="s">
        <v>22181</v>
      </c>
      <c r="E125" s="311">
        <v>40</v>
      </c>
      <c r="F125" s="311">
        <v>0</v>
      </c>
      <c r="G125" s="311">
        <v>0</v>
      </c>
      <c r="H125" s="311">
        <v>0</v>
      </c>
      <c r="I125" s="311">
        <v>0</v>
      </c>
    </row>
    <row r="126">
      <c r="A126" s="311">
        <v>125</v>
      </c>
      <c r="B126" s="311" t="s">
        <v>22197</v>
      </c>
      <c r="C126" s="311">
        <v>1</v>
      </c>
      <c r="D126" s="311" t="s">
        <v>22163</v>
      </c>
      <c r="E126" s="311">
        <v>40</v>
      </c>
      <c r="F126" s="311">
        <v>0</v>
      </c>
      <c r="G126" s="311">
        <v>0</v>
      </c>
      <c r="H126" s="311">
        <v>40</v>
      </c>
      <c r="I126" s="311">
        <v>0</v>
      </c>
    </row>
    <row r="127">
      <c r="A127" s="311">
        <v>126</v>
      </c>
      <c r="B127" s="311" t="s">
        <v>22197</v>
      </c>
      <c r="C127" s="311">
        <v>2</v>
      </c>
      <c r="D127" s="311" t="s">
        <v>22163</v>
      </c>
      <c r="E127" s="311">
        <v>80</v>
      </c>
      <c r="F127" s="311">
        <v>0</v>
      </c>
      <c r="G127" s="311">
        <v>0</v>
      </c>
      <c r="H127" s="311">
        <v>80</v>
      </c>
      <c r="I127" s="311">
        <v>0</v>
      </c>
    </row>
    <row r="128">
      <c r="A128" s="311">
        <v>127</v>
      </c>
      <c r="B128" s="311" t="s">
        <v>22197</v>
      </c>
      <c r="C128" s="311">
        <v>4</v>
      </c>
      <c r="D128" s="311" t="s">
        <v>22163</v>
      </c>
      <c r="E128" s="311">
        <v>80</v>
      </c>
      <c r="F128" s="311">
        <v>0</v>
      </c>
      <c r="G128" s="311">
        <v>0</v>
      </c>
      <c r="H128" s="311">
        <v>0</v>
      </c>
      <c r="I128" s="311">
        <v>0</v>
      </c>
    </row>
    <row r="129">
      <c r="A129" s="311">
        <v>128</v>
      </c>
      <c r="B129" s="311" t="s">
        <v>22197</v>
      </c>
      <c r="C129" s="311">
        <v>2</v>
      </c>
      <c r="D129" s="311" t="s">
        <v>22164</v>
      </c>
      <c r="E129" s="311">
        <v>40</v>
      </c>
      <c r="F129" s="311">
        <v>0</v>
      </c>
      <c r="G129" s="311">
        <v>0</v>
      </c>
      <c r="H129" s="311">
        <v>0</v>
      </c>
      <c r="I129" s="311">
        <v>0</v>
      </c>
    </row>
    <row r="130">
      <c r="A130" s="311">
        <v>129</v>
      </c>
      <c r="B130" s="311" t="s">
        <v>22197</v>
      </c>
      <c r="C130" s="311">
        <v>4</v>
      </c>
      <c r="D130" s="311" t="s">
        <v>22164</v>
      </c>
      <c r="E130" s="311">
        <v>40</v>
      </c>
      <c r="F130" s="311">
        <v>0</v>
      </c>
      <c r="G130" s="311">
        <v>0</v>
      </c>
      <c r="H130" s="311">
        <v>0</v>
      </c>
      <c r="I130" s="311">
        <v>0</v>
      </c>
    </row>
    <row r="131">
      <c r="A131" s="311">
        <v>130</v>
      </c>
      <c r="B131" s="311" t="s">
        <v>22197</v>
      </c>
      <c r="C131" s="311">
        <v>1</v>
      </c>
      <c r="D131" s="311" t="s">
        <v>22181</v>
      </c>
      <c r="E131" s="311">
        <v>20</v>
      </c>
      <c r="F131" s="311">
        <v>0</v>
      </c>
      <c r="G131" s="311">
        <v>0</v>
      </c>
      <c r="H131" s="311">
        <v>40</v>
      </c>
      <c r="I131" s="311">
        <v>0</v>
      </c>
    </row>
    <row r="132">
      <c r="A132" s="311">
        <v>131</v>
      </c>
      <c r="B132" s="311" t="s">
        <v>22197</v>
      </c>
      <c r="C132" s="311">
        <v>2</v>
      </c>
      <c r="D132" s="311" t="s">
        <v>22181</v>
      </c>
      <c r="E132" s="311">
        <v>40</v>
      </c>
      <c r="F132" s="311">
        <v>0</v>
      </c>
      <c r="G132" s="311">
        <v>0</v>
      </c>
      <c r="H132" s="311">
        <v>80</v>
      </c>
      <c r="I132" s="311">
        <v>0</v>
      </c>
    </row>
    <row r="133">
      <c r="A133" s="311">
        <v>132</v>
      </c>
      <c r="B133" s="311" t="s">
        <v>22198</v>
      </c>
      <c r="C133" s="311">
        <v>1</v>
      </c>
      <c r="D133" s="311" t="s">
        <v>22163</v>
      </c>
      <c r="E133" s="311">
        <v>40</v>
      </c>
      <c r="F133" s="311">
        <v>0</v>
      </c>
      <c r="G133" s="311">
        <v>0</v>
      </c>
      <c r="H133" s="311">
        <v>0</v>
      </c>
      <c r="I133" s="311">
        <v>0</v>
      </c>
    </row>
    <row r="134">
      <c r="A134" s="311">
        <v>133</v>
      </c>
      <c r="B134" s="311" t="s">
        <v>22198</v>
      </c>
      <c r="C134" s="311">
        <v>2</v>
      </c>
      <c r="D134" s="311" t="s">
        <v>22163</v>
      </c>
      <c r="E134" s="311">
        <v>80</v>
      </c>
      <c r="F134" s="311">
        <v>0</v>
      </c>
      <c r="G134" s="311">
        <v>0</v>
      </c>
      <c r="H134" s="311">
        <v>0</v>
      </c>
      <c r="I134" s="311">
        <v>0</v>
      </c>
    </row>
    <row r="135">
      <c r="A135" s="311">
        <v>134</v>
      </c>
      <c r="B135" s="311" t="s">
        <v>22198</v>
      </c>
      <c r="C135" s="311">
        <v>4</v>
      </c>
      <c r="D135" s="311" t="s">
        <v>22163</v>
      </c>
      <c r="E135" s="311">
        <v>80</v>
      </c>
      <c r="F135" s="311">
        <v>0</v>
      </c>
      <c r="G135" s="311">
        <v>0</v>
      </c>
      <c r="H135" s="311">
        <v>0</v>
      </c>
      <c r="I135" s="311">
        <v>0</v>
      </c>
    </row>
    <row r="136">
      <c r="A136" s="311">
        <v>135</v>
      </c>
      <c r="B136" s="311" t="s">
        <v>22198</v>
      </c>
      <c r="C136" s="311">
        <v>2</v>
      </c>
      <c r="D136" s="311" t="s">
        <v>22164</v>
      </c>
      <c r="E136" s="311">
        <v>40</v>
      </c>
      <c r="F136" s="311">
        <v>0</v>
      </c>
      <c r="G136" s="311">
        <v>0</v>
      </c>
      <c r="H136" s="311">
        <v>0</v>
      </c>
      <c r="I136" s="311">
        <v>0</v>
      </c>
    </row>
    <row r="137">
      <c r="A137" s="311">
        <v>136</v>
      </c>
      <c r="B137" s="311" t="s">
        <v>22198</v>
      </c>
      <c r="C137" s="311">
        <v>4</v>
      </c>
      <c r="D137" s="311" t="s">
        <v>22164</v>
      </c>
      <c r="E137" s="311">
        <v>40</v>
      </c>
      <c r="F137" s="311">
        <v>0</v>
      </c>
      <c r="G137" s="311">
        <v>0</v>
      </c>
      <c r="H137" s="311">
        <v>0</v>
      </c>
      <c r="I137" s="311">
        <v>0</v>
      </c>
    </row>
    <row r="138">
      <c r="A138" s="311">
        <v>137</v>
      </c>
      <c r="B138" s="311" t="s">
        <v>22199</v>
      </c>
      <c r="C138" s="311">
        <v>3</v>
      </c>
      <c r="D138" s="311" t="s">
        <v>22181</v>
      </c>
      <c r="E138" s="311">
        <v>60</v>
      </c>
      <c r="F138" s="311">
        <v>0</v>
      </c>
      <c r="G138" s="311">
        <v>0</v>
      </c>
      <c r="H138" s="311">
        <v>0</v>
      </c>
      <c r="I138" s="311">
        <v>0</v>
      </c>
    </row>
    <row r="139">
      <c r="A139" s="311">
        <v>138</v>
      </c>
      <c r="B139" s="311" t="s">
        <v>22200</v>
      </c>
      <c r="C139" s="311">
        <v>1</v>
      </c>
      <c r="D139" s="311" t="s">
        <v>22163</v>
      </c>
      <c r="E139" s="311">
        <v>40</v>
      </c>
      <c r="F139" s="311">
        <v>0</v>
      </c>
      <c r="G139" s="311">
        <v>0</v>
      </c>
      <c r="H139" s="311">
        <v>0</v>
      </c>
      <c r="I139" s="311">
        <v>0</v>
      </c>
    </row>
    <row r="140">
      <c r="A140" s="311">
        <v>139</v>
      </c>
      <c r="B140" s="311" t="s">
        <v>22200</v>
      </c>
      <c r="C140" s="311">
        <v>2</v>
      </c>
      <c r="D140" s="311" t="s">
        <v>22163</v>
      </c>
      <c r="E140" s="311">
        <v>80</v>
      </c>
      <c r="F140" s="311">
        <v>0</v>
      </c>
      <c r="G140" s="311">
        <v>0</v>
      </c>
      <c r="H140" s="311">
        <v>0</v>
      </c>
      <c r="I140" s="311">
        <v>0</v>
      </c>
    </row>
    <row r="141">
      <c r="A141" s="311">
        <v>140</v>
      </c>
      <c r="B141" s="311" t="s">
        <v>22200</v>
      </c>
      <c r="C141" s="311">
        <v>4</v>
      </c>
      <c r="D141" s="311" t="s">
        <v>22163</v>
      </c>
      <c r="E141" s="311">
        <v>80</v>
      </c>
      <c r="F141" s="311">
        <v>0</v>
      </c>
      <c r="G141" s="311">
        <v>0</v>
      </c>
      <c r="H141" s="311">
        <v>0</v>
      </c>
      <c r="I141" s="311">
        <v>0</v>
      </c>
    </row>
    <row r="142">
      <c r="A142" s="311">
        <v>141</v>
      </c>
      <c r="B142" s="311" t="s">
        <v>22200</v>
      </c>
      <c r="C142" s="311">
        <v>2</v>
      </c>
      <c r="D142" s="311" t="s">
        <v>22164</v>
      </c>
      <c r="E142" s="311">
        <v>40</v>
      </c>
      <c r="F142" s="311">
        <v>0</v>
      </c>
      <c r="G142" s="311">
        <v>0</v>
      </c>
      <c r="H142" s="311">
        <v>0</v>
      </c>
      <c r="I142" s="311">
        <v>0</v>
      </c>
    </row>
    <row r="143">
      <c r="A143" s="311">
        <v>142</v>
      </c>
      <c r="B143" s="311" t="s">
        <v>22200</v>
      </c>
      <c r="C143" s="311">
        <v>4</v>
      </c>
      <c r="D143" s="311" t="s">
        <v>22164</v>
      </c>
      <c r="E143" s="311">
        <v>40</v>
      </c>
      <c r="F143" s="311">
        <v>0</v>
      </c>
      <c r="G143" s="311">
        <v>0</v>
      </c>
      <c r="H143" s="311">
        <v>0</v>
      </c>
      <c r="I143" s="311">
        <v>0</v>
      </c>
    </row>
    <row r="144">
      <c r="A144" s="311">
        <v>143</v>
      </c>
      <c r="B144" s="311" t="s">
        <v>22162</v>
      </c>
      <c r="C144" s="311">
        <v>1</v>
      </c>
      <c r="D144" s="311" t="s">
        <v>22163</v>
      </c>
      <c r="E144" s="311">
        <v>0</v>
      </c>
      <c r="F144" s="311">
        <v>35.48</v>
      </c>
      <c r="G144" s="311">
        <v>0</v>
      </c>
      <c r="H144" s="311">
        <v>0</v>
      </c>
      <c r="I144" s="311">
        <v>0</v>
      </c>
    </row>
    <row r="145">
      <c r="A145" s="311">
        <v>144</v>
      </c>
      <c r="B145" s="311" t="s">
        <v>22184</v>
      </c>
      <c r="C145" s="311">
        <v>3</v>
      </c>
      <c r="D145" s="311" t="s">
        <v>22164</v>
      </c>
      <c r="E145" s="311">
        <v>0</v>
      </c>
      <c r="F145" s="311">
        <v>27.54</v>
      </c>
      <c r="G145" s="311">
        <v>60</v>
      </c>
      <c r="H145" s="311">
        <v>0</v>
      </c>
      <c r="I145" s="311">
        <v>0</v>
      </c>
    </row>
    <row r="146">
      <c r="A146" s="311">
        <v>145</v>
      </c>
      <c r="B146" s="311" t="s">
        <v>22184</v>
      </c>
      <c r="C146" s="311">
        <v>3</v>
      </c>
      <c r="D146" s="311" t="s">
        <v>22181</v>
      </c>
      <c r="E146" s="311">
        <v>0</v>
      </c>
      <c r="F146" s="311">
        <v>20</v>
      </c>
      <c r="G146" s="311">
        <v>80</v>
      </c>
      <c r="H146" s="311">
        <v>0</v>
      </c>
      <c r="I146" s="311">
        <v>0</v>
      </c>
    </row>
    <row r="147">
      <c r="A147" s="311">
        <v>146</v>
      </c>
      <c r="B147" s="311" t="s">
        <v>22185</v>
      </c>
      <c r="C147" s="311">
        <v>2</v>
      </c>
      <c r="D147" s="311" t="s">
        <v>22163</v>
      </c>
      <c r="E147" s="311">
        <v>0</v>
      </c>
      <c r="F147" s="311">
        <v>40</v>
      </c>
      <c r="G147" s="311">
        <v>0</v>
      </c>
      <c r="H147" s="311">
        <v>40</v>
      </c>
      <c r="I147" s="311">
        <v>0</v>
      </c>
    </row>
    <row r="148">
      <c r="A148" s="311">
        <v>147</v>
      </c>
      <c r="B148" s="311" t="s">
        <v>22185</v>
      </c>
      <c r="C148" s="311">
        <v>4</v>
      </c>
      <c r="D148" s="311" t="s">
        <v>22163</v>
      </c>
      <c r="E148" s="311">
        <v>0</v>
      </c>
      <c r="F148" s="311">
        <v>80</v>
      </c>
      <c r="G148" s="311">
        <v>0</v>
      </c>
      <c r="H148" s="311">
        <v>80</v>
      </c>
      <c r="I148" s="311">
        <v>0</v>
      </c>
    </row>
    <row r="149">
      <c r="A149" s="311">
        <v>148</v>
      </c>
      <c r="B149" s="311" t="s">
        <v>22185</v>
      </c>
      <c r="C149" s="311">
        <v>2</v>
      </c>
      <c r="D149" s="311" t="s">
        <v>22164</v>
      </c>
      <c r="E149" s="311">
        <v>0</v>
      </c>
      <c r="F149" s="311">
        <v>40</v>
      </c>
      <c r="G149" s="311">
        <v>0</v>
      </c>
      <c r="H149" s="311">
        <v>0</v>
      </c>
      <c r="I149" s="311">
        <v>0</v>
      </c>
    </row>
    <row r="150">
      <c r="A150" s="311">
        <v>149</v>
      </c>
      <c r="B150" s="311" t="s">
        <v>22185</v>
      </c>
      <c r="C150" s="311">
        <v>4</v>
      </c>
      <c r="D150" s="311" t="s">
        <v>22164</v>
      </c>
      <c r="E150" s="311">
        <v>0</v>
      </c>
      <c r="F150" s="311">
        <v>80</v>
      </c>
      <c r="G150" s="311">
        <v>0</v>
      </c>
      <c r="H150" s="311">
        <v>0</v>
      </c>
      <c r="I150" s="311">
        <v>0</v>
      </c>
    </row>
    <row r="151">
      <c r="A151" s="311">
        <v>150</v>
      </c>
      <c r="B151" s="311" t="s">
        <v>22188</v>
      </c>
      <c r="C151" s="311">
        <v>4</v>
      </c>
      <c r="D151" s="311" t="s">
        <v>22163</v>
      </c>
      <c r="E151" s="311">
        <v>0</v>
      </c>
      <c r="F151" s="311">
        <v>20</v>
      </c>
      <c r="G151" s="311">
        <v>15</v>
      </c>
      <c r="H151" s="311">
        <v>0</v>
      </c>
      <c r="I151" s="311">
        <v>0</v>
      </c>
    </row>
    <row r="152">
      <c r="A152" s="311">
        <v>151</v>
      </c>
      <c r="B152" s="311" t="s">
        <v>22188</v>
      </c>
      <c r="C152" s="311">
        <v>2</v>
      </c>
      <c r="D152" s="311" t="s">
        <v>22164</v>
      </c>
      <c r="E152" s="311">
        <v>0</v>
      </c>
      <c r="F152" s="311">
        <v>40</v>
      </c>
      <c r="G152" s="311">
        <v>20</v>
      </c>
      <c r="H152" s="311">
        <v>0</v>
      </c>
      <c r="I152" s="311">
        <v>40</v>
      </c>
    </row>
    <row r="153">
      <c r="A153" s="311">
        <v>152</v>
      </c>
      <c r="B153" s="311" t="s">
        <v>22189</v>
      </c>
      <c r="C153" s="311">
        <v>4</v>
      </c>
      <c r="D153" s="311" t="s">
        <v>22163</v>
      </c>
      <c r="E153" s="311">
        <v>0</v>
      </c>
      <c r="F153" s="311">
        <v>37.24</v>
      </c>
      <c r="G153" s="311">
        <v>0</v>
      </c>
      <c r="H153" s="311">
        <v>0</v>
      </c>
      <c r="I153" s="311">
        <v>0</v>
      </c>
    </row>
    <row r="154">
      <c r="A154" s="311">
        <v>153</v>
      </c>
      <c r="B154" s="311" t="s">
        <v>22189</v>
      </c>
      <c r="C154" s="311">
        <v>2</v>
      </c>
      <c r="D154" s="311" t="s">
        <v>22164</v>
      </c>
      <c r="E154" s="311">
        <v>0</v>
      </c>
      <c r="F154" s="311">
        <v>41.7</v>
      </c>
      <c r="G154" s="311">
        <v>0</v>
      </c>
      <c r="H154" s="311">
        <v>0</v>
      </c>
      <c r="I154" s="311">
        <v>0</v>
      </c>
    </row>
    <row r="155">
      <c r="A155" s="311">
        <v>154</v>
      </c>
      <c r="B155" s="311" t="s">
        <v>22189</v>
      </c>
      <c r="C155" s="311">
        <v>4</v>
      </c>
      <c r="D155" s="311" t="s">
        <v>22164</v>
      </c>
      <c r="E155" s="311">
        <v>0</v>
      </c>
      <c r="F155" s="311">
        <v>37.24</v>
      </c>
      <c r="G155" s="311">
        <v>0</v>
      </c>
      <c r="H155" s="311">
        <v>0</v>
      </c>
      <c r="I155" s="311">
        <v>0</v>
      </c>
    </row>
    <row r="156">
      <c r="A156" s="311">
        <v>155</v>
      </c>
      <c r="B156" s="311" t="s">
        <v>22201</v>
      </c>
      <c r="C156" s="311">
        <v>1</v>
      </c>
      <c r="D156" s="311" t="s">
        <v>22163</v>
      </c>
      <c r="E156" s="311">
        <v>0</v>
      </c>
      <c r="F156" s="311">
        <v>20</v>
      </c>
      <c r="G156" s="311">
        <v>0</v>
      </c>
      <c r="H156" s="311">
        <v>0</v>
      </c>
      <c r="I156" s="311">
        <v>0</v>
      </c>
    </row>
    <row r="157">
      <c r="A157" s="311">
        <v>156</v>
      </c>
      <c r="B157" s="311" t="s">
        <v>22201</v>
      </c>
      <c r="C157" s="311">
        <v>2</v>
      </c>
      <c r="D157" s="311" t="s">
        <v>22163</v>
      </c>
      <c r="E157" s="311">
        <v>0</v>
      </c>
      <c r="F157" s="311">
        <v>40</v>
      </c>
      <c r="G157" s="311">
        <v>0</v>
      </c>
      <c r="H157" s="311">
        <v>0</v>
      </c>
      <c r="I157" s="311">
        <v>0</v>
      </c>
    </row>
    <row r="158">
      <c r="A158" s="311">
        <v>157</v>
      </c>
      <c r="B158" s="311" t="s">
        <v>22201</v>
      </c>
      <c r="C158" s="311">
        <v>3</v>
      </c>
      <c r="D158" s="311" t="s">
        <v>22163</v>
      </c>
      <c r="E158" s="311">
        <v>0</v>
      </c>
      <c r="F158" s="311">
        <v>60</v>
      </c>
      <c r="G158" s="311">
        <v>0</v>
      </c>
      <c r="H158" s="311">
        <v>0</v>
      </c>
      <c r="I158" s="311">
        <v>0</v>
      </c>
    </row>
    <row r="159">
      <c r="A159" s="311">
        <v>158</v>
      </c>
      <c r="B159" s="311" t="s">
        <v>22201</v>
      </c>
      <c r="C159" s="311">
        <v>4</v>
      </c>
      <c r="D159" s="311" t="s">
        <v>22163</v>
      </c>
      <c r="E159" s="311">
        <v>0</v>
      </c>
      <c r="F159" s="311">
        <v>80</v>
      </c>
      <c r="G159" s="311">
        <v>0</v>
      </c>
      <c r="H159" s="311">
        <v>0</v>
      </c>
      <c r="I159" s="311">
        <v>0</v>
      </c>
    </row>
    <row r="160">
      <c r="A160" s="311">
        <v>159</v>
      </c>
      <c r="B160" s="311" t="s">
        <v>22201</v>
      </c>
      <c r="C160" s="311">
        <v>5</v>
      </c>
      <c r="D160" s="311" t="s">
        <v>22163</v>
      </c>
      <c r="E160" s="311">
        <v>0</v>
      </c>
      <c r="F160" s="311">
        <v>100</v>
      </c>
      <c r="G160" s="311">
        <v>0</v>
      </c>
      <c r="H160" s="311">
        <v>0</v>
      </c>
      <c r="I160" s="311">
        <v>0</v>
      </c>
    </row>
    <row r="161">
      <c r="A161" s="311">
        <v>160</v>
      </c>
      <c r="B161" s="311" t="s">
        <v>22201</v>
      </c>
      <c r="C161" s="311">
        <v>6</v>
      </c>
      <c r="D161" s="311" t="s">
        <v>22163</v>
      </c>
      <c r="E161" s="311">
        <v>0</v>
      </c>
      <c r="F161" s="311">
        <v>120</v>
      </c>
      <c r="G161" s="311">
        <v>0</v>
      </c>
      <c r="H161" s="311">
        <v>0</v>
      </c>
      <c r="I161" s="311">
        <v>0</v>
      </c>
    </row>
    <row r="162">
      <c r="A162" s="311">
        <v>161</v>
      </c>
      <c r="B162" s="311" t="s">
        <v>22201</v>
      </c>
      <c r="C162" s="311">
        <v>1</v>
      </c>
      <c r="D162" s="311" t="s">
        <v>22164</v>
      </c>
      <c r="E162" s="311">
        <v>0</v>
      </c>
      <c r="F162" s="311">
        <v>20</v>
      </c>
      <c r="G162" s="311">
        <v>0</v>
      </c>
      <c r="H162" s="311">
        <v>0</v>
      </c>
      <c r="I162" s="311">
        <v>0</v>
      </c>
    </row>
    <row r="163">
      <c r="A163" s="311">
        <v>162</v>
      </c>
      <c r="B163" s="311" t="s">
        <v>22201</v>
      </c>
      <c r="C163" s="311">
        <v>2</v>
      </c>
      <c r="D163" s="311" t="s">
        <v>22164</v>
      </c>
      <c r="E163" s="311">
        <v>0</v>
      </c>
      <c r="F163" s="311">
        <v>40</v>
      </c>
      <c r="G163" s="311">
        <v>0</v>
      </c>
      <c r="H163" s="311">
        <v>0</v>
      </c>
      <c r="I163" s="311">
        <v>0</v>
      </c>
    </row>
    <row r="164">
      <c r="A164" s="311">
        <v>163</v>
      </c>
      <c r="B164" s="311" t="s">
        <v>22201</v>
      </c>
      <c r="C164" s="311">
        <v>3</v>
      </c>
      <c r="D164" s="311" t="s">
        <v>22164</v>
      </c>
      <c r="E164" s="311">
        <v>0</v>
      </c>
      <c r="F164" s="311">
        <v>60</v>
      </c>
      <c r="G164" s="311">
        <v>0</v>
      </c>
      <c r="H164" s="311">
        <v>0</v>
      </c>
      <c r="I164" s="311">
        <v>0</v>
      </c>
    </row>
    <row r="165">
      <c r="A165" s="311">
        <v>164</v>
      </c>
      <c r="B165" s="311" t="s">
        <v>22201</v>
      </c>
      <c r="C165" s="311">
        <v>4</v>
      </c>
      <c r="D165" s="311" t="s">
        <v>22164</v>
      </c>
      <c r="E165" s="311">
        <v>0</v>
      </c>
      <c r="F165" s="311">
        <v>80</v>
      </c>
      <c r="G165" s="311">
        <v>0</v>
      </c>
      <c r="H165" s="311">
        <v>0</v>
      </c>
      <c r="I165" s="311">
        <v>0</v>
      </c>
    </row>
    <row r="166">
      <c r="A166" s="311">
        <v>165</v>
      </c>
      <c r="B166" s="311" t="s">
        <v>22201</v>
      </c>
      <c r="C166" s="311">
        <v>5</v>
      </c>
      <c r="D166" s="311" t="s">
        <v>22164</v>
      </c>
      <c r="E166" s="311">
        <v>0</v>
      </c>
      <c r="F166" s="311">
        <v>100</v>
      </c>
      <c r="G166" s="311">
        <v>0</v>
      </c>
      <c r="H166" s="311">
        <v>0</v>
      </c>
      <c r="I166" s="311">
        <v>0</v>
      </c>
    </row>
    <row r="167">
      <c r="A167" s="311">
        <v>166</v>
      </c>
      <c r="B167" s="311" t="s">
        <v>22201</v>
      </c>
      <c r="C167" s="311">
        <v>6</v>
      </c>
      <c r="D167" s="311" t="s">
        <v>22164</v>
      </c>
      <c r="E167" s="311">
        <v>0</v>
      </c>
      <c r="F167" s="311">
        <v>120</v>
      </c>
      <c r="G167" s="311">
        <v>0</v>
      </c>
      <c r="H167" s="311">
        <v>0</v>
      </c>
      <c r="I167" s="311">
        <v>0</v>
      </c>
    </row>
    <row r="168">
      <c r="A168" s="311">
        <v>167</v>
      </c>
      <c r="B168" s="311" t="s">
        <v>22202</v>
      </c>
      <c r="C168" s="311">
        <v>1</v>
      </c>
      <c r="D168" s="311" t="s">
        <v>22195</v>
      </c>
      <c r="E168" s="311">
        <v>0</v>
      </c>
      <c r="F168" s="311">
        <v>40</v>
      </c>
      <c r="G168" s="311">
        <v>0</v>
      </c>
      <c r="H168" s="311">
        <v>0</v>
      </c>
      <c r="I168" s="311">
        <v>0</v>
      </c>
    </row>
    <row r="169">
      <c r="A169" s="311">
        <v>168</v>
      </c>
      <c r="B169" s="311" t="s">
        <v>22203</v>
      </c>
      <c r="C169" s="311">
        <v>1</v>
      </c>
      <c r="D169" s="311" t="s">
        <v>22163</v>
      </c>
      <c r="E169" s="311">
        <v>0</v>
      </c>
      <c r="F169" s="311">
        <v>20</v>
      </c>
      <c r="G169" s="311">
        <v>0</v>
      </c>
      <c r="H169" s="311">
        <v>0</v>
      </c>
      <c r="I169" s="311">
        <v>0</v>
      </c>
    </row>
    <row r="170">
      <c r="A170" s="311">
        <v>169</v>
      </c>
      <c r="B170" s="311" t="s">
        <v>22203</v>
      </c>
      <c r="C170" s="311">
        <v>2</v>
      </c>
      <c r="D170" s="311" t="s">
        <v>22163</v>
      </c>
      <c r="E170" s="311">
        <v>0</v>
      </c>
      <c r="F170" s="311">
        <v>40</v>
      </c>
      <c r="G170" s="311">
        <v>0</v>
      </c>
      <c r="H170" s="311">
        <v>0</v>
      </c>
      <c r="I170" s="311">
        <v>0</v>
      </c>
    </row>
    <row r="171">
      <c r="A171" s="311">
        <v>170</v>
      </c>
      <c r="B171" s="311" t="s">
        <v>22203</v>
      </c>
      <c r="C171" s="311">
        <v>3</v>
      </c>
      <c r="D171" s="311" t="s">
        <v>22163</v>
      </c>
      <c r="E171" s="311">
        <v>0</v>
      </c>
      <c r="F171" s="311">
        <v>60</v>
      </c>
      <c r="G171" s="311">
        <v>0</v>
      </c>
      <c r="H171" s="311">
        <v>0</v>
      </c>
      <c r="I171" s="311">
        <v>0</v>
      </c>
    </row>
    <row r="172">
      <c r="A172" s="311">
        <v>171</v>
      </c>
      <c r="B172" s="311" t="s">
        <v>22203</v>
      </c>
      <c r="C172" s="311">
        <v>4</v>
      </c>
      <c r="D172" s="311" t="s">
        <v>22163</v>
      </c>
      <c r="E172" s="311">
        <v>0</v>
      </c>
      <c r="F172" s="311">
        <v>80</v>
      </c>
      <c r="G172" s="311">
        <v>0</v>
      </c>
      <c r="H172" s="311">
        <v>0</v>
      </c>
      <c r="I172" s="311">
        <v>0</v>
      </c>
    </row>
    <row r="173">
      <c r="A173" s="311">
        <v>172</v>
      </c>
      <c r="B173" s="311" t="s">
        <v>22203</v>
      </c>
      <c r="C173" s="311">
        <v>5</v>
      </c>
      <c r="D173" s="311" t="s">
        <v>22163</v>
      </c>
      <c r="E173" s="311">
        <v>0</v>
      </c>
      <c r="F173" s="311">
        <v>80</v>
      </c>
      <c r="G173" s="311">
        <v>0</v>
      </c>
      <c r="H173" s="311">
        <v>0</v>
      </c>
      <c r="I173" s="311">
        <v>0</v>
      </c>
    </row>
    <row r="174">
      <c r="A174" s="311">
        <v>173</v>
      </c>
      <c r="B174" s="311" t="s">
        <v>22203</v>
      </c>
      <c r="C174" s="311">
        <v>6</v>
      </c>
      <c r="D174" s="311" t="s">
        <v>22163</v>
      </c>
      <c r="E174" s="311">
        <v>0</v>
      </c>
      <c r="F174" s="311">
        <v>80</v>
      </c>
      <c r="G174" s="311">
        <v>0</v>
      </c>
      <c r="H174" s="311">
        <v>0</v>
      </c>
      <c r="I174" s="311">
        <v>0</v>
      </c>
    </row>
    <row r="175">
      <c r="A175" s="311">
        <v>174</v>
      </c>
      <c r="B175" s="311" t="s">
        <v>22203</v>
      </c>
      <c r="C175" s="311">
        <v>1</v>
      </c>
      <c r="D175" s="311" t="s">
        <v>22164</v>
      </c>
      <c r="E175" s="311">
        <v>0</v>
      </c>
      <c r="F175" s="311">
        <v>20</v>
      </c>
      <c r="G175" s="311">
        <v>0</v>
      </c>
      <c r="H175" s="311">
        <v>0</v>
      </c>
      <c r="I175" s="311">
        <v>0</v>
      </c>
    </row>
    <row r="176">
      <c r="A176" s="311">
        <v>175</v>
      </c>
      <c r="B176" s="311" t="s">
        <v>22203</v>
      </c>
      <c r="C176" s="311">
        <v>2</v>
      </c>
      <c r="D176" s="311" t="s">
        <v>22164</v>
      </c>
      <c r="E176" s="311">
        <v>0</v>
      </c>
      <c r="F176" s="311">
        <v>40</v>
      </c>
      <c r="G176" s="311">
        <v>0</v>
      </c>
      <c r="H176" s="311">
        <v>0</v>
      </c>
      <c r="I176" s="311">
        <v>0</v>
      </c>
    </row>
    <row r="177">
      <c r="A177" s="311">
        <v>176</v>
      </c>
      <c r="B177" s="311" t="s">
        <v>22203</v>
      </c>
      <c r="C177" s="311">
        <v>3</v>
      </c>
      <c r="D177" s="311" t="s">
        <v>22164</v>
      </c>
      <c r="E177" s="311">
        <v>0</v>
      </c>
      <c r="F177" s="311">
        <v>60</v>
      </c>
      <c r="G177" s="311">
        <v>0</v>
      </c>
      <c r="H177" s="311">
        <v>0</v>
      </c>
      <c r="I177" s="311">
        <v>0</v>
      </c>
    </row>
    <row r="178">
      <c r="A178" s="311">
        <v>177</v>
      </c>
      <c r="B178" s="311" t="s">
        <v>22203</v>
      </c>
      <c r="C178" s="311">
        <v>4</v>
      </c>
      <c r="D178" s="311" t="s">
        <v>22164</v>
      </c>
      <c r="E178" s="311">
        <v>0</v>
      </c>
      <c r="F178" s="311">
        <v>80</v>
      </c>
      <c r="G178" s="311">
        <v>0</v>
      </c>
      <c r="H178" s="311">
        <v>0</v>
      </c>
      <c r="I178" s="311">
        <v>0</v>
      </c>
    </row>
    <row r="179">
      <c r="A179" s="311">
        <v>178</v>
      </c>
      <c r="B179" s="311" t="s">
        <v>22203</v>
      </c>
      <c r="C179" s="311">
        <v>5</v>
      </c>
      <c r="D179" s="311" t="s">
        <v>22164</v>
      </c>
      <c r="E179" s="311">
        <v>0</v>
      </c>
      <c r="F179" s="311">
        <v>80</v>
      </c>
      <c r="G179" s="311">
        <v>0</v>
      </c>
      <c r="H179" s="311">
        <v>0</v>
      </c>
      <c r="I179" s="311">
        <v>0</v>
      </c>
    </row>
    <row r="180">
      <c r="A180" s="311">
        <v>179</v>
      </c>
      <c r="B180" s="311" t="s">
        <v>22203</v>
      </c>
      <c r="C180" s="311">
        <v>6</v>
      </c>
      <c r="D180" s="311" t="s">
        <v>22164</v>
      </c>
      <c r="E180" s="311">
        <v>0</v>
      </c>
      <c r="F180" s="311">
        <v>80</v>
      </c>
      <c r="G180" s="311">
        <v>0</v>
      </c>
      <c r="H180" s="311">
        <v>0</v>
      </c>
      <c r="I180" s="311">
        <v>0</v>
      </c>
    </row>
    <row r="181">
      <c r="A181" s="311">
        <v>180</v>
      </c>
      <c r="B181" s="311" t="s">
        <v>21371</v>
      </c>
      <c r="C181" s="311">
        <v>3</v>
      </c>
      <c r="D181" s="311" t="s">
        <v>22181</v>
      </c>
      <c r="E181" s="311">
        <v>0</v>
      </c>
      <c r="F181" s="311">
        <v>60</v>
      </c>
      <c r="G181" s="311">
        <v>0</v>
      </c>
      <c r="H181" s="311">
        <v>0</v>
      </c>
      <c r="I181" s="311">
        <v>0</v>
      </c>
    </row>
    <row r="182">
      <c r="A182" s="311">
        <v>181</v>
      </c>
      <c r="B182" s="311" t="s">
        <v>21371</v>
      </c>
      <c r="C182" s="311">
        <v>4</v>
      </c>
      <c r="D182" s="311" t="s">
        <v>22181</v>
      </c>
      <c r="E182" s="311">
        <v>0</v>
      </c>
      <c r="F182" s="311">
        <v>80</v>
      </c>
      <c r="G182" s="311">
        <v>0</v>
      </c>
      <c r="H182" s="311">
        <v>0</v>
      </c>
      <c r="I182" s="311">
        <v>0</v>
      </c>
    </row>
    <row r="183">
      <c r="A183" s="311">
        <v>182</v>
      </c>
      <c r="B183" s="311" t="s">
        <v>22188</v>
      </c>
      <c r="C183" s="311">
        <v>3</v>
      </c>
      <c r="D183" s="311" t="s">
        <v>22181</v>
      </c>
      <c r="E183" s="311">
        <v>0</v>
      </c>
      <c r="F183" s="311">
        <v>60</v>
      </c>
      <c r="G183" s="311">
        <v>0</v>
      </c>
      <c r="H183" s="311">
        <v>0</v>
      </c>
      <c r="I183" s="311">
        <v>0</v>
      </c>
    </row>
    <row r="184">
      <c r="A184" s="311">
        <v>183</v>
      </c>
      <c r="B184" s="311" t="s">
        <v>22188</v>
      </c>
      <c r="C184" s="311">
        <v>4</v>
      </c>
      <c r="D184" s="311" t="s">
        <v>22181</v>
      </c>
      <c r="E184" s="311">
        <v>0</v>
      </c>
      <c r="F184" s="311">
        <v>80</v>
      </c>
      <c r="G184" s="311">
        <v>0</v>
      </c>
      <c r="H184" s="311">
        <v>0</v>
      </c>
      <c r="I184" s="311">
        <v>0</v>
      </c>
    </row>
    <row r="185">
      <c r="A185" s="311">
        <v>184</v>
      </c>
      <c r="B185" s="311" t="s">
        <v>22204</v>
      </c>
      <c r="C185" s="311">
        <v>1</v>
      </c>
      <c r="D185" s="311" t="s">
        <v>22195</v>
      </c>
      <c r="E185" s="311">
        <v>0</v>
      </c>
      <c r="F185" s="311">
        <v>40</v>
      </c>
      <c r="G185" s="311">
        <v>0</v>
      </c>
      <c r="H185" s="311">
        <v>0</v>
      </c>
      <c r="I185" s="311">
        <v>0</v>
      </c>
    </row>
    <row r="186">
      <c r="A186" s="311">
        <v>185</v>
      </c>
      <c r="B186" s="311" t="s">
        <v>22205</v>
      </c>
      <c r="C186" s="311">
        <v>1</v>
      </c>
      <c r="D186" s="311" t="s">
        <v>22181</v>
      </c>
      <c r="E186" s="311">
        <v>0</v>
      </c>
      <c r="F186" s="311">
        <v>20</v>
      </c>
      <c r="G186" s="311">
        <v>0</v>
      </c>
      <c r="H186" s="311">
        <v>0</v>
      </c>
      <c r="I186" s="311">
        <v>0</v>
      </c>
    </row>
    <row r="187">
      <c r="A187" s="311">
        <v>186</v>
      </c>
      <c r="B187" s="311" t="s">
        <v>22205</v>
      </c>
      <c r="C187" s="311">
        <v>2</v>
      </c>
      <c r="D187" s="311" t="s">
        <v>22181</v>
      </c>
      <c r="E187" s="311">
        <v>0</v>
      </c>
      <c r="F187" s="311">
        <v>40</v>
      </c>
      <c r="G187" s="311">
        <v>0</v>
      </c>
      <c r="H187" s="311">
        <v>0</v>
      </c>
      <c r="I187" s="311">
        <v>0</v>
      </c>
    </row>
    <row r="188">
      <c r="A188" s="311">
        <v>187</v>
      </c>
      <c r="B188" s="311" t="s">
        <v>22205</v>
      </c>
      <c r="C188" s="311">
        <v>3</v>
      </c>
      <c r="D188" s="311" t="s">
        <v>22181</v>
      </c>
      <c r="E188" s="311">
        <v>0</v>
      </c>
      <c r="F188" s="311">
        <v>60</v>
      </c>
      <c r="G188" s="311">
        <v>0</v>
      </c>
      <c r="H188" s="311">
        <v>0</v>
      </c>
      <c r="I188" s="311">
        <v>0</v>
      </c>
    </row>
    <row r="189">
      <c r="A189" s="311">
        <v>188</v>
      </c>
      <c r="B189" s="311" t="s">
        <v>22205</v>
      </c>
      <c r="C189" s="311">
        <v>4</v>
      </c>
      <c r="D189" s="311" t="s">
        <v>22181</v>
      </c>
      <c r="E189" s="311">
        <v>0</v>
      </c>
      <c r="F189" s="311">
        <v>80</v>
      </c>
      <c r="G189" s="311">
        <v>0</v>
      </c>
      <c r="H189" s="311">
        <v>0</v>
      </c>
      <c r="I189" s="311">
        <v>0</v>
      </c>
    </row>
    <row r="190">
      <c r="A190" s="311">
        <v>189</v>
      </c>
      <c r="B190" s="311" t="s">
        <v>22206</v>
      </c>
      <c r="C190" s="311">
        <v>1</v>
      </c>
      <c r="D190" s="311" t="s">
        <v>22195</v>
      </c>
      <c r="E190" s="311">
        <v>0</v>
      </c>
      <c r="F190" s="311">
        <v>40</v>
      </c>
      <c r="G190" s="311">
        <v>0</v>
      </c>
      <c r="H190" s="311">
        <v>0</v>
      </c>
      <c r="I190" s="311">
        <v>0</v>
      </c>
    </row>
    <row r="191">
      <c r="A191" s="311">
        <v>190</v>
      </c>
      <c r="B191" s="311" t="s">
        <v>22207</v>
      </c>
      <c r="C191" s="311">
        <v>2</v>
      </c>
      <c r="D191" s="311" t="s">
        <v>22181</v>
      </c>
      <c r="E191" s="311">
        <v>0</v>
      </c>
      <c r="F191" s="311">
        <v>0</v>
      </c>
      <c r="G191" s="311">
        <v>80</v>
      </c>
      <c r="H191" s="311">
        <v>0</v>
      </c>
      <c r="I191" s="311">
        <v>0</v>
      </c>
    </row>
    <row r="192">
      <c r="A192" s="311">
        <v>191</v>
      </c>
      <c r="B192" s="311" t="s">
        <v>22207</v>
      </c>
      <c r="C192" s="311">
        <v>1</v>
      </c>
      <c r="D192" s="311" t="s">
        <v>22208</v>
      </c>
      <c r="E192" s="311">
        <v>0</v>
      </c>
      <c r="F192" s="311">
        <v>0</v>
      </c>
      <c r="G192" s="311">
        <v>80</v>
      </c>
      <c r="H192" s="311">
        <v>0</v>
      </c>
      <c r="I192" s="311">
        <v>0</v>
      </c>
    </row>
    <row r="193">
      <c r="A193" s="311">
        <v>192</v>
      </c>
      <c r="B193" s="311" t="s">
        <v>22184</v>
      </c>
      <c r="C193" s="311">
        <v>1</v>
      </c>
      <c r="D193" s="311" t="s">
        <v>22163</v>
      </c>
      <c r="E193" s="311">
        <v>0</v>
      </c>
      <c r="F193" s="311">
        <v>0</v>
      </c>
      <c r="G193" s="311">
        <v>20</v>
      </c>
      <c r="H193" s="311">
        <v>0</v>
      </c>
      <c r="I193" s="311">
        <v>0</v>
      </c>
    </row>
    <row r="194">
      <c r="A194" s="311">
        <v>193</v>
      </c>
      <c r="B194" s="311" t="s">
        <v>22184</v>
      </c>
      <c r="C194" s="311">
        <v>3</v>
      </c>
      <c r="D194" s="311" t="s">
        <v>22163</v>
      </c>
      <c r="E194" s="311">
        <v>0</v>
      </c>
      <c r="F194" s="311">
        <v>0</v>
      </c>
      <c r="G194" s="311">
        <v>60</v>
      </c>
      <c r="H194" s="311">
        <v>0</v>
      </c>
      <c r="I194" s="311">
        <v>0</v>
      </c>
    </row>
    <row r="195">
      <c r="A195" s="311">
        <v>194</v>
      </c>
      <c r="B195" s="311" t="s">
        <v>22184</v>
      </c>
      <c r="C195" s="311">
        <v>1</v>
      </c>
      <c r="D195" s="311" t="s">
        <v>22164</v>
      </c>
      <c r="E195" s="311">
        <v>0</v>
      </c>
      <c r="F195" s="311">
        <v>0</v>
      </c>
      <c r="G195" s="311">
        <v>20</v>
      </c>
      <c r="H195" s="311">
        <v>0</v>
      </c>
      <c r="I195" s="311">
        <v>0</v>
      </c>
    </row>
    <row r="196">
      <c r="A196" s="311">
        <v>195</v>
      </c>
      <c r="B196" s="311" t="s">
        <v>22185</v>
      </c>
      <c r="C196" s="311">
        <v>1</v>
      </c>
      <c r="D196" s="311" t="s">
        <v>22208</v>
      </c>
      <c r="E196" s="311">
        <v>0</v>
      </c>
      <c r="F196" s="311">
        <v>0</v>
      </c>
      <c r="G196" s="311">
        <v>80</v>
      </c>
      <c r="H196" s="311">
        <v>0</v>
      </c>
      <c r="I196" s="311">
        <v>0</v>
      </c>
    </row>
    <row r="197">
      <c r="A197" s="311">
        <v>196</v>
      </c>
      <c r="B197" s="311" t="s">
        <v>22209</v>
      </c>
      <c r="C197" s="311">
        <v>1</v>
      </c>
      <c r="D197" s="311" t="s">
        <v>22195</v>
      </c>
      <c r="E197" s="311">
        <v>0</v>
      </c>
      <c r="F197" s="311">
        <v>0</v>
      </c>
      <c r="G197" s="311">
        <v>60</v>
      </c>
      <c r="H197" s="311">
        <v>0</v>
      </c>
      <c r="I197" s="311">
        <v>0</v>
      </c>
    </row>
    <row r="198">
      <c r="A198" s="311">
        <v>197</v>
      </c>
      <c r="B198" s="311" t="s">
        <v>22210</v>
      </c>
      <c r="C198" s="311">
        <v>1</v>
      </c>
      <c r="D198" s="311" t="s">
        <v>22195</v>
      </c>
      <c r="E198" s="311">
        <v>0</v>
      </c>
      <c r="F198" s="311">
        <v>0</v>
      </c>
      <c r="G198" s="311">
        <v>120</v>
      </c>
      <c r="H198" s="311">
        <v>0</v>
      </c>
      <c r="I198" s="311">
        <v>0</v>
      </c>
    </row>
    <row r="199">
      <c r="A199" s="311">
        <v>198</v>
      </c>
      <c r="B199" s="311" t="s">
        <v>21371</v>
      </c>
      <c r="C199" s="311">
        <v>3</v>
      </c>
      <c r="D199" s="311" t="s">
        <v>22163</v>
      </c>
      <c r="E199" s="311">
        <v>0</v>
      </c>
      <c r="F199" s="311">
        <v>0</v>
      </c>
      <c r="G199" s="311">
        <v>71</v>
      </c>
      <c r="H199" s="311">
        <v>60</v>
      </c>
      <c r="I199" s="311">
        <v>0</v>
      </c>
    </row>
    <row r="200">
      <c r="A200" s="311">
        <v>199</v>
      </c>
      <c r="B200" s="311" t="s">
        <v>21283</v>
      </c>
      <c r="C200" s="311">
        <v>2</v>
      </c>
      <c r="D200" s="311" t="s">
        <v>22163</v>
      </c>
      <c r="E200" s="311">
        <v>0</v>
      </c>
      <c r="F200" s="311">
        <v>0</v>
      </c>
      <c r="G200" s="311">
        <v>20</v>
      </c>
      <c r="H200" s="311">
        <v>0</v>
      </c>
      <c r="I200" s="311">
        <v>0</v>
      </c>
    </row>
    <row r="201">
      <c r="A201" s="311">
        <v>200</v>
      </c>
      <c r="B201" s="311" t="s">
        <v>21283</v>
      </c>
      <c r="C201" s="311">
        <v>3</v>
      </c>
      <c r="D201" s="311" t="s">
        <v>22163</v>
      </c>
      <c r="E201" s="311">
        <v>0</v>
      </c>
      <c r="F201" s="311">
        <v>0</v>
      </c>
      <c r="G201" s="311">
        <v>20</v>
      </c>
      <c r="H201" s="311">
        <v>0</v>
      </c>
      <c r="I201" s="311">
        <v>0</v>
      </c>
    </row>
    <row r="202">
      <c r="A202" s="311">
        <v>201</v>
      </c>
      <c r="B202" s="311" t="s">
        <v>21283</v>
      </c>
      <c r="C202" s="311">
        <v>4</v>
      </c>
      <c r="D202" s="311" t="s">
        <v>22163</v>
      </c>
      <c r="E202" s="311">
        <v>0</v>
      </c>
      <c r="F202" s="311">
        <v>0</v>
      </c>
      <c r="G202" s="311">
        <v>20</v>
      </c>
      <c r="H202" s="311">
        <v>0</v>
      </c>
      <c r="I202" s="311">
        <v>0</v>
      </c>
    </row>
    <row r="203">
      <c r="A203" s="311">
        <v>202</v>
      </c>
      <c r="B203" s="311" t="s">
        <v>21283</v>
      </c>
      <c r="C203" s="311">
        <v>2</v>
      </c>
      <c r="D203" s="311" t="s">
        <v>22164</v>
      </c>
      <c r="E203" s="311">
        <v>0</v>
      </c>
      <c r="F203" s="311">
        <v>0</v>
      </c>
      <c r="G203" s="311">
        <v>16</v>
      </c>
      <c r="H203" s="311">
        <v>0</v>
      </c>
      <c r="I203" s="311">
        <v>0</v>
      </c>
    </row>
    <row r="204">
      <c r="A204" s="311">
        <v>203</v>
      </c>
      <c r="B204" s="311" t="s">
        <v>21283</v>
      </c>
      <c r="C204" s="311">
        <v>3</v>
      </c>
      <c r="D204" s="311" t="s">
        <v>22164</v>
      </c>
      <c r="E204" s="311">
        <v>0</v>
      </c>
      <c r="F204" s="311">
        <v>0</v>
      </c>
      <c r="G204" s="311">
        <v>16</v>
      </c>
      <c r="H204" s="311">
        <v>0</v>
      </c>
      <c r="I204" s="311">
        <v>0</v>
      </c>
    </row>
    <row r="205">
      <c r="A205" s="311">
        <v>204</v>
      </c>
      <c r="B205" s="311" t="s">
        <v>21283</v>
      </c>
      <c r="C205" s="311">
        <v>4</v>
      </c>
      <c r="D205" s="311" t="s">
        <v>22164</v>
      </c>
      <c r="E205" s="311">
        <v>0</v>
      </c>
      <c r="F205" s="311">
        <v>0</v>
      </c>
      <c r="G205" s="311">
        <v>16</v>
      </c>
      <c r="H205" s="311">
        <v>0</v>
      </c>
      <c r="I205" s="311">
        <v>0</v>
      </c>
    </row>
    <row r="206">
      <c r="A206" s="311">
        <v>205</v>
      </c>
      <c r="B206" s="311" t="s">
        <v>21283</v>
      </c>
      <c r="C206" s="311">
        <v>4</v>
      </c>
      <c r="D206" s="311" t="s">
        <v>22165</v>
      </c>
      <c r="E206" s="311">
        <v>0</v>
      </c>
      <c r="F206" s="311">
        <v>0</v>
      </c>
      <c r="G206" s="311">
        <v>20</v>
      </c>
      <c r="H206" s="311">
        <v>0</v>
      </c>
      <c r="I206" s="311">
        <v>0</v>
      </c>
    </row>
    <row r="207">
      <c r="A207" s="311">
        <v>206</v>
      </c>
      <c r="B207" s="311" t="s">
        <v>21283</v>
      </c>
      <c r="C207" s="311">
        <v>6</v>
      </c>
      <c r="D207" s="311" t="s">
        <v>22165</v>
      </c>
      <c r="E207" s="311">
        <v>0</v>
      </c>
      <c r="F207" s="311">
        <v>0</v>
      </c>
      <c r="G207" s="311">
        <v>20</v>
      </c>
      <c r="H207" s="311">
        <v>0</v>
      </c>
      <c r="I207" s="311">
        <v>0</v>
      </c>
    </row>
    <row r="208">
      <c r="A208" s="311">
        <v>207</v>
      </c>
      <c r="B208" s="311" t="s">
        <v>21283</v>
      </c>
      <c r="C208" s="311">
        <v>8</v>
      </c>
      <c r="D208" s="311" t="s">
        <v>22165</v>
      </c>
      <c r="E208" s="311">
        <v>0</v>
      </c>
      <c r="F208" s="311">
        <v>0</v>
      </c>
      <c r="G208" s="311">
        <v>20</v>
      </c>
      <c r="H208" s="311">
        <v>0</v>
      </c>
      <c r="I208" s="311">
        <v>0</v>
      </c>
    </row>
    <row r="209">
      <c r="A209" s="311">
        <v>208</v>
      </c>
      <c r="B209" s="311" t="s">
        <v>22211</v>
      </c>
      <c r="C209" s="311">
        <v>1</v>
      </c>
      <c r="D209" s="311" t="s">
        <v>22163</v>
      </c>
      <c r="E209" s="311">
        <v>0</v>
      </c>
      <c r="F209" s="311">
        <v>0</v>
      </c>
      <c r="G209" s="311">
        <v>63</v>
      </c>
      <c r="H209" s="311">
        <v>0</v>
      </c>
      <c r="I209" s="311">
        <v>0</v>
      </c>
    </row>
    <row r="210">
      <c r="A210" s="311">
        <v>209</v>
      </c>
      <c r="B210" s="311" t="s">
        <v>22211</v>
      </c>
      <c r="C210" s="311">
        <v>2</v>
      </c>
      <c r="D210" s="311" t="s">
        <v>22163</v>
      </c>
      <c r="E210" s="311">
        <v>0</v>
      </c>
      <c r="F210" s="311">
        <v>0</v>
      </c>
      <c r="G210" s="311">
        <v>63</v>
      </c>
      <c r="H210" s="311">
        <v>0</v>
      </c>
      <c r="I210" s="311">
        <v>0</v>
      </c>
    </row>
    <row r="211">
      <c r="A211" s="311">
        <v>210</v>
      </c>
      <c r="B211" s="311" t="s">
        <v>22211</v>
      </c>
      <c r="C211" s="311">
        <v>1</v>
      </c>
      <c r="D211" s="311" t="s">
        <v>22164</v>
      </c>
      <c r="E211" s="311">
        <v>0</v>
      </c>
      <c r="F211" s="311">
        <v>0</v>
      </c>
      <c r="G211" s="311">
        <v>50</v>
      </c>
      <c r="H211" s="311">
        <v>0</v>
      </c>
      <c r="I211" s="311">
        <v>0</v>
      </c>
    </row>
    <row r="212">
      <c r="A212" s="311">
        <v>211</v>
      </c>
      <c r="B212" s="311" t="s">
        <v>22211</v>
      </c>
      <c r="C212" s="311">
        <v>2</v>
      </c>
      <c r="D212" s="311" t="s">
        <v>22164</v>
      </c>
      <c r="E212" s="311">
        <v>0</v>
      </c>
      <c r="F212" s="311">
        <v>0</v>
      </c>
      <c r="G212" s="311">
        <v>50</v>
      </c>
      <c r="H212" s="311">
        <v>0</v>
      </c>
      <c r="I212" s="311">
        <v>0</v>
      </c>
    </row>
    <row r="213">
      <c r="A213" s="311">
        <v>212</v>
      </c>
      <c r="B213" s="311" t="s">
        <v>22212</v>
      </c>
      <c r="C213" s="311">
        <v>2</v>
      </c>
      <c r="D213" s="311" t="s">
        <v>22163</v>
      </c>
      <c r="E213" s="311">
        <v>0</v>
      </c>
      <c r="F213" s="311">
        <v>0</v>
      </c>
      <c r="G213" s="311">
        <v>60</v>
      </c>
      <c r="H213" s="311">
        <v>0</v>
      </c>
      <c r="I213" s="311">
        <v>0</v>
      </c>
    </row>
    <row r="214">
      <c r="A214" s="311">
        <v>213</v>
      </c>
      <c r="B214" s="311" t="s">
        <v>22213</v>
      </c>
      <c r="C214" s="311">
        <v>1</v>
      </c>
      <c r="D214" s="311" t="s">
        <v>22208</v>
      </c>
      <c r="E214" s="311">
        <v>0</v>
      </c>
      <c r="F214" s="311">
        <v>0</v>
      </c>
      <c r="G214" s="311">
        <v>60</v>
      </c>
      <c r="H214" s="311">
        <v>0</v>
      </c>
      <c r="I214" s="311">
        <v>0</v>
      </c>
    </row>
    <row r="215">
      <c r="A215" s="311">
        <v>214</v>
      </c>
      <c r="B215" s="311" t="s">
        <v>22214</v>
      </c>
      <c r="C215" s="311">
        <v>1</v>
      </c>
      <c r="D215" s="311" t="s">
        <v>22195</v>
      </c>
      <c r="E215" s="311">
        <v>0</v>
      </c>
      <c r="F215" s="311">
        <v>0</v>
      </c>
      <c r="G215" s="311">
        <v>160</v>
      </c>
      <c r="H215" s="311">
        <v>0</v>
      </c>
      <c r="I215" s="311">
        <v>0</v>
      </c>
    </row>
    <row r="216">
      <c r="A216" s="311">
        <v>215</v>
      </c>
      <c r="B216" s="311" t="s">
        <v>22215</v>
      </c>
      <c r="C216" s="311">
        <v>1</v>
      </c>
      <c r="D216" s="311" t="s">
        <v>22195</v>
      </c>
      <c r="E216" s="311">
        <v>0</v>
      </c>
      <c r="F216" s="311">
        <v>0</v>
      </c>
      <c r="G216" s="311">
        <v>120</v>
      </c>
      <c r="H216" s="311">
        <v>0</v>
      </c>
      <c r="I216" s="311">
        <v>0</v>
      </c>
    </row>
    <row r="217">
      <c r="A217" s="311">
        <v>216</v>
      </c>
      <c r="B217" s="311" t="s">
        <v>22216</v>
      </c>
      <c r="C217" s="311">
        <v>1</v>
      </c>
      <c r="D217" s="311" t="s">
        <v>22181</v>
      </c>
      <c r="E217" s="311">
        <v>0</v>
      </c>
      <c r="F217" s="311">
        <v>0</v>
      </c>
      <c r="G217" s="311">
        <v>80</v>
      </c>
      <c r="H217" s="311">
        <v>0</v>
      </c>
      <c r="I217" s="311">
        <v>0</v>
      </c>
    </row>
    <row r="218">
      <c r="A218" s="311">
        <v>217</v>
      </c>
      <c r="B218" s="311" t="s">
        <v>22216</v>
      </c>
      <c r="C218" s="311">
        <v>2</v>
      </c>
      <c r="D218" s="311" t="s">
        <v>22181</v>
      </c>
      <c r="E218" s="311">
        <v>0</v>
      </c>
      <c r="F218" s="311">
        <v>0</v>
      </c>
      <c r="G218" s="311">
        <v>80</v>
      </c>
      <c r="H218" s="311">
        <v>0</v>
      </c>
      <c r="I218" s="311">
        <v>0</v>
      </c>
    </row>
    <row r="219">
      <c r="A219" s="311">
        <v>218</v>
      </c>
      <c r="B219" s="311" t="s">
        <v>22216</v>
      </c>
      <c r="C219" s="311">
        <v>3</v>
      </c>
      <c r="D219" s="311" t="s">
        <v>22181</v>
      </c>
      <c r="E219" s="311">
        <v>0</v>
      </c>
      <c r="F219" s="311">
        <v>0</v>
      </c>
      <c r="G219" s="311">
        <v>80</v>
      </c>
      <c r="H219" s="311">
        <v>0</v>
      </c>
      <c r="I219" s="311">
        <v>0</v>
      </c>
    </row>
    <row r="220">
      <c r="A220" s="311">
        <v>219</v>
      </c>
      <c r="B220" s="311" t="s">
        <v>22217</v>
      </c>
      <c r="C220" s="311">
        <v>1</v>
      </c>
      <c r="D220" s="311" t="s">
        <v>22181</v>
      </c>
      <c r="E220" s="311">
        <v>0</v>
      </c>
      <c r="F220" s="311">
        <v>0</v>
      </c>
      <c r="G220" s="311">
        <v>120</v>
      </c>
      <c r="H220" s="311">
        <v>0</v>
      </c>
      <c r="I220" s="311">
        <v>0</v>
      </c>
    </row>
    <row r="221">
      <c r="A221" s="311">
        <v>220</v>
      </c>
      <c r="B221" s="311" t="s">
        <v>22217</v>
      </c>
      <c r="C221" s="311">
        <v>2</v>
      </c>
      <c r="D221" s="311" t="s">
        <v>22181</v>
      </c>
      <c r="E221" s="311">
        <v>0</v>
      </c>
      <c r="F221" s="311">
        <v>0</v>
      </c>
      <c r="G221" s="311">
        <v>120</v>
      </c>
      <c r="H221" s="311">
        <v>0</v>
      </c>
      <c r="I221" s="311">
        <v>0</v>
      </c>
    </row>
    <row r="222">
      <c r="A222" s="311">
        <v>221</v>
      </c>
      <c r="B222" s="311" t="s">
        <v>22217</v>
      </c>
      <c r="C222" s="311">
        <v>3</v>
      </c>
      <c r="D222" s="311" t="s">
        <v>22181</v>
      </c>
      <c r="E222" s="311">
        <v>0</v>
      </c>
      <c r="F222" s="311">
        <v>0</v>
      </c>
      <c r="G222" s="311">
        <v>120</v>
      </c>
      <c r="H222" s="311">
        <v>0</v>
      </c>
      <c r="I222" s="311">
        <v>0</v>
      </c>
    </row>
    <row r="223">
      <c r="A223" s="311">
        <v>222</v>
      </c>
      <c r="B223" s="311" t="s">
        <v>22218</v>
      </c>
      <c r="C223" s="311">
        <v>1</v>
      </c>
      <c r="D223" s="311" t="s">
        <v>22208</v>
      </c>
      <c r="E223" s="311">
        <v>0</v>
      </c>
      <c r="F223" s="311">
        <v>0</v>
      </c>
      <c r="G223" s="311">
        <v>80</v>
      </c>
      <c r="H223" s="311">
        <v>0</v>
      </c>
      <c r="I223" s="311">
        <v>0</v>
      </c>
    </row>
    <row r="224">
      <c r="A224" s="311">
        <v>223</v>
      </c>
      <c r="B224" s="311" t="s">
        <v>22219</v>
      </c>
      <c r="C224" s="311">
        <v>2</v>
      </c>
      <c r="D224" s="311" t="s">
        <v>22181</v>
      </c>
      <c r="E224" s="311">
        <v>0</v>
      </c>
      <c r="F224" s="311">
        <v>0</v>
      </c>
      <c r="G224" s="311">
        <v>20</v>
      </c>
      <c r="H224" s="311">
        <v>0</v>
      </c>
      <c r="I224" s="311">
        <v>0</v>
      </c>
    </row>
    <row r="225">
      <c r="A225" s="311">
        <v>224</v>
      </c>
      <c r="B225" s="311" t="s">
        <v>22220</v>
      </c>
      <c r="C225" s="311">
        <v>2</v>
      </c>
      <c r="D225" s="311" t="s">
        <v>22181</v>
      </c>
      <c r="E225" s="311">
        <v>0</v>
      </c>
      <c r="F225" s="311">
        <v>0</v>
      </c>
      <c r="G225" s="311">
        <v>40</v>
      </c>
      <c r="H225" s="311">
        <v>0</v>
      </c>
      <c r="I225" s="311">
        <v>0</v>
      </c>
    </row>
    <row r="226">
      <c r="A226" s="311">
        <v>225</v>
      </c>
      <c r="B226" s="311" t="s">
        <v>22212</v>
      </c>
      <c r="C226" s="311">
        <v>1</v>
      </c>
      <c r="D226" s="311" t="s">
        <v>22195</v>
      </c>
      <c r="E226" s="311">
        <v>0</v>
      </c>
      <c r="F226" s="311">
        <v>0</v>
      </c>
      <c r="G226" s="311">
        <v>120</v>
      </c>
      <c r="H226" s="311">
        <v>0</v>
      </c>
      <c r="I226" s="311">
        <v>0</v>
      </c>
    </row>
    <row r="227">
      <c r="A227" s="311">
        <v>226</v>
      </c>
      <c r="B227" s="311" t="s">
        <v>22185</v>
      </c>
      <c r="C227" s="311">
        <v>1</v>
      </c>
      <c r="D227" s="311" t="s">
        <v>22195</v>
      </c>
      <c r="E227" s="311">
        <v>0</v>
      </c>
      <c r="F227" s="311">
        <v>0</v>
      </c>
      <c r="G227" s="311">
        <v>60</v>
      </c>
      <c r="H227" s="311">
        <v>0</v>
      </c>
      <c r="I227" s="311">
        <v>0</v>
      </c>
    </row>
    <row r="228">
      <c r="A228" s="311">
        <v>227</v>
      </c>
      <c r="B228" s="311" t="s">
        <v>22177</v>
      </c>
      <c r="C228" s="311">
        <v>3</v>
      </c>
      <c r="D228" s="311" t="s">
        <v>22163</v>
      </c>
      <c r="E228" s="311">
        <v>0</v>
      </c>
      <c r="F228" s="311">
        <v>0</v>
      </c>
      <c r="G228" s="311">
        <v>0</v>
      </c>
      <c r="H228" s="311">
        <v>76</v>
      </c>
      <c r="I228" s="311">
        <v>0</v>
      </c>
    </row>
    <row r="229">
      <c r="A229" s="311">
        <v>228</v>
      </c>
      <c r="B229" s="311" t="s">
        <v>22185</v>
      </c>
      <c r="C229" s="311">
        <v>6</v>
      </c>
      <c r="D229" s="311" t="s">
        <v>22163</v>
      </c>
      <c r="E229" s="311">
        <v>0</v>
      </c>
      <c r="F229" s="311">
        <v>0</v>
      </c>
      <c r="G229" s="311">
        <v>0</v>
      </c>
      <c r="H229" s="311">
        <v>120</v>
      </c>
      <c r="I229" s="311">
        <v>0</v>
      </c>
    </row>
    <row r="230">
      <c r="A230" s="311">
        <v>229</v>
      </c>
      <c r="B230" s="311" t="s">
        <v>21371</v>
      </c>
      <c r="C230" s="311">
        <v>6</v>
      </c>
      <c r="D230" s="311" t="s">
        <v>22163</v>
      </c>
      <c r="E230" s="311">
        <v>0</v>
      </c>
      <c r="F230" s="311">
        <v>0</v>
      </c>
      <c r="G230" s="311">
        <v>0</v>
      </c>
      <c r="H230" s="311">
        <v>120</v>
      </c>
      <c r="I230" s="311">
        <v>0</v>
      </c>
    </row>
    <row r="231">
      <c r="A231" s="311">
        <v>230</v>
      </c>
      <c r="B231" s="311" t="s">
        <v>22187</v>
      </c>
      <c r="C231" s="311">
        <v>3</v>
      </c>
      <c r="D231" s="311" t="s">
        <v>22163</v>
      </c>
      <c r="E231" s="311">
        <v>0</v>
      </c>
      <c r="F231" s="311">
        <v>0</v>
      </c>
      <c r="G231" s="311">
        <v>0</v>
      </c>
      <c r="H231" s="311">
        <v>60</v>
      </c>
      <c r="I231" s="311">
        <v>0</v>
      </c>
    </row>
    <row r="232">
      <c r="A232" s="311">
        <v>231</v>
      </c>
      <c r="B232" s="311" t="s">
        <v>22187</v>
      </c>
      <c r="C232" s="311">
        <v>6</v>
      </c>
      <c r="D232" s="311" t="s">
        <v>22163</v>
      </c>
      <c r="E232" s="311">
        <v>0</v>
      </c>
      <c r="F232" s="311">
        <v>0</v>
      </c>
      <c r="G232" s="311">
        <v>0</v>
      </c>
      <c r="H232" s="311">
        <v>120</v>
      </c>
      <c r="I232" s="311">
        <v>0</v>
      </c>
    </row>
    <row r="233">
      <c r="A233" s="311">
        <v>232</v>
      </c>
      <c r="B233" s="311" t="s">
        <v>22197</v>
      </c>
      <c r="C233" s="311">
        <v>1</v>
      </c>
      <c r="D233" s="311" t="s">
        <v>22208</v>
      </c>
      <c r="E233" s="311">
        <v>0</v>
      </c>
      <c r="F233" s="311">
        <v>0</v>
      </c>
      <c r="G233" s="311">
        <v>0</v>
      </c>
      <c r="H233" s="311">
        <v>40</v>
      </c>
      <c r="I233" s="311">
        <v>0</v>
      </c>
    </row>
    <row r="234">
      <c r="A234" s="311">
        <v>233</v>
      </c>
      <c r="B234" s="311" t="s">
        <v>21371</v>
      </c>
      <c r="C234" s="311">
        <v>1</v>
      </c>
      <c r="D234" s="311" t="s">
        <v>22164</v>
      </c>
      <c r="E234" s="311">
        <v>0</v>
      </c>
      <c r="F234" s="311">
        <v>0</v>
      </c>
      <c r="G234" s="311">
        <v>0</v>
      </c>
      <c r="H234" s="311">
        <v>0</v>
      </c>
      <c r="I234" s="311">
        <v>60</v>
      </c>
    </row>
    <row r="235">
      <c r="A235" s="311">
        <v>234</v>
      </c>
      <c r="B235" s="311" t="s">
        <v>22187</v>
      </c>
      <c r="C235" s="311">
        <v>1</v>
      </c>
      <c r="D235" s="311" t="s">
        <v>22164</v>
      </c>
      <c r="E235" s="311">
        <v>0</v>
      </c>
      <c r="F235" s="311">
        <v>0</v>
      </c>
      <c r="G235" s="311">
        <v>0</v>
      </c>
      <c r="H235" s="311">
        <v>0</v>
      </c>
      <c r="I235" s="311">
        <v>60</v>
      </c>
    </row>
    <row r="236">
      <c r="A236" s="311">
        <v>235</v>
      </c>
      <c r="B236" s="311" t="s">
        <v>22188</v>
      </c>
      <c r="C236" s="311">
        <v>1</v>
      </c>
      <c r="D236" s="311" t="s">
        <v>22164</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22155</v>
      </c>
    </row>
    <row r="3">
      <c r="A3" s="305">
        <v>2</v>
      </c>
      <c r="B3" s="305">
        <v>2</v>
      </c>
      <c r="C3" s="305" t="s">
        <v>22156</v>
      </c>
    </row>
    <row r="4">
      <c r="A4" s="305">
        <v>3</v>
      </c>
      <c r="B4" s="305">
        <v>3</v>
      </c>
      <c r="C4" s="305" t="s">
        <v>22157</v>
      </c>
    </row>
    <row r="5">
      <c r="A5" s="305">
        <v>4</v>
      </c>
      <c r="B5" s="305">
        <v>4</v>
      </c>
      <c r="C5" s="305" t="s">
        <v>22158</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1"/>
  <sheetViews>
    <sheetView tabSelected="1" zoomScaleNormal="100" workbookViewId="0">
      <pane xSplit="3" ySplit="1" topLeftCell="D26" activePane="bottomRight" state="frozen"/>
      <selection pane="topRight" activeCell="D1" sqref="D1"/>
      <selection pane="bottomLeft" activeCell="A2" sqref="A2"/>
      <selection pane="bottomRight" activeCell="G31" sqref="G31"/>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21542</v>
      </c>
      <c r="E1" s="310" t="s">
        <v>21994</v>
      </c>
      <c r="F1" s="310" t="s">
        <v>21995</v>
      </c>
      <c r="G1" s="310" t="s">
        <v>21996</v>
      </c>
      <c r="H1" s="310" t="s">
        <v>21294</v>
      </c>
    </row>
    <row r="2" ht="45">
      <c r="A2" s="309">
        <v>1</v>
      </c>
      <c r="B2" s="309" t="s">
        <v>21997</v>
      </c>
      <c r="C2" s="309" t="s">
        <v>21998</v>
      </c>
      <c r="D2" s="309" t="s">
        <v>21999</v>
      </c>
      <c r="E2" s="309" t="s">
        <v>22000</v>
      </c>
      <c r="F2" s="309" t="s">
        <v>22001</v>
      </c>
      <c r="G2" s="309" t="s">
        <v>22002</v>
      </c>
      <c r="H2" s="309" t="s">
        <v>22003</v>
      </c>
    </row>
    <row r="3" ht="45">
      <c r="A3" s="309">
        <v>2</v>
      </c>
      <c r="B3" s="309" t="s">
        <v>22004</v>
      </c>
      <c r="C3" s="309" t="s">
        <v>22005</v>
      </c>
      <c r="D3" s="309" t="s">
        <v>22006</v>
      </c>
      <c r="E3" s="309" t="s">
        <v>21313</v>
      </c>
      <c r="F3" s="309" t="s">
        <v>21313</v>
      </c>
      <c r="G3" s="309" t="s">
        <v>21313</v>
      </c>
      <c r="H3" s="309" t="s">
        <v>22007</v>
      </c>
    </row>
    <row r="4">
      <c r="A4" s="309">
        <v>3</v>
      </c>
      <c r="B4" s="309" t="s">
        <v>22008</v>
      </c>
      <c r="C4" s="309" t="s">
        <v>22009</v>
      </c>
      <c r="D4" s="309" t="s">
        <v>22010</v>
      </c>
      <c r="E4" s="309" t="s">
        <v>22011</v>
      </c>
      <c r="F4" s="309" t="s">
        <v>22001</v>
      </c>
      <c r="G4" s="309" t="s">
        <v>22012</v>
      </c>
      <c r="H4" s="309" t="s">
        <v>21298</v>
      </c>
    </row>
    <row r="5" ht="45">
      <c r="A5" s="309">
        <v>4</v>
      </c>
      <c r="B5" s="309" t="s">
        <v>22013</v>
      </c>
      <c r="C5" s="309" t="s">
        <v>22014</v>
      </c>
      <c r="D5" s="309" t="s">
        <v>22015</v>
      </c>
      <c r="E5" s="309" t="s">
        <v>22016</v>
      </c>
      <c r="F5" s="309" t="s">
        <v>22017</v>
      </c>
      <c r="G5" s="309" t="s">
        <v>22018</v>
      </c>
      <c r="H5" s="309" t="s">
        <v>22019</v>
      </c>
    </row>
    <row r="6" ht="45">
      <c r="A6" s="309">
        <v>5</v>
      </c>
      <c r="B6" s="309" t="s">
        <v>22020</v>
      </c>
      <c r="C6" s="309" t="s">
        <v>22021</v>
      </c>
      <c r="D6" s="309" t="s">
        <v>22022</v>
      </c>
      <c r="E6" s="309" t="s">
        <v>22023</v>
      </c>
      <c r="F6" s="309" t="s">
        <v>22024</v>
      </c>
      <c r="G6" s="309" t="s">
        <v>22025</v>
      </c>
      <c r="H6" s="309" t="s">
        <v>22026</v>
      </c>
    </row>
    <row r="7" ht="30">
      <c r="A7" s="309">
        <v>6</v>
      </c>
      <c r="B7" s="309" t="s">
        <v>22027</v>
      </c>
      <c r="C7" s="309" t="s">
        <v>22028</v>
      </c>
      <c r="D7" s="309" t="s">
        <v>22029</v>
      </c>
      <c r="E7" s="309" t="s">
        <v>22030</v>
      </c>
      <c r="F7" s="309" t="s">
        <v>22031</v>
      </c>
      <c r="G7" s="309" t="s">
        <v>22032</v>
      </c>
      <c r="H7" s="309" t="s">
        <v>21298</v>
      </c>
    </row>
    <row r="8" ht="45">
      <c r="A8" s="309">
        <v>7</v>
      </c>
      <c r="B8" s="309" t="s">
        <v>22033</v>
      </c>
      <c r="C8" s="309" t="s">
        <v>22034</v>
      </c>
      <c r="D8" s="309" t="s">
        <v>22035</v>
      </c>
      <c r="E8" s="309" t="s">
        <v>22036</v>
      </c>
      <c r="F8" s="309" t="s">
        <v>22037</v>
      </c>
      <c r="G8" s="309" t="s">
        <v>22038</v>
      </c>
      <c r="H8" s="309" t="s">
        <v>22007</v>
      </c>
    </row>
    <row r="9" ht="45">
      <c r="A9" s="309">
        <v>8</v>
      </c>
      <c r="B9" s="309" t="s">
        <v>22039</v>
      </c>
      <c r="C9" s="309" t="s">
        <v>22040</v>
      </c>
      <c r="D9" s="309" t="s">
        <v>22041</v>
      </c>
      <c r="E9" s="309" t="s">
        <v>22042</v>
      </c>
      <c r="F9" s="309" t="s">
        <v>21313</v>
      </c>
      <c r="G9" s="309" t="s">
        <v>22043</v>
      </c>
      <c r="H9" s="309" t="s">
        <v>22007</v>
      </c>
    </row>
    <row r="10" ht="30">
      <c r="A10" s="309">
        <v>9</v>
      </c>
      <c r="B10" s="309" t="s">
        <v>22044</v>
      </c>
      <c r="C10" s="309" t="s">
        <v>22045</v>
      </c>
      <c r="D10" s="309" t="s">
        <v>22046</v>
      </c>
      <c r="E10" s="309" t="s">
        <v>22047</v>
      </c>
      <c r="F10" s="309" t="s">
        <v>22048</v>
      </c>
      <c r="G10" s="309" t="s">
        <v>22049</v>
      </c>
      <c r="H10" s="309" t="s">
        <v>22007</v>
      </c>
    </row>
    <row r="11" ht="30">
      <c r="A11" s="309">
        <v>10</v>
      </c>
      <c r="B11" s="309" t="s">
        <v>22050</v>
      </c>
      <c r="C11" s="309" t="s">
        <v>22051</v>
      </c>
      <c r="D11" s="309" t="s">
        <v>22052</v>
      </c>
      <c r="E11" s="309" t="s">
        <v>22053</v>
      </c>
      <c r="F11" s="309" t="s">
        <v>22054</v>
      </c>
      <c r="G11" s="309" t="s">
        <v>22055</v>
      </c>
      <c r="H11" s="309" t="s">
        <v>22007</v>
      </c>
    </row>
    <row r="12" ht="45">
      <c r="A12" s="309">
        <v>11</v>
      </c>
      <c r="B12" s="309" t="s">
        <v>22056</v>
      </c>
      <c r="C12" s="309" t="s">
        <v>22057</v>
      </c>
      <c r="D12" s="309" t="s">
        <v>22058</v>
      </c>
      <c r="E12" s="309" t="s">
        <v>22059</v>
      </c>
      <c r="F12" s="309" t="s">
        <v>21313</v>
      </c>
      <c r="G12" s="309" t="s">
        <v>22060</v>
      </c>
      <c r="H12" s="309" t="s">
        <v>22007</v>
      </c>
    </row>
    <row r="13" ht="30">
      <c r="A13" s="309">
        <v>12</v>
      </c>
      <c r="B13" s="309" t="s">
        <v>22061</v>
      </c>
      <c r="C13" s="309" t="s">
        <v>22062</v>
      </c>
      <c r="D13" s="309" t="s">
        <v>22063</v>
      </c>
      <c r="E13" s="309" t="s">
        <v>22064</v>
      </c>
      <c r="F13" s="309" t="s">
        <v>21313</v>
      </c>
      <c r="G13" s="309" t="s">
        <v>22065</v>
      </c>
      <c r="H13" s="309" t="s">
        <v>22007</v>
      </c>
    </row>
    <row r="14" ht="45">
      <c r="A14" s="309">
        <v>13</v>
      </c>
      <c r="B14" s="309" t="s">
        <v>22066</v>
      </c>
      <c r="C14" s="309" t="s">
        <v>22067</v>
      </c>
      <c r="D14" s="309" t="s">
        <v>22068</v>
      </c>
      <c r="E14" s="309" t="s">
        <v>22069</v>
      </c>
      <c r="F14" s="309" t="s">
        <v>21313</v>
      </c>
      <c r="G14" s="309" t="s">
        <v>22043</v>
      </c>
      <c r="H14" s="309" t="s">
        <v>22007</v>
      </c>
    </row>
    <row r="15" ht="45">
      <c r="A15" s="309">
        <v>14</v>
      </c>
      <c r="B15" s="309" t="s">
        <v>22070</v>
      </c>
      <c r="C15" s="309" t="s">
        <v>22071</v>
      </c>
      <c r="D15" s="309" t="s">
        <v>22072</v>
      </c>
      <c r="E15" s="309" t="s">
        <v>22073</v>
      </c>
      <c r="F15" s="309" t="s">
        <v>22074</v>
      </c>
      <c r="G15" s="309" t="s">
        <v>22075</v>
      </c>
      <c r="H15" s="309" t="s">
        <v>22007</v>
      </c>
    </row>
    <row r="16" ht="30">
      <c r="A16" s="309">
        <v>15</v>
      </c>
      <c r="B16" s="309" t="s">
        <v>22076</v>
      </c>
      <c r="C16" s="309" t="s">
        <v>22077</v>
      </c>
      <c r="D16" s="309" t="s">
        <v>22078</v>
      </c>
      <c r="E16" s="309" t="s">
        <v>22079</v>
      </c>
      <c r="F16" s="309" t="s">
        <v>22079</v>
      </c>
      <c r="G16" s="309" t="s">
        <v>22080</v>
      </c>
      <c r="H16" s="309" t="s">
        <v>22007</v>
      </c>
    </row>
    <row r="17" ht="30">
      <c r="A17" s="309">
        <v>16</v>
      </c>
      <c r="B17" s="309" t="s">
        <v>22081</v>
      </c>
      <c r="C17" s="309" t="s">
        <v>22082</v>
      </c>
      <c r="D17" s="309" t="s">
        <v>22083</v>
      </c>
      <c r="E17" s="309" t="s">
        <v>22084</v>
      </c>
      <c r="F17" s="309" t="s">
        <v>21313</v>
      </c>
      <c r="G17" s="309" t="s">
        <v>22085</v>
      </c>
      <c r="H17" s="309" t="s">
        <v>22007</v>
      </c>
    </row>
    <row r="18" ht="45">
      <c r="A18" s="309">
        <v>17</v>
      </c>
      <c r="B18" s="309" t="s">
        <v>22086</v>
      </c>
      <c r="C18" s="309" t="s">
        <v>22087</v>
      </c>
      <c r="D18" s="309" t="s">
        <v>22088</v>
      </c>
      <c r="E18" s="309" t="s">
        <v>22089</v>
      </c>
      <c r="F18" s="309" t="s">
        <v>22090</v>
      </c>
      <c r="G18" s="309" t="s">
        <v>22091</v>
      </c>
      <c r="H18" s="309" t="s">
        <v>22007</v>
      </c>
    </row>
    <row r="19" ht="30">
      <c r="A19" s="309">
        <v>18</v>
      </c>
      <c r="B19" s="309" t="s">
        <v>22092</v>
      </c>
      <c r="C19" s="309" t="s">
        <v>22093</v>
      </c>
      <c r="D19" s="309" t="s">
        <v>22094</v>
      </c>
      <c r="E19" s="309" t="s">
        <v>22095</v>
      </c>
      <c r="F19" s="309" t="s">
        <v>21313</v>
      </c>
      <c r="G19" s="309" t="s">
        <v>22096</v>
      </c>
      <c r="H19" s="309" t="s">
        <v>22007</v>
      </c>
    </row>
    <row r="20" ht="30">
      <c r="A20" s="309">
        <v>19</v>
      </c>
      <c r="B20" s="309" t="s">
        <v>22097</v>
      </c>
      <c r="C20" s="309" t="s">
        <v>22098</v>
      </c>
      <c r="D20" s="309" t="s">
        <v>22099</v>
      </c>
      <c r="E20" s="309" t="s">
        <v>22100</v>
      </c>
      <c r="F20" s="309" t="s">
        <v>21313</v>
      </c>
      <c r="G20" s="309" t="s">
        <v>22101</v>
      </c>
      <c r="H20" s="309" t="s">
        <v>22007</v>
      </c>
    </row>
    <row r="21" ht="45">
      <c r="A21" s="309">
        <v>20</v>
      </c>
      <c r="B21" s="309" t="s">
        <v>22102</v>
      </c>
      <c r="C21" s="309" t="s">
        <v>22103</v>
      </c>
      <c r="D21" s="309" t="s">
        <v>22104</v>
      </c>
      <c r="E21" s="309" t="s">
        <v>22105</v>
      </c>
      <c r="F21" s="309" t="s">
        <v>21313</v>
      </c>
      <c r="G21" s="309" t="s">
        <v>22106</v>
      </c>
      <c r="H21" s="309" t="s">
        <v>22007</v>
      </c>
    </row>
    <row r="22" ht="30">
      <c r="A22" s="309">
        <v>21</v>
      </c>
      <c r="B22" s="309" t="s">
        <v>22107</v>
      </c>
      <c r="C22" s="309" t="s">
        <v>22108</v>
      </c>
      <c r="D22" s="309" t="s">
        <v>22109</v>
      </c>
      <c r="E22" s="309" t="s">
        <v>22110</v>
      </c>
      <c r="F22" s="309" t="s">
        <v>21313</v>
      </c>
      <c r="G22" s="309" t="s">
        <v>22111</v>
      </c>
      <c r="H22" s="309" t="s">
        <v>22007</v>
      </c>
    </row>
    <row r="23" ht="30">
      <c r="A23" s="309">
        <v>22</v>
      </c>
      <c r="B23" s="309" t="s">
        <v>22112</v>
      </c>
      <c r="C23" s="309" t="s">
        <v>22113</v>
      </c>
      <c r="D23" s="309" t="s">
        <v>22114</v>
      </c>
      <c r="E23" s="309" t="s">
        <v>21313</v>
      </c>
      <c r="F23" s="309" t="s">
        <v>22115</v>
      </c>
      <c r="G23" s="309" t="s">
        <v>22116</v>
      </c>
      <c r="H23" s="309" t="s">
        <v>22007</v>
      </c>
    </row>
    <row r="24" ht="45">
      <c r="A24" s="309">
        <v>23</v>
      </c>
      <c r="B24" s="309" t="s">
        <v>22117</v>
      </c>
      <c r="C24" s="309" t="s">
        <v>22118</v>
      </c>
      <c r="D24" s="309" t="s">
        <v>22119</v>
      </c>
      <c r="E24" s="309" t="s">
        <v>22120</v>
      </c>
      <c r="F24" s="309" t="s">
        <v>21313</v>
      </c>
      <c r="G24" s="309" t="s">
        <v>22121</v>
      </c>
      <c r="H24" s="309" t="s">
        <v>22007</v>
      </c>
    </row>
    <row r="25" ht="30">
      <c r="A25" s="309">
        <v>24</v>
      </c>
      <c r="B25" s="309" t="s">
        <v>22122</v>
      </c>
      <c r="C25" s="309" t="s">
        <v>22123</v>
      </c>
      <c r="D25" s="309" t="s">
        <v>22124</v>
      </c>
      <c r="E25" s="309" t="s">
        <v>22125</v>
      </c>
      <c r="F25" s="309" t="s">
        <v>22126</v>
      </c>
      <c r="G25" s="309" t="s">
        <v>22127</v>
      </c>
      <c r="H25" s="309" t="s">
        <v>22007</v>
      </c>
    </row>
    <row r="26" ht="45">
      <c r="A26" s="309">
        <v>25</v>
      </c>
      <c r="B26" s="309" t="s">
        <v>22128</v>
      </c>
      <c r="C26" s="309" t="s">
        <v>22129</v>
      </c>
      <c r="D26" s="309" t="s">
        <v>22130</v>
      </c>
      <c r="E26" s="309" t="s">
        <v>22131</v>
      </c>
      <c r="F26" s="309" t="s">
        <v>21313</v>
      </c>
      <c r="G26" s="309" t="s">
        <v>22132</v>
      </c>
      <c r="H26" s="309" t="s">
        <v>22007</v>
      </c>
    </row>
    <row r="27" ht="45">
      <c r="A27" s="309">
        <v>26</v>
      </c>
      <c r="B27" s="309" t="s">
        <v>22133</v>
      </c>
      <c r="C27" s="309" t="s">
        <v>22134</v>
      </c>
      <c r="D27" s="309" t="s">
        <v>22135</v>
      </c>
      <c r="E27" s="309" t="s">
        <v>22136</v>
      </c>
      <c r="F27" s="309" t="s">
        <v>22137</v>
      </c>
      <c r="G27" s="309" t="s">
        <v>22138</v>
      </c>
      <c r="H27" s="309" t="s">
        <v>22007</v>
      </c>
    </row>
    <row r="28" ht="45">
      <c r="A28" s="309">
        <v>27</v>
      </c>
      <c r="B28" s="309" t="s">
        <v>22139</v>
      </c>
      <c r="C28" s="309" t="s">
        <v>22140</v>
      </c>
      <c r="D28" s="309" t="s">
        <v>22141</v>
      </c>
      <c r="E28" s="309" t="s">
        <v>22142</v>
      </c>
      <c r="F28" s="309" t="s">
        <v>21313</v>
      </c>
      <c r="G28" s="309" t="s">
        <v>22143</v>
      </c>
      <c r="H28" s="309" t="s">
        <v>22007</v>
      </c>
    </row>
    <row r="29" ht="30">
      <c r="A29" s="309">
        <v>28</v>
      </c>
      <c r="B29" s="309" t="s">
        <v>22144</v>
      </c>
      <c r="C29" s="309" t="s">
        <v>22145</v>
      </c>
      <c r="D29" s="309" t="s">
        <v>22146</v>
      </c>
      <c r="E29" s="309" t="s">
        <v>22147</v>
      </c>
      <c r="F29" s="309" t="s">
        <v>22147</v>
      </c>
      <c r="G29" s="309" t="s">
        <v>22148</v>
      </c>
      <c r="H29" s="309" t="s">
        <v>22007</v>
      </c>
    </row>
    <row r="30" ht="30">
      <c r="A30" s="309">
        <v>29</v>
      </c>
      <c r="B30" s="309" t="s">
        <v>22149</v>
      </c>
      <c r="C30" s="309" t="s">
        <v>22150</v>
      </c>
      <c r="D30" s="309" t="s">
        <v>22151</v>
      </c>
      <c r="E30" s="309" t="s">
        <v>21313</v>
      </c>
      <c r="F30" s="309" t="s">
        <v>21313</v>
      </c>
      <c r="G30" s="309" t="s">
        <v>22111</v>
      </c>
      <c r="H30" s="309" t="s">
        <v>22007</v>
      </c>
    </row>
    <row r="31" ht="45">
      <c r="A31" s="311">
        <v>30</v>
      </c>
      <c r="B31" s="311" t="s">
        <v>21298</v>
      </c>
      <c r="C31" s="311" t="s">
        <v>21315</v>
      </c>
      <c r="D31" s="311" t="s">
        <v>22152</v>
      </c>
      <c r="E31" s="397" t="s">
        <v>22153</v>
      </c>
      <c r="F31" s="397" t="s">
        <v>22154</v>
      </c>
      <c r="G31" s="397"/>
      <c r="H31" s="397" t="s">
        <v>21298</v>
      </c>
    </row>
  </sheetData>
  <sheetProtection formatCells="0" formatColumns="0" formatRows="0" sort="0" autoFilter="0" pivotTables="0"/>
  <autoFilter ref="A1:H30"/>
  <dataConsolidate/>
  <dataValidations count="1">
    <dataValidation type="list" allowBlank="1" showInputMessage="1" showErrorMessage="1" sqref="B1:B1048576" xr:uid="{1814E284-23DA-4220-BE99-07394F1D2855}">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I2" activePane="bottomRight" state="frozen"/>
      <selection activeCell="G5" sqref="G5"/>
      <selection pane="topRight" activeCell="G5" sqref="G5"/>
      <selection pane="bottomLeft" activeCell="G5" sqref="G5"/>
      <selection pane="bottomRight" sqref="A1:M4"/>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21293</v>
      </c>
      <c r="B1" s="440" t="s">
        <v>21575</v>
      </c>
      <c r="C1" s="439" t="s">
        <v>21974</v>
      </c>
      <c r="D1" s="439" t="s">
        <v>21975</v>
      </c>
      <c r="E1" s="439" t="s">
        <v>21976</v>
      </c>
      <c r="F1" s="439" t="s">
        <v>21977</v>
      </c>
      <c r="G1" s="439" t="s">
        <v>21978</v>
      </c>
      <c r="H1" s="441" t="s">
        <v>21979</v>
      </c>
      <c r="I1" s="439" t="s">
        <v>21980</v>
      </c>
      <c r="J1" s="439" t="s">
        <v>21981</v>
      </c>
      <c r="K1" s="439" t="s">
        <v>21982</v>
      </c>
      <c r="L1" s="441" t="s">
        <v>21294</v>
      </c>
      <c r="M1" s="441" t="s">
        <v>21576</v>
      </c>
    </row>
    <row r="2" ht="45" s="438" customFormat="1">
      <c r="A2" s="423" t="s">
        <v>21780</v>
      </c>
      <c r="B2" s="446" t="s">
        <v>21788</v>
      </c>
      <c r="C2" s="423" t="s">
        <v>21983</v>
      </c>
      <c r="D2" s="423" t="s">
        <v>21984</v>
      </c>
      <c r="E2" s="423" t="s">
        <v>21985</v>
      </c>
      <c r="F2" s="423" t="s">
        <v>21986</v>
      </c>
      <c r="G2" s="423" t="s">
        <v>21987</v>
      </c>
      <c r="H2" s="423" t="s">
        <v>21988</v>
      </c>
      <c r="I2" s="423" t="s">
        <v>21989</v>
      </c>
      <c r="J2" s="423" t="s">
        <v>21990</v>
      </c>
      <c r="K2" s="423" t="s">
        <v>21991</v>
      </c>
      <c r="L2" s="423" t="s">
        <v>21781</v>
      </c>
      <c r="M2" s="423" t="s">
        <v>21789</v>
      </c>
    </row>
    <row r="3" s="217" customFormat="1">
      <c r="A3" s="442" t="s">
        <v>21298</v>
      </c>
      <c r="B3" s="442" t="str">
        <f>INDEX(ApplicantNameList,MATCH(A3,ApplicantIDList,0))</f>
        <v>Tổng Công ty Hạ tầng mạng</v>
      </c>
      <c r="C3" s="442" t="s">
        <v>21992</v>
      </c>
      <c r="D3" s="443">
        <v>43543</v>
      </c>
      <c r="E3" s="442">
        <v>37</v>
      </c>
      <c r="F3" s="442">
        <v>37</v>
      </c>
      <c r="G3" s="443">
        <v>43566</v>
      </c>
      <c r="H3" s="444">
        <f>F3*2500000</f>
        <v>92500000</v>
      </c>
      <c r="I3" s="445" t="s">
        <v>21993</v>
      </c>
      <c r="J3" s="443">
        <v>43610</v>
      </c>
      <c r="K3" s="443">
        <v>43627</v>
      </c>
      <c r="L3" s="332" t="str">
        <f>INDEX(ApplicantOperatorID,MATCH(A3,ApplicantIDList,0))</f>
        <v>VINAPHONE</v>
      </c>
      <c r="M3" s="332" t="str">
        <f>INDEX(OperatorNameList,MATCH(L3,OperatorIDList,0))</f>
        <v>TỔNG CÔNG TY HẠ TẦNG MẠNG</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90F0689B-BB27-4D4B-A967-F589D439D992}">
      <formula1>ApplicantIDList</formula1>
    </dataValidation>
    <dataValidation type="whole" operator="greaterThanOrEqual" allowBlank="1" showInputMessage="1" showErrorMessage="1" errorTitle="Lỗi nhập liệu" error="Yêu cầu nhập vào một số &gt;= 1" sqref="E3:F3" xr:uid="{ADA87506-1493-4B5C-8890-C23EB907076B}">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0" activePane="bottomRight" state="frozen"/>
      <selection pane="topRight" activeCell="C1" sqref="C1"/>
      <selection pane="bottomLeft" activeCell="A2" sqref="A2"/>
      <selection pane="bottomRight" activeCell="B25" sqref="B25"/>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22240</v>
      </c>
      <c r="C1" s="345" t="s">
        <v>22241</v>
      </c>
      <c r="D1" s="345" t="s">
        <v>22242</v>
      </c>
      <c r="E1" s="345" t="s">
        <v>22243</v>
      </c>
      <c r="F1" s="346" t="s">
        <v>22244</v>
      </c>
      <c r="G1" s="345" t="s">
        <v>22245</v>
      </c>
      <c r="I1" s="477" t="s">
        <v>22246</v>
      </c>
      <c r="J1" s="477"/>
      <c r="K1" s="477"/>
      <c r="L1" s="477"/>
    </row>
    <row r="2">
      <c r="A2" s="349">
        <v>1</v>
      </c>
      <c r="B2" s="400" t="s">
        <v>0</v>
      </c>
      <c r="C2" s="349" t="s">
        <v>22247</v>
      </c>
      <c r="D2" s="400" t="s">
        <v>0</v>
      </c>
      <c r="E2" s="349">
        <v>1</v>
      </c>
      <c r="F2" s="403" t="s">
        <v>0</v>
      </c>
      <c r="G2" s="350" t="s">
        <v>22248</v>
      </c>
      <c r="H2" s="351"/>
      <c r="I2" s="348" t="s">
        <v>0</v>
      </c>
      <c r="J2" s="348" t="s">
        <v>22249</v>
      </c>
      <c r="K2" s="348" t="s">
        <v>22250</v>
      </c>
      <c r="L2" s="348" t="s">
        <v>22251</v>
      </c>
    </row>
    <row r="3">
      <c r="A3" s="349">
        <v>2</v>
      </c>
      <c r="B3" s="401" t="s">
        <v>22252</v>
      </c>
      <c r="C3" s="349" t="s">
        <v>22247</v>
      </c>
      <c r="D3" s="401" t="s">
        <v>21541</v>
      </c>
      <c r="E3" s="356"/>
      <c r="F3" s="404" t="s">
        <v>21541</v>
      </c>
      <c r="G3" s="353" t="s">
        <v>22253</v>
      </c>
      <c r="H3" s="351"/>
      <c r="I3" s="361">
        <v>1</v>
      </c>
      <c r="J3" s="361" t="b">
        <v>1</v>
      </c>
      <c r="K3" s="352" t="s">
        <v>22254</v>
      </c>
      <c r="L3" s="352" t="s">
        <v>22255</v>
      </c>
    </row>
    <row r="4">
      <c r="A4" s="349">
        <v>3</v>
      </c>
      <c r="B4" s="401" t="s">
        <v>21542</v>
      </c>
      <c r="C4" s="349" t="s">
        <v>22247</v>
      </c>
      <c r="D4" s="401" t="s">
        <v>21542</v>
      </c>
      <c r="E4" s="355"/>
      <c r="F4" s="404" t="s">
        <v>21542</v>
      </c>
      <c r="G4" s="353" t="s">
        <v>22256</v>
      </c>
      <c r="H4" s="351"/>
      <c r="I4" s="361">
        <v>2</v>
      </c>
      <c r="J4" s="361" t="b">
        <v>0</v>
      </c>
      <c r="K4" s="352" t="s">
        <v>22257</v>
      </c>
      <c r="L4" s="352" t="s">
        <v>0</v>
      </c>
    </row>
    <row r="5">
      <c r="A5" s="349">
        <v>4</v>
      </c>
      <c r="B5" s="401" t="s">
        <v>21543</v>
      </c>
      <c r="C5" s="349" t="s">
        <v>22247</v>
      </c>
      <c r="D5" s="401" t="s">
        <v>21543</v>
      </c>
      <c r="E5" s="355" t="s">
        <v>20917</v>
      </c>
      <c r="F5" s="404" t="s">
        <v>21543</v>
      </c>
      <c r="G5" s="353" t="s">
        <v>22258</v>
      </c>
      <c r="H5" s="351"/>
    </row>
    <row r="6">
      <c r="A6" s="349">
        <v>5</v>
      </c>
      <c r="B6" s="400" t="s">
        <v>21581</v>
      </c>
      <c r="C6" s="349" t="s">
        <v>22247</v>
      </c>
      <c r="D6" s="400" t="s">
        <v>21581</v>
      </c>
      <c r="E6" s="355" t="s">
        <v>17532</v>
      </c>
      <c r="F6" s="403" t="s">
        <v>21581</v>
      </c>
      <c r="G6" s="353" t="s">
        <v>22259</v>
      </c>
      <c r="H6" s="351"/>
      <c r="I6" s="345" t="s">
        <v>22260</v>
      </c>
      <c r="J6" s="345" t="s">
        <v>22261</v>
      </c>
      <c r="K6" s="345" t="s">
        <v>22262</v>
      </c>
      <c r="L6" s="345" t="s">
        <v>22263</v>
      </c>
    </row>
    <row r="7">
      <c r="A7" s="349">
        <v>6</v>
      </c>
      <c r="B7" s="401" t="s">
        <v>22264</v>
      </c>
      <c r="C7" s="349" t="s">
        <v>22265</v>
      </c>
      <c r="D7" s="401" t="s">
        <v>21544</v>
      </c>
      <c r="E7" s="355"/>
      <c r="F7" s="404" t="s">
        <v>21544</v>
      </c>
      <c r="G7" s="353" t="s">
        <v>22266</v>
      </c>
      <c r="H7" s="351"/>
      <c r="I7" s="363" t="s">
        <v>22267</v>
      </c>
      <c r="J7" s="349">
        <v>0</v>
      </c>
      <c r="K7" s="349" t="e">
        <f>INDEX(TrueFalseList,_xlfn.IFNA(MATCH(OptionsIsNotLogicalValue,CoKhongList,0),MATCH(OptionsIsNotLogicalValue,YesNoList,0)))</f>
        <v>#N/A</v>
      </c>
      <c r="L7" s="349" t="b">
        <v>1</v>
      </c>
    </row>
    <row r="8">
      <c r="A8" s="349">
        <v>7</v>
      </c>
      <c r="B8" s="401" t="s">
        <v>22264</v>
      </c>
      <c r="C8" s="349" t="s">
        <v>22268</v>
      </c>
      <c r="D8" s="401" t="s">
        <v>21545</v>
      </c>
      <c r="E8" s="355"/>
      <c r="F8" s="404" t="s">
        <v>21545</v>
      </c>
      <c r="G8" s="353" t="s">
        <v>22269</v>
      </c>
      <c r="H8" s="351"/>
    </row>
    <row r="9">
      <c r="A9" s="349">
        <v>8</v>
      </c>
      <c r="B9" s="401" t="s">
        <v>22270</v>
      </c>
      <c r="C9" s="349" t="s">
        <v>22247</v>
      </c>
      <c r="D9" s="401" t="s">
        <v>21546</v>
      </c>
      <c r="E9" s="355">
        <v>1</v>
      </c>
      <c r="F9" s="404" t="s">
        <v>21546</v>
      </c>
      <c r="G9" s="353" t="s">
        <v>22271</v>
      </c>
      <c r="H9" s="351"/>
    </row>
    <row r="10">
      <c r="A10" s="349">
        <v>9</v>
      </c>
      <c r="B10" s="401" t="s">
        <v>21547</v>
      </c>
      <c r="C10" s="355" t="s">
        <v>22272</v>
      </c>
      <c r="D10" s="401" t="s">
        <v>21547</v>
      </c>
      <c r="E10" s="355"/>
      <c r="F10" s="404" t="s">
        <v>21547</v>
      </c>
      <c r="G10" s="353" t="s">
        <v>22273</v>
      </c>
      <c r="H10" s="351"/>
      <c r="I10" s="477" t="s">
        <v>22274</v>
      </c>
      <c r="J10" s="477"/>
      <c r="K10" s="477"/>
      <c r="L10" s="477"/>
    </row>
    <row r="11" ht="45">
      <c r="A11" s="349">
        <v>10</v>
      </c>
      <c r="B11" s="401" t="s">
        <v>22275</v>
      </c>
      <c r="C11" s="355" t="s">
        <v>22276</v>
      </c>
      <c r="D11" s="401" t="s">
        <v>21594</v>
      </c>
      <c r="E11" s="355"/>
      <c r="F11" s="405" t="s">
        <v>21594</v>
      </c>
      <c r="G11" s="353" t="s">
        <v>22277</v>
      </c>
      <c r="H11" s="351"/>
      <c r="I11" s="345" t="s">
        <v>22278</v>
      </c>
      <c r="J11" s="345" t="s">
        <v>22243</v>
      </c>
      <c r="K11" s="345" t="s">
        <v>22245</v>
      </c>
      <c r="L11" s="360"/>
    </row>
    <row r="12" ht="45">
      <c r="A12" s="349">
        <v>11</v>
      </c>
      <c r="B12" s="401" t="s">
        <v>22279</v>
      </c>
      <c r="C12" s="355" t="s">
        <v>22276</v>
      </c>
      <c r="D12" s="401" t="s">
        <v>21548</v>
      </c>
      <c r="E12" s="355"/>
      <c r="F12" s="404" t="s">
        <v>21548</v>
      </c>
      <c r="G12" s="353" t="s">
        <v>22280</v>
      </c>
      <c r="H12" s="351"/>
      <c r="I12" s="379" t="s">
        <v>22281</v>
      </c>
      <c r="J12" s="349" t="b">
        <v>1</v>
      </c>
      <c r="K12" s="349" t="s">
        <v>22282</v>
      </c>
      <c r="L12" s="349"/>
    </row>
    <row r="13" ht="45">
      <c r="A13" s="349">
        <v>12</v>
      </c>
      <c r="B13" s="401" t="s">
        <v>22252</v>
      </c>
      <c r="C13" s="355" t="s">
        <v>22276</v>
      </c>
      <c r="D13" s="401" t="s">
        <v>21549</v>
      </c>
      <c r="E13" s="355"/>
      <c r="F13" s="404" t="s">
        <v>21549</v>
      </c>
      <c r="G13" s="353" t="s">
        <v>22283</v>
      </c>
      <c r="H13" s="351"/>
      <c r="I13" s="379" t="s">
        <v>21542</v>
      </c>
      <c r="J13" s="349" t="b">
        <v>0</v>
      </c>
      <c r="K13" s="349" t="s">
        <v>22284</v>
      </c>
      <c r="L13" s="349"/>
    </row>
    <row r="14" ht="45">
      <c r="A14" s="349">
        <v>13</v>
      </c>
      <c r="B14" s="401" t="s">
        <v>22285</v>
      </c>
      <c r="C14" s="355" t="s">
        <v>22276</v>
      </c>
      <c r="D14" s="401" t="s">
        <v>21550</v>
      </c>
      <c r="E14" s="355"/>
      <c r="F14" s="404" t="s">
        <v>21550</v>
      </c>
      <c r="G14" s="353" t="s">
        <v>22286</v>
      </c>
      <c r="H14" s="351"/>
      <c r="I14" s="379" t="s">
        <v>22287</v>
      </c>
      <c r="J14" s="349" t="b">
        <v>0</v>
      </c>
      <c r="K14" s="349" t="s">
        <v>22288</v>
      </c>
      <c r="L14" s="349"/>
    </row>
    <row r="15" ht="45">
      <c r="A15" s="349">
        <v>14</v>
      </c>
      <c r="B15" s="401" t="s">
        <v>22289</v>
      </c>
      <c r="C15" s="355" t="s">
        <v>22276</v>
      </c>
      <c r="D15" s="401" t="s">
        <v>21551</v>
      </c>
      <c r="E15" s="355"/>
      <c r="F15" s="404" t="s">
        <v>21551</v>
      </c>
      <c r="G15" s="353" t="s">
        <v>22290</v>
      </c>
      <c r="H15" s="351"/>
      <c r="I15" s="379" t="s">
        <v>22291</v>
      </c>
      <c r="J15" s="349" t="b">
        <v>0</v>
      </c>
      <c r="K15" s="349" t="s">
        <v>22292</v>
      </c>
      <c r="L15" s="349"/>
    </row>
    <row r="16" ht="45">
      <c r="A16" s="349">
        <v>15</v>
      </c>
      <c r="B16" s="401" t="s">
        <v>22293</v>
      </c>
      <c r="C16" s="355" t="s">
        <v>22276</v>
      </c>
      <c r="D16" s="401" t="s">
        <v>21552</v>
      </c>
      <c r="E16" s="355"/>
      <c r="F16" s="404" t="s">
        <v>21552</v>
      </c>
      <c r="G16" s="353" t="s">
        <v>22294</v>
      </c>
      <c r="H16" s="351"/>
      <c r="I16" s="363" t="s">
        <v>22295</v>
      </c>
      <c r="J16" s="349" t="b">
        <v>1</v>
      </c>
      <c r="K16" s="349" t="s">
        <v>22296</v>
      </c>
      <c r="L16" s="349"/>
    </row>
    <row r="17" ht="45">
      <c r="A17" s="349">
        <v>16</v>
      </c>
      <c r="B17" s="401" t="s">
        <v>22297</v>
      </c>
      <c r="C17" s="355" t="s">
        <v>22276</v>
      </c>
      <c r="D17" s="401" t="s">
        <v>21553</v>
      </c>
      <c r="E17" s="355"/>
      <c r="F17" s="404" t="s">
        <v>21553</v>
      </c>
      <c r="G17" s="353" t="s">
        <v>22298</v>
      </c>
      <c r="H17" s="351"/>
    </row>
    <row r="18" ht="45">
      <c r="A18" s="349">
        <v>17</v>
      </c>
      <c r="B18" s="401" t="s">
        <v>22299</v>
      </c>
      <c r="C18" s="355" t="s">
        <v>22276</v>
      </c>
      <c r="D18" s="401" t="s">
        <v>21554</v>
      </c>
      <c r="E18" s="355"/>
      <c r="F18" s="404" t="s">
        <v>21554</v>
      </c>
      <c r="G18" s="353" t="s">
        <v>22300</v>
      </c>
      <c r="H18" s="351"/>
      <c r="I18" s="477" t="s">
        <v>22301</v>
      </c>
      <c r="J18" s="477"/>
      <c r="K18" s="477"/>
      <c r="L18" s="477"/>
    </row>
    <row r="19" ht="45">
      <c r="A19" s="349">
        <v>18</v>
      </c>
      <c r="B19" s="401" t="s">
        <v>22302</v>
      </c>
      <c r="C19" s="355" t="s">
        <v>22276</v>
      </c>
      <c r="D19" s="401" t="s">
        <v>21555</v>
      </c>
      <c r="E19" s="355"/>
      <c r="F19" s="404" t="s">
        <v>21555</v>
      </c>
      <c r="G19" s="353" t="s">
        <v>22303</v>
      </c>
      <c r="H19" s="351"/>
      <c r="I19" s="345" t="s">
        <v>0</v>
      </c>
      <c r="J19" s="345" t="s">
        <v>21569</v>
      </c>
      <c r="K19" s="345" t="s">
        <v>22304</v>
      </c>
      <c r="L19" s="345" t="s">
        <v>21773</v>
      </c>
    </row>
    <row r="20" ht="30">
      <c r="A20" s="349">
        <v>19</v>
      </c>
      <c r="B20" s="401" t="s">
        <v>21556</v>
      </c>
      <c r="C20" s="349" t="s">
        <v>22247</v>
      </c>
      <c r="D20" s="401" t="s">
        <v>21556</v>
      </c>
      <c r="E20" s="355" t="b">
        <v>1</v>
      </c>
      <c r="F20" s="404" t="s">
        <v>21556</v>
      </c>
      <c r="G20" s="353" t="s">
        <v>22305</v>
      </c>
      <c r="H20" s="351"/>
      <c r="I20" s="349">
        <v>1</v>
      </c>
      <c r="J20" s="349" t="s">
        <v>21311</v>
      </c>
      <c r="K20" s="349" t="s">
        <v>21312</v>
      </c>
      <c r="L20" s="349" t="s">
        <v>21035</v>
      </c>
    </row>
    <row r="21" ht="30">
      <c r="A21" s="349">
        <v>20</v>
      </c>
      <c r="B21" s="401" t="s">
        <v>21295</v>
      </c>
      <c r="C21" s="349" t="s">
        <v>22247</v>
      </c>
      <c r="D21" s="401" t="s">
        <v>21295</v>
      </c>
      <c r="E21" s="356" t="s">
        <v>21313</v>
      </c>
      <c r="F21" s="404" t="s">
        <v>21295</v>
      </c>
      <c r="G21" s="353" t="s">
        <v>22306</v>
      </c>
      <c r="H21" s="351"/>
      <c r="I21" s="349">
        <v>2</v>
      </c>
      <c r="J21" s="349" t="s">
        <v>21025</v>
      </c>
      <c r="K21" s="349" t="s">
        <v>21059</v>
      </c>
      <c r="L21" s="349" t="s">
        <v>21036</v>
      </c>
    </row>
    <row r="22" ht="30">
      <c r="A22" s="349">
        <v>21</v>
      </c>
      <c r="B22" s="401" t="s">
        <v>22270</v>
      </c>
      <c r="C22" s="349" t="s">
        <v>22270</v>
      </c>
      <c r="D22" s="401" t="s">
        <v>21557</v>
      </c>
      <c r="E22" s="355"/>
      <c r="F22" s="404" t="s">
        <v>21557</v>
      </c>
      <c r="G22" s="353" t="s">
        <v>22307</v>
      </c>
      <c r="H22" s="351"/>
      <c r="I22" s="349">
        <v>3</v>
      </c>
      <c r="J22" s="349" t="s">
        <v>22308</v>
      </c>
      <c r="K22" s="349" t="s">
        <v>22309</v>
      </c>
      <c r="L22" s="349" t="s">
        <v>21037</v>
      </c>
    </row>
    <row r="23">
      <c r="A23" s="349">
        <v>22</v>
      </c>
      <c r="B23" s="401" t="s">
        <v>22270</v>
      </c>
      <c r="C23" s="349" t="s">
        <v>22270</v>
      </c>
      <c r="D23" s="401" t="s">
        <v>21558</v>
      </c>
      <c r="E23" s="355" t="s">
        <v>21307</v>
      </c>
      <c r="F23" s="404" t="s">
        <v>21558</v>
      </c>
      <c r="G23" s="353" t="s">
        <v>22310</v>
      </c>
      <c r="H23" s="351"/>
    </row>
    <row r="24">
      <c r="A24" s="349">
        <v>23</v>
      </c>
      <c r="B24" s="401" t="s">
        <v>21559</v>
      </c>
      <c r="C24" s="349" t="s">
        <v>22247</v>
      </c>
      <c r="D24" s="401" t="s">
        <v>21559</v>
      </c>
      <c r="E24" s="355"/>
      <c r="F24" s="404" t="s">
        <v>21559</v>
      </c>
      <c r="G24" s="353" t="s">
        <v>21092</v>
      </c>
      <c r="H24" s="351"/>
      <c r="I24" s="345" t="s">
        <v>22311</v>
      </c>
      <c r="J24" s="345" t="s">
        <v>22243</v>
      </c>
      <c r="K24" s="345" t="s">
        <v>22245</v>
      </c>
      <c r="L24" s="345"/>
    </row>
    <row r="25" ht="30">
      <c r="A25" s="349">
        <v>24</v>
      </c>
      <c r="B25" s="404" t="s">
        <v>21560</v>
      </c>
      <c r="C25" s="349" t="s">
        <v>22247</v>
      </c>
      <c r="D25" s="404" t="s">
        <v>21560</v>
      </c>
      <c r="E25" s="462"/>
      <c r="F25" s="404" t="s">
        <v>21560</v>
      </c>
      <c r="G25" s="353" t="s">
        <v>22312</v>
      </c>
      <c r="H25" s="351"/>
      <c r="I25" s="359" t="s">
        <v>21569</v>
      </c>
      <c r="J25" s="349" t="s">
        <v>21311</v>
      </c>
      <c r="K25" s="349" t="s">
        <v>22313</v>
      </c>
      <c r="L25" s="349"/>
    </row>
    <row r="26" ht="30">
      <c r="A26" s="349">
        <v>25</v>
      </c>
      <c r="B26" s="401" t="s">
        <v>21561</v>
      </c>
      <c r="C26" s="349" t="s">
        <v>22247</v>
      </c>
      <c r="D26" s="401" t="s">
        <v>21561</v>
      </c>
      <c r="E26" s="355" t="b">
        <v>0</v>
      </c>
      <c r="F26" s="404" t="s">
        <v>21561</v>
      </c>
      <c r="G26" s="353" t="s">
        <v>22314</v>
      </c>
      <c r="H26" s="351"/>
      <c r="I26" s="379" t="s">
        <v>21570</v>
      </c>
      <c r="J26" s="349" t="str">
        <f>INDEX(OptionsPlaceList,MATCH(OptionsVerifyUnit,OptionsVerifyUnitList,0))</f>
        <v>TP. Hà Nội</v>
      </c>
      <c r="K26" s="349" t="s">
        <v>22315</v>
      </c>
      <c r="L26" s="349"/>
    </row>
    <row r="27" ht="30">
      <c r="A27" s="349">
        <v>26</v>
      </c>
      <c r="B27" s="401" t="s">
        <v>21562</v>
      </c>
      <c r="C27" s="349" t="s">
        <v>22247</v>
      </c>
      <c r="D27" s="401" t="s">
        <v>21562</v>
      </c>
      <c r="E27" s="355" t="b">
        <v>0</v>
      </c>
      <c r="F27" s="404" t="s">
        <v>21562</v>
      </c>
      <c r="G27" s="353" t="s">
        <v>22316</v>
      </c>
      <c r="H27" s="351"/>
      <c r="I27" s="379" t="s">
        <v>21773</v>
      </c>
      <c r="J27" s="349" t="s">
        <v>21035</v>
      </c>
      <c r="K27" s="349" t="s">
        <v>22317</v>
      </c>
      <c r="L27" s="349"/>
    </row>
    <row r="28" ht="30">
      <c r="A28" s="349">
        <v>27</v>
      </c>
      <c r="B28" s="401" t="s">
        <v>21563</v>
      </c>
      <c r="C28" s="349" t="s">
        <v>22247</v>
      </c>
      <c r="D28" s="401" t="s">
        <v>21563</v>
      </c>
      <c r="E28" s="355"/>
      <c r="F28" s="404" t="s">
        <v>21563</v>
      </c>
      <c r="G28" s="353" t="s">
        <v>22318</v>
      </c>
      <c r="H28" s="351"/>
      <c r="I28" s="379" t="s">
        <v>21776</v>
      </c>
      <c r="J28" s="349" t="s">
        <v>21336</v>
      </c>
      <c r="K28" s="349" t="s">
        <v>22319</v>
      </c>
      <c r="L28" s="349"/>
    </row>
    <row r="29" ht="45">
      <c r="A29" s="349">
        <v>28</v>
      </c>
      <c r="B29" s="401" t="s">
        <v>21564</v>
      </c>
      <c r="C29" s="349" t="s">
        <v>22247</v>
      </c>
      <c r="D29" s="401" t="s">
        <v>21564</v>
      </c>
      <c r="E29" s="355" t="b">
        <v>1</v>
      </c>
      <c r="F29" s="404" t="s">
        <v>21564</v>
      </c>
      <c r="G29" s="353" t="s">
        <v>22320</v>
      </c>
      <c r="H29" s="351"/>
      <c r="I29" s="359" t="s">
        <v>21571</v>
      </c>
      <c r="J29" s="349" t="s">
        <v>21054</v>
      </c>
      <c r="K29" s="349" t="s">
        <v>22321</v>
      </c>
      <c r="L29" s="349"/>
    </row>
    <row r="30" ht="60">
      <c r="A30" s="349">
        <v>29</v>
      </c>
      <c r="B30" s="401" t="s">
        <v>21565</v>
      </c>
      <c r="C30" s="349" t="s">
        <v>22322</v>
      </c>
      <c r="D30" s="401" t="s">
        <v>21565</v>
      </c>
      <c r="E30" s="355"/>
      <c r="F30" s="404" t="s">
        <v>21565</v>
      </c>
      <c r="G30" s="353" t="s">
        <v>22323</v>
      </c>
      <c r="I30" s="359" t="s">
        <v>21572</v>
      </c>
      <c r="J30" s="380" t="s">
        <v>21313</v>
      </c>
      <c r="K30" s="349" t="s">
        <v>22324</v>
      </c>
      <c r="L30" s="349"/>
    </row>
    <row r="31" ht="45">
      <c r="A31" s="349">
        <v>30</v>
      </c>
      <c r="B31" s="401" t="s">
        <v>21566</v>
      </c>
      <c r="C31" s="349" t="s">
        <v>22247</v>
      </c>
      <c r="D31" s="401" t="s">
        <v>21566</v>
      </c>
      <c r="E31" s="355" t="b">
        <v>0</v>
      </c>
      <c r="F31" s="404" t="s">
        <v>21566</v>
      </c>
      <c r="G31" s="353" t="s">
        <v>22325</v>
      </c>
      <c r="I31" s="359" t="s">
        <v>21573</v>
      </c>
      <c r="J31" s="349" t="s">
        <v>21314</v>
      </c>
      <c r="K31" s="349" t="s">
        <v>22326</v>
      </c>
      <c r="L31" s="349"/>
    </row>
    <row r="32" ht="30">
      <c r="A32" s="349">
        <v>31</v>
      </c>
      <c r="B32" s="401" t="s">
        <v>22270</v>
      </c>
      <c r="C32" s="349" t="s">
        <v>22270</v>
      </c>
      <c r="D32" s="401" t="s">
        <v>22270</v>
      </c>
      <c r="E32" s="356" t="s">
        <v>22327</v>
      </c>
      <c r="F32" s="404" t="s">
        <v>21771</v>
      </c>
      <c r="G32" s="353" t="s">
        <v>22328</v>
      </c>
      <c r="I32" s="379" t="s">
        <v>21567</v>
      </c>
      <c r="J32" s="349" t="s">
        <v>22329</v>
      </c>
      <c r="K32" s="349" t="s">
        <v>22330</v>
      </c>
      <c r="L32" s="349"/>
    </row>
    <row r="33" ht="60">
      <c r="A33" s="349">
        <v>32</v>
      </c>
      <c r="B33" s="401" t="s">
        <v>22270</v>
      </c>
      <c r="C33" s="349" t="s">
        <v>22270</v>
      </c>
      <c r="D33" s="401" t="s">
        <v>22270</v>
      </c>
      <c r="E33" s="356" t="s">
        <v>22331</v>
      </c>
      <c r="F33" s="404" t="s">
        <v>21772</v>
      </c>
      <c r="G33" s="353" t="s">
        <v>22332</v>
      </c>
      <c r="I33" s="379" t="s">
        <v>21568</v>
      </c>
      <c r="J33" s="349" t="s">
        <v>22333</v>
      </c>
      <c r="K33" s="349" t="s">
        <v>22334</v>
      </c>
      <c r="L33" s="349"/>
    </row>
    <row r="34">
      <c r="A34" s="349">
        <v>33</v>
      </c>
      <c r="B34" s="400" t="s">
        <v>21567</v>
      </c>
      <c r="C34" s="349" t="s">
        <v>22247</v>
      </c>
      <c r="D34" s="400" t="s">
        <v>21567</v>
      </c>
      <c r="E34" s="380" t="s">
        <v>22335</v>
      </c>
      <c r="F34" s="403" t="s">
        <v>21567</v>
      </c>
      <c r="G34" s="350" t="s">
        <v>22336</v>
      </c>
    </row>
    <row r="35">
      <c r="A35" s="349">
        <v>34</v>
      </c>
      <c r="B35" s="400" t="s">
        <v>21568</v>
      </c>
      <c r="C35" s="349" t="s">
        <v>22247</v>
      </c>
      <c r="D35" s="400" t="s">
        <v>21568</v>
      </c>
      <c r="E35" s="380" t="s">
        <v>22337</v>
      </c>
      <c r="F35" s="403" t="s">
        <v>21568</v>
      </c>
      <c r="G35" s="350" t="s">
        <v>22338</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4988FA39-2254-43C9-AC61-A8931DC6FC9C}">
      <formula1>LabIDList</formula1>
    </dataValidation>
    <dataValidation type="list" allowBlank="1" showInputMessage="1" showErrorMessage="1" sqref="E9" xr:uid="{DB1A7A3A-406A-4B0A-932D-EC887ECE04E2}">
      <formula1 xml:space="preserve"> InCaseOfIDList</formula1>
    </dataValidation>
    <dataValidation type="list" allowBlank="1" showInputMessage="1" showErrorMessage="1" sqref="E6" xr:uid="{38B98759-517B-4A2D-94B6-0C4000B62528}">
      <formula1>CityIDList</formula1>
    </dataValidation>
    <dataValidation type="list" allowBlank="1" showInputMessage="1" showErrorMessage="1" sqref="E5" xr:uid="{27CB1B60-3A07-4C32-8522-86C8D3908206}">
      <formula1>CityNameList</formula1>
    </dataValidation>
    <dataValidation type="list" allowBlank="1" showInputMessage="1" showErrorMessage="1" sqref="J25" xr:uid="{A2FF8582-322C-4F00-B59E-15D479ED5E13}">
      <formula1 xml:space="preserve"> OptionsVerifyUnitList</formula1>
    </dataValidation>
    <dataValidation type="list" allowBlank="1" showInputMessage="1" showErrorMessage="1" sqref="J31" xr:uid="{315A9C81-5A6F-4AAB-BE4B-AD35048039A1}">
      <formula1>"Bùi Ngọc Dũng,Lỗ Quốc Việt,Trần Công Khanh,Vũ Long"</formula1>
    </dataValidation>
    <dataValidation type="list" allowBlank="1" showInputMessage="1" showErrorMessage="1" sqref="J29" xr:uid="{59A681BC-3B69-4689-8499-5B072FC430E3}">
      <formula1>"GIÁM ĐỐC, KT. GIÁM ĐỐC"</formula1>
    </dataValidation>
    <dataValidation type="list" showInputMessage="1" showErrorMessage="1" sqref="J30" xr:uid="{E2730F56-FF2A-441D-BF71-055482485D4B}">
      <formula1>"',PHÓ GIÁM ĐỐC"</formula1>
    </dataValidation>
    <dataValidation type="list" allowBlank="1" showInputMessage="1" showErrorMessage="1" sqref="L7 E20 E26:E27 E29 E31 J12:J15" xr:uid="{B19EBA9A-574B-43EA-9F5D-E9FF7DE1A660}">
      <formula1>"TRUE,FALSE"</formula1>
    </dataValidation>
    <dataValidation type="list" allowBlank="1" showInputMessage="1" showErrorMessage="1" sqref="J26" xr:uid="{DEAD8EA6-9473-4AF8-9CD3-C861978CA5C3}">
      <formula1 xml:space="preserve"> OptionsPlaceList</formula1>
    </dataValidation>
    <dataValidation type="list" allowBlank="1" showInputMessage="1" showErrorMessage="1" sqref="J27" xr:uid="{CC875FEA-DB71-4673-AFA5-800691D98106}">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169"/>
  <sheetViews>
    <sheetView showZeros="0" zoomScaleNormal="100" workbookViewId="0">
      <pane xSplit="2" ySplit="1" topLeftCell="L21" activePane="bottomRight" state="frozen"/>
      <selection activeCell="G5" sqref="G5"/>
      <selection pane="topRight" activeCell="G5" sqref="G5"/>
      <selection pane="bottomLeft" activeCell="G5" sqref="G5"/>
      <selection pane="bottomRight" activeCell="P24" sqref="P24"/>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464"/>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21542</v>
      </c>
      <c r="C1" s="451" t="s">
        <v>21543</v>
      </c>
      <c r="D1" s="451" t="s">
        <v>22264</v>
      </c>
      <c r="E1" s="371" t="s">
        <v>22275</v>
      </c>
      <c r="F1" s="370" t="s">
        <v>22357</v>
      </c>
      <c r="G1" s="371" t="s">
        <v>22252</v>
      </c>
      <c r="H1" s="371" t="s">
        <v>22285</v>
      </c>
      <c r="I1" s="371" t="s">
        <v>22289</v>
      </c>
      <c r="J1" s="371" t="s">
        <v>22293</v>
      </c>
      <c r="K1" s="371" t="s">
        <v>22297</v>
      </c>
      <c r="L1" s="371" t="s">
        <v>22299</v>
      </c>
      <c r="M1" s="371" t="s">
        <v>22302</v>
      </c>
      <c r="N1" s="411" t="s">
        <v>21295</v>
      </c>
      <c r="O1" s="398" t="s">
        <v>21556</v>
      </c>
      <c r="P1" s="398" t="s">
        <v>21565</v>
      </c>
      <c r="Q1" s="452" t="s">
        <v>21546</v>
      </c>
      <c r="R1" s="336" t="s">
        <v>21559</v>
      </c>
      <c r="S1" s="467" t="s">
        <v>21560</v>
      </c>
      <c r="T1" s="337" t="s">
        <v>21561</v>
      </c>
      <c r="U1" s="337" t="s">
        <v>21562</v>
      </c>
      <c r="V1" s="337" t="s">
        <v>21564</v>
      </c>
      <c r="W1" s="408" t="s">
        <v>21565</v>
      </c>
      <c r="X1" s="337" t="s">
        <v>21566</v>
      </c>
      <c r="Y1" s="408" t="s">
        <v>21567</v>
      </c>
      <c r="Z1" s="408" t="s">
        <v>21568</v>
      </c>
    </row>
    <row r="2" ht="75" s="456" customFormat="1">
      <c r="A2" s="453" t="s">
        <v>21079</v>
      </c>
      <c r="B2" s="453" t="s">
        <v>21027</v>
      </c>
      <c r="C2" s="453" t="s">
        <v>21081</v>
      </c>
      <c r="D2" s="454" t="s">
        <v>21082</v>
      </c>
      <c r="E2" s="453" t="s">
        <v>22369</v>
      </c>
      <c r="F2" s="453" t="s">
        <v>22370</v>
      </c>
      <c r="G2" s="453" t="s">
        <v>21029</v>
      </c>
      <c r="H2" s="453" t="s">
        <v>21068</v>
      </c>
      <c r="I2" s="453" t="s">
        <v>21069</v>
      </c>
      <c r="J2" s="454" t="s">
        <v>22371</v>
      </c>
      <c r="K2" s="453" t="s">
        <v>22372</v>
      </c>
      <c r="L2" s="455" t="s">
        <v>22373</v>
      </c>
      <c r="M2" s="453" t="s">
        <v>22374</v>
      </c>
      <c r="N2" s="453" t="s">
        <v>22375</v>
      </c>
      <c r="O2" s="431" t="s">
        <v>22305</v>
      </c>
      <c r="P2" s="431" t="s">
        <v>22366</v>
      </c>
      <c r="Q2" s="432" t="s">
        <v>22368</v>
      </c>
      <c r="R2" s="431" t="s">
        <v>21092</v>
      </c>
      <c r="S2" s="466" t="s">
        <v>22312</v>
      </c>
      <c r="T2" s="431" t="s">
        <v>22314</v>
      </c>
      <c r="U2" s="431" t="s">
        <v>22316</v>
      </c>
      <c r="V2" s="431" t="s">
        <v>22351</v>
      </c>
      <c r="W2" s="431" t="s">
        <v>22352</v>
      </c>
      <c r="X2" s="432" t="s">
        <v>22325</v>
      </c>
      <c r="Y2" s="431" t="s">
        <v>22336</v>
      </c>
      <c r="Z2" s="431" t="s">
        <v>22338</v>
      </c>
    </row>
    <row r="3" ht="63.75">
      <c r="A3" s="314">
        <v>1</v>
      </c>
      <c r="B3" s="330" t="s">
        <v>21098</v>
      </c>
      <c r="C3" s="329" t="s">
        <v>20855</v>
      </c>
      <c r="D3" s="329" t="s">
        <v>22376</v>
      </c>
      <c r="E3" s="282" t="s">
        <v>21298</v>
      </c>
      <c r="F3" s="314" t="s">
        <v>22377</v>
      </c>
      <c r="G3" s="282" t="s">
        <v>21097</v>
      </c>
      <c r="H3" s="282" t="s">
        <v>21321</v>
      </c>
      <c r="I3" s="282">
        <v>3</v>
      </c>
      <c r="J3" s="282" t="s">
        <v>21042</v>
      </c>
      <c r="K3" s="282" t="s">
        <v>21325</v>
      </c>
      <c r="L3" s="282">
        <v>900</v>
      </c>
      <c r="M3" s="282" t="s">
        <v>21331</v>
      </c>
      <c r="N3" s="341" t="s">
        <v>21099</v>
      </c>
      <c r="O3" s="341" t="b">
        <v>1</v>
      </c>
      <c r="P3" s="333">
        <v>50</v>
      </c>
      <c r="Q3" s="282">
        <v>3</v>
      </c>
      <c r="R3" s="282" t="s">
        <v>21100</v>
      </c>
      <c r="S3" s="464">
        <v>43756</v>
      </c>
      <c r="T3" s="282" t="b">
        <v>0</v>
      </c>
      <c r="U3" s="341" t="b">
        <v>0</v>
      </c>
      <c r="V3" s="282" t="b">
        <v>1</v>
      </c>
      <c r="W3" s="282">
        <v>50</v>
      </c>
      <c r="X3" s="282" t="b">
        <v>0</v>
      </c>
      <c r="Y3" s="282" t="s">
        <v>21309</v>
      </c>
      <c r="Z3" s="282" t="s">
        <v>21310</v>
      </c>
    </row>
    <row r="4" ht="76.5">
      <c r="G4" s="282" t="s">
        <v>21097</v>
      </c>
      <c r="H4" s="282" t="s">
        <v>21322</v>
      </c>
      <c r="I4" s="282">
        <v>3</v>
      </c>
      <c r="J4" s="282" t="s">
        <v>21042</v>
      </c>
      <c r="K4" s="282" t="s">
        <v>21327</v>
      </c>
      <c r="L4" s="282">
        <v>2100</v>
      </c>
      <c r="M4" s="282" t="s">
        <v>21331</v>
      </c>
      <c r="O4" s="341" t="b">
        <v>1</v>
      </c>
      <c r="P4" s="333">
        <v>50</v>
      </c>
      <c r="Q4" s="282">
        <v>3</v>
      </c>
      <c r="R4" s="282" t="s">
        <v>22378</v>
      </c>
      <c r="S4" s="464">
        <v>43756</v>
      </c>
      <c r="T4" s="282" t="b">
        <v>0</v>
      </c>
      <c r="U4" s="341" t="b">
        <v>0</v>
      </c>
      <c r="V4" s="282" t="b">
        <v>1</v>
      </c>
      <c r="W4" s="282">
        <v>50</v>
      </c>
      <c r="X4" s="282" t="b">
        <v>0</v>
      </c>
      <c r="Y4" s="282" t="s">
        <v>21309</v>
      </c>
      <c r="Z4" s="282" t="s">
        <v>21310</v>
      </c>
    </row>
    <row r="5" ht="76.5">
      <c r="G5" s="282" t="s">
        <v>21097</v>
      </c>
      <c r="H5" s="282" t="s">
        <v>21323</v>
      </c>
      <c r="I5" s="282">
        <v>3</v>
      </c>
      <c r="J5" s="282" t="s">
        <v>21324</v>
      </c>
      <c r="K5" s="282" t="s">
        <v>21327</v>
      </c>
      <c r="L5" s="282">
        <v>1800</v>
      </c>
      <c r="M5" s="282" t="s">
        <v>21331</v>
      </c>
      <c r="O5" s="341" t="b">
        <v>1</v>
      </c>
      <c r="P5" s="333">
        <v>50</v>
      </c>
      <c r="Q5" s="282">
        <v>3</v>
      </c>
      <c r="R5" s="282" t="s">
        <v>22378</v>
      </c>
      <c r="S5" s="464">
        <v>43756</v>
      </c>
      <c r="T5" s="282" t="b">
        <v>0</v>
      </c>
      <c r="U5" s="341" t="b">
        <v>0</v>
      </c>
      <c r="V5" s="282" t="b">
        <v>1</v>
      </c>
      <c r="W5" s="282">
        <v>50</v>
      </c>
      <c r="X5" s="282" t="b">
        <v>0</v>
      </c>
      <c r="Y5" s="282" t="s">
        <v>21309</v>
      </c>
      <c r="Z5" s="282" t="s">
        <v>21310</v>
      </c>
    </row>
    <row r="6" ht="76.5">
      <c r="A6" s="314">
        <v>2</v>
      </c>
      <c r="B6" s="330" t="s">
        <v>21102</v>
      </c>
      <c r="C6" s="329" t="s">
        <v>20855</v>
      </c>
      <c r="D6" s="329" t="s">
        <v>22379</v>
      </c>
      <c r="E6" s="282" t="s">
        <v>21298</v>
      </c>
      <c r="F6" s="314" t="s">
        <v>22380</v>
      </c>
      <c r="G6" s="282" t="s">
        <v>21101</v>
      </c>
      <c r="H6" s="282" t="s">
        <v>21322</v>
      </c>
      <c r="I6" s="282">
        <v>3</v>
      </c>
      <c r="J6" s="282" t="s">
        <v>21042</v>
      </c>
      <c r="K6" s="282" t="s">
        <v>21327</v>
      </c>
      <c r="L6" s="282">
        <v>2100</v>
      </c>
      <c r="M6" s="282" t="s">
        <v>21347</v>
      </c>
      <c r="N6" s="341" t="s">
        <v>21103</v>
      </c>
      <c r="O6" s="341" t="b">
        <v>1</v>
      </c>
      <c r="P6" s="333">
        <v>36</v>
      </c>
      <c r="Q6" s="282">
        <v>3</v>
      </c>
      <c r="R6" s="282" t="s">
        <v>21104</v>
      </c>
      <c r="S6" s="464">
        <v>43756</v>
      </c>
      <c r="T6" s="282" t="b">
        <v>0</v>
      </c>
      <c r="U6" s="341" t="b">
        <v>0</v>
      </c>
      <c r="V6" s="282" t="b">
        <v>1</v>
      </c>
      <c r="W6" s="282">
        <v>36</v>
      </c>
      <c r="X6" s="282" t="b">
        <v>0</v>
      </c>
      <c r="Y6" s="282" t="s">
        <v>21309</v>
      </c>
      <c r="Z6" s="282" t="s">
        <v>21310</v>
      </c>
    </row>
    <row r="7" ht="76.5">
      <c r="G7" s="282" t="s">
        <v>21101</v>
      </c>
      <c r="H7" s="282" t="s">
        <v>21323</v>
      </c>
      <c r="I7" s="282">
        <v>3</v>
      </c>
      <c r="J7" s="282" t="s">
        <v>21324</v>
      </c>
      <c r="K7" s="282" t="s">
        <v>21327</v>
      </c>
      <c r="L7" s="282">
        <v>1800</v>
      </c>
      <c r="M7" s="282" t="s">
        <v>21347</v>
      </c>
      <c r="O7" s="341" t="b">
        <v>1</v>
      </c>
      <c r="P7" s="333">
        <v>36</v>
      </c>
      <c r="Q7" s="282">
        <v>3</v>
      </c>
      <c r="R7" s="282" t="s">
        <v>22378</v>
      </c>
      <c r="S7" s="464">
        <v>43756</v>
      </c>
      <c r="T7" s="282" t="b">
        <v>0</v>
      </c>
      <c r="U7" s="341" t="b">
        <v>0</v>
      </c>
      <c r="V7" s="282" t="b">
        <v>1</v>
      </c>
      <c r="W7" s="282">
        <v>36</v>
      </c>
      <c r="X7" s="282" t="b">
        <v>0</v>
      </c>
      <c r="Y7" s="282" t="s">
        <v>21309</v>
      </c>
      <c r="Z7" s="282" t="s">
        <v>21310</v>
      </c>
    </row>
    <row r="8" ht="76.5">
      <c r="A8" s="314">
        <v>3</v>
      </c>
      <c r="B8" s="330" t="s">
        <v>21106</v>
      </c>
      <c r="C8" s="329" t="s">
        <v>20855</v>
      </c>
      <c r="D8" s="329" t="s">
        <v>22381</v>
      </c>
      <c r="E8" s="282" t="s">
        <v>21298</v>
      </c>
      <c r="F8" s="314" t="s">
        <v>22380</v>
      </c>
      <c r="G8" s="282" t="s">
        <v>21105</v>
      </c>
      <c r="H8" s="282" t="s">
        <v>21322</v>
      </c>
      <c r="I8" s="282">
        <v>3</v>
      </c>
      <c r="J8" s="282" t="s">
        <v>21042</v>
      </c>
      <c r="K8" s="282" t="s">
        <v>21327</v>
      </c>
      <c r="L8" s="282">
        <v>2100</v>
      </c>
      <c r="M8" s="282" t="s">
        <v>21352</v>
      </c>
      <c r="N8" s="341" t="s">
        <v>21107</v>
      </c>
      <c r="O8" s="341" t="b">
        <v>1</v>
      </c>
      <c r="P8" s="333">
        <v>12</v>
      </c>
      <c r="Q8" s="282">
        <v>3</v>
      </c>
      <c r="R8" s="282" t="s">
        <v>21108</v>
      </c>
      <c r="S8" s="464">
        <v>43756</v>
      </c>
      <c r="T8" s="282" t="b">
        <v>0</v>
      </c>
      <c r="U8" s="341" t="b">
        <v>0</v>
      </c>
      <c r="V8" s="282" t="b">
        <v>1</v>
      </c>
      <c r="W8" s="282">
        <v>12</v>
      </c>
      <c r="X8" s="282" t="b">
        <v>0</v>
      </c>
      <c r="Y8" s="282" t="s">
        <v>21309</v>
      </c>
      <c r="Z8" s="282" t="s">
        <v>21310</v>
      </c>
    </row>
    <row r="9" ht="76.5">
      <c r="G9" s="282" t="s">
        <v>21105</v>
      </c>
      <c r="H9" s="282" t="s">
        <v>21323</v>
      </c>
      <c r="I9" s="282">
        <v>3</v>
      </c>
      <c r="J9" s="282" t="s">
        <v>21324</v>
      </c>
      <c r="K9" s="282" t="s">
        <v>21327</v>
      </c>
      <c r="L9" s="282">
        <v>1800</v>
      </c>
      <c r="M9" s="282" t="s">
        <v>21352</v>
      </c>
      <c r="O9" s="341" t="b">
        <v>1</v>
      </c>
      <c r="P9" s="333">
        <v>12</v>
      </c>
      <c r="Q9" s="282">
        <v>3</v>
      </c>
      <c r="R9" s="282" t="s">
        <v>22378</v>
      </c>
      <c r="S9" s="464">
        <v>43756</v>
      </c>
      <c r="T9" s="282" t="b">
        <v>0</v>
      </c>
      <c r="U9" s="341" t="b">
        <v>0</v>
      </c>
      <c r="V9" s="282" t="b">
        <v>1</v>
      </c>
      <c r="W9" s="282">
        <v>12</v>
      </c>
      <c r="X9" s="282" t="b">
        <v>0</v>
      </c>
      <c r="Y9" s="282" t="s">
        <v>21309</v>
      </c>
      <c r="Z9" s="282" t="s">
        <v>21310</v>
      </c>
    </row>
    <row r="10" ht="76.5">
      <c r="A10" s="314">
        <v>4</v>
      </c>
      <c r="B10" s="330" t="s">
        <v>21110</v>
      </c>
      <c r="C10" s="329" t="s">
        <v>20855</v>
      </c>
      <c r="D10" s="329" t="s">
        <v>22382</v>
      </c>
      <c r="E10" s="282" t="s">
        <v>21298</v>
      </c>
      <c r="F10" s="314" t="s">
        <v>22380</v>
      </c>
      <c r="G10" s="282" t="s">
        <v>21109</v>
      </c>
      <c r="H10" s="282" t="s">
        <v>21322</v>
      </c>
      <c r="I10" s="282">
        <v>3</v>
      </c>
      <c r="J10" s="282" t="s">
        <v>21042</v>
      </c>
      <c r="K10" s="282" t="s">
        <v>21327</v>
      </c>
      <c r="L10" s="282">
        <v>2100</v>
      </c>
      <c r="M10" s="282" t="s">
        <v>21357</v>
      </c>
      <c r="N10" s="341" t="s">
        <v>21111</v>
      </c>
      <c r="O10" s="341" t="b">
        <v>1</v>
      </c>
      <c r="P10" s="333">
        <v>36</v>
      </c>
      <c r="Q10" s="282">
        <v>3</v>
      </c>
      <c r="R10" s="282" t="s">
        <v>21112</v>
      </c>
      <c r="S10" s="464">
        <v>43756</v>
      </c>
      <c r="T10" s="282" t="b">
        <v>0</v>
      </c>
      <c r="U10" s="341" t="b">
        <v>0</v>
      </c>
      <c r="V10" s="282" t="b">
        <v>1</v>
      </c>
      <c r="W10" s="282">
        <v>36</v>
      </c>
      <c r="X10" s="282" t="b">
        <v>0</v>
      </c>
      <c r="Y10" s="282" t="s">
        <v>21309</v>
      </c>
      <c r="Z10" s="282" t="s">
        <v>21310</v>
      </c>
    </row>
    <row r="11" ht="76.5">
      <c r="G11" s="282" t="s">
        <v>21109</v>
      </c>
      <c r="H11" s="282" t="s">
        <v>21323</v>
      </c>
      <c r="I11" s="282">
        <v>3</v>
      </c>
      <c r="J11" s="282" t="s">
        <v>21324</v>
      </c>
      <c r="K11" s="282" t="s">
        <v>21327</v>
      </c>
      <c r="L11" s="282">
        <v>1800</v>
      </c>
      <c r="M11" s="282" t="s">
        <v>21357</v>
      </c>
      <c r="O11" s="341" t="b">
        <v>1</v>
      </c>
      <c r="P11" s="333">
        <v>36</v>
      </c>
      <c r="Q11" s="282">
        <v>3</v>
      </c>
      <c r="R11" s="282" t="s">
        <v>22378</v>
      </c>
      <c r="S11" s="464">
        <v>43756</v>
      </c>
      <c r="T11" s="282" t="b">
        <v>0</v>
      </c>
      <c r="U11" s="341" t="b">
        <v>0</v>
      </c>
      <c r="V11" s="282" t="b">
        <v>1</v>
      </c>
      <c r="W11" s="282">
        <v>36</v>
      </c>
      <c r="X11" s="282" t="b">
        <v>0</v>
      </c>
      <c r="Y11" s="282" t="s">
        <v>21309</v>
      </c>
      <c r="Z11" s="282" t="s">
        <v>21310</v>
      </c>
    </row>
    <row r="12" ht="76.5">
      <c r="A12" s="314">
        <v>5</v>
      </c>
      <c r="B12" s="330" t="s">
        <v>21114</v>
      </c>
      <c r="C12" s="329" t="s">
        <v>20855</v>
      </c>
      <c r="D12" s="329" t="s">
        <v>22383</v>
      </c>
      <c r="E12" s="282" t="s">
        <v>21298</v>
      </c>
      <c r="F12" s="314" t="s">
        <v>22380</v>
      </c>
      <c r="G12" s="282" t="s">
        <v>21113</v>
      </c>
      <c r="H12" s="282" t="s">
        <v>21322</v>
      </c>
      <c r="I12" s="282">
        <v>3</v>
      </c>
      <c r="J12" s="282" t="s">
        <v>21042</v>
      </c>
      <c r="K12" s="282" t="s">
        <v>21327</v>
      </c>
      <c r="L12" s="282">
        <v>2100</v>
      </c>
      <c r="M12" s="282" t="s">
        <v>21347</v>
      </c>
      <c r="N12" s="341" t="s">
        <v>21115</v>
      </c>
      <c r="O12" s="341" t="b">
        <v>1</v>
      </c>
      <c r="P12" s="333">
        <v>40</v>
      </c>
      <c r="Q12" s="282">
        <v>3</v>
      </c>
      <c r="R12" s="282" t="s">
        <v>21116</v>
      </c>
      <c r="S12" s="464">
        <v>43756</v>
      </c>
      <c r="T12" s="282" t="b">
        <v>0</v>
      </c>
      <c r="U12" s="341" t="b">
        <v>0</v>
      </c>
      <c r="V12" s="282" t="b">
        <v>1</v>
      </c>
      <c r="W12" s="282">
        <v>40</v>
      </c>
      <c r="X12" s="282" t="b">
        <v>0</v>
      </c>
      <c r="Y12" s="282" t="s">
        <v>21309</v>
      </c>
      <c r="Z12" s="282" t="s">
        <v>21310</v>
      </c>
    </row>
    <row r="13" ht="76.5">
      <c r="G13" s="282" t="s">
        <v>21113</v>
      </c>
      <c r="H13" s="282" t="s">
        <v>21323</v>
      </c>
      <c r="I13" s="282">
        <v>3</v>
      </c>
      <c r="J13" s="282" t="s">
        <v>21324</v>
      </c>
      <c r="K13" s="282" t="s">
        <v>21327</v>
      </c>
      <c r="L13" s="282">
        <v>1800</v>
      </c>
      <c r="M13" s="282" t="s">
        <v>21347</v>
      </c>
      <c r="O13" s="341" t="b">
        <v>1</v>
      </c>
      <c r="P13" s="333">
        <v>40</v>
      </c>
      <c r="Q13" s="282">
        <v>3</v>
      </c>
      <c r="R13" s="282" t="s">
        <v>22378</v>
      </c>
      <c r="S13" s="464">
        <v>43756</v>
      </c>
      <c r="T13" s="282" t="b">
        <v>0</v>
      </c>
      <c r="U13" s="341" t="b">
        <v>0</v>
      </c>
      <c r="V13" s="282" t="b">
        <v>1</v>
      </c>
      <c r="W13" s="282">
        <v>40</v>
      </c>
      <c r="X13" s="282" t="b">
        <v>0</v>
      </c>
      <c r="Y13" s="282" t="s">
        <v>21309</v>
      </c>
      <c r="Z13" s="282" t="s">
        <v>21310</v>
      </c>
    </row>
    <row r="14" ht="76.5">
      <c r="A14" s="314">
        <v>6</v>
      </c>
      <c r="B14" s="330" t="s">
        <v>21118</v>
      </c>
      <c r="C14" s="329" t="s">
        <v>20855</v>
      </c>
      <c r="D14" s="329" t="s">
        <v>22384</v>
      </c>
      <c r="E14" s="282" t="s">
        <v>21298</v>
      </c>
      <c r="F14" s="314" t="s">
        <v>22380</v>
      </c>
      <c r="G14" s="282" t="s">
        <v>21117</v>
      </c>
      <c r="H14" s="282" t="s">
        <v>21322</v>
      </c>
      <c r="I14" s="282">
        <v>3</v>
      </c>
      <c r="J14" s="282" t="s">
        <v>21042</v>
      </c>
      <c r="K14" s="282" t="s">
        <v>21327</v>
      </c>
      <c r="L14" s="282">
        <v>2100</v>
      </c>
      <c r="M14" s="282" t="s">
        <v>21365</v>
      </c>
      <c r="N14" s="341" t="s">
        <v>21119</v>
      </c>
      <c r="O14" s="341" t="b">
        <v>1</v>
      </c>
      <c r="P14" s="333">
        <v>36</v>
      </c>
      <c r="Q14" s="282">
        <v>3</v>
      </c>
      <c r="R14" s="282" t="s">
        <v>21120</v>
      </c>
      <c r="S14" s="464">
        <v>43756</v>
      </c>
      <c r="T14" s="282" t="b">
        <v>0</v>
      </c>
      <c r="U14" s="341" t="b">
        <v>0</v>
      </c>
      <c r="V14" s="282" t="b">
        <v>1</v>
      </c>
      <c r="W14" s="282">
        <v>36</v>
      </c>
      <c r="X14" s="282" t="b">
        <v>0</v>
      </c>
      <c r="Y14" s="282" t="s">
        <v>21309</v>
      </c>
      <c r="Z14" s="282" t="s">
        <v>21310</v>
      </c>
    </row>
    <row r="15" ht="76.5">
      <c r="G15" s="282" t="s">
        <v>21117</v>
      </c>
      <c r="H15" s="282" t="s">
        <v>21323</v>
      </c>
      <c r="I15" s="282">
        <v>3</v>
      </c>
      <c r="J15" s="282" t="s">
        <v>21324</v>
      </c>
      <c r="K15" s="282" t="s">
        <v>21327</v>
      </c>
      <c r="L15" s="282">
        <v>1800</v>
      </c>
      <c r="M15" s="282" t="s">
        <v>21365</v>
      </c>
      <c r="O15" s="341" t="b">
        <v>1</v>
      </c>
      <c r="P15" s="333">
        <v>36</v>
      </c>
      <c r="Q15" s="282">
        <v>3</v>
      </c>
      <c r="R15" s="282" t="s">
        <v>22378</v>
      </c>
      <c r="S15" s="464">
        <v>43756</v>
      </c>
      <c r="T15" s="282" t="b">
        <v>0</v>
      </c>
      <c r="U15" s="341" t="b">
        <v>0</v>
      </c>
      <c r="V15" s="282" t="b">
        <v>1</v>
      </c>
      <c r="W15" s="282">
        <v>36</v>
      </c>
      <c r="X15" s="282" t="b">
        <v>0</v>
      </c>
      <c r="Y15" s="282" t="s">
        <v>21309</v>
      </c>
      <c r="Z15" s="282" t="s">
        <v>21310</v>
      </c>
    </row>
    <row r="16" ht="25.5">
      <c r="A16" s="314">
        <v>7</v>
      </c>
      <c r="B16" s="330" t="s">
        <v>21122</v>
      </c>
      <c r="C16" s="329" t="s">
        <v>20855</v>
      </c>
      <c r="D16" s="329" t="s">
        <v>22385</v>
      </c>
      <c r="E16" s="282" t="s">
        <v>21298</v>
      </c>
      <c r="F16" s="314" t="s">
        <v>22377</v>
      </c>
      <c r="G16" s="282" t="s">
        <v>21121</v>
      </c>
      <c r="H16" s="282" t="s">
        <v>21371</v>
      </c>
      <c r="I16" s="282">
        <v>3</v>
      </c>
      <c r="J16" s="282" t="s">
        <v>21042</v>
      </c>
      <c r="K16" s="282" t="s">
        <v>21325</v>
      </c>
      <c r="L16" s="282">
        <v>900</v>
      </c>
      <c r="M16" s="282" t="s">
        <v>21373</v>
      </c>
      <c r="N16" s="341" t="s">
        <v>21123</v>
      </c>
      <c r="O16" s="341" t="b">
        <v>1</v>
      </c>
      <c r="P16" s="333">
        <v>24</v>
      </c>
      <c r="Q16" s="282">
        <v>3</v>
      </c>
      <c r="R16" s="282" t="s">
        <v>21124</v>
      </c>
      <c r="S16" s="464">
        <v>43756</v>
      </c>
      <c r="T16" s="282" t="b">
        <v>0</v>
      </c>
      <c r="U16" s="341" t="b">
        <v>0</v>
      </c>
      <c r="V16" s="282" t="b">
        <v>1</v>
      </c>
      <c r="W16" s="282">
        <v>24</v>
      </c>
      <c r="X16" s="282" t="b">
        <v>0</v>
      </c>
      <c r="Y16" s="282" t="s">
        <v>21309</v>
      </c>
      <c r="Z16" s="282" t="s">
        <v>21310</v>
      </c>
    </row>
    <row r="17" ht="38.25">
      <c r="G17" s="282" t="s">
        <v>21121</v>
      </c>
      <c r="H17" s="282" t="s">
        <v>21372</v>
      </c>
      <c r="I17" s="282">
        <v>3</v>
      </c>
      <c r="J17" s="282" t="s">
        <v>21042</v>
      </c>
      <c r="K17" s="282" t="s">
        <v>21327</v>
      </c>
      <c r="L17" s="282">
        <v>2100</v>
      </c>
      <c r="M17" s="282" t="s">
        <v>21373</v>
      </c>
      <c r="O17" s="341" t="b">
        <v>1</v>
      </c>
      <c r="P17" s="333">
        <v>24</v>
      </c>
      <c r="Q17" s="282">
        <v>3</v>
      </c>
      <c r="R17" s="282" t="s">
        <v>22378</v>
      </c>
      <c r="S17" s="464">
        <v>43756</v>
      </c>
      <c r="T17" s="282" t="b">
        <v>0</v>
      </c>
      <c r="U17" s="341" t="b">
        <v>0</v>
      </c>
      <c r="V17" s="282" t="b">
        <v>1</v>
      </c>
      <c r="W17" s="282">
        <v>24</v>
      </c>
      <c r="X17" s="282" t="b">
        <v>0</v>
      </c>
      <c r="Y17" s="282" t="s">
        <v>21309</v>
      </c>
      <c r="Z17" s="282" t="s">
        <v>21310</v>
      </c>
    </row>
    <row r="18" ht="76.5">
      <c r="G18" s="282" t="s">
        <v>21121</v>
      </c>
      <c r="H18" s="282" t="s">
        <v>21323</v>
      </c>
      <c r="I18" s="282">
        <v>3</v>
      </c>
      <c r="J18" s="282" t="s">
        <v>21324</v>
      </c>
      <c r="K18" s="282" t="s">
        <v>21327</v>
      </c>
      <c r="L18" s="282">
        <v>1800</v>
      </c>
      <c r="M18" s="282" t="s">
        <v>21373</v>
      </c>
      <c r="O18" s="341" t="b">
        <v>1</v>
      </c>
      <c r="P18" s="333">
        <v>24</v>
      </c>
      <c r="Q18" s="282">
        <v>3</v>
      </c>
      <c r="R18" s="282" t="s">
        <v>22386</v>
      </c>
      <c r="S18" s="464">
        <v>43756</v>
      </c>
      <c r="T18" s="282" t="b">
        <v>0</v>
      </c>
      <c r="U18" s="341" t="b">
        <v>0</v>
      </c>
      <c r="V18" s="282" t="b">
        <v>1</v>
      </c>
      <c r="W18" s="282">
        <v>24</v>
      </c>
      <c r="X18" s="282" t="b">
        <v>0</v>
      </c>
      <c r="Y18" s="282" t="s">
        <v>21309</v>
      </c>
      <c r="Z18" s="282" t="s">
        <v>21310</v>
      </c>
    </row>
    <row r="19" ht="76.5">
      <c r="A19" s="314">
        <v>8</v>
      </c>
      <c r="B19" s="330" t="s">
        <v>21126</v>
      </c>
      <c r="C19" s="329" t="s">
        <v>20855</v>
      </c>
      <c r="D19" s="329" t="s">
        <v>22387</v>
      </c>
      <c r="E19" s="282" t="s">
        <v>21298</v>
      </c>
      <c r="F19" s="314" t="s">
        <v>22380</v>
      </c>
      <c r="G19" s="282" t="s">
        <v>21125</v>
      </c>
      <c r="H19" s="282" t="s">
        <v>21322</v>
      </c>
      <c r="I19" s="282">
        <v>3</v>
      </c>
      <c r="J19" s="282" t="s">
        <v>21042</v>
      </c>
      <c r="K19" s="282" t="s">
        <v>21327</v>
      </c>
      <c r="L19" s="282">
        <v>2100</v>
      </c>
      <c r="M19" s="282" t="s">
        <v>21378</v>
      </c>
      <c r="N19" s="341" t="s">
        <v>21127</v>
      </c>
      <c r="O19" s="341" t="b">
        <v>1</v>
      </c>
      <c r="P19" s="333">
        <v>26</v>
      </c>
      <c r="Q19" s="282">
        <v>3</v>
      </c>
      <c r="R19" s="282" t="s">
        <v>21128</v>
      </c>
      <c r="S19" s="464">
        <v>43756</v>
      </c>
      <c r="T19" s="282" t="b">
        <v>0</v>
      </c>
      <c r="U19" s="341" t="b">
        <v>0</v>
      </c>
      <c r="V19" s="282" t="b">
        <v>1</v>
      </c>
      <c r="W19" s="282">
        <v>26</v>
      </c>
      <c r="X19" s="282" t="b">
        <v>0</v>
      </c>
      <c r="Y19" s="282" t="s">
        <v>21309</v>
      </c>
      <c r="Z19" s="282" t="s">
        <v>21310</v>
      </c>
    </row>
    <row r="20" ht="76.5">
      <c r="G20" s="282" t="s">
        <v>21125</v>
      </c>
      <c r="H20" s="282" t="s">
        <v>21323</v>
      </c>
      <c r="I20" s="282">
        <v>3</v>
      </c>
      <c r="J20" s="282" t="s">
        <v>21324</v>
      </c>
      <c r="K20" s="282" t="s">
        <v>21327</v>
      </c>
      <c r="L20" s="282">
        <v>1800</v>
      </c>
      <c r="M20" s="282" t="s">
        <v>21378</v>
      </c>
      <c r="O20" s="341" t="b">
        <v>1</v>
      </c>
      <c r="P20" s="333">
        <v>26</v>
      </c>
      <c r="Q20" s="282">
        <v>3</v>
      </c>
      <c r="R20" s="282" t="s">
        <v>22378</v>
      </c>
      <c r="S20" s="464">
        <v>43756</v>
      </c>
      <c r="T20" s="282" t="b">
        <v>0</v>
      </c>
      <c r="U20" s="341" t="b">
        <v>0</v>
      </c>
      <c r="V20" s="282" t="b">
        <v>1</v>
      </c>
      <c r="W20" s="282">
        <v>26</v>
      </c>
      <c r="X20" s="282" t="b">
        <v>0</v>
      </c>
      <c r="Y20" s="282" t="s">
        <v>21309</v>
      </c>
      <c r="Z20" s="282" t="s">
        <v>21310</v>
      </c>
    </row>
    <row r="21" ht="25.5">
      <c r="A21" s="314">
        <v>9</v>
      </c>
      <c r="B21" s="330" t="s">
        <v>21130</v>
      </c>
      <c r="C21" s="329" t="s">
        <v>20855</v>
      </c>
      <c r="D21" s="329" t="s">
        <v>22388</v>
      </c>
      <c r="E21" s="282" t="s">
        <v>21298</v>
      </c>
      <c r="F21" s="314" t="s">
        <v>22377</v>
      </c>
      <c r="G21" s="282" t="s">
        <v>21129</v>
      </c>
      <c r="H21" s="282" t="s">
        <v>21371</v>
      </c>
      <c r="I21" s="282">
        <v>3</v>
      </c>
      <c r="J21" s="282" t="s">
        <v>21042</v>
      </c>
      <c r="K21" s="282" t="s">
        <v>21325</v>
      </c>
      <c r="L21" s="282">
        <v>900</v>
      </c>
      <c r="M21" s="282" t="s">
        <v>21387</v>
      </c>
      <c r="N21" s="341" t="s">
        <v>21131</v>
      </c>
      <c r="O21" s="341" t="b">
        <v>1</v>
      </c>
      <c r="P21" s="333">
        <v>16</v>
      </c>
      <c r="Q21" s="282">
        <v>3</v>
      </c>
      <c r="R21" s="282" t="s">
        <v>21132</v>
      </c>
      <c r="S21" s="464">
        <v>43756</v>
      </c>
      <c r="T21" s="282" t="b">
        <v>0</v>
      </c>
      <c r="U21" s="341" t="b">
        <v>0</v>
      </c>
      <c r="V21" s="282" t="b">
        <v>1</v>
      </c>
      <c r="W21" s="282">
        <v>16</v>
      </c>
      <c r="X21" s="282" t="b">
        <v>0</v>
      </c>
      <c r="Y21" s="282" t="s">
        <v>21309</v>
      </c>
      <c r="Z21" s="282" t="s">
        <v>21310</v>
      </c>
    </row>
    <row r="22" ht="25.5">
      <c r="G22" s="282" t="s">
        <v>21129</v>
      </c>
      <c r="H22" s="282" t="s">
        <v>21371</v>
      </c>
      <c r="I22" s="282">
        <v>3</v>
      </c>
      <c r="J22" s="282" t="s">
        <v>21042</v>
      </c>
      <c r="K22" s="282" t="s">
        <v>21325</v>
      </c>
      <c r="L22" s="282">
        <v>1800</v>
      </c>
      <c r="M22" s="282" t="s">
        <v>21387</v>
      </c>
      <c r="O22" s="341" t="b">
        <v>1</v>
      </c>
      <c r="P22" s="333">
        <v>16</v>
      </c>
      <c r="Q22" s="282">
        <v>3</v>
      </c>
      <c r="R22" s="282" t="s">
        <v>22378</v>
      </c>
      <c r="S22" s="464">
        <v>43756</v>
      </c>
      <c r="T22" s="282" t="b">
        <v>0</v>
      </c>
      <c r="U22" s="341" t="b">
        <v>0</v>
      </c>
      <c r="V22" s="282" t="b">
        <v>1</v>
      </c>
      <c r="W22" s="282">
        <v>16</v>
      </c>
      <c r="X22" s="282" t="b">
        <v>0</v>
      </c>
      <c r="Y22" s="282" t="s">
        <v>21309</v>
      </c>
      <c r="Z22" s="282" t="s">
        <v>21310</v>
      </c>
    </row>
    <row r="23" ht="76.5">
      <c r="G23" s="282" t="s">
        <v>21129</v>
      </c>
      <c r="H23" s="282" t="s">
        <v>21323</v>
      </c>
      <c r="I23" s="282">
        <v>3</v>
      </c>
      <c r="J23" s="282" t="s">
        <v>21324</v>
      </c>
      <c r="K23" s="282" t="s">
        <v>21327</v>
      </c>
      <c r="L23" s="282">
        <v>1800</v>
      </c>
      <c r="M23" s="282" t="s">
        <v>21387</v>
      </c>
      <c r="O23" s="341" t="b">
        <v>1</v>
      </c>
      <c r="P23" s="333">
        <v>16</v>
      </c>
      <c r="Q23" s="282">
        <v>3</v>
      </c>
      <c r="R23" s="282" t="s">
        <v>22378</v>
      </c>
      <c r="S23" s="464">
        <v>43756</v>
      </c>
      <c r="T23" s="282" t="b">
        <v>0</v>
      </c>
      <c r="U23" s="341" t="b">
        <v>0</v>
      </c>
      <c r="V23" s="282" t="b">
        <v>1</v>
      </c>
      <c r="W23" s="282">
        <v>16</v>
      </c>
      <c r="X23" s="282" t="b">
        <v>0</v>
      </c>
      <c r="Y23" s="282" t="s">
        <v>21309</v>
      </c>
      <c r="Z23" s="282" t="s">
        <v>21310</v>
      </c>
    </row>
    <row r="24" ht="76.5">
      <c r="A24" s="314">
        <v>10</v>
      </c>
      <c r="B24" s="330" t="s">
        <v>21134</v>
      </c>
      <c r="C24" s="329" t="s">
        <v>20855</v>
      </c>
      <c r="D24" s="329" t="s">
        <v>22389</v>
      </c>
      <c r="E24" s="282" t="s">
        <v>21298</v>
      </c>
      <c r="F24" s="314" t="s">
        <v>22380</v>
      </c>
      <c r="G24" s="282" t="s">
        <v>21133</v>
      </c>
      <c r="H24" s="282" t="s">
        <v>21322</v>
      </c>
      <c r="I24" s="282">
        <v>3</v>
      </c>
      <c r="J24" s="282" t="s">
        <v>21042</v>
      </c>
      <c r="K24" s="282" t="s">
        <v>21327</v>
      </c>
      <c r="L24" s="282">
        <v>2100</v>
      </c>
      <c r="M24" s="282" t="s">
        <v>21378</v>
      </c>
      <c r="N24" s="341" t="s">
        <v>21135</v>
      </c>
      <c r="O24" s="341" t="b">
        <v>1</v>
      </c>
      <c r="P24" s="333">
        <v>26</v>
      </c>
      <c r="Q24" s="282">
        <v>3</v>
      </c>
      <c r="R24" s="282" t="s">
        <v>21136</v>
      </c>
      <c r="S24" s="464">
        <v>43756</v>
      </c>
      <c r="T24" s="282" t="b">
        <v>0</v>
      </c>
      <c r="U24" s="341" t="b">
        <v>0</v>
      </c>
      <c r="V24" s="282" t="b">
        <v>1</v>
      </c>
      <c r="W24" s="282">
        <v>26</v>
      </c>
      <c r="X24" s="282" t="b">
        <v>0</v>
      </c>
      <c r="Y24" s="282" t="s">
        <v>21309</v>
      </c>
      <c r="Z24" s="282" t="s">
        <v>21310</v>
      </c>
    </row>
    <row r="25" ht="76.5">
      <c r="G25" s="282" t="s">
        <v>21133</v>
      </c>
      <c r="H25" s="282" t="s">
        <v>21323</v>
      </c>
      <c r="I25" s="282">
        <v>3</v>
      </c>
      <c r="J25" s="282" t="s">
        <v>21324</v>
      </c>
      <c r="K25" s="282" t="s">
        <v>21327</v>
      </c>
      <c r="L25" s="282">
        <v>1800</v>
      </c>
      <c r="M25" s="282" t="s">
        <v>21378</v>
      </c>
      <c r="O25" s="341" t="b">
        <v>1</v>
      </c>
      <c r="P25" s="333">
        <v>26</v>
      </c>
      <c r="Q25" s="282">
        <v>3</v>
      </c>
      <c r="R25" s="282" t="s">
        <v>22378</v>
      </c>
      <c r="S25" s="464">
        <v>43756</v>
      </c>
      <c r="T25" s="282" t="b">
        <v>0</v>
      </c>
      <c r="U25" s="341" t="b">
        <v>0</v>
      </c>
      <c r="V25" s="282" t="b">
        <v>1</v>
      </c>
      <c r="W25" s="282">
        <v>26</v>
      </c>
      <c r="X25" s="282" t="b">
        <v>0</v>
      </c>
      <c r="Y25" s="282" t="s">
        <v>21309</v>
      </c>
      <c r="Z25" s="282" t="s">
        <v>21310</v>
      </c>
    </row>
    <row r="26" ht="38.25">
      <c r="A26" s="314">
        <v>11</v>
      </c>
      <c r="B26" s="330" t="s">
        <v>21138</v>
      </c>
      <c r="C26" s="329" t="s">
        <v>20855</v>
      </c>
      <c r="D26" s="329" t="s">
        <v>22390</v>
      </c>
      <c r="E26" s="282" t="s">
        <v>21298</v>
      </c>
      <c r="F26" s="314" t="s">
        <v>22377</v>
      </c>
      <c r="G26" s="282" t="s">
        <v>21137</v>
      </c>
      <c r="H26" s="282" t="s">
        <v>21371</v>
      </c>
      <c r="I26" s="282">
        <v>3</v>
      </c>
      <c r="J26" s="282" t="s">
        <v>21042</v>
      </c>
      <c r="K26" s="282" t="s">
        <v>21325</v>
      </c>
      <c r="L26" s="282">
        <v>900</v>
      </c>
      <c r="M26" s="282" t="s">
        <v>21352</v>
      </c>
      <c r="N26" s="341" t="s">
        <v>21139</v>
      </c>
      <c r="O26" s="341" t="b">
        <v>1</v>
      </c>
      <c r="P26" s="333">
        <v>12</v>
      </c>
      <c r="Q26" s="282">
        <v>3</v>
      </c>
      <c r="R26" s="282" t="s">
        <v>21140</v>
      </c>
      <c r="S26" s="464">
        <v>43756</v>
      </c>
      <c r="T26" s="282" t="b">
        <v>0</v>
      </c>
      <c r="U26" s="341" t="b">
        <v>0</v>
      </c>
      <c r="V26" s="282" t="b">
        <v>1</v>
      </c>
      <c r="W26" s="282">
        <v>12</v>
      </c>
      <c r="X26" s="282" t="b">
        <v>0</v>
      </c>
      <c r="Y26" s="282" t="s">
        <v>21309</v>
      </c>
      <c r="Z26" s="282" t="s">
        <v>21310</v>
      </c>
    </row>
    <row r="27" ht="38.25">
      <c r="G27" s="282" t="s">
        <v>21137</v>
      </c>
      <c r="H27" s="282" t="s">
        <v>21372</v>
      </c>
      <c r="I27" s="282">
        <v>3</v>
      </c>
      <c r="J27" s="282" t="s">
        <v>21042</v>
      </c>
      <c r="K27" s="282" t="s">
        <v>21327</v>
      </c>
      <c r="L27" s="282">
        <v>2100</v>
      </c>
      <c r="M27" s="282" t="s">
        <v>21352</v>
      </c>
      <c r="O27" s="341" t="b">
        <v>1</v>
      </c>
      <c r="P27" s="333">
        <v>12</v>
      </c>
      <c r="Q27" s="282">
        <v>3</v>
      </c>
      <c r="R27" s="282" t="s">
        <v>22378</v>
      </c>
      <c r="S27" s="464">
        <v>43756</v>
      </c>
      <c r="T27" s="282" t="b">
        <v>0</v>
      </c>
      <c r="U27" s="341" t="b">
        <v>0</v>
      </c>
      <c r="V27" s="282" t="b">
        <v>1</v>
      </c>
      <c r="W27" s="282">
        <v>12</v>
      </c>
      <c r="X27" s="282" t="b">
        <v>0</v>
      </c>
      <c r="Y27" s="282" t="s">
        <v>21309</v>
      </c>
      <c r="Z27" s="282" t="s">
        <v>21310</v>
      </c>
    </row>
    <row r="28" ht="76.5">
      <c r="G28" s="282" t="s">
        <v>21137</v>
      </c>
      <c r="H28" s="282" t="s">
        <v>21323</v>
      </c>
      <c r="I28" s="282">
        <v>3</v>
      </c>
      <c r="J28" s="282" t="s">
        <v>21324</v>
      </c>
      <c r="K28" s="282" t="s">
        <v>21327</v>
      </c>
      <c r="L28" s="282">
        <v>1800</v>
      </c>
      <c r="M28" s="282" t="s">
        <v>21352</v>
      </c>
      <c r="O28" s="341" t="b">
        <v>1</v>
      </c>
      <c r="P28" s="333">
        <v>12</v>
      </c>
      <c r="Q28" s="282">
        <v>3</v>
      </c>
      <c r="R28" s="282" t="s">
        <v>22378</v>
      </c>
      <c r="S28" s="464">
        <v>43756</v>
      </c>
      <c r="T28" s="282" t="b">
        <v>0</v>
      </c>
      <c r="U28" s="341" t="b">
        <v>0</v>
      </c>
      <c r="V28" s="282" t="b">
        <v>1</v>
      </c>
      <c r="W28" s="282">
        <v>12</v>
      </c>
      <c r="X28" s="282" t="b">
        <v>0</v>
      </c>
      <c r="Y28" s="282" t="s">
        <v>21309</v>
      </c>
      <c r="Z28" s="282" t="s">
        <v>21310</v>
      </c>
    </row>
    <row r="29" ht="38.25">
      <c r="A29" s="314">
        <v>12</v>
      </c>
      <c r="B29" s="330" t="s">
        <v>21142</v>
      </c>
      <c r="C29" s="329" t="s">
        <v>20855</v>
      </c>
      <c r="D29" s="329" t="s">
        <v>22391</v>
      </c>
      <c r="E29" s="282" t="s">
        <v>21298</v>
      </c>
      <c r="F29" s="314" t="s">
        <v>22377</v>
      </c>
      <c r="G29" s="282" t="s">
        <v>21141</v>
      </c>
      <c r="H29" s="282" t="s">
        <v>21371</v>
      </c>
      <c r="I29" s="282">
        <v>3</v>
      </c>
      <c r="J29" s="282" t="s">
        <v>21042</v>
      </c>
      <c r="K29" s="282" t="s">
        <v>21325</v>
      </c>
      <c r="L29" s="282">
        <v>900</v>
      </c>
      <c r="M29" s="282" t="s">
        <v>21398</v>
      </c>
      <c r="N29" s="341" t="s">
        <v>21143</v>
      </c>
      <c r="O29" s="341" t="b">
        <v>1</v>
      </c>
      <c r="P29" s="333">
        <v>12</v>
      </c>
      <c r="Q29" s="282">
        <v>3</v>
      </c>
      <c r="R29" s="282" t="s">
        <v>21144</v>
      </c>
      <c r="S29" s="464">
        <v>43756</v>
      </c>
      <c r="T29" s="282" t="b">
        <v>0</v>
      </c>
      <c r="U29" s="341" t="b">
        <v>0</v>
      </c>
      <c r="V29" s="282" t="b">
        <v>1</v>
      </c>
      <c r="W29" s="282">
        <v>12</v>
      </c>
      <c r="X29" s="282" t="b">
        <v>0</v>
      </c>
      <c r="Y29" s="282" t="s">
        <v>21309</v>
      </c>
      <c r="Z29" s="282" t="s">
        <v>21310</v>
      </c>
    </row>
    <row r="30" ht="38.25">
      <c r="G30" s="282" t="s">
        <v>21141</v>
      </c>
      <c r="H30" s="282" t="s">
        <v>21372</v>
      </c>
      <c r="I30" s="282">
        <v>3</v>
      </c>
      <c r="J30" s="282" t="s">
        <v>21042</v>
      </c>
      <c r="K30" s="282" t="s">
        <v>21327</v>
      </c>
      <c r="L30" s="282">
        <v>2100</v>
      </c>
      <c r="M30" s="282" t="s">
        <v>21398</v>
      </c>
      <c r="O30" s="341" t="b">
        <v>1</v>
      </c>
      <c r="P30" s="333">
        <v>12</v>
      </c>
      <c r="Q30" s="282">
        <v>3</v>
      </c>
      <c r="R30" s="282" t="s">
        <v>22378</v>
      </c>
      <c r="S30" s="464">
        <v>43756</v>
      </c>
      <c r="T30" s="282" t="b">
        <v>0</v>
      </c>
      <c r="U30" s="341" t="b">
        <v>0</v>
      </c>
      <c r="V30" s="282" t="b">
        <v>1</v>
      </c>
      <c r="W30" s="282">
        <v>12</v>
      </c>
      <c r="X30" s="282" t="b">
        <v>0</v>
      </c>
      <c r="Y30" s="282" t="s">
        <v>21309</v>
      </c>
      <c r="Z30" s="282" t="s">
        <v>21310</v>
      </c>
    </row>
    <row r="31" ht="76.5">
      <c r="G31" s="282" t="s">
        <v>21141</v>
      </c>
      <c r="H31" s="282" t="s">
        <v>21323</v>
      </c>
      <c r="I31" s="282">
        <v>3</v>
      </c>
      <c r="J31" s="282" t="s">
        <v>21324</v>
      </c>
      <c r="K31" s="282" t="s">
        <v>21327</v>
      </c>
      <c r="L31" s="282">
        <v>1800</v>
      </c>
      <c r="M31" s="282" t="s">
        <v>21398</v>
      </c>
      <c r="O31" s="341" t="b">
        <v>1</v>
      </c>
      <c r="P31" s="333">
        <v>12</v>
      </c>
      <c r="Q31" s="282">
        <v>3</v>
      </c>
      <c r="R31" s="282" t="s">
        <v>22378</v>
      </c>
      <c r="S31" s="464">
        <v>43756</v>
      </c>
      <c r="T31" s="282" t="b">
        <v>0</v>
      </c>
      <c r="U31" s="341" t="b">
        <v>0</v>
      </c>
      <c r="V31" s="282" t="b">
        <v>1</v>
      </c>
      <c r="W31" s="282">
        <v>12</v>
      </c>
      <c r="X31" s="282" t="b">
        <v>0</v>
      </c>
      <c r="Y31" s="282" t="s">
        <v>21309</v>
      </c>
      <c r="Z31" s="282" t="s">
        <v>21310</v>
      </c>
    </row>
    <row r="32" ht="38.25">
      <c r="A32" s="314">
        <v>13</v>
      </c>
      <c r="B32" s="330" t="s">
        <v>21146</v>
      </c>
      <c r="C32" s="329" t="s">
        <v>20855</v>
      </c>
      <c r="D32" s="329" t="s">
        <v>22392</v>
      </c>
      <c r="E32" s="282" t="s">
        <v>21298</v>
      </c>
      <c r="F32" s="314" t="s">
        <v>22380</v>
      </c>
      <c r="G32" s="282" t="s">
        <v>21145</v>
      </c>
      <c r="H32" s="282" t="s">
        <v>21371</v>
      </c>
      <c r="I32" s="282">
        <v>3</v>
      </c>
      <c r="J32" s="282" t="s">
        <v>21042</v>
      </c>
      <c r="K32" s="282" t="s">
        <v>21325</v>
      </c>
      <c r="L32" s="282">
        <v>1800</v>
      </c>
      <c r="M32" s="282" t="s">
        <v>21408</v>
      </c>
      <c r="N32" s="341" t="s">
        <v>21147</v>
      </c>
      <c r="O32" s="341" t="b">
        <v>1</v>
      </c>
      <c r="P32" s="333">
        <v>30</v>
      </c>
      <c r="Q32" s="282">
        <v>1</v>
      </c>
      <c r="R32" s="282" t="s">
        <v>21148</v>
      </c>
      <c r="S32" s="464">
        <v>43756</v>
      </c>
      <c r="T32" s="282" t="b">
        <v>0</v>
      </c>
      <c r="U32" s="341" t="b">
        <v>0</v>
      </c>
      <c r="V32" s="282" t="b">
        <v>1</v>
      </c>
      <c r="W32" s="282">
        <v>30</v>
      </c>
      <c r="X32" s="282" t="b">
        <v>0</v>
      </c>
      <c r="Y32" s="282" t="s">
        <v>21309</v>
      </c>
      <c r="Z32" s="282" t="s">
        <v>21310</v>
      </c>
    </row>
    <row r="33" ht="38.25">
      <c r="G33" s="282" t="s">
        <v>21145</v>
      </c>
      <c r="H33" s="282" t="s">
        <v>21372</v>
      </c>
      <c r="I33" s="282">
        <v>3</v>
      </c>
      <c r="J33" s="282" t="s">
        <v>21042</v>
      </c>
      <c r="K33" s="282" t="s">
        <v>21327</v>
      </c>
      <c r="L33" s="282">
        <v>2100</v>
      </c>
      <c r="M33" s="282" t="s">
        <v>21408</v>
      </c>
      <c r="O33" s="341" t="b">
        <v>1</v>
      </c>
      <c r="P33" s="333">
        <v>30</v>
      </c>
      <c r="Q33" s="282">
        <v>1</v>
      </c>
      <c r="R33" s="282" t="s">
        <v>22378</v>
      </c>
      <c r="S33" s="464">
        <v>43756</v>
      </c>
      <c r="T33" s="282" t="b">
        <v>0</v>
      </c>
      <c r="U33" s="341" t="b">
        <v>0</v>
      </c>
      <c r="V33" s="282" t="b">
        <v>1</v>
      </c>
      <c r="W33" s="282">
        <v>30</v>
      </c>
      <c r="X33" s="282" t="b">
        <v>0</v>
      </c>
      <c r="Y33" s="282" t="s">
        <v>21309</v>
      </c>
      <c r="Z33" s="282" t="s">
        <v>21310</v>
      </c>
    </row>
    <row r="34" ht="76.5">
      <c r="A34" s="314">
        <v>14</v>
      </c>
      <c r="B34" s="330" t="s">
        <v>21150</v>
      </c>
      <c r="C34" s="329" t="s">
        <v>20855</v>
      </c>
      <c r="D34" s="329" t="s">
        <v>22393</v>
      </c>
      <c r="E34" s="282" t="s">
        <v>21298</v>
      </c>
      <c r="F34" s="314" t="s">
        <v>22380</v>
      </c>
      <c r="G34" s="282" t="s">
        <v>21149</v>
      </c>
      <c r="H34" s="282" t="s">
        <v>21322</v>
      </c>
      <c r="I34" s="282">
        <v>3</v>
      </c>
      <c r="J34" s="282" t="s">
        <v>21042</v>
      </c>
      <c r="K34" s="282" t="s">
        <v>21327</v>
      </c>
      <c r="L34" s="282">
        <v>2100</v>
      </c>
      <c r="M34" s="282" t="s">
        <v>21414</v>
      </c>
      <c r="N34" s="341" t="s">
        <v>21151</v>
      </c>
      <c r="O34" s="341" t="b">
        <v>1</v>
      </c>
      <c r="P34" s="333">
        <v>20</v>
      </c>
      <c r="Q34" s="282">
        <v>1</v>
      </c>
      <c r="R34" s="282" t="s">
        <v>21152</v>
      </c>
      <c r="S34" s="464">
        <v>43756</v>
      </c>
      <c r="T34" s="282" t="b">
        <v>0</v>
      </c>
      <c r="U34" s="341" t="b">
        <v>0</v>
      </c>
      <c r="V34" s="282" t="b">
        <v>1</v>
      </c>
      <c r="W34" s="282">
        <v>20</v>
      </c>
      <c r="X34" s="282" t="b">
        <v>0</v>
      </c>
      <c r="Y34" s="282" t="s">
        <v>21309</v>
      </c>
      <c r="Z34" s="282" t="s">
        <v>21310</v>
      </c>
    </row>
    <row r="35" ht="76.5">
      <c r="G35" s="282" t="s">
        <v>21149</v>
      </c>
      <c r="H35" s="282" t="s">
        <v>21323</v>
      </c>
      <c r="I35" s="282">
        <v>3</v>
      </c>
      <c r="J35" s="282" t="s">
        <v>21324</v>
      </c>
      <c r="K35" s="282" t="s">
        <v>21327</v>
      </c>
      <c r="L35" s="282">
        <v>1800</v>
      </c>
      <c r="M35" s="282" t="s">
        <v>21414</v>
      </c>
      <c r="O35" s="341" t="b">
        <v>1</v>
      </c>
      <c r="P35" s="333">
        <v>20</v>
      </c>
      <c r="Q35" s="282">
        <v>1</v>
      </c>
      <c r="R35" s="282" t="s">
        <v>22378</v>
      </c>
      <c r="S35" s="464">
        <v>43756</v>
      </c>
      <c r="T35" s="282" t="b">
        <v>0</v>
      </c>
      <c r="U35" s="341" t="b">
        <v>0</v>
      </c>
      <c r="V35" s="282" t="b">
        <v>1</v>
      </c>
      <c r="W35" s="282">
        <v>20</v>
      </c>
      <c r="X35" s="282" t="b">
        <v>0</v>
      </c>
      <c r="Y35" s="282" t="s">
        <v>21309</v>
      </c>
      <c r="Z35" s="282" t="s">
        <v>21310</v>
      </c>
    </row>
    <row r="36" ht="76.5">
      <c r="A36" s="314">
        <v>15</v>
      </c>
      <c r="B36" s="330" t="s">
        <v>21154</v>
      </c>
      <c r="C36" s="329" t="s">
        <v>20855</v>
      </c>
      <c r="D36" s="329" t="s">
        <v>22394</v>
      </c>
      <c r="E36" s="282" t="s">
        <v>21298</v>
      </c>
      <c r="F36" s="314" t="s">
        <v>22380</v>
      </c>
      <c r="G36" s="282" t="s">
        <v>21153</v>
      </c>
      <c r="H36" s="282" t="s">
        <v>21322</v>
      </c>
      <c r="I36" s="282">
        <v>1</v>
      </c>
      <c r="J36" s="282" t="s">
        <v>21422</v>
      </c>
      <c r="K36" s="282" t="s">
        <v>21424</v>
      </c>
      <c r="L36" s="282">
        <v>2100</v>
      </c>
      <c r="M36" s="282" t="s">
        <v>20944</v>
      </c>
      <c r="N36" s="341" t="s">
        <v>21155</v>
      </c>
      <c r="O36" s="341" t="b">
        <v>1</v>
      </c>
      <c r="P36" s="333">
        <v>50</v>
      </c>
      <c r="Q36" s="282">
        <v>1</v>
      </c>
      <c r="R36" s="282" t="s">
        <v>21156</v>
      </c>
      <c r="S36" s="464">
        <v>43756</v>
      </c>
      <c r="T36" s="282" t="b">
        <v>0</v>
      </c>
      <c r="U36" s="341" t="b">
        <v>0</v>
      </c>
      <c r="V36" s="282" t="b">
        <v>1</v>
      </c>
      <c r="W36" s="282">
        <v>50</v>
      </c>
      <c r="X36" s="282" t="b">
        <v>0</v>
      </c>
      <c r="Y36" s="282" t="s">
        <v>21309</v>
      </c>
      <c r="Z36" s="282" t="s">
        <v>21310</v>
      </c>
    </row>
    <row r="37" ht="76.5">
      <c r="G37" s="282" t="s">
        <v>21153</v>
      </c>
      <c r="H37" s="282" t="s">
        <v>21323</v>
      </c>
      <c r="I37" s="282">
        <v>1</v>
      </c>
      <c r="J37" s="282" t="s">
        <v>21423</v>
      </c>
      <c r="K37" s="282" t="s">
        <v>21424</v>
      </c>
      <c r="L37" s="282">
        <v>1800</v>
      </c>
      <c r="M37" s="282" t="s">
        <v>20944</v>
      </c>
      <c r="O37" s="341" t="b">
        <v>1</v>
      </c>
      <c r="P37" s="333">
        <v>50</v>
      </c>
      <c r="Q37" s="282">
        <v>1</v>
      </c>
      <c r="R37" s="282" t="s">
        <v>22378</v>
      </c>
      <c r="S37" s="464">
        <v>43756</v>
      </c>
      <c r="T37" s="282" t="b">
        <v>0</v>
      </c>
      <c r="U37" s="341" t="b">
        <v>0</v>
      </c>
      <c r="V37" s="282" t="b">
        <v>1</v>
      </c>
      <c r="W37" s="282">
        <v>50</v>
      </c>
      <c r="X37" s="282" t="b">
        <v>0</v>
      </c>
      <c r="Y37" s="282" t="s">
        <v>21309</v>
      </c>
      <c r="Z37" s="282" t="s">
        <v>21310</v>
      </c>
    </row>
    <row r="38" ht="76.5">
      <c r="A38" s="314">
        <v>16</v>
      </c>
      <c r="B38" s="330" t="s">
        <v>21158</v>
      </c>
      <c r="C38" s="329" t="s">
        <v>20855</v>
      </c>
      <c r="D38" s="329" t="s">
        <v>22395</v>
      </c>
      <c r="E38" s="282" t="s">
        <v>21298</v>
      </c>
      <c r="F38" s="314" t="s">
        <v>22380</v>
      </c>
      <c r="G38" s="282" t="s">
        <v>21157</v>
      </c>
      <c r="H38" s="282" t="s">
        <v>21322</v>
      </c>
      <c r="I38" s="282">
        <v>3</v>
      </c>
      <c r="J38" s="282" t="s">
        <v>21042</v>
      </c>
      <c r="K38" s="282" t="s">
        <v>21327</v>
      </c>
      <c r="L38" s="282">
        <v>2100</v>
      </c>
      <c r="M38" s="282" t="s">
        <v>21430</v>
      </c>
      <c r="N38" s="341" t="s">
        <v>21159</v>
      </c>
      <c r="O38" s="341" t="b">
        <v>1</v>
      </c>
      <c r="P38" s="333">
        <v>12</v>
      </c>
      <c r="Q38" s="282">
        <v>1</v>
      </c>
      <c r="R38" s="282" t="s">
        <v>21160</v>
      </c>
      <c r="S38" s="464">
        <v>43756</v>
      </c>
      <c r="T38" s="282" t="b">
        <v>0</v>
      </c>
      <c r="U38" s="341" t="b">
        <v>0</v>
      </c>
      <c r="V38" s="282" t="b">
        <v>1</v>
      </c>
      <c r="W38" s="282">
        <v>12</v>
      </c>
      <c r="X38" s="282" t="b">
        <v>0</v>
      </c>
      <c r="Y38" s="282" t="s">
        <v>21309</v>
      </c>
      <c r="Z38" s="282" t="s">
        <v>21310</v>
      </c>
    </row>
    <row r="39" ht="76.5">
      <c r="G39" s="282" t="s">
        <v>21157</v>
      </c>
      <c r="H39" s="282" t="s">
        <v>21323</v>
      </c>
      <c r="I39" s="282">
        <v>3</v>
      </c>
      <c r="J39" s="282" t="s">
        <v>21324</v>
      </c>
      <c r="K39" s="282" t="s">
        <v>21327</v>
      </c>
      <c r="L39" s="282">
        <v>1800</v>
      </c>
      <c r="M39" s="282" t="s">
        <v>21430</v>
      </c>
      <c r="O39" s="341" t="b">
        <v>1</v>
      </c>
      <c r="P39" s="333">
        <v>12</v>
      </c>
      <c r="Q39" s="282">
        <v>1</v>
      </c>
      <c r="R39" s="282" t="s">
        <v>22378</v>
      </c>
      <c r="S39" s="464">
        <v>43756</v>
      </c>
      <c r="T39" s="282" t="b">
        <v>0</v>
      </c>
      <c r="U39" s="341" t="b">
        <v>0</v>
      </c>
      <c r="V39" s="282" t="b">
        <v>1</v>
      </c>
      <c r="W39" s="282">
        <v>12</v>
      </c>
      <c r="X39" s="282" t="b">
        <v>0</v>
      </c>
      <c r="Y39" s="282" t="s">
        <v>21309</v>
      </c>
      <c r="Z39" s="282" t="s">
        <v>21310</v>
      </c>
    </row>
    <row r="40" ht="76.5">
      <c r="A40" s="314">
        <v>17</v>
      </c>
      <c r="B40" s="330" t="s">
        <v>21162</v>
      </c>
      <c r="C40" s="329" t="s">
        <v>20855</v>
      </c>
      <c r="D40" s="329" t="s">
        <v>22396</v>
      </c>
      <c r="E40" s="282" t="s">
        <v>21298</v>
      </c>
      <c r="F40" s="314" t="s">
        <v>22380</v>
      </c>
      <c r="G40" s="282" t="s">
        <v>21161</v>
      </c>
      <c r="H40" s="282" t="s">
        <v>21322</v>
      </c>
      <c r="I40" s="282">
        <v>3</v>
      </c>
      <c r="J40" s="282" t="s">
        <v>21042</v>
      </c>
      <c r="K40" s="282" t="s">
        <v>21327</v>
      </c>
      <c r="L40" s="282">
        <v>2100</v>
      </c>
      <c r="M40" s="282" t="s">
        <v>21436</v>
      </c>
      <c r="N40" s="341" t="s">
        <v>21163</v>
      </c>
      <c r="O40" s="341" t="b">
        <v>1</v>
      </c>
      <c r="P40" s="333">
        <v>24</v>
      </c>
      <c r="Q40" s="282">
        <v>1</v>
      </c>
      <c r="R40" s="282" t="s">
        <v>21164</v>
      </c>
      <c r="S40" s="464">
        <v>43756</v>
      </c>
      <c r="T40" s="282" t="b">
        <v>0</v>
      </c>
      <c r="U40" s="341" t="b">
        <v>0</v>
      </c>
      <c r="V40" s="282" t="b">
        <v>1</v>
      </c>
      <c r="W40" s="282">
        <v>24</v>
      </c>
      <c r="X40" s="282" t="b">
        <v>0</v>
      </c>
      <c r="Y40" s="282" t="s">
        <v>21309</v>
      </c>
      <c r="Z40" s="282" t="s">
        <v>21310</v>
      </c>
    </row>
    <row r="41" ht="76.5">
      <c r="G41" s="282" t="s">
        <v>21161</v>
      </c>
      <c r="H41" s="282" t="s">
        <v>21323</v>
      </c>
      <c r="I41" s="282">
        <v>3</v>
      </c>
      <c r="J41" s="282" t="s">
        <v>21324</v>
      </c>
      <c r="K41" s="282" t="s">
        <v>21327</v>
      </c>
      <c r="L41" s="282">
        <v>1800</v>
      </c>
      <c r="M41" s="282" t="s">
        <v>21436</v>
      </c>
      <c r="O41" s="341" t="b">
        <v>1</v>
      </c>
      <c r="P41" s="333">
        <v>24</v>
      </c>
      <c r="Q41" s="282">
        <v>1</v>
      </c>
      <c r="R41" s="282" t="s">
        <v>22378</v>
      </c>
      <c r="S41" s="464">
        <v>43756</v>
      </c>
      <c r="T41" s="282" t="b">
        <v>0</v>
      </c>
      <c r="U41" s="341" t="b">
        <v>0</v>
      </c>
      <c r="V41" s="282" t="b">
        <v>1</v>
      </c>
      <c r="W41" s="282">
        <v>24</v>
      </c>
      <c r="X41" s="282" t="b">
        <v>0</v>
      </c>
      <c r="Y41" s="282" t="s">
        <v>21309</v>
      </c>
      <c r="Z41" s="282" t="s">
        <v>21310</v>
      </c>
    </row>
    <row r="42" ht="76.5">
      <c r="A42" s="314">
        <v>18</v>
      </c>
      <c r="B42" s="330" t="s">
        <v>21166</v>
      </c>
      <c r="C42" s="329" t="s">
        <v>20855</v>
      </c>
      <c r="D42" s="329" t="s">
        <v>22397</v>
      </c>
      <c r="E42" s="282" t="s">
        <v>21298</v>
      </c>
      <c r="F42" s="314" t="s">
        <v>22380</v>
      </c>
      <c r="G42" s="282" t="s">
        <v>21165</v>
      </c>
      <c r="H42" s="282" t="s">
        <v>21322</v>
      </c>
      <c r="I42" s="282">
        <v>3</v>
      </c>
      <c r="J42" s="282" t="s">
        <v>21042</v>
      </c>
      <c r="K42" s="282" t="s">
        <v>21327</v>
      </c>
      <c r="L42" s="282">
        <v>2100</v>
      </c>
      <c r="M42" s="282" t="s">
        <v>21441</v>
      </c>
      <c r="N42" s="341" t="s">
        <v>21167</v>
      </c>
      <c r="O42" s="341" t="b">
        <v>1</v>
      </c>
      <c r="P42" s="333">
        <v>12</v>
      </c>
      <c r="Q42" s="282">
        <v>1</v>
      </c>
      <c r="R42" s="282" t="s">
        <v>21168</v>
      </c>
      <c r="S42" s="464">
        <v>43756</v>
      </c>
      <c r="T42" s="282" t="b">
        <v>0</v>
      </c>
      <c r="U42" s="341" t="b">
        <v>0</v>
      </c>
      <c r="V42" s="282" t="b">
        <v>1</v>
      </c>
      <c r="W42" s="282">
        <v>12</v>
      </c>
      <c r="X42" s="282" t="b">
        <v>0</v>
      </c>
      <c r="Y42" s="282" t="s">
        <v>21309</v>
      </c>
      <c r="Z42" s="282" t="s">
        <v>21310</v>
      </c>
    </row>
    <row r="43" ht="76.5">
      <c r="G43" s="282" t="s">
        <v>21165</v>
      </c>
      <c r="H43" s="282" t="s">
        <v>21323</v>
      </c>
      <c r="I43" s="282">
        <v>3</v>
      </c>
      <c r="J43" s="282" t="s">
        <v>21324</v>
      </c>
      <c r="K43" s="282" t="s">
        <v>21327</v>
      </c>
      <c r="L43" s="282">
        <v>1800</v>
      </c>
      <c r="M43" s="282" t="s">
        <v>21441</v>
      </c>
      <c r="O43" s="341" t="b">
        <v>1</v>
      </c>
      <c r="P43" s="333">
        <v>12</v>
      </c>
      <c r="Q43" s="282">
        <v>1</v>
      </c>
      <c r="R43" s="282" t="s">
        <v>22378</v>
      </c>
      <c r="S43" s="464">
        <v>43756</v>
      </c>
      <c r="T43" s="282" t="b">
        <v>0</v>
      </c>
      <c r="U43" s="341" t="b">
        <v>0</v>
      </c>
      <c r="V43" s="282" t="b">
        <v>1</v>
      </c>
      <c r="W43" s="282">
        <v>12</v>
      </c>
      <c r="X43" s="282" t="b">
        <v>0</v>
      </c>
      <c r="Y43" s="282" t="s">
        <v>21309</v>
      </c>
      <c r="Z43" s="282" t="s">
        <v>21310</v>
      </c>
    </row>
    <row r="44" ht="76.5">
      <c r="A44" s="314">
        <v>19</v>
      </c>
      <c r="B44" s="330" t="s">
        <v>21170</v>
      </c>
      <c r="C44" s="329" t="s">
        <v>20855</v>
      </c>
      <c r="D44" s="329" t="s">
        <v>22398</v>
      </c>
      <c r="E44" s="282" t="s">
        <v>21298</v>
      </c>
      <c r="F44" s="314" t="s">
        <v>22380</v>
      </c>
      <c r="G44" s="282" t="s">
        <v>21169</v>
      </c>
      <c r="H44" s="282" t="s">
        <v>21322</v>
      </c>
      <c r="I44" s="282">
        <v>3</v>
      </c>
      <c r="J44" s="282" t="s">
        <v>21042</v>
      </c>
      <c r="K44" s="282" t="s">
        <v>21327</v>
      </c>
      <c r="L44" s="282">
        <v>2100</v>
      </c>
      <c r="M44" s="282" t="s">
        <v>21414</v>
      </c>
      <c r="N44" s="341" t="s">
        <v>21171</v>
      </c>
      <c r="O44" s="341" t="b">
        <v>1</v>
      </c>
      <c r="P44" s="334">
        <v>20</v>
      </c>
      <c r="Q44" s="282">
        <v>1</v>
      </c>
      <c r="R44" s="282" t="s">
        <v>21172</v>
      </c>
      <c r="S44" s="464">
        <v>43756</v>
      </c>
      <c r="T44" s="282" t="b">
        <v>0</v>
      </c>
      <c r="U44" s="341" t="b">
        <v>0</v>
      </c>
      <c r="V44" s="282" t="b">
        <v>1</v>
      </c>
      <c r="W44" s="282">
        <v>20</v>
      </c>
      <c r="X44" s="282" t="b">
        <v>0</v>
      </c>
      <c r="Y44" s="282" t="s">
        <v>21309</v>
      </c>
      <c r="Z44" s="282" t="s">
        <v>21310</v>
      </c>
    </row>
    <row r="45" ht="76.5">
      <c r="G45" s="282" t="s">
        <v>21169</v>
      </c>
      <c r="H45" s="282" t="s">
        <v>21323</v>
      </c>
      <c r="I45" s="282">
        <v>3</v>
      </c>
      <c r="J45" s="282" t="s">
        <v>21324</v>
      </c>
      <c r="K45" s="282" t="s">
        <v>21327</v>
      </c>
      <c r="L45" s="282">
        <v>1800</v>
      </c>
      <c r="M45" s="282" t="s">
        <v>21414</v>
      </c>
      <c r="O45" s="341" t="b">
        <v>1</v>
      </c>
      <c r="P45" s="334">
        <v>20</v>
      </c>
      <c r="Q45" s="282">
        <v>1</v>
      </c>
      <c r="R45" s="282" t="s">
        <v>22378</v>
      </c>
      <c r="S45" s="464">
        <v>43756</v>
      </c>
      <c r="T45" s="282" t="b">
        <v>0</v>
      </c>
      <c r="U45" s="341" t="b">
        <v>0</v>
      </c>
      <c r="V45" s="282" t="b">
        <v>1</v>
      </c>
      <c r="W45" s="282">
        <v>20</v>
      </c>
      <c r="X45" s="282" t="b">
        <v>0</v>
      </c>
      <c r="Y45" s="282" t="s">
        <v>21309</v>
      </c>
      <c r="Z45" s="282" t="s">
        <v>21310</v>
      </c>
    </row>
    <row r="46" ht="38.25">
      <c r="A46" s="314">
        <v>20</v>
      </c>
      <c r="B46" s="330" t="s">
        <v>21174</v>
      </c>
      <c r="C46" s="329" t="s">
        <v>20855</v>
      </c>
      <c r="D46" s="329" t="s">
        <v>22399</v>
      </c>
      <c r="E46" s="282" t="s">
        <v>21298</v>
      </c>
      <c r="F46" s="314" t="s">
        <v>22380</v>
      </c>
      <c r="G46" s="282" t="s">
        <v>21173</v>
      </c>
      <c r="H46" s="282" t="s">
        <v>21371</v>
      </c>
      <c r="I46" s="282">
        <v>3</v>
      </c>
      <c r="J46" s="282" t="s">
        <v>21042</v>
      </c>
      <c r="K46" s="282" t="s">
        <v>21325</v>
      </c>
      <c r="L46" s="282">
        <v>900</v>
      </c>
      <c r="M46" s="282" t="s">
        <v>21450</v>
      </c>
      <c r="N46" s="341" t="s">
        <v>21175</v>
      </c>
      <c r="O46" s="341" t="b">
        <v>1</v>
      </c>
      <c r="P46" s="334">
        <v>12</v>
      </c>
      <c r="Q46" s="282">
        <v>3</v>
      </c>
      <c r="R46" s="282" t="s">
        <v>21176</v>
      </c>
      <c r="S46" s="464">
        <v>43756</v>
      </c>
      <c r="T46" s="282" t="b">
        <v>0</v>
      </c>
      <c r="U46" s="341" t="b">
        <v>0</v>
      </c>
      <c r="V46" s="282" t="b">
        <v>1</v>
      </c>
      <c r="W46" s="282">
        <v>12</v>
      </c>
      <c r="X46" s="282" t="b">
        <v>0</v>
      </c>
      <c r="Y46" s="282" t="s">
        <v>21309</v>
      </c>
      <c r="Z46" s="282" t="s">
        <v>21310</v>
      </c>
    </row>
    <row r="47" ht="38.25">
      <c r="G47" s="282" t="s">
        <v>21173</v>
      </c>
      <c r="H47" s="282" t="s">
        <v>21372</v>
      </c>
      <c r="I47" s="282">
        <v>3</v>
      </c>
      <c r="J47" s="282" t="s">
        <v>21042</v>
      </c>
      <c r="K47" s="282" t="s">
        <v>21327</v>
      </c>
      <c r="L47" s="282">
        <v>2100</v>
      </c>
      <c r="M47" s="282" t="s">
        <v>21450</v>
      </c>
      <c r="O47" s="341" t="b">
        <v>1</v>
      </c>
      <c r="P47" s="334">
        <v>12</v>
      </c>
      <c r="Q47" s="282">
        <v>3</v>
      </c>
      <c r="R47" s="282" t="s">
        <v>22378</v>
      </c>
      <c r="S47" s="464">
        <v>43756</v>
      </c>
      <c r="T47" s="282" t="b">
        <v>0</v>
      </c>
      <c r="U47" s="341" t="b">
        <v>0</v>
      </c>
      <c r="V47" s="282" t="b">
        <v>1</v>
      </c>
      <c r="W47" s="282">
        <v>12</v>
      </c>
      <c r="X47" s="282" t="b">
        <v>0</v>
      </c>
      <c r="Y47" s="282" t="s">
        <v>21309</v>
      </c>
      <c r="Z47" s="282" t="s">
        <v>21310</v>
      </c>
    </row>
    <row r="48" ht="25.5">
      <c r="A48" s="314">
        <v>21</v>
      </c>
      <c r="B48" s="330" t="s">
        <v>21178</v>
      </c>
      <c r="C48" s="329" t="s">
        <v>20855</v>
      </c>
      <c r="D48" s="329" t="s">
        <v>22400</v>
      </c>
      <c r="E48" s="282" t="s">
        <v>21298</v>
      </c>
      <c r="F48" s="314" t="s">
        <v>22377</v>
      </c>
      <c r="G48" s="282" t="s">
        <v>21177</v>
      </c>
      <c r="H48" s="282" t="s">
        <v>21371</v>
      </c>
      <c r="I48" s="282">
        <v>3</v>
      </c>
      <c r="J48" s="282" t="s">
        <v>21042</v>
      </c>
      <c r="K48" s="282" t="s">
        <v>21325</v>
      </c>
      <c r="L48" s="282">
        <v>900</v>
      </c>
      <c r="M48" s="282" t="s">
        <v>21455</v>
      </c>
      <c r="N48" s="341" t="s">
        <v>21179</v>
      </c>
      <c r="O48" s="341" t="b">
        <v>1</v>
      </c>
      <c r="P48" s="334">
        <v>12</v>
      </c>
      <c r="Q48" s="282">
        <v>3</v>
      </c>
      <c r="R48" s="282" t="s">
        <v>21180</v>
      </c>
      <c r="S48" s="464">
        <v>43756</v>
      </c>
      <c r="T48" s="282" t="b">
        <v>0</v>
      </c>
      <c r="U48" s="341" t="b">
        <v>0</v>
      </c>
      <c r="V48" s="282" t="b">
        <v>1</v>
      </c>
      <c r="W48" s="282">
        <v>12</v>
      </c>
      <c r="X48" s="282" t="b">
        <v>0</v>
      </c>
      <c r="Y48" s="282" t="s">
        <v>21309</v>
      </c>
      <c r="Z48" s="282" t="s">
        <v>21310</v>
      </c>
    </row>
    <row r="49" ht="38.25">
      <c r="G49" s="282" t="s">
        <v>21177</v>
      </c>
      <c r="H49" s="282" t="s">
        <v>21372</v>
      </c>
      <c r="I49" s="282">
        <v>3</v>
      </c>
      <c r="J49" s="282" t="s">
        <v>21042</v>
      </c>
      <c r="K49" s="282" t="s">
        <v>21327</v>
      </c>
      <c r="L49" s="282">
        <v>2100</v>
      </c>
      <c r="M49" s="282" t="s">
        <v>21457</v>
      </c>
      <c r="O49" s="341" t="b">
        <v>1</v>
      </c>
      <c r="P49" s="334">
        <v>12</v>
      </c>
      <c r="Q49" s="282">
        <v>3</v>
      </c>
      <c r="R49" s="282" t="s">
        <v>22378</v>
      </c>
      <c r="S49" s="464">
        <v>43756</v>
      </c>
      <c r="T49" s="282" t="b">
        <v>0</v>
      </c>
      <c r="U49" s="341" t="b">
        <v>0</v>
      </c>
      <c r="V49" s="282" t="b">
        <v>1</v>
      </c>
      <c r="W49" s="282">
        <v>12</v>
      </c>
      <c r="X49" s="282" t="b">
        <v>0</v>
      </c>
      <c r="Y49" s="282" t="s">
        <v>21309</v>
      </c>
      <c r="Z49" s="282" t="s">
        <v>21310</v>
      </c>
    </row>
    <row r="50" ht="76.5">
      <c r="G50" s="282" t="s">
        <v>21177</v>
      </c>
      <c r="H50" s="282" t="s">
        <v>21323</v>
      </c>
      <c r="I50" s="282">
        <v>3</v>
      </c>
      <c r="J50" s="282" t="s">
        <v>21324</v>
      </c>
      <c r="K50" s="282" t="s">
        <v>21327</v>
      </c>
      <c r="L50" s="282">
        <v>1800</v>
      </c>
      <c r="M50" s="282" t="s">
        <v>21455</v>
      </c>
      <c r="O50" s="341" t="b">
        <v>1</v>
      </c>
      <c r="P50" s="334">
        <v>12</v>
      </c>
      <c r="Q50" s="282">
        <v>3</v>
      </c>
      <c r="R50" s="282" t="s">
        <v>22378</v>
      </c>
      <c r="S50" s="464">
        <v>43756</v>
      </c>
      <c r="T50" s="282" t="b">
        <v>0</v>
      </c>
      <c r="U50" s="341" t="b">
        <v>0</v>
      </c>
      <c r="V50" s="282" t="b">
        <v>1</v>
      </c>
      <c r="W50" s="282">
        <v>12</v>
      </c>
      <c r="X50" s="282" t="b">
        <v>0</v>
      </c>
      <c r="Y50" s="282" t="s">
        <v>21309</v>
      </c>
      <c r="Z50" s="282" t="s">
        <v>21310</v>
      </c>
    </row>
    <row r="51" ht="38.25">
      <c r="A51" s="314">
        <v>22</v>
      </c>
      <c r="B51" s="330" t="s">
        <v>21182</v>
      </c>
      <c r="C51" s="329" t="s">
        <v>20855</v>
      </c>
      <c r="D51" s="329" t="s">
        <v>22401</v>
      </c>
      <c r="E51" s="282" t="s">
        <v>21298</v>
      </c>
      <c r="F51" s="314" t="s">
        <v>22402</v>
      </c>
      <c r="G51" s="282" t="s">
        <v>21181</v>
      </c>
      <c r="H51" s="282" t="s">
        <v>21371</v>
      </c>
      <c r="I51" s="282">
        <v>3</v>
      </c>
      <c r="J51" s="282" t="s">
        <v>21042</v>
      </c>
      <c r="K51" s="282" t="s">
        <v>21325</v>
      </c>
      <c r="L51" s="282">
        <v>900</v>
      </c>
      <c r="M51" s="282" t="s">
        <v>21373</v>
      </c>
      <c r="N51" s="341" t="s">
        <v>21183</v>
      </c>
      <c r="O51" s="341" t="b">
        <v>1</v>
      </c>
      <c r="P51" s="334">
        <v>8</v>
      </c>
      <c r="Q51" s="282">
        <v>3</v>
      </c>
      <c r="R51" s="282" t="s">
        <v>21184</v>
      </c>
      <c r="S51" s="464">
        <v>43756</v>
      </c>
      <c r="T51" s="282" t="b">
        <v>0</v>
      </c>
      <c r="U51" s="341" t="b">
        <v>0</v>
      </c>
      <c r="V51" s="282" t="b">
        <v>1</v>
      </c>
      <c r="W51" s="282">
        <v>8</v>
      </c>
      <c r="X51" s="282" t="b">
        <v>0</v>
      </c>
      <c r="Y51" s="282" t="s">
        <v>21309</v>
      </c>
      <c r="Z51" s="282" t="s">
        <v>21310</v>
      </c>
    </row>
    <row r="52" ht="25.5">
      <c r="G52" s="282" t="s">
        <v>21181</v>
      </c>
      <c r="H52" s="282" t="s">
        <v>21371</v>
      </c>
      <c r="I52" s="282">
        <v>3</v>
      </c>
      <c r="J52" s="282" t="s">
        <v>21042</v>
      </c>
      <c r="K52" s="282" t="s">
        <v>21325</v>
      </c>
      <c r="L52" s="282">
        <v>1800</v>
      </c>
      <c r="M52" s="282" t="s">
        <v>21373</v>
      </c>
      <c r="O52" s="341" t="b">
        <v>1</v>
      </c>
      <c r="P52" s="334">
        <v>8</v>
      </c>
      <c r="Q52" s="282">
        <v>3</v>
      </c>
      <c r="R52" s="282" t="s">
        <v>22378</v>
      </c>
      <c r="S52" s="464">
        <v>43756</v>
      </c>
      <c r="T52" s="282" t="b">
        <v>0</v>
      </c>
      <c r="U52" s="341" t="b">
        <v>0</v>
      </c>
      <c r="V52" s="282" t="b">
        <v>1</v>
      </c>
      <c r="W52" s="282">
        <v>8</v>
      </c>
      <c r="X52" s="282" t="b">
        <v>0</v>
      </c>
      <c r="Y52" s="282" t="s">
        <v>21309</v>
      </c>
      <c r="Z52" s="282" t="s">
        <v>21310</v>
      </c>
    </row>
    <row r="53" ht="38.25">
      <c r="G53" s="282" t="s">
        <v>21181</v>
      </c>
      <c r="H53" s="282" t="s">
        <v>21372</v>
      </c>
      <c r="I53" s="282">
        <v>3</v>
      </c>
      <c r="J53" s="282" t="s">
        <v>21042</v>
      </c>
      <c r="K53" s="282" t="s">
        <v>21327</v>
      </c>
      <c r="L53" s="282">
        <v>2100</v>
      </c>
      <c r="M53" s="282" t="s">
        <v>21373</v>
      </c>
      <c r="O53" s="341" t="b">
        <v>1</v>
      </c>
      <c r="P53" s="334">
        <v>8</v>
      </c>
      <c r="Q53" s="282">
        <v>3</v>
      </c>
      <c r="R53" s="282" t="s">
        <v>22378</v>
      </c>
      <c r="S53" s="464">
        <v>43756</v>
      </c>
      <c r="T53" s="282" t="b">
        <v>0</v>
      </c>
      <c r="U53" s="341" t="b">
        <v>0</v>
      </c>
      <c r="V53" s="282" t="b">
        <v>1</v>
      </c>
      <c r="W53" s="282">
        <v>8</v>
      </c>
      <c r="X53" s="282" t="b">
        <v>0</v>
      </c>
      <c r="Y53" s="282" t="s">
        <v>21309</v>
      </c>
      <c r="Z53" s="282" t="s">
        <v>21310</v>
      </c>
    </row>
    <row r="54" ht="76.5">
      <c r="G54" s="282" t="s">
        <v>21181</v>
      </c>
      <c r="H54" s="282" t="s">
        <v>21323</v>
      </c>
      <c r="I54" s="282">
        <v>3</v>
      </c>
      <c r="J54" s="282" t="s">
        <v>21324</v>
      </c>
      <c r="K54" s="282" t="s">
        <v>21327</v>
      </c>
      <c r="L54" s="282">
        <v>1800</v>
      </c>
      <c r="M54" s="282" t="s">
        <v>21373</v>
      </c>
      <c r="O54" s="341" t="b">
        <v>1</v>
      </c>
      <c r="P54" s="334">
        <v>8</v>
      </c>
      <c r="Q54" s="282">
        <v>3</v>
      </c>
      <c r="R54" s="282" t="s">
        <v>22378</v>
      </c>
      <c r="S54" s="464">
        <v>43756</v>
      </c>
      <c r="T54" s="282" t="b">
        <v>0</v>
      </c>
      <c r="U54" s="341" t="b">
        <v>0</v>
      </c>
      <c r="V54" s="282" t="b">
        <v>1</v>
      </c>
      <c r="W54" s="282">
        <v>8</v>
      </c>
      <c r="X54" s="282" t="b">
        <v>0</v>
      </c>
      <c r="Y54" s="282" t="s">
        <v>21309</v>
      </c>
      <c r="Z54" s="282" t="s">
        <v>21310</v>
      </c>
    </row>
    <row r="55" ht="76.5">
      <c r="A55" s="314">
        <v>23</v>
      </c>
      <c r="B55" s="330" t="s">
        <v>21186</v>
      </c>
      <c r="C55" s="329" t="s">
        <v>20855</v>
      </c>
      <c r="D55" s="329" t="s">
        <v>22403</v>
      </c>
      <c r="E55" s="282" t="s">
        <v>21298</v>
      </c>
      <c r="F55" s="314" t="s">
        <v>22380</v>
      </c>
      <c r="G55" s="282" t="s">
        <v>21185</v>
      </c>
      <c r="H55" s="282" t="s">
        <v>21322</v>
      </c>
      <c r="I55" s="282">
        <v>3</v>
      </c>
      <c r="J55" s="282" t="s">
        <v>21042</v>
      </c>
      <c r="K55" s="282" t="s">
        <v>21327</v>
      </c>
      <c r="L55" s="282">
        <v>2100</v>
      </c>
      <c r="M55" s="282" t="s">
        <v>21474</v>
      </c>
      <c r="N55" s="341" t="s">
        <v>21187</v>
      </c>
      <c r="O55" s="341" t="b">
        <v>1</v>
      </c>
      <c r="P55" s="334">
        <v>5</v>
      </c>
      <c r="Q55" s="282">
        <v>1</v>
      </c>
      <c r="R55" s="282" t="s">
        <v>21188</v>
      </c>
      <c r="S55" s="464">
        <v>43756</v>
      </c>
      <c r="T55" s="282" t="b">
        <v>1</v>
      </c>
      <c r="U55" s="341" t="b">
        <v>1</v>
      </c>
      <c r="V55" s="282" t="b">
        <v>1</v>
      </c>
      <c r="W55" s="282">
        <v>5</v>
      </c>
      <c r="X55" s="282" t="b">
        <v>0</v>
      </c>
      <c r="Y55" s="282" t="s">
        <v>21309</v>
      </c>
      <c r="Z55" s="282" t="s">
        <v>21310</v>
      </c>
    </row>
    <row r="56" ht="76.5">
      <c r="G56" s="282" t="s">
        <v>21185</v>
      </c>
      <c r="H56" s="282" t="s">
        <v>21323</v>
      </c>
      <c r="I56" s="282">
        <v>3</v>
      </c>
      <c r="J56" s="282" t="s">
        <v>21324</v>
      </c>
      <c r="K56" s="282" t="s">
        <v>21327</v>
      </c>
      <c r="L56" s="282">
        <v>1800</v>
      </c>
      <c r="M56" s="282" t="s">
        <v>21474</v>
      </c>
      <c r="O56" s="341" t="b">
        <v>1</v>
      </c>
      <c r="P56" s="334">
        <v>5</v>
      </c>
      <c r="Q56" s="282">
        <v>1</v>
      </c>
      <c r="R56" s="282" t="s">
        <v>22378</v>
      </c>
      <c r="S56" s="464">
        <v>43756</v>
      </c>
      <c r="T56" s="282" t="b">
        <v>1</v>
      </c>
      <c r="U56" s="341" t="b">
        <v>0</v>
      </c>
      <c r="V56" s="282" t="b">
        <v>1</v>
      </c>
      <c r="W56" s="282">
        <v>5</v>
      </c>
      <c r="X56" s="282" t="b">
        <v>0</v>
      </c>
      <c r="Y56" s="282" t="s">
        <v>21309</v>
      </c>
      <c r="Z56" s="282" t="s">
        <v>21310</v>
      </c>
    </row>
    <row r="57" ht="76.5">
      <c r="A57" s="314">
        <v>24</v>
      </c>
      <c r="B57" s="330" t="s">
        <v>21190</v>
      </c>
      <c r="C57" s="329" t="s">
        <v>20855</v>
      </c>
      <c r="D57" s="329" t="s">
        <v>22404</v>
      </c>
      <c r="E57" s="282" t="s">
        <v>21298</v>
      </c>
      <c r="F57" s="314" t="s">
        <v>22380</v>
      </c>
      <c r="G57" s="282" t="s">
        <v>21189</v>
      </c>
      <c r="H57" s="282" t="s">
        <v>21322</v>
      </c>
      <c r="I57" s="282">
        <v>3</v>
      </c>
      <c r="J57" s="282" t="s">
        <v>21042</v>
      </c>
      <c r="K57" s="282" t="s">
        <v>21327</v>
      </c>
      <c r="L57" s="282">
        <v>2100</v>
      </c>
      <c r="M57" s="282" t="s">
        <v>21480</v>
      </c>
      <c r="N57" s="341" t="s">
        <v>21191</v>
      </c>
      <c r="O57" s="341" t="b">
        <v>1</v>
      </c>
      <c r="P57" s="334">
        <v>0</v>
      </c>
      <c r="Q57" s="282">
        <v>1</v>
      </c>
      <c r="R57" s="282" t="s">
        <v>21192</v>
      </c>
      <c r="S57" s="464">
        <v>43756</v>
      </c>
      <c r="T57" s="282" t="b">
        <v>1</v>
      </c>
      <c r="U57" s="341" t="b">
        <v>0</v>
      </c>
      <c r="V57" s="282" t="b">
        <v>0</v>
      </c>
      <c r="W57" s="282">
        <v>0</v>
      </c>
      <c r="X57" s="282" t="b">
        <v>0</v>
      </c>
      <c r="Y57" s="282" t="s">
        <v>21309</v>
      </c>
      <c r="Z57" s="282" t="s">
        <v>21310</v>
      </c>
    </row>
    <row r="58" ht="76.5">
      <c r="G58" s="282" t="s">
        <v>21189</v>
      </c>
      <c r="H58" s="282" t="s">
        <v>21323</v>
      </c>
      <c r="I58" s="282">
        <v>3</v>
      </c>
      <c r="J58" s="282" t="s">
        <v>21324</v>
      </c>
      <c r="K58" s="282" t="s">
        <v>21327</v>
      </c>
      <c r="L58" s="282">
        <v>1800</v>
      </c>
      <c r="M58" s="282" t="s">
        <v>21480</v>
      </c>
      <c r="O58" s="341" t="b">
        <v>1</v>
      </c>
      <c r="P58" s="334">
        <v>0</v>
      </c>
      <c r="Q58" s="282">
        <v>1</v>
      </c>
      <c r="R58" s="282" t="s">
        <v>22378</v>
      </c>
      <c r="S58" s="464">
        <v>43756</v>
      </c>
      <c r="T58" s="282" t="b">
        <v>1</v>
      </c>
      <c r="U58" s="341" t="b">
        <v>0</v>
      </c>
      <c r="V58" s="282" t="b">
        <v>0</v>
      </c>
      <c r="W58" s="282">
        <v>0</v>
      </c>
      <c r="X58" s="282" t="b">
        <v>0</v>
      </c>
      <c r="Y58" s="282" t="s">
        <v>21309</v>
      </c>
      <c r="Z58" s="282" t="s">
        <v>21310</v>
      </c>
    </row>
    <row r="59" ht="63.75">
      <c r="A59" s="314">
        <v>25</v>
      </c>
      <c r="B59" s="330" t="s">
        <v>21194</v>
      </c>
      <c r="C59" s="329" t="s">
        <v>20855</v>
      </c>
      <c r="D59" s="329" t="s">
        <v>22405</v>
      </c>
      <c r="E59" s="282" t="s">
        <v>21298</v>
      </c>
      <c r="F59" s="314" t="s">
        <v>22377</v>
      </c>
      <c r="G59" s="282" t="s">
        <v>21193</v>
      </c>
      <c r="H59" s="282" t="s">
        <v>21321</v>
      </c>
      <c r="I59" s="282">
        <v>3</v>
      </c>
      <c r="J59" s="282" t="s">
        <v>21042</v>
      </c>
      <c r="K59" s="282" t="s">
        <v>21325</v>
      </c>
      <c r="L59" s="282">
        <v>900</v>
      </c>
      <c r="M59" s="282" t="s">
        <v>21486</v>
      </c>
      <c r="N59" s="341" t="s">
        <v>21195</v>
      </c>
      <c r="O59" s="341" t="b">
        <v>1</v>
      </c>
      <c r="P59" s="334">
        <v>50</v>
      </c>
      <c r="Q59" s="282">
        <v>3</v>
      </c>
      <c r="R59" s="282" t="s">
        <v>21196</v>
      </c>
      <c r="S59" s="464">
        <v>43756</v>
      </c>
      <c r="T59" s="282" t="b">
        <v>0</v>
      </c>
      <c r="U59" s="341" t="b">
        <v>0</v>
      </c>
      <c r="V59" s="282" t="b">
        <v>1</v>
      </c>
      <c r="W59" s="282">
        <v>50</v>
      </c>
      <c r="X59" s="282" t="b">
        <v>0</v>
      </c>
      <c r="Y59" s="282" t="s">
        <v>21309</v>
      </c>
      <c r="Z59" s="282" t="s">
        <v>21310</v>
      </c>
    </row>
    <row r="60" ht="76.5">
      <c r="G60" s="282" t="s">
        <v>21193</v>
      </c>
      <c r="H60" s="282" t="s">
        <v>21322</v>
      </c>
      <c r="I60" s="282">
        <v>3</v>
      </c>
      <c r="J60" s="282" t="s">
        <v>21042</v>
      </c>
      <c r="K60" s="282" t="s">
        <v>21327</v>
      </c>
      <c r="L60" s="282">
        <v>2100</v>
      </c>
      <c r="M60" s="282" t="s">
        <v>21486</v>
      </c>
      <c r="O60" s="341" t="b">
        <v>1</v>
      </c>
      <c r="P60" s="334">
        <v>50</v>
      </c>
      <c r="Q60" s="282">
        <v>3</v>
      </c>
      <c r="R60" s="282" t="s">
        <v>22378</v>
      </c>
      <c r="S60" s="464">
        <v>43756</v>
      </c>
      <c r="T60" s="282" t="b">
        <v>0</v>
      </c>
      <c r="U60" s="341" t="b">
        <v>0</v>
      </c>
      <c r="V60" s="282" t="b">
        <v>1</v>
      </c>
      <c r="W60" s="282">
        <v>50</v>
      </c>
      <c r="X60" s="282" t="b">
        <v>0</v>
      </c>
      <c r="Y60" s="282" t="s">
        <v>21309</v>
      </c>
      <c r="Z60" s="282" t="s">
        <v>21310</v>
      </c>
    </row>
    <row r="61" ht="76.5">
      <c r="G61" s="282" t="s">
        <v>21193</v>
      </c>
      <c r="H61" s="282" t="s">
        <v>21323</v>
      </c>
      <c r="I61" s="282">
        <v>3</v>
      </c>
      <c r="J61" s="282" t="s">
        <v>21324</v>
      </c>
      <c r="K61" s="282" t="s">
        <v>21327</v>
      </c>
      <c r="L61" s="282">
        <v>1800</v>
      </c>
      <c r="M61" s="282" t="s">
        <v>21486</v>
      </c>
      <c r="O61" s="341" t="b">
        <v>1</v>
      </c>
      <c r="P61" s="334">
        <v>50</v>
      </c>
      <c r="Q61" s="282">
        <v>3</v>
      </c>
      <c r="R61" s="282" t="s">
        <v>22378</v>
      </c>
      <c r="S61" s="464">
        <v>43756</v>
      </c>
      <c r="T61" s="282" t="b">
        <v>0</v>
      </c>
      <c r="U61" s="341" t="b">
        <v>0</v>
      </c>
      <c r="V61" s="282" t="b">
        <v>1</v>
      </c>
      <c r="W61" s="282">
        <v>50</v>
      </c>
      <c r="X61" s="282" t="b">
        <v>0</v>
      </c>
      <c r="Y61" s="282" t="s">
        <v>21309</v>
      </c>
      <c r="Z61" s="282" t="s">
        <v>21310</v>
      </c>
    </row>
    <row r="62" ht="76.5">
      <c r="A62" s="314">
        <v>26</v>
      </c>
      <c r="B62" s="330" t="s">
        <v>21198</v>
      </c>
      <c r="C62" s="329" t="s">
        <v>20855</v>
      </c>
      <c r="D62" s="329" t="s">
        <v>22406</v>
      </c>
      <c r="E62" s="282" t="s">
        <v>21298</v>
      </c>
      <c r="F62" s="314" t="s">
        <v>22380</v>
      </c>
      <c r="G62" s="282" t="s">
        <v>21197</v>
      </c>
      <c r="H62" s="282" t="s">
        <v>21322</v>
      </c>
      <c r="I62" s="282">
        <v>3</v>
      </c>
      <c r="J62" s="282" t="s">
        <v>21042</v>
      </c>
      <c r="K62" s="282" t="s">
        <v>21327</v>
      </c>
      <c r="L62" s="282">
        <v>2100</v>
      </c>
      <c r="M62" s="282" t="s">
        <v>21441</v>
      </c>
      <c r="N62" s="341" t="s">
        <v>21199</v>
      </c>
      <c r="O62" s="341" t="b">
        <v>1</v>
      </c>
      <c r="P62" s="334">
        <v>20</v>
      </c>
      <c r="Q62" s="282">
        <v>3</v>
      </c>
      <c r="R62" s="282" t="s">
        <v>21200</v>
      </c>
      <c r="S62" s="464">
        <v>43756</v>
      </c>
      <c r="T62" s="282" t="b">
        <v>0</v>
      </c>
      <c r="U62" s="341" t="b">
        <v>0</v>
      </c>
      <c r="V62" s="282" t="b">
        <v>1</v>
      </c>
      <c r="W62" s="282">
        <v>20</v>
      </c>
      <c r="X62" s="282" t="b">
        <v>0</v>
      </c>
      <c r="Y62" s="282" t="s">
        <v>21309</v>
      </c>
      <c r="Z62" s="282" t="s">
        <v>21310</v>
      </c>
    </row>
    <row r="63" ht="76.5">
      <c r="G63" s="282" t="s">
        <v>21197</v>
      </c>
      <c r="H63" s="282" t="s">
        <v>21323</v>
      </c>
      <c r="I63" s="282">
        <v>3</v>
      </c>
      <c r="J63" s="282" t="s">
        <v>21324</v>
      </c>
      <c r="K63" s="282" t="s">
        <v>21327</v>
      </c>
      <c r="L63" s="282">
        <v>1800</v>
      </c>
      <c r="M63" s="282" t="s">
        <v>21441</v>
      </c>
      <c r="O63" s="341" t="b">
        <v>1</v>
      </c>
      <c r="P63" s="334">
        <v>20</v>
      </c>
      <c r="Q63" s="282">
        <v>3</v>
      </c>
      <c r="R63" s="282" t="s">
        <v>22378</v>
      </c>
      <c r="S63" s="464">
        <v>43756</v>
      </c>
      <c r="T63" s="282" t="b">
        <v>0</v>
      </c>
      <c r="U63" s="341" t="b">
        <v>0</v>
      </c>
      <c r="V63" s="282" t="b">
        <v>1</v>
      </c>
      <c r="W63" s="282">
        <v>20</v>
      </c>
      <c r="X63" s="282" t="b">
        <v>0</v>
      </c>
      <c r="Y63" s="282" t="s">
        <v>21309</v>
      </c>
      <c r="Z63" s="282" t="s">
        <v>21310</v>
      </c>
    </row>
    <row r="64" ht="76.5">
      <c r="A64" s="314">
        <v>27</v>
      </c>
      <c r="B64" s="330" t="s">
        <v>21202</v>
      </c>
      <c r="C64" s="329" t="s">
        <v>20855</v>
      </c>
      <c r="D64" s="329" t="s">
        <v>22407</v>
      </c>
      <c r="E64" s="282" t="s">
        <v>21298</v>
      </c>
      <c r="F64" s="314" t="s">
        <v>22380</v>
      </c>
      <c r="G64" s="282" t="s">
        <v>21201</v>
      </c>
      <c r="H64" s="282" t="s">
        <v>21322</v>
      </c>
      <c r="I64" s="282">
        <v>3</v>
      </c>
      <c r="J64" s="282" t="s">
        <v>21042</v>
      </c>
      <c r="K64" s="282" t="s">
        <v>21327</v>
      </c>
      <c r="L64" s="282">
        <v>2100</v>
      </c>
      <c r="M64" s="282" t="s">
        <v>21457</v>
      </c>
      <c r="N64" s="341" t="s">
        <v>21203</v>
      </c>
      <c r="O64" s="341" t="b">
        <v>1</v>
      </c>
      <c r="P64" s="334">
        <v>16</v>
      </c>
      <c r="Q64" s="282">
        <v>3</v>
      </c>
      <c r="R64" s="282" t="s">
        <v>21204</v>
      </c>
      <c r="S64" s="464">
        <v>43756</v>
      </c>
      <c r="T64" s="282" t="b">
        <v>0</v>
      </c>
      <c r="U64" s="341" t="b">
        <v>0</v>
      </c>
      <c r="V64" s="282" t="b">
        <v>1</v>
      </c>
      <c r="W64" s="282">
        <v>16</v>
      </c>
      <c r="X64" s="282" t="b">
        <v>0</v>
      </c>
      <c r="Y64" s="282" t="s">
        <v>21309</v>
      </c>
      <c r="Z64" s="282" t="s">
        <v>21310</v>
      </c>
    </row>
    <row r="65" ht="76.5">
      <c r="G65" s="282" t="s">
        <v>21201</v>
      </c>
      <c r="H65" s="282" t="s">
        <v>21323</v>
      </c>
      <c r="I65" s="282">
        <v>3</v>
      </c>
      <c r="J65" s="282" t="s">
        <v>21324</v>
      </c>
      <c r="K65" s="282" t="s">
        <v>21327</v>
      </c>
      <c r="L65" s="282">
        <v>1800</v>
      </c>
      <c r="M65" s="282" t="s">
        <v>21457</v>
      </c>
      <c r="O65" s="341" t="b">
        <v>1</v>
      </c>
      <c r="P65" s="334">
        <v>16</v>
      </c>
      <c r="Q65" s="282">
        <v>3</v>
      </c>
      <c r="R65" s="282" t="s">
        <v>22378</v>
      </c>
      <c r="S65" s="464">
        <v>43756</v>
      </c>
      <c r="T65" s="282" t="b">
        <v>0</v>
      </c>
      <c r="U65" s="341" t="b">
        <v>0</v>
      </c>
      <c r="V65" s="282" t="b">
        <v>1</v>
      </c>
      <c r="W65" s="282">
        <v>16</v>
      </c>
      <c r="X65" s="282" t="b">
        <v>0</v>
      </c>
      <c r="Y65" s="282" t="s">
        <v>21309</v>
      </c>
      <c r="Z65" s="282" t="s">
        <v>21310</v>
      </c>
    </row>
    <row r="66" ht="76.5">
      <c r="A66" s="314">
        <v>28</v>
      </c>
      <c r="B66" s="330" t="s">
        <v>21206</v>
      </c>
      <c r="C66" s="329" t="s">
        <v>20855</v>
      </c>
      <c r="D66" s="329" t="s">
        <v>22408</v>
      </c>
      <c r="E66" s="282" t="s">
        <v>21298</v>
      </c>
      <c r="F66" s="314" t="s">
        <v>22380</v>
      </c>
      <c r="G66" s="282" t="s">
        <v>21205</v>
      </c>
      <c r="H66" s="282" t="s">
        <v>21322</v>
      </c>
      <c r="I66" s="282">
        <v>3</v>
      </c>
      <c r="J66" s="282" t="s">
        <v>21042</v>
      </c>
      <c r="K66" s="282" t="s">
        <v>21327</v>
      </c>
      <c r="L66" s="282">
        <v>2100</v>
      </c>
      <c r="M66" s="282" t="s">
        <v>21450</v>
      </c>
      <c r="N66" s="341" t="s">
        <v>21207</v>
      </c>
      <c r="O66" s="341" t="b">
        <v>1</v>
      </c>
      <c r="P66" s="334">
        <v>25</v>
      </c>
      <c r="Q66" s="282">
        <v>1</v>
      </c>
      <c r="R66" s="282" t="s">
        <v>21208</v>
      </c>
      <c r="S66" s="464">
        <v>43756</v>
      </c>
      <c r="T66" s="282" t="b">
        <v>0</v>
      </c>
      <c r="U66" s="341" t="b">
        <v>0</v>
      </c>
      <c r="V66" s="282" t="b">
        <v>1</v>
      </c>
      <c r="W66" s="282">
        <v>25</v>
      </c>
      <c r="X66" s="282" t="b">
        <v>0</v>
      </c>
      <c r="Y66" s="282" t="s">
        <v>21309</v>
      </c>
      <c r="Z66" s="282" t="s">
        <v>21310</v>
      </c>
    </row>
    <row r="67" ht="76.5">
      <c r="G67" s="282" t="s">
        <v>21205</v>
      </c>
      <c r="H67" s="282" t="s">
        <v>21323</v>
      </c>
      <c r="I67" s="282">
        <v>3</v>
      </c>
      <c r="J67" s="282" t="s">
        <v>21324</v>
      </c>
      <c r="K67" s="282" t="s">
        <v>21327</v>
      </c>
      <c r="L67" s="282">
        <v>1800</v>
      </c>
      <c r="M67" s="282" t="s">
        <v>21450</v>
      </c>
      <c r="O67" s="341" t="b">
        <v>1</v>
      </c>
      <c r="P67" s="334">
        <v>25</v>
      </c>
      <c r="Q67" s="282">
        <v>1</v>
      </c>
      <c r="R67" s="282" t="s">
        <v>22378</v>
      </c>
      <c r="S67" s="464">
        <v>43756</v>
      </c>
      <c r="T67" s="282" t="b">
        <v>0</v>
      </c>
      <c r="U67" s="341" t="b">
        <v>0</v>
      </c>
      <c r="V67" s="282" t="b">
        <v>1</v>
      </c>
      <c r="W67" s="282">
        <v>25</v>
      </c>
      <c r="X67" s="282" t="b">
        <v>0</v>
      </c>
      <c r="Y67" s="282" t="s">
        <v>21309</v>
      </c>
      <c r="Z67" s="282" t="s">
        <v>21310</v>
      </c>
    </row>
    <row r="68" ht="76.5">
      <c r="A68" s="314">
        <v>29</v>
      </c>
      <c r="B68" s="330" t="s">
        <v>21210</v>
      </c>
      <c r="C68" s="329" t="s">
        <v>20855</v>
      </c>
      <c r="D68" s="329" t="s">
        <v>22409</v>
      </c>
      <c r="E68" s="282" t="s">
        <v>21298</v>
      </c>
      <c r="F68" s="314" t="s">
        <v>22380</v>
      </c>
      <c r="G68" s="282" t="s">
        <v>21209</v>
      </c>
      <c r="H68" s="282" t="s">
        <v>21322</v>
      </c>
      <c r="I68" s="282">
        <v>3</v>
      </c>
      <c r="J68" s="282" t="s">
        <v>21042</v>
      </c>
      <c r="K68" s="282" t="s">
        <v>21327</v>
      </c>
      <c r="L68" s="282">
        <v>2100</v>
      </c>
      <c r="M68" s="282" t="s">
        <v>21480</v>
      </c>
      <c r="N68" s="341" t="s">
        <v>21211</v>
      </c>
      <c r="O68" s="341" t="b">
        <v>1</v>
      </c>
      <c r="P68" s="334">
        <v>0</v>
      </c>
      <c r="Q68" s="282">
        <v>3</v>
      </c>
      <c r="R68" s="282" t="s">
        <v>21212</v>
      </c>
      <c r="S68" s="464">
        <v>43756</v>
      </c>
      <c r="T68" s="282" t="b">
        <v>1</v>
      </c>
      <c r="U68" s="341" t="b">
        <v>0</v>
      </c>
      <c r="V68" s="282" t="b">
        <v>0</v>
      </c>
      <c r="W68" s="282">
        <v>0</v>
      </c>
      <c r="X68" s="282" t="b">
        <v>0</v>
      </c>
      <c r="Y68" s="282" t="s">
        <v>21309</v>
      </c>
      <c r="Z68" s="282" t="s">
        <v>21310</v>
      </c>
    </row>
    <row r="69" ht="76.5">
      <c r="G69" s="282" t="s">
        <v>21209</v>
      </c>
      <c r="H69" s="282" t="s">
        <v>21323</v>
      </c>
      <c r="I69" s="282">
        <v>3</v>
      </c>
      <c r="J69" s="282" t="s">
        <v>21324</v>
      </c>
      <c r="K69" s="282" t="s">
        <v>21327</v>
      </c>
      <c r="L69" s="282">
        <v>1800</v>
      </c>
      <c r="M69" s="282" t="s">
        <v>21480</v>
      </c>
      <c r="O69" s="341" t="b">
        <v>1</v>
      </c>
      <c r="P69" s="334">
        <v>0</v>
      </c>
      <c r="Q69" s="282">
        <v>3</v>
      </c>
      <c r="R69" s="282" t="s">
        <v>22378</v>
      </c>
      <c r="S69" s="464">
        <v>43756</v>
      </c>
      <c r="T69" s="282" t="b">
        <v>1</v>
      </c>
      <c r="U69" s="341" t="b">
        <v>0</v>
      </c>
      <c r="V69" s="282" t="b">
        <v>0</v>
      </c>
      <c r="W69" s="282">
        <v>0</v>
      </c>
      <c r="X69" s="282" t="b">
        <v>0</v>
      </c>
      <c r="Y69" s="282" t="s">
        <v>21309</v>
      </c>
      <c r="Z69" s="282" t="s">
        <v>21310</v>
      </c>
    </row>
    <row r="70" ht="76.5">
      <c r="A70" s="314">
        <v>30</v>
      </c>
      <c r="B70" s="330" t="s">
        <v>21214</v>
      </c>
      <c r="C70" s="329" t="s">
        <v>20855</v>
      </c>
      <c r="D70" s="329" t="s">
        <v>22410</v>
      </c>
      <c r="E70" s="282" t="s">
        <v>21298</v>
      </c>
      <c r="F70" s="314" t="s">
        <v>22380</v>
      </c>
      <c r="G70" s="282" t="s">
        <v>21213</v>
      </c>
      <c r="H70" s="282" t="s">
        <v>21322</v>
      </c>
      <c r="I70" s="282">
        <v>3</v>
      </c>
      <c r="J70" s="282" t="s">
        <v>21042</v>
      </c>
      <c r="K70" s="282" t="s">
        <v>21327</v>
      </c>
      <c r="L70" s="282">
        <v>2100</v>
      </c>
      <c r="M70" s="282" t="s">
        <v>21450</v>
      </c>
      <c r="N70" s="341" t="s">
        <v>21215</v>
      </c>
      <c r="O70" s="341" t="b">
        <v>1</v>
      </c>
      <c r="P70" s="334">
        <v>24</v>
      </c>
      <c r="Q70" s="282">
        <v>1</v>
      </c>
      <c r="R70" s="282" t="s">
        <v>21216</v>
      </c>
      <c r="S70" s="464">
        <v>43756</v>
      </c>
      <c r="T70" s="282" t="b">
        <v>0</v>
      </c>
      <c r="U70" s="341" t="b">
        <v>0</v>
      </c>
      <c r="V70" s="282" t="b">
        <v>1</v>
      </c>
      <c r="W70" s="282">
        <v>24</v>
      </c>
      <c r="X70" s="282" t="b">
        <v>0</v>
      </c>
      <c r="Y70" s="282" t="s">
        <v>21309</v>
      </c>
      <c r="Z70" s="282" t="s">
        <v>21310</v>
      </c>
    </row>
    <row r="71" ht="76.5">
      <c r="G71" s="282" t="s">
        <v>21213</v>
      </c>
      <c r="H71" s="282" t="s">
        <v>21323</v>
      </c>
      <c r="I71" s="282">
        <v>3</v>
      </c>
      <c r="J71" s="282" t="s">
        <v>21324</v>
      </c>
      <c r="K71" s="282" t="s">
        <v>21327</v>
      </c>
      <c r="L71" s="282">
        <v>1800</v>
      </c>
      <c r="M71" s="282" t="s">
        <v>21450</v>
      </c>
      <c r="O71" s="341" t="b">
        <v>1</v>
      </c>
      <c r="P71" s="334">
        <v>24</v>
      </c>
      <c r="Q71" s="282">
        <v>1</v>
      </c>
      <c r="R71" s="282" t="s">
        <v>22378</v>
      </c>
      <c r="S71" s="464">
        <v>43756</v>
      </c>
      <c r="T71" s="282" t="b">
        <v>0</v>
      </c>
      <c r="U71" s="341" t="b">
        <v>0</v>
      </c>
      <c r="V71" s="282" t="b">
        <v>1</v>
      </c>
      <c r="W71" s="282">
        <v>24</v>
      </c>
      <c r="X71" s="282" t="b">
        <v>0</v>
      </c>
      <c r="Y71" s="282" t="s">
        <v>21309</v>
      </c>
      <c r="Z71" s="282" t="s">
        <v>21310</v>
      </c>
    </row>
    <row r="72" ht="76.5">
      <c r="A72" s="314">
        <v>31</v>
      </c>
      <c r="B72" s="330" t="s">
        <v>21218</v>
      </c>
      <c r="C72" s="329" t="s">
        <v>20855</v>
      </c>
      <c r="D72" s="329" t="s">
        <v>22411</v>
      </c>
      <c r="E72" s="282" t="s">
        <v>21298</v>
      </c>
      <c r="F72" s="314" t="s">
        <v>22380</v>
      </c>
      <c r="G72" s="282" t="s">
        <v>21217</v>
      </c>
      <c r="H72" s="282" t="s">
        <v>21322</v>
      </c>
      <c r="I72" s="282">
        <v>3</v>
      </c>
      <c r="J72" s="282" t="s">
        <v>21042</v>
      </c>
      <c r="K72" s="282" t="s">
        <v>21327</v>
      </c>
      <c r="L72" s="282">
        <v>2100</v>
      </c>
      <c r="M72" s="282" t="s">
        <v>21450</v>
      </c>
      <c r="N72" s="341" t="s">
        <v>21219</v>
      </c>
      <c r="O72" s="341" t="b">
        <v>1</v>
      </c>
      <c r="P72" s="334">
        <v>20</v>
      </c>
      <c r="Q72" s="282">
        <v>1</v>
      </c>
      <c r="R72" s="282" t="s">
        <v>21220</v>
      </c>
      <c r="S72" s="464">
        <v>43756</v>
      </c>
      <c r="T72" s="282" t="b">
        <v>0</v>
      </c>
      <c r="U72" s="341" t="b">
        <v>0</v>
      </c>
      <c r="V72" s="282" t="b">
        <v>1</v>
      </c>
      <c r="W72" s="282">
        <v>20</v>
      </c>
      <c r="X72" s="282" t="b">
        <v>0</v>
      </c>
      <c r="Y72" s="282" t="s">
        <v>21309</v>
      </c>
      <c r="Z72" s="282" t="s">
        <v>21310</v>
      </c>
    </row>
    <row r="73" ht="76.5">
      <c r="G73" s="282" t="s">
        <v>21217</v>
      </c>
      <c r="H73" s="282" t="s">
        <v>21323</v>
      </c>
      <c r="I73" s="282">
        <v>3</v>
      </c>
      <c r="J73" s="282" t="s">
        <v>21324</v>
      </c>
      <c r="K73" s="282" t="s">
        <v>21327</v>
      </c>
      <c r="L73" s="282">
        <v>1800</v>
      </c>
      <c r="M73" s="282" t="s">
        <v>21450</v>
      </c>
      <c r="O73" s="341" t="b">
        <v>1</v>
      </c>
      <c r="P73" s="334">
        <v>20</v>
      </c>
      <c r="Q73" s="282">
        <v>1</v>
      </c>
      <c r="R73" s="282" t="s">
        <v>22378</v>
      </c>
      <c r="S73" s="464">
        <v>43756</v>
      </c>
      <c r="T73" s="282" t="b">
        <v>0</v>
      </c>
      <c r="U73" s="341" t="b">
        <v>0</v>
      </c>
      <c r="V73" s="282" t="b">
        <v>1</v>
      </c>
      <c r="W73" s="282">
        <v>20</v>
      </c>
      <c r="X73" s="282" t="b">
        <v>0</v>
      </c>
      <c r="Y73" s="282" t="s">
        <v>21309</v>
      </c>
      <c r="Z73" s="282" t="s">
        <v>21310</v>
      </c>
    </row>
    <row r="74" ht="76.5">
      <c r="A74" s="314">
        <v>32</v>
      </c>
      <c r="B74" s="330" t="s">
        <v>21222</v>
      </c>
      <c r="C74" s="329" t="s">
        <v>20855</v>
      </c>
      <c r="D74" s="329" t="s">
        <v>22412</v>
      </c>
      <c r="E74" s="282" t="s">
        <v>21298</v>
      </c>
      <c r="F74" s="314" t="s">
        <v>22380</v>
      </c>
      <c r="G74" s="282" t="s">
        <v>21221</v>
      </c>
      <c r="H74" s="282" t="s">
        <v>21322</v>
      </c>
      <c r="I74" s="282">
        <v>3</v>
      </c>
      <c r="J74" s="282" t="s">
        <v>21042</v>
      </c>
      <c r="K74" s="282" t="s">
        <v>21327</v>
      </c>
      <c r="L74" s="282">
        <v>2100</v>
      </c>
      <c r="M74" s="282" t="s">
        <v>21511</v>
      </c>
      <c r="N74" s="341" t="s">
        <v>21223</v>
      </c>
      <c r="O74" s="341" t="b">
        <v>1</v>
      </c>
      <c r="P74" s="334">
        <v>12</v>
      </c>
      <c r="Q74" s="282">
        <v>1</v>
      </c>
      <c r="R74" s="282" t="s">
        <v>21224</v>
      </c>
      <c r="S74" s="464">
        <v>43756</v>
      </c>
      <c r="T74" s="282" t="b">
        <v>0</v>
      </c>
      <c r="U74" s="341" t="b">
        <v>0</v>
      </c>
      <c r="V74" s="282" t="b">
        <v>1</v>
      </c>
      <c r="W74" s="282">
        <v>12</v>
      </c>
      <c r="X74" s="282" t="b">
        <v>0</v>
      </c>
      <c r="Y74" s="282" t="s">
        <v>21309</v>
      </c>
      <c r="Z74" s="282" t="s">
        <v>21310</v>
      </c>
    </row>
    <row r="75" ht="76.5">
      <c r="G75" s="282" t="s">
        <v>21221</v>
      </c>
      <c r="H75" s="282" t="s">
        <v>21323</v>
      </c>
      <c r="I75" s="282">
        <v>3</v>
      </c>
      <c r="J75" s="282" t="s">
        <v>21324</v>
      </c>
      <c r="K75" s="282" t="s">
        <v>21327</v>
      </c>
      <c r="L75" s="282">
        <v>1800</v>
      </c>
      <c r="M75" s="282" t="s">
        <v>21511</v>
      </c>
      <c r="O75" s="341" t="b">
        <v>1</v>
      </c>
      <c r="P75" s="334">
        <v>12</v>
      </c>
      <c r="Q75" s="282">
        <v>1</v>
      </c>
      <c r="R75" s="282" t="s">
        <v>22378</v>
      </c>
      <c r="S75" s="464">
        <v>43756</v>
      </c>
      <c r="T75" s="282" t="b">
        <v>0</v>
      </c>
      <c r="U75" s="341" t="b">
        <v>0</v>
      </c>
      <c r="V75" s="282" t="b">
        <v>1</v>
      </c>
      <c r="W75" s="282">
        <v>12</v>
      </c>
      <c r="X75" s="282" t="b">
        <v>0</v>
      </c>
      <c r="Y75" s="282" t="s">
        <v>21309</v>
      </c>
      <c r="Z75" s="282" t="s">
        <v>21310</v>
      </c>
    </row>
    <row r="76" ht="76.5">
      <c r="A76" s="314">
        <v>33</v>
      </c>
      <c r="B76" s="330" t="s">
        <v>21226</v>
      </c>
      <c r="C76" s="329" t="s">
        <v>20855</v>
      </c>
      <c r="D76" s="329" t="s">
        <v>22413</v>
      </c>
      <c r="E76" s="282" t="s">
        <v>21298</v>
      </c>
      <c r="F76" s="314" t="s">
        <v>22380</v>
      </c>
      <c r="G76" s="282" t="s">
        <v>21225</v>
      </c>
      <c r="H76" s="282" t="s">
        <v>21322</v>
      </c>
      <c r="I76" s="282">
        <v>3</v>
      </c>
      <c r="J76" s="282" t="s">
        <v>21042</v>
      </c>
      <c r="K76" s="282" t="s">
        <v>21327</v>
      </c>
      <c r="L76" s="282">
        <v>2100</v>
      </c>
      <c r="M76" s="282" t="s">
        <v>21352</v>
      </c>
      <c r="N76" s="341" t="s">
        <v>21227</v>
      </c>
      <c r="O76" s="341" t="b">
        <v>1</v>
      </c>
      <c r="P76" s="334">
        <v>12</v>
      </c>
      <c r="Q76" s="282">
        <v>1</v>
      </c>
      <c r="R76" s="282" t="s">
        <v>21228</v>
      </c>
      <c r="S76" s="464">
        <v>43756</v>
      </c>
      <c r="T76" s="282" t="b">
        <v>0</v>
      </c>
      <c r="U76" s="341" t="b">
        <v>0</v>
      </c>
      <c r="V76" s="282" t="b">
        <v>1</v>
      </c>
      <c r="W76" s="282">
        <v>12</v>
      </c>
      <c r="X76" s="282" t="b">
        <v>0</v>
      </c>
      <c r="Y76" s="282" t="s">
        <v>21309</v>
      </c>
      <c r="Z76" s="282" t="s">
        <v>21310</v>
      </c>
    </row>
    <row r="77" ht="76.5">
      <c r="G77" s="282" t="s">
        <v>21225</v>
      </c>
      <c r="H77" s="282" t="s">
        <v>21323</v>
      </c>
      <c r="I77" s="282">
        <v>3</v>
      </c>
      <c r="J77" s="282" t="s">
        <v>21324</v>
      </c>
      <c r="K77" s="282" t="s">
        <v>21327</v>
      </c>
      <c r="L77" s="282">
        <v>1800</v>
      </c>
      <c r="M77" s="282" t="s">
        <v>21352</v>
      </c>
      <c r="O77" s="341" t="b">
        <v>1</v>
      </c>
      <c r="P77" s="334">
        <v>12</v>
      </c>
      <c r="Q77" s="282">
        <v>1</v>
      </c>
      <c r="R77" s="282" t="s">
        <v>22378</v>
      </c>
      <c r="S77" s="464">
        <v>43756</v>
      </c>
      <c r="T77" s="282" t="b">
        <v>0</v>
      </c>
      <c r="U77" s="341" t="b">
        <v>0</v>
      </c>
      <c r="V77" s="282" t="b">
        <v>1</v>
      </c>
      <c r="W77" s="282">
        <v>12</v>
      </c>
      <c r="X77" s="282" t="b">
        <v>0</v>
      </c>
      <c r="Y77" s="282" t="s">
        <v>21309</v>
      </c>
      <c r="Z77" s="282" t="s">
        <v>21310</v>
      </c>
    </row>
    <row r="78" ht="76.5">
      <c r="A78" s="314">
        <v>34</v>
      </c>
      <c r="B78" s="330" t="s">
        <v>21230</v>
      </c>
      <c r="C78" s="329" t="s">
        <v>20855</v>
      </c>
      <c r="D78" s="329" t="s">
        <v>22414</v>
      </c>
      <c r="E78" s="282" t="s">
        <v>21298</v>
      </c>
      <c r="F78" s="314" t="s">
        <v>22380</v>
      </c>
      <c r="G78" s="282" t="s">
        <v>21229</v>
      </c>
      <c r="H78" s="282" t="s">
        <v>21322</v>
      </c>
      <c r="I78" s="282">
        <v>3</v>
      </c>
      <c r="J78" s="282" t="s">
        <v>21042</v>
      </c>
      <c r="K78" s="282" t="s">
        <v>21327</v>
      </c>
      <c r="L78" s="282">
        <v>2100</v>
      </c>
      <c r="M78" s="282" t="s">
        <v>21511</v>
      </c>
      <c r="N78" s="341" t="s">
        <v>21231</v>
      </c>
      <c r="O78" s="341" t="b">
        <v>1</v>
      </c>
      <c r="P78" s="334">
        <v>12</v>
      </c>
      <c r="Q78" s="282">
        <v>1</v>
      </c>
      <c r="R78" s="282" t="s">
        <v>21232</v>
      </c>
      <c r="S78" s="464">
        <v>43756</v>
      </c>
      <c r="T78" s="282" t="b">
        <v>0</v>
      </c>
      <c r="U78" s="341" t="b">
        <v>0</v>
      </c>
      <c r="V78" s="282" t="b">
        <v>1</v>
      </c>
      <c r="W78" s="282">
        <v>12</v>
      </c>
      <c r="X78" s="282" t="b">
        <v>0</v>
      </c>
      <c r="Y78" s="282" t="s">
        <v>21309</v>
      </c>
      <c r="Z78" s="282" t="s">
        <v>21310</v>
      </c>
    </row>
    <row r="79" ht="76.5">
      <c r="G79" s="282" t="s">
        <v>21229</v>
      </c>
      <c r="H79" s="282" t="s">
        <v>21323</v>
      </c>
      <c r="I79" s="282">
        <v>3</v>
      </c>
      <c r="J79" s="282" t="s">
        <v>21324</v>
      </c>
      <c r="K79" s="282" t="s">
        <v>21327</v>
      </c>
      <c r="L79" s="282">
        <v>1800</v>
      </c>
      <c r="M79" s="282" t="s">
        <v>21511</v>
      </c>
      <c r="O79" s="341" t="b">
        <v>1</v>
      </c>
      <c r="P79" s="334">
        <v>12</v>
      </c>
      <c r="Q79" s="282">
        <v>1</v>
      </c>
      <c r="R79" s="282" t="s">
        <v>22378</v>
      </c>
      <c r="S79" s="464">
        <v>43756</v>
      </c>
      <c r="T79" s="282" t="b">
        <v>0</v>
      </c>
      <c r="U79" s="341" t="b">
        <v>0</v>
      </c>
      <c r="V79" s="282" t="b">
        <v>1</v>
      </c>
      <c r="W79" s="282">
        <v>12</v>
      </c>
      <c r="X79" s="282" t="b">
        <v>0</v>
      </c>
      <c r="Y79" s="282" t="s">
        <v>21309</v>
      </c>
      <c r="Z79" s="282" t="s">
        <v>21310</v>
      </c>
    </row>
    <row r="80" ht="76.5">
      <c r="A80" s="314">
        <v>35</v>
      </c>
      <c r="B80" s="330" t="s">
        <v>21234</v>
      </c>
      <c r="C80" s="329" t="s">
        <v>20855</v>
      </c>
      <c r="D80" s="329" t="s">
        <v>22415</v>
      </c>
      <c r="E80" s="282" t="s">
        <v>21298</v>
      </c>
      <c r="F80" s="314" t="s">
        <v>22380</v>
      </c>
      <c r="G80" s="282" t="s">
        <v>21233</v>
      </c>
      <c r="H80" s="282" t="s">
        <v>21322</v>
      </c>
      <c r="I80" s="282">
        <v>3</v>
      </c>
      <c r="J80" s="282" t="s">
        <v>21042</v>
      </c>
      <c r="K80" s="282" t="s">
        <v>21327</v>
      </c>
      <c r="L80" s="282">
        <v>2100</v>
      </c>
      <c r="M80" s="282" t="s">
        <v>21522</v>
      </c>
      <c r="N80" s="341" t="s">
        <v>21235</v>
      </c>
      <c r="O80" s="341" t="b">
        <v>1</v>
      </c>
      <c r="P80" s="334">
        <v>0</v>
      </c>
      <c r="Q80" s="282">
        <v>1</v>
      </c>
      <c r="R80" s="282" t="s">
        <v>21236</v>
      </c>
      <c r="S80" s="464">
        <v>43756</v>
      </c>
      <c r="T80" s="282" t="b">
        <v>1</v>
      </c>
      <c r="U80" s="341" t="b">
        <v>1</v>
      </c>
      <c r="V80" s="282" t="b">
        <v>0</v>
      </c>
      <c r="W80" s="282">
        <v>0</v>
      </c>
      <c r="X80" s="282" t="b">
        <v>0</v>
      </c>
      <c r="Y80" s="282" t="s">
        <v>21309</v>
      </c>
      <c r="Z80" s="282" t="s">
        <v>21310</v>
      </c>
    </row>
    <row r="81" ht="76.5">
      <c r="G81" s="282" t="s">
        <v>21233</v>
      </c>
      <c r="H81" s="282" t="s">
        <v>21323</v>
      </c>
      <c r="I81" s="282">
        <v>3</v>
      </c>
      <c r="J81" s="282" t="s">
        <v>21324</v>
      </c>
      <c r="K81" s="282" t="s">
        <v>21327</v>
      </c>
      <c r="L81" s="282">
        <v>1800</v>
      </c>
      <c r="M81" s="282" t="s">
        <v>21522</v>
      </c>
      <c r="O81" s="341" t="b">
        <v>1</v>
      </c>
      <c r="P81" s="334">
        <v>0</v>
      </c>
      <c r="Q81" s="282">
        <v>1</v>
      </c>
      <c r="R81" s="282" t="s">
        <v>22378</v>
      </c>
      <c r="S81" s="464">
        <v>43756</v>
      </c>
      <c r="T81" s="282" t="b">
        <v>1</v>
      </c>
      <c r="U81" s="341" t="b">
        <v>0</v>
      </c>
      <c r="V81" s="282" t="b">
        <v>0</v>
      </c>
      <c r="W81" s="282">
        <v>0</v>
      </c>
      <c r="X81" s="282" t="b">
        <v>0</v>
      </c>
      <c r="Y81" s="282" t="s">
        <v>21309</v>
      </c>
      <c r="Z81" s="282" t="s">
        <v>21310</v>
      </c>
    </row>
    <row r="82" ht="76.5">
      <c r="A82" s="314">
        <v>36</v>
      </c>
      <c r="B82" s="330" t="s">
        <v>21238</v>
      </c>
      <c r="C82" s="329" t="s">
        <v>20855</v>
      </c>
      <c r="D82" s="329" t="s">
        <v>22416</v>
      </c>
      <c r="E82" s="282" t="s">
        <v>21298</v>
      </c>
      <c r="F82" s="314" t="s">
        <v>22380</v>
      </c>
      <c r="G82" s="282" t="s">
        <v>21237</v>
      </c>
      <c r="H82" s="282" t="s">
        <v>21322</v>
      </c>
      <c r="I82" s="282">
        <v>3</v>
      </c>
      <c r="J82" s="282" t="s">
        <v>21042</v>
      </c>
      <c r="K82" s="282" t="s">
        <v>21327</v>
      </c>
      <c r="L82" s="282">
        <v>2100</v>
      </c>
      <c r="M82" s="282" t="s">
        <v>21373</v>
      </c>
      <c r="N82" s="341" t="s">
        <v>21239</v>
      </c>
      <c r="O82" s="341" t="b">
        <v>1</v>
      </c>
      <c r="P82" s="334">
        <v>16</v>
      </c>
      <c r="Q82" s="282">
        <v>1</v>
      </c>
      <c r="R82" s="282" t="s">
        <v>21240</v>
      </c>
      <c r="S82" s="464">
        <v>43756</v>
      </c>
      <c r="T82" s="282" t="b">
        <v>0</v>
      </c>
      <c r="U82" s="341" t="b">
        <v>0</v>
      </c>
      <c r="V82" s="282" t="b">
        <v>1</v>
      </c>
      <c r="W82" s="282">
        <v>16</v>
      </c>
      <c r="X82" s="282" t="b">
        <v>0</v>
      </c>
      <c r="Y82" s="282" t="s">
        <v>21309</v>
      </c>
      <c r="Z82" s="282" t="s">
        <v>21310</v>
      </c>
    </row>
    <row r="83" ht="76.5">
      <c r="G83" s="282" t="s">
        <v>21237</v>
      </c>
      <c r="H83" s="282" t="s">
        <v>21323</v>
      </c>
      <c r="I83" s="282">
        <v>3</v>
      </c>
      <c r="J83" s="282" t="s">
        <v>21324</v>
      </c>
      <c r="K83" s="282" t="s">
        <v>21327</v>
      </c>
      <c r="L83" s="282">
        <v>1800</v>
      </c>
      <c r="M83" s="282" t="s">
        <v>21373</v>
      </c>
      <c r="O83" s="341" t="b">
        <v>1</v>
      </c>
      <c r="P83" s="334">
        <v>16</v>
      </c>
      <c r="Q83" s="282">
        <v>1</v>
      </c>
      <c r="R83" s="282" t="s">
        <v>22378</v>
      </c>
      <c r="S83" s="464">
        <v>43756</v>
      </c>
      <c r="T83" s="282" t="b">
        <v>0</v>
      </c>
      <c r="U83" s="341" t="b">
        <v>0</v>
      </c>
      <c r="V83" s="282" t="b">
        <v>1</v>
      </c>
      <c r="W83" s="282">
        <v>16</v>
      </c>
      <c r="X83" s="282" t="b">
        <v>0</v>
      </c>
      <c r="Y83" s="282" t="s">
        <v>21309</v>
      </c>
      <c r="Z83" s="282" t="s">
        <v>21310</v>
      </c>
    </row>
    <row r="84" ht="25.5">
      <c r="A84" s="314">
        <v>37</v>
      </c>
      <c r="B84" s="330" t="s">
        <v>21242</v>
      </c>
      <c r="C84" s="329" t="s">
        <v>20855</v>
      </c>
      <c r="D84" s="329" t="s">
        <v>22417</v>
      </c>
      <c r="E84" s="282" t="s">
        <v>21298</v>
      </c>
      <c r="F84" s="314" t="s">
        <v>22377</v>
      </c>
      <c r="G84" s="282" t="s">
        <v>21241</v>
      </c>
      <c r="H84" s="282" t="s">
        <v>21371</v>
      </c>
      <c r="I84" s="282">
        <v>3</v>
      </c>
      <c r="J84" s="282" t="s">
        <v>21042</v>
      </c>
      <c r="K84" s="282" t="s">
        <v>21325</v>
      </c>
      <c r="L84" s="282">
        <v>900</v>
      </c>
      <c r="M84" s="282" t="s">
        <v>21538</v>
      </c>
      <c r="N84" s="341" t="s">
        <v>21243</v>
      </c>
      <c r="O84" s="341" t="b">
        <v>1</v>
      </c>
      <c r="P84" s="334">
        <v>12</v>
      </c>
      <c r="Q84" s="282">
        <v>3</v>
      </c>
      <c r="R84" s="282" t="s">
        <v>21244</v>
      </c>
      <c r="S84" s="464">
        <v>43756</v>
      </c>
      <c r="T84" s="282" t="b">
        <v>1</v>
      </c>
      <c r="U84" s="341" t="b">
        <v>0</v>
      </c>
      <c r="V84" s="282" t="b">
        <v>1</v>
      </c>
      <c r="W84" s="282">
        <v>12</v>
      </c>
      <c r="X84" s="282" t="b">
        <v>0</v>
      </c>
      <c r="Y84" s="282" t="s">
        <v>21309</v>
      </c>
      <c r="Z84" s="282" t="s">
        <v>21310</v>
      </c>
    </row>
    <row r="85" ht="38.25">
      <c r="G85" s="282" t="s">
        <v>21241</v>
      </c>
      <c r="H85" s="282" t="s">
        <v>21372</v>
      </c>
      <c r="I85" s="282">
        <v>3</v>
      </c>
      <c r="J85" s="282" t="s">
        <v>21042</v>
      </c>
      <c r="K85" s="282" t="s">
        <v>21327</v>
      </c>
      <c r="L85" s="282">
        <v>2100</v>
      </c>
      <c r="M85" s="282" t="s">
        <v>21538</v>
      </c>
      <c r="O85" s="341" t="b">
        <v>1</v>
      </c>
      <c r="P85" s="334">
        <v>12</v>
      </c>
      <c r="Q85" s="282">
        <v>3</v>
      </c>
      <c r="R85" s="282" t="s">
        <v>22378</v>
      </c>
      <c r="S85" s="464">
        <v>43756</v>
      </c>
      <c r="T85" s="282" t="b">
        <v>1</v>
      </c>
      <c r="U85" s="341" t="b">
        <v>0</v>
      </c>
      <c r="V85" s="282" t="b">
        <v>1</v>
      </c>
      <c r="W85" s="282">
        <v>12</v>
      </c>
      <c r="X85" s="282" t="b">
        <v>0</v>
      </c>
      <c r="Y85" s="282" t="s">
        <v>21309</v>
      </c>
      <c r="Z85" s="282" t="s">
        <v>21310</v>
      </c>
    </row>
    <row r="86" ht="76.5">
      <c r="G86" s="282" t="s">
        <v>21241</v>
      </c>
      <c r="H86" s="282" t="s">
        <v>21323</v>
      </c>
      <c r="I86" s="282">
        <v>3</v>
      </c>
      <c r="J86" s="282" t="s">
        <v>21324</v>
      </c>
      <c r="K86" s="282" t="s">
        <v>21327</v>
      </c>
      <c r="L86" s="282">
        <v>1800</v>
      </c>
      <c r="M86" s="282" t="s">
        <v>21538</v>
      </c>
      <c r="O86" s="341" t="b">
        <v>1</v>
      </c>
      <c r="P86" s="334">
        <v>12</v>
      </c>
      <c r="Q86" s="282">
        <v>3</v>
      </c>
      <c r="R86" s="282" t="s">
        <v>22378</v>
      </c>
      <c r="S86" s="464">
        <v>43756</v>
      </c>
      <c r="T86" s="282" t="b">
        <v>1</v>
      </c>
      <c r="U86" s="341" t="b">
        <v>0</v>
      </c>
      <c r="V86" s="282" t="b">
        <v>1</v>
      </c>
      <c r="W86" s="282">
        <v>12</v>
      </c>
      <c r="X86" s="282" t="b">
        <v>0</v>
      </c>
      <c r="Y86" s="282" t="s">
        <v>21309</v>
      </c>
      <c r="Z86" s="282" t="s">
        <v>21310</v>
      </c>
    </row>
    <row r="87" ht="38.25">
      <c r="E87" s="282" t="s">
        <v>21298</v>
      </c>
      <c r="G87" s="282" t="s">
        <v>22418</v>
      </c>
      <c r="H87" s="282" t="s">
        <v>21372</v>
      </c>
      <c r="I87" s="282">
        <v>3</v>
      </c>
      <c r="J87" s="282" t="s">
        <v>21042</v>
      </c>
      <c r="K87" s="282" t="s">
        <v>21327</v>
      </c>
      <c r="L87" s="282">
        <v>2100</v>
      </c>
      <c r="M87" s="282" t="s">
        <v>22419</v>
      </c>
      <c r="O87" s="341" t="b">
        <v>0</v>
      </c>
      <c r="P87" s="334">
        <v>20</v>
      </c>
      <c r="Q87" s="282">
        <v>1</v>
      </c>
      <c r="R87" s="282" t="s">
        <v>22420</v>
      </c>
      <c r="S87" s="464">
        <v>43756</v>
      </c>
      <c r="T87" s="282" t="b">
        <v>0</v>
      </c>
      <c r="U87" s="341" t="b">
        <v>0</v>
      </c>
      <c r="V87" s="282" t="b">
        <v>1</v>
      </c>
      <c r="W87" s="282">
        <v>20</v>
      </c>
      <c r="X87" s="282" t="b">
        <v>0</v>
      </c>
      <c r="Y87" s="282" t="s">
        <v>21309</v>
      </c>
      <c r="Z87" s="282" t="s">
        <v>21310</v>
      </c>
    </row>
    <row r="88" ht="76.5">
      <c r="E88" s="282" t="s">
        <v>21298</v>
      </c>
      <c r="G88" s="282" t="s">
        <v>22418</v>
      </c>
      <c r="H88" s="282" t="s">
        <v>21323</v>
      </c>
      <c r="I88" s="282">
        <v>3</v>
      </c>
      <c r="J88" s="282" t="s">
        <v>21324</v>
      </c>
      <c r="K88" s="282" t="s">
        <v>21327</v>
      </c>
      <c r="L88" s="282">
        <v>1800</v>
      </c>
      <c r="M88" s="282" t="s">
        <v>22419</v>
      </c>
      <c r="O88" s="341" t="b">
        <v>1</v>
      </c>
      <c r="P88" s="334">
        <v>20</v>
      </c>
      <c r="Q88" s="282">
        <v>1</v>
      </c>
      <c r="R88" s="282" t="s">
        <v>22378</v>
      </c>
      <c r="S88" s="464">
        <v>43756</v>
      </c>
      <c r="T88" s="282" t="b">
        <v>0</v>
      </c>
      <c r="U88" s="341" t="b">
        <v>0</v>
      </c>
      <c r="V88" s="282" t="b">
        <v>1</v>
      </c>
      <c r="W88" s="282">
        <v>20</v>
      </c>
      <c r="X88" s="282" t="b">
        <v>0</v>
      </c>
      <c r="Y88" s="282" t="s">
        <v>21309</v>
      </c>
      <c r="Z88" s="282" t="s">
        <v>21310</v>
      </c>
    </row>
    <row r="89" ht="38.25">
      <c r="E89" s="282" t="s">
        <v>21298</v>
      </c>
      <c r="G89" s="282" t="s">
        <v>22421</v>
      </c>
      <c r="H89" s="282" t="s">
        <v>21372</v>
      </c>
      <c r="I89" s="282">
        <v>3</v>
      </c>
      <c r="J89" s="282" t="s">
        <v>21042</v>
      </c>
      <c r="K89" s="282" t="s">
        <v>21327</v>
      </c>
      <c r="L89" s="282">
        <v>2100</v>
      </c>
      <c r="M89" s="282" t="s">
        <v>22422</v>
      </c>
      <c r="O89" s="341" t="b">
        <v>1</v>
      </c>
      <c r="P89" s="334">
        <v>20</v>
      </c>
      <c r="Q89" s="282">
        <v>1</v>
      </c>
      <c r="R89" s="282" t="s">
        <v>22378</v>
      </c>
      <c r="S89" s="464">
        <v>43756</v>
      </c>
      <c r="T89" s="282" t="b">
        <v>0</v>
      </c>
      <c r="U89" s="341" t="b">
        <v>0</v>
      </c>
      <c r="V89" s="282" t="b">
        <v>1</v>
      </c>
      <c r="W89" s="282">
        <v>20</v>
      </c>
      <c r="X89" s="282" t="b">
        <v>0</v>
      </c>
      <c r="Y89" s="282" t="s">
        <v>21309</v>
      </c>
      <c r="Z89" s="282" t="s">
        <v>21310</v>
      </c>
    </row>
    <row r="90" ht="76.5">
      <c r="E90" s="282" t="s">
        <v>21298</v>
      </c>
      <c r="G90" s="282" t="s">
        <v>22421</v>
      </c>
      <c r="H90" s="282" t="s">
        <v>21323</v>
      </c>
      <c r="I90" s="282">
        <v>3</v>
      </c>
      <c r="J90" s="282" t="s">
        <v>21324</v>
      </c>
      <c r="K90" s="282" t="s">
        <v>21327</v>
      </c>
      <c r="L90" s="282">
        <v>1800</v>
      </c>
      <c r="M90" s="282" t="s">
        <v>22422</v>
      </c>
      <c r="O90" s="341" t="b">
        <v>0</v>
      </c>
      <c r="P90" s="334">
        <v>14</v>
      </c>
      <c r="Q90" s="282">
        <v>3</v>
      </c>
      <c r="R90" s="282" t="s">
        <v>22423</v>
      </c>
      <c r="S90" s="464">
        <v>43756</v>
      </c>
      <c r="T90" s="282" t="b">
        <v>0</v>
      </c>
      <c r="U90" s="341" t="b">
        <v>0</v>
      </c>
      <c r="V90" s="282" t="b">
        <v>1</v>
      </c>
      <c r="W90" s="282">
        <v>14</v>
      </c>
      <c r="X90" s="282" t="b">
        <v>0</v>
      </c>
      <c r="Y90" s="282" t="s">
        <v>21309</v>
      </c>
      <c r="Z90" s="282" t="s">
        <v>21310</v>
      </c>
    </row>
    <row r="91" ht="76.5">
      <c r="C91" s="329" t="s">
        <v>20855</v>
      </c>
      <c r="E91" s="282" t="s">
        <v>21298</v>
      </c>
      <c r="G91" s="282" t="s">
        <v>22424</v>
      </c>
      <c r="H91" s="282" t="s">
        <v>21322</v>
      </c>
      <c r="I91" s="282">
        <v>3</v>
      </c>
      <c r="J91" s="282" t="s">
        <v>21042</v>
      </c>
      <c r="K91" s="282" t="s">
        <v>21327</v>
      </c>
      <c r="L91" s="282">
        <v>2100</v>
      </c>
      <c r="M91" s="282" t="s">
        <v>22425</v>
      </c>
      <c r="O91" s="341" t="b">
        <v>1</v>
      </c>
      <c r="P91" s="334">
        <v>14</v>
      </c>
      <c r="Q91" s="282">
        <v>3</v>
      </c>
      <c r="R91" s="282" t="s">
        <v>22378</v>
      </c>
      <c r="S91" s="464">
        <v>43756</v>
      </c>
      <c r="T91" s="282" t="b">
        <v>0</v>
      </c>
      <c r="U91" s="341" t="b">
        <v>0</v>
      </c>
      <c r="V91" s="282" t="b">
        <v>1</v>
      </c>
      <c r="W91" s="282">
        <v>14</v>
      </c>
      <c r="X91" s="282" t="b">
        <v>0</v>
      </c>
      <c r="Y91" s="282" t="s">
        <v>21309</v>
      </c>
      <c r="Z91" s="282" t="s">
        <v>21310</v>
      </c>
    </row>
    <row r="92" ht="76.5">
      <c r="C92" s="329" t="s">
        <v>20855</v>
      </c>
      <c r="E92" s="282" t="s">
        <v>21298</v>
      </c>
      <c r="G92" s="282" t="s">
        <v>22424</v>
      </c>
      <c r="H92" s="282" t="s">
        <v>21323</v>
      </c>
      <c r="I92" s="282">
        <v>3</v>
      </c>
      <c r="J92" s="282" t="s">
        <v>21324</v>
      </c>
      <c r="K92" s="282" t="s">
        <v>21327</v>
      </c>
      <c r="L92" s="282">
        <v>1800</v>
      </c>
      <c r="M92" s="282" t="s">
        <v>22425</v>
      </c>
      <c r="O92" s="341" t="b">
        <v>1</v>
      </c>
      <c r="P92" s="334">
        <v>14</v>
      </c>
      <c r="Q92" s="282">
        <v>3</v>
      </c>
      <c r="R92" s="282" t="s">
        <v>22378</v>
      </c>
      <c r="S92" s="464">
        <v>43756</v>
      </c>
      <c r="T92" s="282" t="b">
        <v>0</v>
      </c>
      <c r="U92" s="341" t="b">
        <v>0</v>
      </c>
      <c r="V92" s="282" t="b">
        <v>1</v>
      </c>
      <c r="W92" s="282">
        <v>14</v>
      </c>
      <c r="X92" s="282" t="b">
        <v>0</v>
      </c>
      <c r="Y92" s="282" t="s">
        <v>21309</v>
      </c>
      <c r="Z92" s="282" t="s">
        <v>21310</v>
      </c>
    </row>
    <row r="93">
      <c r="P93" s="334"/>
    </row>
    <row r="94">
      <c r="P94" s="334"/>
    </row>
    <row r="95">
      <c r="P95" s="334"/>
    </row>
    <row r="96">
      <c r="P96" s="334"/>
    </row>
    <row r="97">
      <c r="P97" s="334"/>
    </row>
    <row r="98">
      <c r="P98" s="334"/>
    </row>
    <row r="99">
      <c r="P99" s="334"/>
    </row>
    <row r="100">
      <c r="P100" s="334"/>
    </row>
    <row r="101">
      <c r="P101" s="334"/>
    </row>
    <row r="102">
      <c r="P102" s="334"/>
    </row>
    <row r="103">
      <c r="P103" s="334"/>
    </row>
    <row r="104">
      <c r="P104" s="334"/>
    </row>
    <row r="105">
      <c r="P105" s="334"/>
    </row>
    <row r="106">
      <c r="P106" s="334"/>
    </row>
    <row r="107">
      <c r="P107" s="334"/>
    </row>
    <row r="108">
      <c r="P108" s="334"/>
    </row>
    <row r="109">
      <c r="P109" s="334"/>
    </row>
    <row r="110">
      <c r="P110" s="334"/>
    </row>
    <row r="111">
      <c r="P111" s="334"/>
    </row>
    <row r="112">
      <c r="P112" s="334"/>
    </row>
    <row r="113">
      <c r="P113" s="334"/>
    </row>
    <row r="114">
      <c r="P114" s="334"/>
    </row>
    <row r="115">
      <c r="P115" s="334"/>
    </row>
    <row r="116">
      <c r="P116" s="334"/>
    </row>
    <row r="117">
      <c r="P117" s="334"/>
    </row>
    <row r="118">
      <c r="P118" s="334"/>
    </row>
    <row r="119">
      <c r="P119" s="334"/>
    </row>
    <row r="120">
      <c r="P120" s="334"/>
    </row>
    <row r="121">
      <c r="P121" s="334"/>
    </row>
    <row r="122">
      <c r="P122" s="334"/>
    </row>
    <row r="123">
      <c r="P123" s="334"/>
    </row>
    <row r="124">
      <c r="P124" s="334"/>
    </row>
    <row r="125">
      <c r="P125" s="334"/>
    </row>
    <row r="126">
      <c r="P126" s="334"/>
    </row>
    <row r="127">
      <c r="P127" s="334"/>
    </row>
    <row r="128">
      <c r="P128" s="334"/>
    </row>
    <row r="129">
      <c r="P129" s="334"/>
    </row>
    <row r="130">
      <c r="P130" s="334"/>
    </row>
    <row r="131">
      <c r="P131" s="334"/>
    </row>
    <row r="132">
      <c r="P132" s="334"/>
    </row>
    <row r="133">
      <c r="P133" s="334"/>
    </row>
    <row r="134">
      <c r="P134" s="334"/>
    </row>
    <row r="135">
      <c r="P135" s="334"/>
    </row>
    <row r="136">
      <c r="P136" s="334"/>
    </row>
    <row r="137">
      <c r="P137" s="334"/>
    </row>
    <row r="138">
      <c r="P138" s="334"/>
    </row>
    <row r="139">
      <c r="P139" s="334"/>
    </row>
    <row r="140">
      <c r="P140" s="334"/>
    </row>
    <row r="141">
      <c r="P141" s="334"/>
    </row>
    <row r="142">
      <c r="P142" s="334"/>
    </row>
    <row r="143">
      <c r="P143" s="334"/>
    </row>
    <row r="144">
      <c r="P144" s="334"/>
    </row>
    <row r="145">
      <c r="P145" s="334"/>
    </row>
    <row r="146">
      <c r="P146" s="334"/>
    </row>
    <row r="147">
      <c r="P147" s="334"/>
    </row>
    <row r="148">
      <c r="P148" s="334"/>
    </row>
    <row r="149">
      <c r="P149" s="334"/>
    </row>
    <row r="150">
      <c r="P150" s="334"/>
    </row>
    <row r="151">
      <c r="P151" s="334"/>
    </row>
    <row r="152">
      <c r="P152" s="334"/>
    </row>
    <row r="153">
      <c r="P153" s="334"/>
    </row>
    <row r="154">
      <c r="P154" s="334"/>
    </row>
    <row r="155">
      <c r="P155" s="334"/>
    </row>
    <row r="156">
      <c r="P156" s="334"/>
    </row>
    <row r="157">
      <c r="P157" s="334"/>
    </row>
    <row r="158">
      <c r="P158" s="334"/>
    </row>
    <row r="159">
      <c r="P159" s="334"/>
    </row>
    <row r="160">
      <c r="P160" s="334"/>
    </row>
    <row r="161">
      <c r="P161" s="334"/>
    </row>
    <row r="162">
      <c r="P162" s="334"/>
    </row>
    <row r="163">
      <c r="P163" s="334"/>
    </row>
    <row r="164">
      <c r="P164" s="334"/>
    </row>
    <row r="165">
      <c r="P165" s="334"/>
    </row>
    <row r="166">
      <c r="P166" s="334"/>
    </row>
    <row r="167">
      <c r="P167" s="334"/>
    </row>
    <row r="168">
      <c r="P168" s="334"/>
    </row>
    <row r="169">
      <c r="P169" s="334"/>
    </row>
  </sheetData>
  <sheetProtection formatCells="0" formatColumns="0" formatRows="0" sort="0" autoFilter="0" pivotTables="0"/>
  <autoFilter ref="A1:V2"/>
  <dataValidations count="1">
    <dataValidation type="list" allowBlank="1" showInputMessage="1" showErrorMessage="1" sqref="S2" xr:uid="{958AC626-A39B-4F05-9966-1CD678012939}">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39"/>
  <sheetViews>
    <sheetView showZeros="0" zoomScaleNormal="100" workbookViewId="0">
      <pane xSplit="3" ySplit="1" topLeftCell="U2" activePane="bottomRight" state="frozen"/>
      <selection activeCell="G5" sqref="G5"/>
      <selection pane="topRight" activeCell="G5" sqref="G5"/>
      <selection pane="bottomLeft" activeCell="G5" sqref="G5"/>
      <selection pane="bottomRight" activeCell="A3" sqref="A3:XFD39"/>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464"/>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21541</v>
      </c>
      <c r="C1" s="377" t="s">
        <v>21542</v>
      </c>
      <c r="D1" s="368" t="s">
        <v>21543</v>
      </c>
      <c r="E1" s="368" t="s">
        <v>21544</v>
      </c>
      <c r="F1" s="368" t="s">
        <v>21545</v>
      </c>
      <c r="G1" s="370" t="s">
        <v>21594</v>
      </c>
      <c r="H1" s="370" t="s">
        <v>22357</v>
      </c>
      <c r="I1" s="370" t="s">
        <v>21549</v>
      </c>
      <c r="J1" s="370" t="s">
        <v>21550</v>
      </c>
      <c r="K1" s="414" t="s">
        <v>21552</v>
      </c>
      <c r="L1" s="370" t="s">
        <v>21553</v>
      </c>
      <c r="M1" s="370" t="s">
        <v>21551</v>
      </c>
      <c r="N1" s="370" t="s">
        <v>21554</v>
      </c>
      <c r="O1" s="370" t="s">
        <v>21555</v>
      </c>
      <c r="P1" s="409" t="s">
        <v>21565</v>
      </c>
      <c r="Q1" s="410" t="s">
        <v>22358</v>
      </c>
      <c r="R1" s="369" t="s">
        <v>21546</v>
      </c>
      <c r="S1" s="408" t="s">
        <v>21556</v>
      </c>
      <c r="T1" s="411" t="s">
        <v>21295</v>
      </c>
      <c r="U1" s="411" t="s">
        <v>21557</v>
      </c>
      <c r="V1" s="411" t="s">
        <v>21558</v>
      </c>
      <c r="W1" s="412" t="s">
        <v>21559</v>
      </c>
      <c r="X1" s="465" t="s">
        <v>21560</v>
      </c>
      <c r="Y1" s="408" t="s">
        <v>21561</v>
      </c>
      <c r="Z1" s="408" t="s">
        <v>21562</v>
      </c>
      <c r="AA1" s="413" t="s">
        <v>21563</v>
      </c>
      <c r="AB1" s="408" t="s">
        <v>21564</v>
      </c>
      <c r="AC1" s="408" t="s">
        <v>21565</v>
      </c>
      <c r="AD1" s="408" t="s">
        <v>21566</v>
      </c>
      <c r="AE1" s="408" t="s">
        <v>21567</v>
      </c>
      <c r="AF1" s="408" t="s">
        <v>21568</v>
      </c>
    </row>
    <row r="2" ht="90" s="314" customFormat="1">
      <c r="A2" s="431" t="s">
        <v>20973</v>
      </c>
      <c r="B2" s="431" t="s">
        <v>22253</v>
      </c>
      <c r="C2" s="431" t="s">
        <v>21027</v>
      </c>
      <c r="D2" s="436" t="s">
        <v>22359</v>
      </c>
      <c r="E2" s="436" t="s">
        <v>22266</v>
      </c>
      <c r="F2" s="436" t="s">
        <v>22269</v>
      </c>
      <c r="G2" s="431" t="s">
        <v>22343</v>
      </c>
      <c r="H2" s="431" t="s">
        <v>22342</v>
      </c>
      <c r="I2" s="431" t="s">
        <v>22360</v>
      </c>
      <c r="J2" s="431" t="s">
        <v>22361</v>
      </c>
      <c r="K2" s="431" t="s">
        <v>22362</v>
      </c>
      <c r="L2" s="431" t="s">
        <v>22363</v>
      </c>
      <c r="M2" s="437" t="s">
        <v>22364</v>
      </c>
      <c r="N2" s="431" t="s">
        <v>21072</v>
      </c>
      <c r="O2" s="431" t="s">
        <v>22365</v>
      </c>
      <c r="P2" s="431" t="s">
        <v>22366</v>
      </c>
      <c r="Q2" s="431" t="s">
        <v>22367</v>
      </c>
      <c r="R2" s="432" t="s">
        <v>22368</v>
      </c>
      <c r="S2" s="431" t="s">
        <v>22305</v>
      </c>
      <c r="T2" s="436" t="s">
        <v>22306</v>
      </c>
      <c r="U2" s="431" t="s">
        <v>22307</v>
      </c>
      <c r="V2" s="431" t="s">
        <v>22310</v>
      </c>
      <c r="W2" s="431" t="s">
        <v>21092</v>
      </c>
      <c r="X2" s="466" t="s">
        <v>22312</v>
      </c>
      <c r="Y2" s="431" t="s">
        <v>22314</v>
      </c>
      <c r="Z2" s="431" t="s">
        <v>22316</v>
      </c>
      <c r="AA2" s="431" t="s">
        <v>22318</v>
      </c>
      <c r="AB2" s="431" t="s">
        <v>22351</v>
      </c>
      <c r="AC2" s="431" t="s">
        <v>22352</v>
      </c>
      <c r="AD2" s="432" t="s">
        <v>22325</v>
      </c>
      <c r="AE2" s="431" t="s">
        <v>22336</v>
      </c>
      <c r="AF2" s="431" t="s">
        <v>22338</v>
      </c>
    </row>
    <row r="3" ht="229.5">
      <c r="A3" s="314">
        <v>1</v>
      </c>
      <c r="B3" s="314" t="s">
        <v>21097</v>
      </c>
      <c r="C3" s="330" t="s">
        <v>21098</v>
      </c>
      <c r="D3" s="329" t="s">
        <v>20855</v>
      </c>
      <c r="E3" s="329">
        <v>105.76466</v>
      </c>
      <c r="F3" s="329">
        <v>21.029509</v>
      </c>
      <c r="G3" s="282" t="s">
        <v>21320</v>
      </c>
      <c r="H3" s="314">
        <v>3</v>
      </c>
      <c r="I3" s="282" t="s">
        <v>21300</v>
      </c>
      <c r="J3" s="282" t="s">
        <v>21301</v>
      </c>
      <c r="K3" s="399" t="s">
        <v>21303</v>
      </c>
      <c r="L3" s="282" t="s">
        <v>21304</v>
      </c>
      <c r="M3" s="282" t="s">
        <v>21302</v>
      </c>
      <c r="N3" s="282" t="s">
        <v>21305</v>
      </c>
      <c r="O3" s="282" t="s">
        <v>21306</v>
      </c>
      <c r="P3" s="341">
        <v>50</v>
      </c>
      <c r="R3" s="333">
        <v>1</v>
      </c>
      <c r="S3" s="282" t="b">
        <v>1</v>
      </c>
      <c r="T3" s="282" t="s">
        <v>21099</v>
      </c>
      <c r="V3" s="282" t="s">
        <v>21307</v>
      </c>
      <c r="W3" s="282" t="s">
        <v>21100</v>
      </c>
      <c r="X3" s="464">
        <v>43756</v>
      </c>
      <c r="Y3" s="282" t="b">
        <v>0</v>
      </c>
      <c r="Z3" s="282" t="b">
        <v>0</v>
      </c>
      <c r="AB3" s="282" t="b">
        <v>1</v>
      </c>
      <c r="AC3" s="282">
        <v>50</v>
      </c>
      <c r="AD3" s="282" t="b">
        <v>0</v>
      </c>
      <c r="AE3" s="282" t="s">
        <v>21309</v>
      </c>
      <c r="AF3" s="282" t="s">
        <v>21310</v>
      </c>
    </row>
    <row r="4" ht="153">
      <c r="A4" s="314">
        <v>2</v>
      </c>
      <c r="B4" s="314" t="s">
        <v>21101</v>
      </c>
      <c r="C4" s="330" t="s">
        <v>21102</v>
      </c>
      <c r="D4" s="329" t="s">
        <v>20855</v>
      </c>
      <c r="E4" s="329">
        <v>105.762325</v>
      </c>
      <c r="F4" s="329">
        <v>21.03086</v>
      </c>
      <c r="G4" s="282" t="s">
        <v>21346</v>
      </c>
      <c r="H4" s="314">
        <v>2</v>
      </c>
      <c r="I4" s="282" t="s">
        <v>21338</v>
      </c>
      <c r="J4" s="282" t="s">
        <v>21339</v>
      </c>
      <c r="K4" s="399" t="s">
        <v>21341</v>
      </c>
      <c r="L4" s="282" t="s">
        <v>21342</v>
      </c>
      <c r="M4" s="282" t="s">
        <v>21340</v>
      </c>
      <c r="N4" s="282" t="s">
        <v>21343</v>
      </c>
      <c r="O4" s="282" t="s">
        <v>21344</v>
      </c>
      <c r="P4" s="341">
        <v>36</v>
      </c>
      <c r="R4" s="333">
        <v>1</v>
      </c>
      <c r="S4" s="282" t="b">
        <v>1</v>
      </c>
      <c r="T4" s="282" t="s">
        <v>21103</v>
      </c>
      <c r="V4" s="282" t="s">
        <v>21307</v>
      </c>
      <c r="W4" s="282" t="s">
        <v>21104</v>
      </c>
      <c r="X4" s="464">
        <v>43756</v>
      </c>
      <c r="Y4" s="282" t="b">
        <v>0</v>
      </c>
      <c r="Z4" s="282" t="b">
        <v>0</v>
      </c>
      <c r="AB4" s="282" t="b">
        <v>1</v>
      </c>
      <c r="AC4" s="282">
        <v>36</v>
      </c>
      <c r="AD4" s="282" t="b">
        <v>0</v>
      </c>
      <c r="AE4" s="282" t="s">
        <v>21309</v>
      </c>
      <c r="AF4" s="282" t="s">
        <v>21310</v>
      </c>
    </row>
    <row r="5" ht="153">
      <c r="A5" s="314">
        <v>3</v>
      </c>
      <c r="B5" s="314" t="s">
        <v>21105</v>
      </c>
      <c r="C5" s="330" t="s">
        <v>21106</v>
      </c>
      <c r="D5" s="329" t="s">
        <v>20855</v>
      </c>
      <c r="E5" s="329">
        <v>105.759331</v>
      </c>
      <c r="F5" s="329">
        <v>21.030374</v>
      </c>
      <c r="G5" s="282" t="s">
        <v>21346</v>
      </c>
      <c r="H5" s="314">
        <v>2</v>
      </c>
      <c r="I5" s="282" t="s">
        <v>21350</v>
      </c>
      <c r="J5" s="282" t="s">
        <v>21339</v>
      </c>
      <c r="K5" s="399" t="s">
        <v>21341</v>
      </c>
      <c r="L5" s="282" t="s">
        <v>21342</v>
      </c>
      <c r="M5" s="282" t="s">
        <v>21340</v>
      </c>
      <c r="N5" s="282" t="s">
        <v>21343</v>
      </c>
      <c r="O5" s="282" t="s">
        <v>21351</v>
      </c>
      <c r="P5" s="341">
        <v>12</v>
      </c>
      <c r="R5" s="333">
        <v>1</v>
      </c>
      <c r="S5" s="282" t="b">
        <v>1</v>
      </c>
      <c r="T5" s="282" t="s">
        <v>21107</v>
      </c>
      <c r="V5" s="282" t="s">
        <v>21307</v>
      </c>
      <c r="W5" s="282" t="s">
        <v>21108</v>
      </c>
      <c r="X5" s="464">
        <v>43756</v>
      </c>
      <c r="Y5" s="282" t="b">
        <v>0</v>
      </c>
      <c r="Z5" s="282" t="b">
        <v>0</v>
      </c>
      <c r="AB5" s="282" t="b">
        <v>1</v>
      </c>
      <c r="AC5" s="282">
        <v>12</v>
      </c>
      <c r="AD5" s="282" t="b">
        <v>0</v>
      </c>
      <c r="AE5" s="282" t="s">
        <v>21309</v>
      </c>
      <c r="AF5" s="282" t="s">
        <v>21310</v>
      </c>
    </row>
    <row r="6" ht="153">
      <c r="A6" s="314">
        <v>4</v>
      </c>
      <c r="B6" s="314" t="s">
        <v>21109</v>
      </c>
      <c r="C6" s="330" t="s">
        <v>21110</v>
      </c>
      <c r="D6" s="329" t="s">
        <v>20855</v>
      </c>
      <c r="E6" s="329">
        <v>105.77749</v>
      </c>
      <c r="F6" s="329">
        <v>21.019984</v>
      </c>
      <c r="G6" s="282" t="s">
        <v>21346</v>
      </c>
      <c r="H6" s="314">
        <v>2</v>
      </c>
      <c r="I6" s="282" t="s">
        <v>21354</v>
      </c>
      <c r="J6" s="282" t="s">
        <v>21339</v>
      </c>
      <c r="K6" s="399" t="s">
        <v>21341</v>
      </c>
      <c r="L6" s="282" t="s">
        <v>21342</v>
      </c>
      <c r="M6" s="282" t="s">
        <v>21340</v>
      </c>
      <c r="N6" s="282" t="s">
        <v>21343</v>
      </c>
      <c r="O6" s="282" t="s">
        <v>21355</v>
      </c>
      <c r="P6" s="341">
        <v>36</v>
      </c>
      <c r="R6" s="333">
        <v>1</v>
      </c>
      <c r="S6" s="282" t="b">
        <v>1</v>
      </c>
      <c r="T6" s="282" t="s">
        <v>21111</v>
      </c>
      <c r="V6" s="282" t="s">
        <v>21307</v>
      </c>
      <c r="W6" s="282" t="s">
        <v>21112</v>
      </c>
      <c r="X6" s="464">
        <v>43756</v>
      </c>
      <c r="Y6" s="282" t="b">
        <v>0</v>
      </c>
      <c r="Z6" s="282" t="b">
        <v>0</v>
      </c>
      <c r="AB6" s="282" t="b">
        <v>1</v>
      </c>
      <c r="AC6" s="282">
        <v>36</v>
      </c>
      <c r="AD6" s="282" t="b">
        <v>0</v>
      </c>
      <c r="AE6" s="282" t="s">
        <v>21309</v>
      </c>
      <c r="AF6" s="282" t="s">
        <v>21310</v>
      </c>
    </row>
    <row r="7" ht="153">
      <c r="A7" s="314">
        <v>5</v>
      </c>
      <c r="B7" s="314" t="s">
        <v>21113</v>
      </c>
      <c r="C7" s="330" t="s">
        <v>21114</v>
      </c>
      <c r="D7" s="329" t="s">
        <v>20855</v>
      </c>
      <c r="E7" s="329">
        <v>105.775795</v>
      </c>
      <c r="F7" s="329">
        <v>21.017797</v>
      </c>
      <c r="G7" s="282" t="s">
        <v>21346</v>
      </c>
      <c r="H7" s="314">
        <v>2</v>
      </c>
      <c r="I7" s="282" t="s">
        <v>21360</v>
      </c>
      <c r="J7" s="282" t="s">
        <v>21339</v>
      </c>
      <c r="K7" s="399" t="s">
        <v>21341</v>
      </c>
      <c r="L7" s="282" t="s">
        <v>21342</v>
      </c>
      <c r="M7" s="282" t="s">
        <v>21340</v>
      </c>
      <c r="N7" s="282" t="s">
        <v>21343</v>
      </c>
      <c r="O7" s="282" t="s">
        <v>21344</v>
      </c>
      <c r="P7" s="341">
        <v>40</v>
      </c>
      <c r="R7" s="333">
        <v>1</v>
      </c>
      <c r="S7" s="282" t="b">
        <v>1</v>
      </c>
      <c r="T7" s="282" t="s">
        <v>21115</v>
      </c>
      <c r="V7" s="282" t="s">
        <v>21307</v>
      </c>
      <c r="W7" s="282" t="s">
        <v>21116</v>
      </c>
      <c r="X7" s="464">
        <v>43756</v>
      </c>
      <c r="Y7" s="282" t="b">
        <v>0</v>
      </c>
      <c r="Z7" s="282" t="b">
        <v>0</v>
      </c>
      <c r="AB7" s="282" t="b">
        <v>1</v>
      </c>
      <c r="AC7" s="282">
        <v>40</v>
      </c>
      <c r="AD7" s="282" t="b">
        <v>0</v>
      </c>
      <c r="AE7" s="282" t="s">
        <v>21309</v>
      </c>
      <c r="AF7" s="282" t="s">
        <v>21310</v>
      </c>
    </row>
    <row r="8" ht="153">
      <c r="A8" s="314">
        <v>6</v>
      </c>
      <c r="B8" s="314" t="s">
        <v>21117</v>
      </c>
      <c r="C8" s="330" t="s">
        <v>21118</v>
      </c>
      <c r="D8" s="329" t="s">
        <v>20855</v>
      </c>
      <c r="E8" s="329">
        <v>105.779681</v>
      </c>
      <c r="F8" s="329">
        <v>21.011955</v>
      </c>
      <c r="G8" s="282" t="s">
        <v>21346</v>
      </c>
      <c r="H8" s="314">
        <v>2</v>
      </c>
      <c r="I8" s="282" t="s">
        <v>21362</v>
      </c>
      <c r="J8" s="282" t="s">
        <v>21339</v>
      </c>
      <c r="K8" s="399" t="s">
        <v>21341</v>
      </c>
      <c r="L8" s="282" t="s">
        <v>21342</v>
      </c>
      <c r="M8" s="282" t="s">
        <v>21340</v>
      </c>
      <c r="N8" s="282" t="s">
        <v>21343</v>
      </c>
      <c r="O8" s="282" t="s">
        <v>21363</v>
      </c>
      <c r="P8" s="341">
        <v>36</v>
      </c>
      <c r="R8" s="333">
        <v>1</v>
      </c>
      <c r="S8" s="282" t="b">
        <v>1</v>
      </c>
      <c r="T8" s="282" t="s">
        <v>21119</v>
      </c>
      <c r="V8" s="282" t="s">
        <v>21307</v>
      </c>
      <c r="W8" s="282" t="s">
        <v>21120</v>
      </c>
      <c r="X8" s="464">
        <v>43756</v>
      </c>
      <c r="Y8" s="282" t="b">
        <v>0</v>
      </c>
      <c r="Z8" s="282" t="b">
        <v>0</v>
      </c>
      <c r="AB8" s="282" t="b">
        <v>1</v>
      </c>
      <c r="AC8" s="282">
        <v>36</v>
      </c>
      <c r="AD8" s="282" t="b">
        <v>0</v>
      </c>
      <c r="AE8" s="282" t="s">
        <v>21309</v>
      </c>
      <c r="AF8" s="282" t="s">
        <v>21310</v>
      </c>
    </row>
    <row r="9" ht="127.5">
      <c r="A9" s="314">
        <v>7</v>
      </c>
      <c r="B9" s="314" t="s">
        <v>21121</v>
      </c>
      <c r="C9" s="330" t="s">
        <v>21122</v>
      </c>
      <c r="D9" s="329" t="s">
        <v>20855</v>
      </c>
      <c r="E9" s="329">
        <v>105.765581</v>
      </c>
      <c r="F9" s="329">
        <v>21.013064</v>
      </c>
      <c r="G9" s="282" t="s">
        <v>21320</v>
      </c>
      <c r="H9" s="314">
        <v>3</v>
      </c>
      <c r="I9" s="282" t="s">
        <v>21367</v>
      </c>
      <c r="J9" s="282" t="s">
        <v>21368</v>
      </c>
      <c r="K9" s="399" t="s">
        <v>21303</v>
      </c>
      <c r="L9" s="282" t="s">
        <v>21304</v>
      </c>
      <c r="M9" s="282" t="s">
        <v>21302</v>
      </c>
      <c r="N9" s="282" t="s">
        <v>21305</v>
      </c>
      <c r="O9" s="282" t="s">
        <v>21369</v>
      </c>
      <c r="P9" s="341">
        <v>24</v>
      </c>
      <c r="R9" s="333">
        <v>1</v>
      </c>
      <c r="S9" s="282" t="b">
        <v>1</v>
      </c>
      <c r="T9" s="282" t="s">
        <v>21123</v>
      </c>
      <c r="V9" s="282" t="s">
        <v>21307</v>
      </c>
      <c r="W9" s="282" t="s">
        <v>21124</v>
      </c>
      <c r="X9" s="464">
        <v>43756</v>
      </c>
      <c r="Y9" s="282" t="b">
        <v>0</v>
      </c>
      <c r="Z9" s="282" t="b">
        <v>0</v>
      </c>
      <c r="AB9" s="282" t="b">
        <v>1</v>
      </c>
      <c r="AC9" s="282">
        <v>24</v>
      </c>
      <c r="AD9" s="282" t="b">
        <v>0</v>
      </c>
      <c r="AE9" s="282" t="s">
        <v>21309</v>
      </c>
      <c r="AF9" s="282" t="s">
        <v>21310</v>
      </c>
    </row>
    <row r="10" ht="153">
      <c r="A10" s="314">
        <v>8</v>
      </c>
      <c r="B10" s="314" t="s">
        <v>21125</v>
      </c>
      <c r="C10" s="330" t="s">
        <v>21126</v>
      </c>
      <c r="D10" s="329" t="s">
        <v>20855</v>
      </c>
      <c r="E10" s="329">
        <v>105.782861</v>
      </c>
      <c r="F10" s="329">
        <v>21.012196</v>
      </c>
      <c r="G10" s="282" t="s">
        <v>21346</v>
      </c>
      <c r="H10" s="314">
        <v>2</v>
      </c>
      <c r="I10" s="282" t="s">
        <v>21376</v>
      </c>
      <c r="J10" s="282" t="s">
        <v>21339</v>
      </c>
      <c r="K10" s="399" t="s">
        <v>21341</v>
      </c>
      <c r="L10" s="282" t="s">
        <v>21342</v>
      </c>
      <c r="M10" s="282" t="s">
        <v>21340</v>
      </c>
      <c r="N10" s="282" t="s">
        <v>21343</v>
      </c>
      <c r="O10" s="282" t="s">
        <v>21377</v>
      </c>
      <c r="P10" s="341">
        <v>26</v>
      </c>
      <c r="R10" s="333">
        <v>1</v>
      </c>
      <c r="S10" s="282" t="b">
        <v>1</v>
      </c>
      <c r="T10" s="282" t="s">
        <v>21127</v>
      </c>
      <c r="V10" s="282" t="s">
        <v>21307</v>
      </c>
      <c r="W10" s="282" t="s">
        <v>21128</v>
      </c>
      <c r="X10" s="464">
        <v>43756</v>
      </c>
      <c r="Y10" s="282" t="b">
        <v>0</v>
      </c>
      <c r="Z10" s="282" t="b">
        <v>0</v>
      </c>
      <c r="AB10" s="282" t="b">
        <v>1</v>
      </c>
      <c r="AC10" s="282">
        <v>26</v>
      </c>
      <c r="AD10" s="282" t="b">
        <v>0</v>
      </c>
      <c r="AE10" s="282" t="s">
        <v>21309</v>
      </c>
      <c r="AF10" s="282" t="s">
        <v>21310</v>
      </c>
    </row>
    <row r="11" ht="127.5">
      <c r="A11" s="314">
        <v>9</v>
      </c>
      <c r="B11" s="314" t="s">
        <v>21129</v>
      </c>
      <c r="C11" s="330" t="s">
        <v>21130</v>
      </c>
      <c r="D11" s="329" t="s">
        <v>20855</v>
      </c>
      <c r="E11" s="329">
        <v>105.753192</v>
      </c>
      <c r="F11" s="329">
        <v>20.995712</v>
      </c>
      <c r="G11" s="282" t="s">
        <v>21320</v>
      </c>
      <c r="H11" s="314">
        <v>3</v>
      </c>
      <c r="I11" s="282" t="s">
        <v>21381</v>
      </c>
      <c r="J11" s="282" t="s">
        <v>21382</v>
      </c>
      <c r="K11" s="399" t="s">
        <v>21303</v>
      </c>
      <c r="L11" s="282" t="s">
        <v>21383</v>
      </c>
      <c r="M11" s="282" t="s">
        <v>21302</v>
      </c>
      <c r="N11" s="282" t="s">
        <v>21384</v>
      </c>
      <c r="O11" s="282" t="s">
        <v>21385</v>
      </c>
      <c r="P11" s="341">
        <v>16</v>
      </c>
      <c r="R11" s="333">
        <v>1</v>
      </c>
      <c r="S11" s="282" t="b">
        <v>1</v>
      </c>
      <c r="T11" s="282" t="s">
        <v>21131</v>
      </c>
      <c r="V11" s="282" t="s">
        <v>21307</v>
      </c>
      <c r="W11" s="282" t="s">
        <v>21132</v>
      </c>
      <c r="X11" s="464">
        <v>43756</v>
      </c>
      <c r="Y11" s="282" t="b">
        <v>0</v>
      </c>
      <c r="Z11" s="282" t="b">
        <v>0</v>
      </c>
      <c r="AB11" s="282" t="b">
        <v>1</v>
      </c>
      <c r="AC11" s="282">
        <v>16</v>
      </c>
      <c r="AD11" s="282" t="b">
        <v>0</v>
      </c>
      <c r="AE11" s="282" t="s">
        <v>21309</v>
      </c>
      <c r="AF11" s="282" t="s">
        <v>21310</v>
      </c>
    </row>
    <row r="12" ht="153">
      <c r="A12" s="314">
        <v>10</v>
      </c>
      <c r="B12" s="314" t="s">
        <v>21133</v>
      </c>
      <c r="C12" s="330" t="s">
        <v>21134</v>
      </c>
      <c r="D12" s="329" t="s">
        <v>20855</v>
      </c>
      <c r="E12" s="329">
        <v>105.76771</v>
      </c>
      <c r="F12" s="329">
        <v>21.013744</v>
      </c>
      <c r="G12" s="282" t="s">
        <v>21346</v>
      </c>
      <c r="H12" s="314">
        <v>2</v>
      </c>
      <c r="I12" s="282" t="s">
        <v>21389</v>
      </c>
      <c r="J12" s="282" t="s">
        <v>21339</v>
      </c>
      <c r="K12" s="399" t="s">
        <v>21341</v>
      </c>
      <c r="L12" s="282" t="s">
        <v>21342</v>
      </c>
      <c r="M12" s="282" t="s">
        <v>21340</v>
      </c>
      <c r="N12" s="282" t="s">
        <v>21343</v>
      </c>
      <c r="O12" s="282" t="s">
        <v>21377</v>
      </c>
      <c r="P12" s="341">
        <v>26</v>
      </c>
      <c r="R12" s="333">
        <v>1</v>
      </c>
      <c r="S12" s="282" t="b">
        <v>1</v>
      </c>
      <c r="T12" s="282" t="s">
        <v>21135</v>
      </c>
      <c r="V12" s="282" t="s">
        <v>21307</v>
      </c>
      <c r="W12" s="282" t="s">
        <v>21136</v>
      </c>
      <c r="X12" s="464">
        <v>43756</v>
      </c>
      <c r="Y12" s="282" t="b">
        <v>0</v>
      </c>
      <c r="Z12" s="282" t="b">
        <v>0</v>
      </c>
      <c r="AB12" s="282" t="b">
        <v>1</v>
      </c>
      <c r="AC12" s="282">
        <v>26</v>
      </c>
      <c r="AD12" s="282" t="b">
        <v>0</v>
      </c>
      <c r="AE12" s="282" t="s">
        <v>21309</v>
      </c>
      <c r="AF12" s="282" t="s">
        <v>21310</v>
      </c>
    </row>
    <row r="13" ht="127.5">
      <c r="A13" s="314">
        <v>11</v>
      </c>
      <c r="B13" s="314" t="s">
        <v>21137</v>
      </c>
      <c r="C13" s="330" t="s">
        <v>21138</v>
      </c>
      <c r="D13" s="329" t="s">
        <v>20855</v>
      </c>
      <c r="E13" s="329">
        <v>105.744625</v>
      </c>
      <c r="F13" s="329">
        <v>21.002667</v>
      </c>
      <c r="G13" s="282" t="s">
        <v>21320</v>
      </c>
      <c r="H13" s="314">
        <v>3</v>
      </c>
      <c r="I13" s="282" t="s">
        <v>21391</v>
      </c>
      <c r="J13" s="282" t="s">
        <v>21368</v>
      </c>
      <c r="K13" s="399" t="s">
        <v>21303</v>
      </c>
      <c r="L13" s="282" t="s">
        <v>21304</v>
      </c>
      <c r="M13" s="282" t="s">
        <v>21302</v>
      </c>
      <c r="N13" s="282" t="s">
        <v>21305</v>
      </c>
      <c r="O13" s="282" t="s">
        <v>21392</v>
      </c>
      <c r="P13" s="341">
        <v>12</v>
      </c>
      <c r="R13" s="333">
        <v>1</v>
      </c>
      <c r="S13" s="282" t="b">
        <v>1</v>
      </c>
      <c r="T13" s="282" t="s">
        <v>21139</v>
      </c>
      <c r="V13" s="282" t="s">
        <v>21307</v>
      </c>
      <c r="W13" s="282" t="s">
        <v>21140</v>
      </c>
      <c r="X13" s="464">
        <v>43756</v>
      </c>
      <c r="Y13" s="282" t="b">
        <v>0</v>
      </c>
      <c r="Z13" s="282" t="b">
        <v>0</v>
      </c>
      <c r="AB13" s="282" t="b">
        <v>1</v>
      </c>
      <c r="AC13" s="282">
        <v>12</v>
      </c>
      <c r="AD13" s="282" t="b">
        <v>0</v>
      </c>
      <c r="AE13" s="282" t="s">
        <v>21309</v>
      </c>
      <c r="AF13" s="282" t="s">
        <v>21310</v>
      </c>
    </row>
    <row r="14" ht="127.5">
      <c r="A14" s="314">
        <v>12</v>
      </c>
      <c r="B14" s="314" t="s">
        <v>21141</v>
      </c>
      <c r="C14" s="330" t="s">
        <v>21142</v>
      </c>
      <c r="D14" s="329" t="s">
        <v>20855</v>
      </c>
      <c r="E14" s="329">
        <v>105.732104</v>
      </c>
      <c r="F14" s="329">
        <v>21.050928</v>
      </c>
      <c r="G14" s="282" t="s">
        <v>21320</v>
      </c>
      <c r="H14" s="314">
        <v>3</v>
      </c>
      <c r="I14" s="282" t="s">
        <v>21395</v>
      </c>
      <c r="J14" s="282" t="s">
        <v>21368</v>
      </c>
      <c r="K14" s="399" t="s">
        <v>21303</v>
      </c>
      <c r="L14" s="282" t="s">
        <v>21304</v>
      </c>
      <c r="M14" s="282" t="s">
        <v>21302</v>
      </c>
      <c r="N14" s="282" t="s">
        <v>21305</v>
      </c>
      <c r="O14" s="282" t="s">
        <v>21396</v>
      </c>
      <c r="P14" s="341">
        <v>12</v>
      </c>
      <c r="R14" s="333">
        <v>1</v>
      </c>
      <c r="S14" s="282" t="b">
        <v>1</v>
      </c>
      <c r="T14" s="282" t="s">
        <v>21143</v>
      </c>
      <c r="V14" s="282" t="s">
        <v>21307</v>
      </c>
      <c r="W14" s="282" t="s">
        <v>21144</v>
      </c>
      <c r="X14" s="464">
        <v>43756</v>
      </c>
      <c r="Y14" s="282" t="b">
        <v>0</v>
      </c>
      <c r="Z14" s="282" t="b">
        <v>0</v>
      </c>
      <c r="AB14" s="282" t="b">
        <v>1</v>
      </c>
      <c r="AC14" s="282">
        <v>12</v>
      </c>
      <c r="AD14" s="282" t="b">
        <v>0</v>
      </c>
      <c r="AE14" s="282" t="s">
        <v>21309</v>
      </c>
      <c r="AF14" s="282" t="s">
        <v>21310</v>
      </c>
    </row>
    <row r="15" ht="63.75">
      <c r="A15" s="314">
        <v>13</v>
      </c>
      <c r="B15" s="314" t="s">
        <v>21145</v>
      </c>
      <c r="C15" s="330" t="s">
        <v>21146</v>
      </c>
      <c r="D15" s="329" t="s">
        <v>20855</v>
      </c>
      <c r="E15" s="329">
        <v>105.847146</v>
      </c>
      <c r="F15" s="329">
        <v>20.960182</v>
      </c>
      <c r="G15" s="282" t="s">
        <v>21346</v>
      </c>
      <c r="H15" s="314">
        <v>2</v>
      </c>
      <c r="I15" s="282" t="s">
        <v>21400</v>
      </c>
      <c r="J15" s="282" t="s">
        <v>21401</v>
      </c>
      <c r="K15" s="399" t="s">
        <v>21402</v>
      </c>
      <c r="L15" s="282" t="s">
        <v>21403</v>
      </c>
      <c r="M15" s="282" t="s">
        <v>21340</v>
      </c>
      <c r="N15" s="282" t="s">
        <v>21404</v>
      </c>
      <c r="O15" s="282" t="s">
        <v>21405</v>
      </c>
      <c r="P15" s="341">
        <v>30</v>
      </c>
      <c r="R15" s="333">
        <v>1</v>
      </c>
      <c r="S15" s="282" t="b">
        <v>1</v>
      </c>
      <c r="T15" s="282" t="s">
        <v>21147</v>
      </c>
      <c r="V15" s="282" t="s">
        <v>21307</v>
      </c>
      <c r="W15" s="282" t="s">
        <v>21148</v>
      </c>
      <c r="X15" s="464">
        <v>43756</v>
      </c>
      <c r="Y15" s="282" t="b">
        <v>0</v>
      </c>
      <c r="Z15" s="282" t="b">
        <v>0</v>
      </c>
      <c r="AB15" s="282" t="b">
        <v>1</v>
      </c>
      <c r="AC15" s="282">
        <v>30</v>
      </c>
      <c r="AD15" s="282" t="b">
        <v>0</v>
      </c>
      <c r="AE15" s="282" t="s">
        <v>21309</v>
      </c>
      <c r="AF15" s="282" t="s">
        <v>21310</v>
      </c>
    </row>
    <row r="16" ht="153">
      <c r="A16" s="314">
        <v>14</v>
      </c>
      <c r="B16" s="314" t="s">
        <v>21149</v>
      </c>
      <c r="C16" s="330" t="s">
        <v>21150</v>
      </c>
      <c r="D16" s="329" t="s">
        <v>20855</v>
      </c>
      <c r="E16" s="329">
        <v>105.893886</v>
      </c>
      <c r="F16" s="329">
        <v>20.975974</v>
      </c>
      <c r="G16" s="282" t="s">
        <v>21346</v>
      </c>
      <c r="H16" s="314">
        <v>2</v>
      </c>
      <c r="I16" s="282" t="s">
        <v>21411</v>
      </c>
      <c r="J16" s="282" t="s">
        <v>21339</v>
      </c>
      <c r="K16" s="399" t="s">
        <v>21341</v>
      </c>
      <c r="L16" s="282" t="s">
        <v>21342</v>
      </c>
      <c r="M16" s="282" t="s">
        <v>21340</v>
      </c>
      <c r="N16" s="282" t="s">
        <v>21343</v>
      </c>
      <c r="O16" s="282" t="s">
        <v>21412</v>
      </c>
      <c r="P16" s="341">
        <v>20</v>
      </c>
      <c r="R16" s="333">
        <v>1</v>
      </c>
      <c r="S16" s="282" t="b">
        <v>1</v>
      </c>
      <c r="T16" s="282" t="s">
        <v>21151</v>
      </c>
      <c r="V16" s="282" t="s">
        <v>21307</v>
      </c>
      <c r="W16" s="282" t="s">
        <v>21152</v>
      </c>
      <c r="X16" s="464">
        <v>43756</v>
      </c>
      <c r="Y16" s="282" t="b">
        <v>0</v>
      </c>
      <c r="Z16" s="282" t="b">
        <v>0</v>
      </c>
      <c r="AB16" s="282" t="b">
        <v>1</v>
      </c>
      <c r="AC16" s="282">
        <v>20</v>
      </c>
      <c r="AD16" s="282" t="b">
        <v>0</v>
      </c>
      <c r="AE16" s="282" t="s">
        <v>21309</v>
      </c>
      <c r="AF16" s="282" t="s">
        <v>21310</v>
      </c>
    </row>
    <row r="17" ht="153">
      <c r="A17" s="314">
        <v>15</v>
      </c>
      <c r="B17" s="314" t="s">
        <v>21153</v>
      </c>
      <c r="C17" s="330" t="s">
        <v>21154</v>
      </c>
      <c r="D17" s="329" t="s">
        <v>20855</v>
      </c>
      <c r="E17" s="329">
        <v>105.878833</v>
      </c>
      <c r="F17" s="329">
        <v>20.981013</v>
      </c>
      <c r="G17" s="282" t="s">
        <v>21346</v>
      </c>
      <c r="H17" s="314">
        <v>2</v>
      </c>
      <c r="I17" s="282" t="s">
        <v>21417</v>
      </c>
      <c r="J17" s="282" t="s">
        <v>21339</v>
      </c>
      <c r="K17" s="399" t="s">
        <v>21419</v>
      </c>
      <c r="L17" s="282" t="s">
        <v>21420</v>
      </c>
      <c r="M17" s="282" t="s">
        <v>21418</v>
      </c>
      <c r="N17" s="282" t="s">
        <v>21343</v>
      </c>
      <c r="O17" s="282" t="s">
        <v>21421</v>
      </c>
      <c r="P17" s="341">
        <v>50</v>
      </c>
      <c r="R17" s="333">
        <v>1</v>
      </c>
      <c r="S17" s="282" t="b">
        <v>1</v>
      </c>
      <c r="T17" s="282" t="s">
        <v>21155</v>
      </c>
      <c r="V17" s="282" t="s">
        <v>21307</v>
      </c>
      <c r="W17" s="282" t="s">
        <v>21156</v>
      </c>
      <c r="X17" s="464">
        <v>43756</v>
      </c>
      <c r="Y17" s="282" t="b">
        <v>0</v>
      </c>
      <c r="Z17" s="282" t="b">
        <v>0</v>
      </c>
      <c r="AB17" s="282" t="b">
        <v>1</v>
      </c>
      <c r="AC17" s="282">
        <v>50</v>
      </c>
      <c r="AD17" s="282" t="b">
        <v>0</v>
      </c>
      <c r="AE17" s="282" t="s">
        <v>21309</v>
      </c>
      <c r="AF17" s="282" t="s">
        <v>21310</v>
      </c>
    </row>
    <row r="18" ht="153">
      <c r="A18" s="314">
        <v>16</v>
      </c>
      <c r="B18" s="314" t="s">
        <v>21157</v>
      </c>
      <c r="C18" s="330" t="s">
        <v>21158</v>
      </c>
      <c r="D18" s="329" t="s">
        <v>20855</v>
      </c>
      <c r="E18" s="329">
        <v>105.850808</v>
      </c>
      <c r="F18" s="329">
        <v>20.971897</v>
      </c>
      <c r="G18" s="282" t="s">
        <v>21346</v>
      </c>
      <c r="H18" s="314">
        <v>2</v>
      </c>
      <c r="I18" s="282" t="s">
        <v>21427</v>
      </c>
      <c r="J18" s="282" t="s">
        <v>21339</v>
      </c>
      <c r="K18" s="399" t="s">
        <v>21341</v>
      </c>
      <c r="L18" s="282" t="s">
        <v>21342</v>
      </c>
      <c r="M18" s="282" t="s">
        <v>21340</v>
      </c>
      <c r="N18" s="282" t="s">
        <v>21343</v>
      </c>
      <c r="O18" s="282" t="s">
        <v>21428</v>
      </c>
      <c r="P18" s="341">
        <v>12</v>
      </c>
      <c r="R18" s="333">
        <v>1</v>
      </c>
      <c r="S18" s="282" t="b">
        <v>1</v>
      </c>
      <c r="T18" s="282" t="s">
        <v>21159</v>
      </c>
      <c r="V18" s="282" t="s">
        <v>21307</v>
      </c>
      <c r="W18" s="282" t="s">
        <v>21160</v>
      </c>
      <c r="X18" s="464">
        <v>43756</v>
      </c>
      <c r="Y18" s="282" t="b">
        <v>0</v>
      </c>
      <c r="Z18" s="282" t="b">
        <v>0</v>
      </c>
      <c r="AB18" s="282" t="b">
        <v>1</v>
      </c>
      <c r="AC18" s="282">
        <v>12</v>
      </c>
      <c r="AD18" s="282" t="b">
        <v>0</v>
      </c>
      <c r="AE18" s="282" t="s">
        <v>21309</v>
      </c>
      <c r="AF18" s="282" t="s">
        <v>21310</v>
      </c>
    </row>
    <row r="19" ht="153">
      <c r="A19" s="314">
        <v>17</v>
      </c>
      <c r="B19" s="314" t="s">
        <v>21161</v>
      </c>
      <c r="C19" s="330" t="s">
        <v>21162</v>
      </c>
      <c r="D19" s="329" t="s">
        <v>20855</v>
      </c>
      <c r="E19" s="329">
        <v>105.851466</v>
      </c>
      <c r="F19" s="329">
        <v>20.985777</v>
      </c>
      <c r="G19" s="282" t="s">
        <v>21346</v>
      </c>
      <c r="H19" s="314">
        <v>2</v>
      </c>
      <c r="I19" s="282" t="s">
        <v>21433</v>
      </c>
      <c r="J19" s="282" t="s">
        <v>21339</v>
      </c>
      <c r="K19" s="399" t="s">
        <v>21341</v>
      </c>
      <c r="L19" s="282" t="s">
        <v>21342</v>
      </c>
      <c r="M19" s="282" t="s">
        <v>21340</v>
      </c>
      <c r="N19" s="282" t="s">
        <v>21343</v>
      </c>
      <c r="O19" s="282" t="s">
        <v>21434</v>
      </c>
      <c r="P19" s="341">
        <v>24</v>
      </c>
      <c r="R19" s="333">
        <v>1</v>
      </c>
      <c r="S19" s="282" t="b">
        <v>1</v>
      </c>
      <c r="T19" s="282" t="s">
        <v>21163</v>
      </c>
      <c r="V19" s="282" t="s">
        <v>21307</v>
      </c>
      <c r="W19" s="282" t="s">
        <v>21164</v>
      </c>
      <c r="X19" s="464">
        <v>43756</v>
      </c>
      <c r="Y19" s="282" t="b">
        <v>0</v>
      </c>
      <c r="Z19" s="282" t="b">
        <v>0</v>
      </c>
      <c r="AB19" s="282" t="b">
        <v>1</v>
      </c>
      <c r="AC19" s="282">
        <v>24</v>
      </c>
      <c r="AD19" s="282" t="b">
        <v>0</v>
      </c>
      <c r="AE19" s="282" t="s">
        <v>21309</v>
      </c>
      <c r="AF19" s="282" t="s">
        <v>21310</v>
      </c>
    </row>
    <row r="20" ht="153">
      <c r="A20" s="314">
        <v>18</v>
      </c>
      <c r="B20" s="314" t="s">
        <v>21165</v>
      </c>
      <c r="C20" s="330" t="s">
        <v>21166</v>
      </c>
      <c r="D20" s="329" t="s">
        <v>20855</v>
      </c>
      <c r="E20" s="329">
        <v>105.840384</v>
      </c>
      <c r="F20" s="329">
        <v>20.962545</v>
      </c>
      <c r="G20" s="282" t="s">
        <v>21346</v>
      </c>
      <c r="H20" s="314">
        <v>2</v>
      </c>
      <c r="I20" s="282" t="s">
        <v>21439</v>
      </c>
      <c r="J20" s="282" t="s">
        <v>21339</v>
      </c>
      <c r="K20" s="399" t="s">
        <v>21341</v>
      </c>
      <c r="L20" s="282" t="s">
        <v>21342</v>
      </c>
      <c r="M20" s="282" t="s">
        <v>21340</v>
      </c>
      <c r="N20" s="282" t="s">
        <v>21343</v>
      </c>
      <c r="O20" s="282" t="s">
        <v>21440</v>
      </c>
      <c r="P20" s="341">
        <v>12</v>
      </c>
      <c r="R20" s="333">
        <v>1</v>
      </c>
      <c r="S20" s="282" t="b">
        <v>1</v>
      </c>
      <c r="T20" s="282" t="s">
        <v>21167</v>
      </c>
      <c r="V20" s="282" t="s">
        <v>21307</v>
      </c>
      <c r="W20" s="282" t="s">
        <v>21168</v>
      </c>
      <c r="X20" s="464">
        <v>43756</v>
      </c>
      <c r="Y20" s="282" t="b">
        <v>0</v>
      </c>
      <c r="Z20" s="282" t="b">
        <v>0</v>
      </c>
      <c r="AB20" s="282" t="b">
        <v>1</v>
      </c>
      <c r="AC20" s="282">
        <v>12</v>
      </c>
      <c r="AD20" s="282" t="b">
        <v>0</v>
      </c>
      <c r="AE20" s="282" t="s">
        <v>21309</v>
      </c>
      <c r="AF20" s="282" t="s">
        <v>21310</v>
      </c>
    </row>
    <row r="21" ht="153">
      <c r="A21" s="314">
        <v>19</v>
      </c>
      <c r="B21" s="314" t="s">
        <v>21169</v>
      </c>
      <c r="C21" s="330" t="s">
        <v>21170</v>
      </c>
      <c r="D21" s="329" t="s">
        <v>20855</v>
      </c>
      <c r="E21" s="329">
        <v>105.844472</v>
      </c>
      <c r="F21" s="329">
        <v>20.955057</v>
      </c>
      <c r="G21" s="282" t="s">
        <v>21346</v>
      </c>
      <c r="H21" s="314">
        <v>2</v>
      </c>
      <c r="I21" s="282" t="s">
        <v>21443</v>
      </c>
      <c r="J21" s="282" t="s">
        <v>21339</v>
      </c>
      <c r="K21" s="399" t="s">
        <v>21341</v>
      </c>
      <c r="L21" s="282" t="s">
        <v>21342</v>
      </c>
      <c r="M21" s="282" t="s">
        <v>21340</v>
      </c>
      <c r="N21" s="282" t="s">
        <v>21343</v>
      </c>
      <c r="O21" s="282" t="s">
        <v>21412</v>
      </c>
      <c r="P21" s="341">
        <v>20</v>
      </c>
      <c r="R21" s="333">
        <v>1</v>
      </c>
      <c r="S21" s="282" t="b">
        <v>1</v>
      </c>
      <c r="T21" s="282" t="s">
        <v>21171</v>
      </c>
      <c r="V21" s="282" t="s">
        <v>21307</v>
      </c>
      <c r="W21" s="282" t="s">
        <v>21172</v>
      </c>
      <c r="X21" s="464">
        <v>43756</v>
      </c>
      <c r="Y21" s="282" t="b">
        <v>0</v>
      </c>
      <c r="Z21" s="282" t="b">
        <v>0</v>
      </c>
      <c r="AB21" s="282" t="b">
        <v>1</v>
      </c>
      <c r="AC21" s="282">
        <v>20</v>
      </c>
      <c r="AD21" s="282" t="b">
        <v>0</v>
      </c>
      <c r="AE21" s="282" t="s">
        <v>21309</v>
      </c>
      <c r="AF21" s="282" t="s">
        <v>21310</v>
      </c>
    </row>
    <row r="22" ht="63.75">
      <c r="A22" s="314">
        <v>20</v>
      </c>
      <c r="B22" s="314" t="s">
        <v>21173</v>
      </c>
      <c r="C22" s="330" t="s">
        <v>21174</v>
      </c>
      <c r="D22" s="329" t="s">
        <v>20855</v>
      </c>
      <c r="E22" s="329">
        <v>105.845611</v>
      </c>
      <c r="F22" s="329">
        <v>20.936085</v>
      </c>
      <c r="G22" s="282" t="s">
        <v>21346</v>
      </c>
      <c r="H22" s="314">
        <v>2</v>
      </c>
      <c r="I22" s="282" t="s">
        <v>21445</v>
      </c>
      <c r="J22" s="282" t="s">
        <v>21401</v>
      </c>
      <c r="K22" s="399" t="s">
        <v>21402</v>
      </c>
      <c r="L22" s="282" t="s">
        <v>21403</v>
      </c>
      <c r="M22" s="282" t="s">
        <v>21340</v>
      </c>
      <c r="N22" s="282" t="s">
        <v>21446</v>
      </c>
      <c r="O22" s="282" t="s">
        <v>21447</v>
      </c>
      <c r="P22" s="341">
        <v>12</v>
      </c>
      <c r="R22" s="333">
        <v>1</v>
      </c>
      <c r="S22" s="282" t="b">
        <v>1</v>
      </c>
      <c r="T22" s="282" t="s">
        <v>21175</v>
      </c>
      <c r="V22" s="282" t="s">
        <v>21307</v>
      </c>
      <c r="W22" s="282" t="s">
        <v>21176</v>
      </c>
      <c r="X22" s="464">
        <v>43756</v>
      </c>
      <c r="Y22" s="282" t="b">
        <v>0</v>
      </c>
      <c r="Z22" s="282" t="b">
        <v>0</v>
      </c>
      <c r="AB22" s="282" t="b">
        <v>1</v>
      </c>
      <c r="AC22" s="282">
        <v>12</v>
      </c>
      <c r="AD22" s="282" t="b">
        <v>0</v>
      </c>
      <c r="AE22" s="282" t="s">
        <v>21309</v>
      </c>
      <c r="AF22" s="282" t="s">
        <v>21310</v>
      </c>
    </row>
    <row r="23" ht="127.5">
      <c r="A23" s="314">
        <v>21</v>
      </c>
      <c r="B23" s="314" t="s">
        <v>21177</v>
      </c>
      <c r="C23" s="330" t="s">
        <v>21178</v>
      </c>
      <c r="D23" s="329" t="s">
        <v>20855</v>
      </c>
      <c r="E23" s="329">
        <v>105.84544</v>
      </c>
      <c r="F23" s="329">
        <v>20.94065</v>
      </c>
      <c r="G23" s="282" t="s">
        <v>21320</v>
      </c>
      <c r="H23" s="314">
        <v>3</v>
      </c>
      <c r="I23" s="282" t="s">
        <v>21453</v>
      </c>
      <c r="J23" s="282" t="s">
        <v>21368</v>
      </c>
      <c r="K23" s="399" t="s">
        <v>21303</v>
      </c>
      <c r="L23" s="282" t="s">
        <v>21304</v>
      </c>
      <c r="M23" s="282" t="s">
        <v>21302</v>
      </c>
      <c r="N23" s="282" t="s">
        <v>21305</v>
      </c>
      <c r="O23" s="282" t="s">
        <v>21454</v>
      </c>
      <c r="P23" s="341">
        <v>12</v>
      </c>
      <c r="R23" s="333">
        <v>1</v>
      </c>
      <c r="S23" s="282" t="b">
        <v>1</v>
      </c>
      <c r="T23" s="282" t="s">
        <v>21179</v>
      </c>
      <c r="V23" s="282" t="s">
        <v>21307</v>
      </c>
      <c r="W23" s="282" t="s">
        <v>21180</v>
      </c>
      <c r="X23" s="464">
        <v>43756</v>
      </c>
      <c r="Y23" s="282" t="b">
        <v>0</v>
      </c>
      <c r="Z23" s="282" t="b">
        <v>0</v>
      </c>
      <c r="AB23" s="282" t="b">
        <v>1</v>
      </c>
      <c r="AC23" s="282">
        <v>12</v>
      </c>
      <c r="AD23" s="282" t="b">
        <v>0</v>
      </c>
      <c r="AE23" s="282" t="s">
        <v>21309</v>
      </c>
      <c r="AF23" s="282" t="s">
        <v>21310</v>
      </c>
    </row>
    <row r="24" ht="153">
      <c r="A24" s="314">
        <v>22</v>
      </c>
      <c r="B24" s="314" t="s">
        <v>21181</v>
      </c>
      <c r="C24" s="330" t="s">
        <v>21182</v>
      </c>
      <c r="D24" s="329" t="s">
        <v>20855</v>
      </c>
      <c r="E24" s="329">
        <v>105.830701</v>
      </c>
      <c r="F24" s="329">
        <v>20.93644</v>
      </c>
      <c r="G24" s="282" t="s">
        <v>21468</v>
      </c>
      <c r="H24" s="314">
        <v>4</v>
      </c>
      <c r="I24" s="282" t="s">
        <v>21460</v>
      </c>
      <c r="J24" s="282" t="s">
        <v>21461</v>
      </c>
      <c r="K24" s="399" t="s">
        <v>21463</v>
      </c>
      <c r="L24" s="282" t="s">
        <v>21464</v>
      </c>
      <c r="M24" s="282" t="s">
        <v>21462</v>
      </c>
      <c r="N24" s="282" t="s">
        <v>21465</v>
      </c>
      <c r="O24" s="282" t="s">
        <v>21466</v>
      </c>
      <c r="P24" s="341">
        <v>8</v>
      </c>
      <c r="R24" s="333">
        <v>1</v>
      </c>
      <c r="S24" s="282" t="b">
        <v>1</v>
      </c>
      <c r="T24" s="282" t="s">
        <v>21183</v>
      </c>
      <c r="V24" s="282" t="s">
        <v>21307</v>
      </c>
      <c r="W24" s="282" t="s">
        <v>21184</v>
      </c>
      <c r="X24" s="464">
        <v>43756</v>
      </c>
      <c r="Y24" s="282" t="b">
        <v>0</v>
      </c>
      <c r="Z24" s="282" t="b">
        <v>0</v>
      </c>
      <c r="AB24" s="282" t="b">
        <v>1</v>
      </c>
      <c r="AC24" s="282">
        <v>8</v>
      </c>
      <c r="AD24" s="282" t="b">
        <v>0</v>
      </c>
      <c r="AE24" s="282" t="s">
        <v>21309</v>
      </c>
      <c r="AF24" s="282" t="s">
        <v>21310</v>
      </c>
    </row>
    <row r="25" ht="153">
      <c r="A25" s="314">
        <v>23</v>
      </c>
      <c r="B25" s="314" t="s">
        <v>21185</v>
      </c>
      <c r="C25" s="330" t="s">
        <v>21186</v>
      </c>
      <c r="D25" s="329" t="s">
        <v>20855</v>
      </c>
      <c r="E25" s="329">
        <v>105.735023</v>
      </c>
      <c r="F25" s="329">
        <v>20.964811</v>
      </c>
      <c r="G25" s="282" t="s">
        <v>21346</v>
      </c>
      <c r="H25" s="314">
        <v>2</v>
      </c>
      <c r="I25" s="282" t="s">
        <v>21470</v>
      </c>
      <c r="J25" s="282" t="s">
        <v>21339</v>
      </c>
      <c r="K25" s="399" t="s">
        <v>21341</v>
      </c>
      <c r="L25" s="282" t="s">
        <v>21342</v>
      </c>
      <c r="M25" s="282" t="s">
        <v>21340</v>
      </c>
      <c r="N25" s="282" t="s">
        <v>21343</v>
      </c>
      <c r="O25" s="282" t="s">
        <v>21471</v>
      </c>
      <c r="P25" s="341">
        <v>5</v>
      </c>
      <c r="R25" s="333">
        <v>1</v>
      </c>
      <c r="S25" s="282" t="b">
        <v>1</v>
      </c>
      <c r="T25" s="282" t="s">
        <v>21187</v>
      </c>
      <c r="V25" s="282" t="s">
        <v>21307</v>
      </c>
      <c r="W25" s="282" t="s">
        <v>21188</v>
      </c>
      <c r="X25" s="464">
        <v>43756</v>
      </c>
      <c r="Y25" s="282" t="b">
        <v>1</v>
      </c>
      <c r="Z25" s="282" t="b">
        <v>1</v>
      </c>
      <c r="AB25" s="282" t="b">
        <v>1</v>
      </c>
      <c r="AC25" s="282">
        <v>5</v>
      </c>
      <c r="AD25" s="282" t="b">
        <v>0</v>
      </c>
      <c r="AE25" s="282" t="s">
        <v>21309</v>
      </c>
      <c r="AF25" s="282" t="s">
        <v>21310</v>
      </c>
    </row>
    <row r="26" ht="153">
      <c r="A26" s="314">
        <v>24</v>
      </c>
      <c r="B26" s="314" t="s">
        <v>21189</v>
      </c>
      <c r="C26" s="330" t="s">
        <v>21190</v>
      </c>
      <c r="D26" s="329" t="s">
        <v>20855</v>
      </c>
      <c r="E26" s="329">
        <v>105.713595</v>
      </c>
      <c r="F26" s="329">
        <v>20.997391</v>
      </c>
      <c r="G26" s="282" t="s">
        <v>21346</v>
      </c>
      <c r="H26" s="314">
        <v>2</v>
      </c>
      <c r="I26" s="282" t="s">
        <v>21477</v>
      </c>
      <c r="J26" s="282" t="s">
        <v>21339</v>
      </c>
      <c r="K26" s="399" t="s">
        <v>21341</v>
      </c>
      <c r="L26" s="282" t="s">
        <v>21342</v>
      </c>
      <c r="M26" s="282" t="s">
        <v>21340</v>
      </c>
      <c r="N26" s="282" t="s">
        <v>21343</v>
      </c>
      <c r="O26" s="282" t="s">
        <v>21478</v>
      </c>
      <c r="P26" s="341">
        <v>0</v>
      </c>
      <c r="R26" s="333">
        <v>1</v>
      </c>
      <c r="S26" s="282" t="b">
        <v>1</v>
      </c>
      <c r="T26" s="282" t="s">
        <v>21191</v>
      </c>
      <c r="V26" s="282" t="s">
        <v>21307</v>
      </c>
      <c r="W26" s="282" t="s">
        <v>21192</v>
      </c>
      <c r="X26" s="464">
        <v>43756</v>
      </c>
      <c r="Y26" s="282" t="b">
        <v>1</v>
      </c>
      <c r="Z26" s="282" t="b">
        <v>0</v>
      </c>
      <c r="AB26" s="282" t="b">
        <v>0</v>
      </c>
      <c r="AC26" s="282">
        <v>0</v>
      </c>
      <c r="AD26" s="282" t="b">
        <v>0</v>
      </c>
      <c r="AE26" s="282" t="s">
        <v>21309</v>
      </c>
      <c r="AF26" s="282" t="s">
        <v>21310</v>
      </c>
    </row>
    <row r="27" ht="229.5">
      <c r="A27" s="314">
        <v>25</v>
      </c>
      <c r="B27" s="314" t="s">
        <v>21193</v>
      </c>
      <c r="C27" s="330" t="s">
        <v>21194</v>
      </c>
      <c r="D27" s="329" t="s">
        <v>20855</v>
      </c>
      <c r="E27" s="329">
        <v>105.798988</v>
      </c>
      <c r="F27" s="329">
        <v>20.999661</v>
      </c>
      <c r="G27" s="282" t="s">
        <v>21320</v>
      </c>
      <c r="H27" s="314">
        <v>3</v>
      </c>
      <c r="I27" s="282" t="s">
        <v>21482</v>
      </c>
      <c r="J27" s="282" t="s">
        <v>21301</v>
      </c>
      <c r="K27" s="399" t="s">
        <v>21303</v>
      </c>
      <c r="L27" s="282" t="s">
        <v>21304</v>
      </c>
      <c r="M27" s="282" t="s">
        <v>21302</v>
      </c>
      <c r="N27" s="282" t="s">
        <v>21305</v>
      </c>
      <c r="O27" s="282" t="s">
        <v>21483</v>
      </c>
      <c r="P27" s="341">
        <v>50</v>
      </c>
      <c r="R27" s="333">
        <v>1</v>
      </c>
      <c r="S27" s="282" t="b">
        <v>1</v>
      </c>
      <c r="T27" s="282" t="s">
        <v>21195</v>
      </c>
      <c r="V27" s="282" t="s">
        <v>21307</v>
      </c>
      <c r="W27" s="282" t="s">
        <v>21196</v>
      </c>
      <c r="X27" s="464">
        <v>43756</v>
      </c>
      <c r="Y27" s="282" t="b">
        <v>0</v>
      </c>
      <c r="Z27" s="282" t="b">
        <v>0</v>
      </c>
      <c r="AB27" s="282" t="b">
        <v>1</v>
      </c>
      <c r="AC27" s="282">
        <v>50</v>
      </c>
      <c r="AD27" s="282" t="b">
        <v>0</v>
      </c>
      <c r="AE27" s="282" t="s">
        <v>21309</v>
      </c>
      <c r="AF27" s="282" t="s">
        <v>21310</v>
      </c>
    </row>
    <row r="28" ht="153">
      <c r="A28" s="314">
        <v>26</v>
      </c>
      <c r="B28" s="314" t="s">
        <v>21197</v>
      </c>
      <c r="C28" s="330" t="s">
        <v>21198</v>
      </c>
      <c r="D28" s="329" t="s">
        <v>20855</v>
      </c>
      <c r="E28" s="329">
        <v>105.813943</v>
      </c>
      <c r="F28" s="329">
        <v>20.996429</v>
      </c>
      <c r="G28" s="282" t="s">
        <v>21346</v>
      </c>
      <c r="H28" s="314">
        <v>2</v>
      </c>
      <c r="I28" s="282" t="s">
        <v>21489</v>
      </c>
      <c r="J28" s="282" t="s">
        <v>21339</v>
      </c>
      <c r="K28" s="399" t="s">
        <v>21341</v>
      </c>
      <c r="L28" s="282" t="s">
        <v>21342</v>
      </c>
      <c r="M28" s="282" t="s">
        <v>21340</v>
      </c>
      <c r="N28" s="282" t="s">
        <v>21343</v>
      </c>
      <c r="O28" s="282" t="s">
        <v>21440</v>
      </c>
      <c r="P28" s="341">
        <v>20</v>
      </c>
      <c r="R28" s="333">
        <v>1</v>
      </c>
      <c r="S28" s="282" t="b">
        <v>1</v>
      </c>
      <c r="T28" s="282" t="s">
        <v>21199</v>
      </c>
      <c r="V28" s="282" t="s">
        <v>21307</v>
      </c>
      <c r="W28" s="282" t="s">
        <v>21200</v>
      </c>
      <c r="X28" s="464">
        <v>43756</v>
      </c>
      <c r="Y28" s="282" t="b">
        <v>0</v>
      </c>
      <c r="Z28" s="282" t="b">
        <v>0</v>
      </c>
      <c r="AB28" s="282" t="b">
        <v>1</v>
      </c>
      <c r="AC28" s="282">
        <v>20</v>
      </c>
      <c r="AD28" s="282" t="b">
        <v>0</v>
      </c>
      <c r="AE28" s="282" t="s">
        <v>21309</v>
      </c>
      <c r="AF28" s="282" t="s">
        <v>21310</v>
      </c>
    </row>
    <row r="29" ht="153">
      <c r="A29" s="314">
        <v>27</v>
      </c>
      <c r="B29" s="314" t="s">
        <v>21201</v>
      </c>
      <c r="C29" s="330" t="s">
        <v>21202</v>
      </c>
      <c r="D29" s="329" t="s">
        <v>20855</v>
      </c>
      <c r="E29" s="329">
        <v>105.830771</v>
      </c>
      <c r="F29" s="329">
        <v>20.993583</v>
      </c>
      <c r="G29" s="282" t="s">
        <v>21346</v>
      </c>
      <c r="H29" s="314">
        <v>2</v>
      </c>
      <c r="I29" s="282" t="s">
        <v>21492</v>
      </c>
      <c r="J29" s="282" t="s">
        <v>21339</v>
      </c>
      <c r="K29" s="399" t="s">
        <v>21341</v>
      </c>
      <c r="L29" s="282" t="s">
        <v>21342</v>
      </c>
      <c r="M29" s="282" t="s">
        <v>21340</v>
      </c>
      <c r="N29" s="282" t="s">
        <v>21343</v>
      </c>
      <c r="O29" s="282" t="s">
        <v>21493</v>
      </c>
      <c r="P29" s="341">
        <v>16</v>
      </c>
      <c r="R29" s="333">
        <v>1</v>
      </c>
      <c r="S29" s="282" t="b">
        <v>1</v>
      </c>
      <c r="T29" s="282" t="s">
        <v>21203</v>
      </c>
      <c r="V29" s="282" t="s">
        <v>21307</v>
      </c>
      <c r="W29" s="282" t="s">
        <v>21204</v>
      </c>
      <c r="X29" s="464">
        <v>43756</v>
      </c>
      <c r="Y29" s="282" t="b">
        <v>0</v>
      </c>
      <c r="Z29" s="282" t="b">
        <v>0</v>
      </c>
      <c r="AB29" s="282" t="b">
        <v>1</v>
      </c>
      <c r="AC29" s="282">
        <v>16</v>
      </c>
      <c r="AD29" s="282" t="b">
        <v>0</v>
      </c>
      <c r="AE29" s="282" t="s">
        <v>21309</v>
      </c>
      <c r="AF29" s="282" t="s">
        <v>21310</v>
      </c>
    </row>
    <row r="30" ht="153">
      <c r="A30" s="314">
        <v>28</v>
      </c>
      <c r="B30" s="314" t="s">
        <v>21205</v>
      </c>
      <c r="C30" s="330" t="s">
        <v>21206</v>
      </c>
      <c r="D30" s="329" t="s">
        <v>20855</v>
      </c>
      <c r="E30" s="329">
        <v>105.811422</v>
      </c>
      <c r="F30" s="329">
        <v>21.047256</v>
      </c>
      <c r="G30" s="282" t="s">
        <v>21346</v>
      </c>
      <c r="H30" s="314">
        <v>2</v>
      </c>
      <c r="I30" s="282" t="s">
        <v>21495</v>
      </c>
      <c r="J30" s="282" t="s">
        <v>21339</v>
      </c>
      <c r="K30" s="399" t="s">
        <v>21341</v>
      </c>
      <c r="L30" s="282" t="s">
        <v>21342</v>
      </c>
      <c r="M30" s="282" t="s">
        <v>21340</v>
      </c>
      <c r="N30" s="282" t="s">
        <v>21343</v>
      </c>
      <c r="O30" s="282" t="s">
        <v>21447</v>
      </c>
      <c r="P30" s="341">
        <v>25</v>
      </c>
      <c r="R30" s="333">
        <v>1</v>
      </c>
      <c r="S30" s="282" t="b">
        <v>1</v>
      </c>
      <c r="T30" s="282" t="s">
        <v>21207</v>
      </c>
      <c r="V30" s="282" t="s">
        <v>21307</v>
      </c>
      <c r="W30" s="282" t="s">
        <v>21208</v>
      </c>
      <c r="X30" s="464">
        <v>43756</v>
      </c>
      <c r="Y30" s="282" t="b">
        <v>0</v>
      </c>
      <c r="Z30" s="282" t="b">
        <v>0</v>
      </c>
      <c r="AB30" s="282" t="b">
        <v>1</v>
      </c>
      <c r="AC30" s="282">
        <v>25</v>
      </c>
      <c r="AD30" s="282" t="b">
        <v>0</v>
      </c>
      <c r="AE30" s="282" t="s">
        <v>21309</v>
      </c>
      <c r="AF30" s="282" t="s">
        <v>21310</v>
      </c>
    </row>
    <row r="31" ht="153">
      <c r="A31" s="314">
        <v>29</v>
      </c>
      <c r="B31" s="314" t="s">
        <v>21209</v>
      </c>
      <c r="C31" s="330" t="s">
        <v>21210</v>
      </c>
      <c r="D31" s="329" t="s">
        <v>20855</v>
      </c>
      <c r="E31" s="329">
        <v>105.787131</v>
      </c>
      <c r="F31" s="329">
        <v>21.001691</v>
      </c>
      <c r="G31" s="282" t="s">
        <v>21346</v>
      </c>
      <c r="H31" s="314">
        <v>2</v>
      </c>
      <c r="I31" s="282" t="s">
        <v>21499</v>
      </c>
      <c r="J31" s="282" t="s">
        <v>21339</v>
      </c>
      <c r="K31" s="399" t="s">
        <v>21341</v>
      </c>
      <c r="L31" s="282" t="s">
        <v>21342</v>
      </c>
      <c r="M31" s="282" t="s">
        <v>21340</v>
      </c>
      <c r="N31" s="282" t="s">
        <v>21343</v>
      </c>
      <c r="O31" s="282" t="s">
        <v>21478</v>
      </c>
      <c r="P31" s="341">
        <v>0</v>
      </c>
      <c r="R31" s="333">
        <v>1</v>
      </c>
      <c r="S31" s="282" t="b">
        <v>1</v>
      </c>
      <c r="T31" s="282" t="s">
        <v>21211</v>
      </c>
      <c r="V31" s="282" t="s">
        <v>21307</v>
      </c>
      <c r="W31" s="282" t="s">
        <v>21212</v>
      </c>
      <c r="X31" s="464">
        <v>43756</v>
      </c>
      <c r="Y31" s="282" t="b">
        <v>1</v>
      </c>
      <c r="Z31" s="282" t="b">
        <v>0</v>
      </c>
      <c r="AB31" s="282" t="b">
        <v>0</v>
      </c>
      <c r="AC31" s="282">
        <v>0</v>
      </c>
      <c r="AD31" s="282" t="b">
        <v>0</v>
      </c>
      <c r="AE31" s="282" t="s">
        <v>21309</v>
      </c>
      <c r="AF31" s="282" t="s">
        <v>21310</v>
      </c>
    </row>
    <row r="32" ht="153">
      <c r="A32" s="314">
        <v>30</v>
      </c>
      <c r="B32" s="314" t="s">
        <v>21213</v>
      </c>
      <c r="C32" s="330" t="s">
        <v>21214</v>
      </c>
      <c r="D32" s="329" t="s">
        <v>20855</v>
      </c>
      <c r="E32" s="329">
        <v>105.853985</v>
      </c>
      <c r="F32" s="329">
        <v>21.026803</v>
      </c>
      <c r="G32" s="282" t="s">
        <v>21346</v>
      </c>
      <c r="H32" s="314">
        <v>2</v>
      </c>
      <c r="I32" s="282" t="s">
        <v>21501</v>
      </c>
      <c r="J32" s="282" t="s">
        <v>21339</v>
      </c>
      <c r="K32" s="399" t="s">
        <v>21341</v>
      </c>
      <c r="L32" s="282" t="s">
        <v>21342</v>
      </c>
      <c r="M32" s="282" t="s">
        <v>21340</v>
      </c>
      <c r="N32" s="282" t="s">
        <v>21343</v>
      </c>
      <c r="O32" s="282" t="s">
        <v>21447</v>
      </c>
      <c r="P32" s="341">
        <v>24</v>
      </c>
      <c r="R32" s="333">
        <v>1</v>
      </c>
      <c r="S32" s="282" t="b">
        <v>1</v>
      </c>
      <c r="T32" s="282" t="s">
        <v>21215</v>
      </c>
      <c r="V32" s="282" t="s">
        <v>21307</v>
      </c>
      <c r="W32" s="282" t="s">
        <v>21216</v>
      </c>
      <c r="X32" s="464">
        <v>43756</v>
      </c>
      <c r="Y32" s="282" t="b">
        <v>0</v>
      </c>
      <c r="Z32" s="282" t="b">
        <v>0</v>
      </c>
      <c r="AB32" s="282" t="b">
        <v>1</v>
      </c>
      <c r="AC32" s="282">
        <v>24</v>
      </c>
      <c r="AD32" s="282" t="b">
        <v>0</v>
      </c>
      <c r="AE32" s="282" t="s">
        <v>21309</v>
      </c>
      <c r="AF32" s="282" t="s">
        <v>21310</v>
      </c>
    </row>
    <row r="33" ht="153">
      <c r="A33" s="314">
        <v>31</v>
      </c>
      <c r="B33" s="314" t="s">
        <v>21217</v>
      </c>
      <c r="C33" s="330" t="s">
        <v>21218</v>
      </c>
      <c r="D33" s="329" t="s">
        <v>20855</v>
      </c>
      <c r="E33" s="329">
        <v>105.876561</v>
      </c>
      <c r="F33" s="329">
        <v>21.049645</v>
      </c>
      <c r="G33" s="282" t="s">
        <v>21346</v>
      </c>
      <c r="H33" s="314">
        <v>2</v>
      </c>
      <c r="I33" s="282" t="s">
        <v>21504</v>
      </c>
      <c r="J33" s="282" t="s">
        <v>21339</v>
      </c>
      <c r="K33" s="399" t="s">
        <v>21341</v>
      </c>
      <c r="L33" s="282" t="s">
        <v>21342</v>
      </c>
      <c r="M33" s="282" t="s">
        <v>21340</v>
      </c>
      <c r="N33" s="282" t="s">
        <v>21343</v>
      </c>
      <c r="O33" s="282" t="s">
        <v>21447</v>
      </c>
      <c r="P33" s="341">
        <v>20</v>
      </c>
      <c r="R33" s="333">
        <v>1</v>
      </c>
      <c r="S33" s="282" t="b">
        <v>1</v>
      </c>
      <c r="T33" s="282" t="s">
        <v>21219</v>
      </c>
      <c r="V33" s="282" t="s">
        <v>21307</v>
      </c>
      <c r="W33" s="282" t="s">
        <v>21220</v>
      </c>
      <c r="X33" s="464">
        <v>43756</v>
      </c>
      <c r="Y33" s="282" t="b">
        <v>0</v>
      </c>
      <c r="Z33" s="282" t="b">
        <v>0</v>
      </c>
      <c r="AB33" s="282" t="b">
        <v>1</v>
      </c>
      <c r="AC33" s="282">
        <v>20</v>
      </c>
      <c r="AD33" s="282" t="b">
        <v>0</v>
      </c>
      <c r="AE33" s="282" t="s">
        <v>21309</v>
      </c>
      <c r="AF33" s="282" t="s">
        <v>21310</v>
      </c>
    </row>
    <row r="34" ht="153">
      <c r="A34" s="314">
        <v>32</v>
      </c>
      <c r="B34" s="314" t="s">
        <v>21221</v>
      </c>
      <c r="C34" s="330" t="s">
        <v>21222</v>
      </c>
      <c r="D34" s="329" t="s">
        <v>20855</v>
      </c>
      <c r="E34" s="329">
        <v>105.937558</v>
      </c>
      <c r="F34" s="329">
        <v>21.021868</v>
      </c>
      <c r="G34" s="282" t="s">
        <v>21346</v>
      </c>
      <c r="H34" s="314">
        <v>2</v>
      </c>
      <c r="I34" s="282" t="s">
        <v>21507</v>
      </c>
      <c r="J34" s="282" t="s">
        <v>21339</v>
      </c>
      <c r="K34" s="399" t="s">
        <v>21341</v>
      </c>
      <c r="L34" s="282" t="s">
        <v>21342</v>
      </c>
      <c r="M34" s="282" t="s">
        <v>21340</v>
      </c>
      <c r="N34" s="282" t="s">
        <v>21343</v>
      </c>
      <c r="O34" s="282" t="s">
        <v>21508</v>
      </c>
      <c r="P34" s="341">
        <v>12</v>
      </c>
      <c r="R34" s="333">
        <v>1</v>
      </c>
      <c r="S34" s="282" t="b">
        <v>1</v>
      </c>
      <c r="T34" s="282" t="s">
        <v>21223</v>
      </c>
      <c r="V34" s="282" t="s">
        <v>21307</v>
      </c>
      <c r="W34" s="282" t="s">
        <v>21224</v>
      </c>
      <c r="X34" s="464">
        <v>43756</v>
      </c>
      <c r="Y34" s="282" t="b">
        <v>0</v>
      </c>
      <c r="Z34" s="282" t="b">
        <v>0</v>
      </c>
      <c r="AB34" s="282" t="b">
        <v>1</v>
      </c>
      <c r="AC34" s="282">
        <v>12</v>
      </c>
      <c r="AD34" s="282" t="b">
        <v>0</v>
      </c>
      <c r="AE34" s="282" t="s">
        <v>21309</v>
      </c>
      <c r="AF34" s="282" t="s">
        <v>21310</v>
      </c>
    </row>
    <row r="35" ht="153">
      <c r="A35" s="314">
        <v>33</v>
      </c>
      <c r="B35" s="314" t="s">
        <v>21225</v>
      </c>
      <c r="C35" s="330" t="s">
        <v>21226</v>
      </c>
      <c r="D35" s="329" t="s">
        <v>20855</v>
      </c>
      <c r="E35" s="329">
        <v>105.916195</v>
      </c>
      <c r="F35" s="329">
        <v>21.057921</v>
      </c>
      <c r="G35" s="282" t="s">
        <v>21346</v>
      </c>
      <c r="H35" s="314">
        <v>2</v>
      </c>
      <c r="I35" s="282" t="s">
        <v>21514</v>
      </c>
      <c r="J35" s="282" t="s">
        <v>21339</v>
      </c>
      <c r="K35" s="399" t="s">
        <v>21341</v>
      </c>
      <c r="L35" s="282" t="s">
        <v>21342</v>
      </c>
      <c r="M35" s="282" t="s">
        <v>21340</v>
      </c>
      <c r="N35" s="282" t="s">
        <v>21343</v>
      </c>
      <c r="O35" s="282" t="s">
        <v>21351</v>
      </c>
      <c r="P35" s="341">
        <v>12</v>
      </c>
      <c r="R35" s="333">
        <v>1</v>
      </c>
      <c r="S35" s="282" t="b">
        <v>1</v>
      </c>
      <c r="T35" s="282" t="s">
        <v>21227</v>
      </c>
      <c r="V35" s="282" t="s">
        <v>21307</v>
      </c>
      <c r="W35" s="282" t="s">
        <v>21228</v>
      </c>
      <c r="X35" s="464">
        <v>43756</v>
      </c>
      <c r="Y35" s="282" t="b">
        <v>0</v>
      </c>
      <c r="Z35" s="282" t="b">
        <v>0</v>
      </c>
      <c r="AB35" s="282" t="b">
        <v>1</v>
      </c>
      <c r="AC35" s="282">
        <v>12</v>
      </c>
      <c r="AD35" s="282" t="b">
        <v>0</v>
      </c>
      <c r="AE35" s="282" t="s">
        <v>21309</v>
      </c>
      <c r="AF35" s="282" t="s">
        <v>21310</v>
      </c>
    </row>
    <row r="36" ht="153">
      <c r="A36" s="314">
        <v>34</v>
      </c>
      <c r="B36" s="314" t="s">
        <v>21229</v>
      </c>
      <c r="C36" s="330" t="s">
        <v>21230</v>
      </c>
      <c r="D36" s="329" t="s">
        <v>20855</v>
      </c>
      <c r="E36" s="329">
        <v>105.776841</v>
      </c>
      <c r="F36" s="329">
        <v>21.110002</v>
      </c>
      <c r="G36" s="282" t="s">
        <v>21346</v>
      </c>
      <c r="H36" s="314">
        <v>2</v>
      </c>
      <c r="I36" s="282" t="s">
        <v>21516</v>
      </c>
      <c r="J36" s="282" t="s">
        <v>21339</v>
      </c>
      <c r="K36" s="399" t="s">
        <v>21341</v>
      </c>
      <c r="L36" s="282" t="s">
        <v>21342</v>
      </c>
      <c r="M36" s="282" t="s">
        <v>21340</v>
      </c>
      <c r="N36" s="282" t="s">
        <v>21343</v>
      </c>
      <c r="O36" s="282" t="s">
        <v>21508</v>
      </c>
      <c r="P36" s="341">
        <v>12</v>
      </c>
      <c r="R36" s="333">
        <v>1</v>
      </c>
      <c r="S36" s="282" t="b">
        <v>1</v>
      </c>
      <c r="T36" s="282" t="s">
        <v>21231</v>
      </c>
      <c r="V36" s="282" t="s">
        <v>21307</v>
      </c>
      <c r="W36" s="282" t="s">
        <v>21232</v>
      </c>
      <c r="X36" s="464">
        <v>43756</v>
      </c>
      <c r="Y36" s="282" t="b">
        <v>0</v>
      </c>
      <c r="Z36" s="282" t="b">
        <v>0</v>
      </c>
      <c r="AB36" s="282" t="b">
        <v>1</v>
      </c>
      <c r="AC36" s="282">
        <v>12</v>
      </c>
      <c r="AD36" s="282" t="b">
        <v>0</v>
      </c>
      <c r="AE36" s="282" t="s">
        <v>21309</v>
      </c>
      <c r="AF36" s="282" t="s">
        <v>21310</v>
      </c>
    </row>
    <row r="37" ht="153">
      <c r="A37" s="314">
        <v>35</v>
      </c>
      <c r="B37" s="314" t="s">
        <v>21233</v>
      </c>
      <c r="C37" s="330" t="s">
        <v>21234</v>
      </c>
      <c r="D37" s="329" t="s">
        <v>20855</v>
      </c>
      <c r="E37" s="329">
        <v>105.755618</v>
      </c>
      <c r="F37" s="329">
        <v>21.110651</v>
      </c>
      <c r="G37" s="282" t="s">
        <v>21346</v>
      </c>
      <c r="H37" s="314">
        <v>2</v>
      </c>
      <c r="I37" s="282" t="s">
        <v>21520</v>
      </c>
      <c r="J37" s="282" t="s">
        <v>21339</v>
      </c>
      <c r="K37" s="399" t="s">
        <v>21341</v>
      </c>
      <c r="L37" s="282" t="s">
        <v>21342</v>
      </c>
      <c r="M37" s="282" t="s">
        <v>21340</v>
      </c>
      <c r="N37" s="282" t="s">
        <v>21343</v>
      </c>
      <c r="O37" s="282" t="s">
        <v>21521</v>
      </c>
      <c r="P37" s="341">
        <v>0</v>
      </c>
      <c r="R37" s="333">
        <v>1</v>
      </c>
      <c r="S37" s="282" t="b">
        <v>1</v>
      </c>
      <c r="T37" s="282" t="s">
        <v>21235</v>
      </c>
      <c r="V37" s="282" t="s">
        <v>21307</v>
      </c>
      <c r="W37" s="282" t="s">
        <v>21236</v>
      </c>
      <c r="X37" s="464">
        <v>43756</v>
      </c>
      <c r="Y37" s="282" t="b">
        <v>1</v>
      </c>
      <c r="Z37" s="282" t="b">
        <v>1</v>
      </c>
      <c r="AB37" s="282" t="b">
        <v>0</v>
      </c>
      <c r="AC37" s="282">
        <v>0</v>
      </c>
      <c r="AD37" s="282" t="b">
        <v>0</v>
      </c>
      <c r="AE37" s="282" t="s">
        <v>21309</v>
      </c>
      <c r="AF37" s="282" t="s">
        <v>21310</v>
      </c>
    </row>
    <row r="38" ht="153">
      <c r="A38" s="314">
        <v>36</v>
      </c>
      <c r="B38" s="314" t="s">
        <v>21237</v>
      </c>
      <c r="C38" s="330" t="s">
        <v>21238</v>
      </c>
      <c r="D38" s="329" t="s">
        <v>20855</v>
      </c>
      <c r="E38" s="329">
        <v>105.768676</v>
      </c>
      <c r="F38" s="329">
        <v>21.195116</v>
      </c>
      <c r="G38" s="282" t="s">
        <v>21346</v>
      </c>
      <c r="H38" s="314">
        <v>2</v>
      </c>
      <c r="I38" s="282" t="s">
        <v>21525</v>
      </c>
      <c r="J38" s="282" t="s">
        <v>21339</v>
      </c>
      <c r="K38" s="399" t="s">
        <v>21341</v>
      </c>
      <c r="L38" s="282" t="s">
        <v>21342</v>
      </c>
      <c r="M38" s="282" t="s">
        <v>21340</v>
      </c>
      <c r="N38" s="282" t="s">
        <v>21343</v>
      </c>
      <c r="O38" s="282" t="s">
        <v>21526</v>
      </c>
      <c r="P38" s="341">
        <v>16</v>
      </c>
      <c r="R38" s="333">
        <v>1</v>
      </c>
      <c r="S38" s="282" t="b">
        <v>1</v>
      </c>
      <c r="T38" s="282" t="s">
        <v>21239</v>
      </c>
      <c r="V38" s="282" t="s">
        <v>21307</v>
      </c>
      <c r="W38" s="282" t="s">
        <v>21240</v>
      </c>
      <c r="X38" s="464">
        <v>43756</v>
      </c>
      <c r="Y38" s="282" t="b">
        <v>0</v>
      </c>
      <c r="Z38" s="282" t="b">
        <v>0</v>
      </c>
      <c r="AB38" s="282" t="b">
        <v>1</v>
      </c>
      <c r="AC38" s="282">
        <v>16</v>
      </c>
      <c r="AD38" s="282" t="b">
        <v>0</v>
      </c>
      <c r="AE38" s="282" t="s">
        <v>21309</v>
      </c>
      <c r="AF38" s="282" t="s">
        <v>21310</v>
      </c>
    </row>
    <row r="39" ht="409.5">
      <c r="A39" s="314">
        <v>37</v>
      </c>
      <c r="B39" s="314" t="s">
        <v>21241</v>
      </c>
      <c r="C39" s="330" t="s">
        <v>21242</v>
      </c>
      <c r="D39" s="329" t="s">
        <v>20855</v>
      </c>
      <c r="E39" s="329">
        <v>105.723142</v>
      </c>
      <c r="F39" s="329">
        <v>21.184451</v>
      </c>
      <c r="G39" s="282" t="s">
        <v>21537</v>
      </c>
      <c r="H39" s="314">
        <v>3</v>
      </c>
      <c r="I39" s="282" t="s">
        <v>21529</v>
      </c>
      <c r="J39" s="282" t="s">
        <v>21530</v>
      </c>
      <c r="K39" s="399" t="s">
        <v>21532</v>
      </c>
      <c r="L39" s="282" t="s">
        <v>21533</v>
      </c>
      <c r="M39" s="282" t="s">
        <v>21531</v>
      </c>
      <c r="N39" s="282" t="s">
        <v>21534</v>
      </c>
      <c r="O39" s="282" t="s">
        <v>21535</v>
      </c>
      <c r="P39" s="341">
        <v>20</v>
      </c>
      <c r="R39" s="333">
        <v>1</v>
      </c>
      <c r="S39" s="282" t="b">
        <v>1</v>
      </c>
      <c r="T39" s="282" t="s">
        <v>21243</v>
      </c>
      <c r="V39" s="282" t="s">
        <v>21307</v>
      </c>
      <c r="W39" s="282" t="s">
        <v>21244</v>
      </c>
      <c r="X39" s="464">
        <v>43756</v>
      </c>
      <c r="Y39" s="282" t="b">
        <v>1</v>
      </c>
      <c r="Z39" s="282" t="b">
        <v>0</v>
      </c>
      <c r="AB39" s="282" t="b">
        <v>1</v>
      </c>
      <c r="AC39" s="282">
        <v>20</v>
      </c>
      <c r="AD39" s="282" t="b">
        <v>0</v>
      </c>
      <c r="AE39" s="282" t="s">
        <v>21309</v>
      </c>
      <c r="AF39" s="282" t="s">
        <v>21310</v>
      </c>
    </row>
  </sheetData>
  <sheetProtection formatCells="0" formatColumns="0" formatRows="0" sort="0" autoFilter="0" pivotTables="0"/>
  <phoneticPr fontId="100" type="noConversion"/>
  <dataValidations count="1">
    <dataValidation type="list" allowBlank="1" showInputMessage="1" showErrorMessage="1" sqref="X2 V3:V1048576" xr:uid="{E28F8497-0C94-4830-9DF7-681A33606D51}">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21541</v>
      </c>
      <c r="C1" s="335" t="s">
        <v>21542</v>
      </c>
      <c r="D1" s="335" t="s">
        <v>21543</v>
      </c>
      <c r="E1" s="321" t="s">
        <v>21544</v>
      </c>
      <c r="F1" s="321" t="s">
        <v>21545</v>
      </c>
      <c r="G1" s="321" t="s">
        <v>21546</v>
      </c>
      <c r="H1" s="322" t="s">
        <v>21581</v>
      </c>
      <c r="I1" s="323"/>
      <c r="J1" s="323"/>
    </row>
    <row r="2" ht="30">
      <c r="A2" s="325">
        <v>1</v>
      </c>
      <c r="B2" s="217">
        <v>359018</v>
      </c>
      <c r="C2" s="326" t="s">
        <v>22353</v>
      </c>
      <c r="D2" s="325" t="s">
        <v>20917</v>
      </c>
      <c r="E2" s="327">
        <v>106.698889</v>
      </c>
      <c r="F2" s="217">
        <v>10.759444</v>
      </c>
      <c r="G2" s="217">
        <v>1</v>
      </c>
      <c r="H2" s="325" t="str">
        <f>INDEX(CityIDList,MATCH(D2,CityNameList,0))</f>
        <v>HCM</v>
      </c>
    </row>
    <row r="3" ht="45">
      <c r="A3" s="325">
        <v>2</v>
      </c>
      <c r="B3" s="217">
        <v>359184</v>
      </c>
      <c r="C3" s="326" t="s">
        <v>22354</v>
      </c>
      <c r="D3" s="325" t="s">
        <v>20917</v>
      </c>
      <c r="E3" s="327">
        <v>106.6932</v>
      </c>
      <c r="F3" s="217">
        <v>10.77212</v>
      </c>
      <c r="G3" s="217">
        <v>1</v>
      </c>
      <c r="H3" s="325" t="str">
        <f>INDEX(CityIDList,MATCH(D3,CityNameList,0))</f>
        <v>HCM</v>
      </c>
    </row>
    <row r="4" ht="45">
      <c r="A4" s="325">
        <v>3</v>
      </c>
      <c r="B4" s="217">
        <v>359356</v>
      </c>
      <c r="C4" s="326" t="s">
        <v>22355</v>
      </c>
      <c r="D4" s="325" t="s">
        <v>20917</v>
      </c>
      <c r="E4" s="327">
        <v>106.68681</v>
      </c>
      <c r="F4" s="217">
        <v>10.76398</v>
      </c>
      <c r="G4" s="217">
        <v>1</v>
      </c>
      <c r="H4" s="325" t="str">
        <f>INDEX(CityIDList,MATCH(D4,CityNameList,0))</f>
        <v>HCM</v>
      </c>
    </row>
    <row r="5" ht="30">
      <c r="A5" s="325">
        <v>5</v>
      </c>
      <c r="B5" s="217">
        <v>359389</v>
      </c>
      <c r="C5" s="326" t="s">
        <v>22356</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39"/>
  <sheetViews>
    <sheetView showZeros="0" zoomScale="115" zoomScaleNormal="115" workbookViewId="0">
      <pane xSplit="3" ySplit="1" topLeftCell="D4" activePane="bottomRight" state="frozen"/>
      <selection activeCell="G5" sqref="G5"/>
      <selection pane="topRight" activeCell="G5" sqref="G5"/>
      <selection pane="bottomLeft" activeCell="G5" sqref="G5"/>
      <selection pane="bottomRight" sqref="A1:AC39"/>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464"/>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21541</v>
      </c>
      <c r="C1" s="377" t="s">
        <v>21542</v>
      </c>
      <c r="D1" s="368" t="s">
        <v>21543</v>
      </c>
      <c r="E1" s="406" t="s">
        <v>21544</v>
      </c>
      <c r="F1" s="406" t="s">
        <v>21545</v>
      </c>
      <c r="G1" s="369" t="s">
        <v>21546</v>
      </c>
      <c r="H1" s="370" t="s">
        <v>21547</v>
      </c>
      <c r="I1" s="371" t="s">
        <v>21594</v>
      </c>
      <c r="J1" s="371" t="s">
        <v>21549</v>
      </c>
      <c r="K1" s="371" t="s">
        <v>21550</v>
      </c>
      <c r="L1" s="371" t="s">
        <v>21551</v>
      </c>
      <c r="M1" s="371" t="s">
        <v>21552</v>
      </c>
      <c r="N1" s="371" t="s">
        <v>21553</v>
      </c>
      <c r="O1" s="371" t="s">
        <v>21554</v>
      </c>
      <c r="P1" s="371" t="s">
        <v>21555</v>
      </c>
      <c r="Q1" s="372" t="s">
        <v>21556</v>
      </c>
      <c r="R1" s="373" t="s">
        <v>21295</v>
      </c>
      <c r="S1" s="373" t="s">
        <v>21557</v>
      </c>
      <c r="T1" s="373" t="s">
        <v>21558</v>
      </c>
      <c r="U1" s="336" t="s">
        <v>21559</v>
      </c>
      <c r="V1" s="467" t="s">
        <v>21560</v>
      </c>
      <c r="W1" s="337" t="s">
        <v>21561</v>
      </c>
      <c r="X1" s="337" t="s">
        <v>21562</v>
      </c>
      <c r="Y1" s="337" t="s">
        <v>21564</v>
      </c>
      <c r="Z1" s="340" t="s">
        <v>21565</v>
      </c>
      <c r="AA1" s="337" t="s">
        <v>21566</v>
      </c>
      <c r="AB1" s="408" t="s">
        <v>21567</v>
      </c>
      <c r="AC1" s="408" t="s">
        <v>21568</v>
      </c>
    </row>
    <row r="2" ht="90">
      <c r="A2" s="431" t="s">
        <v>20973</v>
      </c>
      <c r="B2" s="423" t="s">
        <v>22253</v>
      </c>
      <c r="C2" s="423" t="s">
        <v>22339</v>
      </c>
      <c r="D2" s="423" t="s">
        <v>22340</v>
      </c>
      <c r="E2" s="424" t="s">
        <v>22266</v>
      </c>
      <c r="F2" s="424" t="s">
        <v>22269</v>
      </c>
      <c r="G2" s="423" t="s">
        <v>22341</v>
      </c>
      <c r="H2" s="425" t="s">
        <v>22342</v>
      </c>
      <c r="I2" s="426" t="s">
        <v>22343</v>
      </c>
      <c r="J2" s="433" t="s">
        <v>22344</v>
      </c>
      <c r="K2" s="433" t="s">
        <v>22345</v>
      </c>
      <c r="L2" s="426" t="s">
        <v>22346</v>
      </c>
      <c r="M2" s="434" t="s">
        <v>22347</v>
      </c>
      <c r="N2" s="433" t="s">
        <v>22348</v>
      </c>
      <c r="O2" s="433" t="s">
        <v>22349</v>
      </c>
      <c r="P2" s="433" t="s">
        <v>22350</v>
      </c>
      <c r="Q2" s="426" t="s">
        <v>22305</v>
      </c>
      <c r="R2" s="431" t="s">
        <v>22306</v>
      </c>
      <c r="S2" s="435" t="s">
        <v>22307</v>
      </c>
      <c r="T2" s="435" t="s">
        <v>22310</v>
      </c>
      <c r="U2" s="426" t="s">
        <v>21092</v>
      </c>
      <c r="V2" s="468" t="s">
        <v>22312</v>
      </c>
      <c r="W2" s="426" t="s">
        <v>22314</v>
      </c>
      <c r="X2" s="427" t="s">
        <v>22316</v>
      </c>
      <c r="Y2" s="426" t="s">
        <v>22351</v>
      </c>
      <c r="Z2" s="428" t="s">
        <v>22352</v>
      </c>
      <c r="AA2" s="426" t="s">
        <v>22325</v>
      </c>
      <c r="AB2" s="431" t="s">
        <v>22336</v>
      </c>
      <c r="AC2" s="431" t="s">
        <v>22338</v>
      </c>
    </row>
    <row r="3" ht="229.5">
      <c r="A3" s="320">
        <v>1</v>
      </c>
      <c r="B3" s="415" t="s">
        <v>21097</v>
      </c>
      <c r="C3" s="416" t="s">
        <v>21098</v>
      </c>
      <c r="D3" s="417" t="s">
        <v>20855</v>
      </c>
      <c r="E3" s="418">
        <v>105.76466</v>
      </c>
      <c r="F3" s="418">
        <v>21.029509</v>
      </c>
      <c r="G3" s="419">
        <v>1</v>
      </c>
      <c r="H3" s="320">
        <v>3</v>
      </c>
      <c r="I3" s="342" t="s">
        <v>21320</v>
      </c>
      <c r="J3" s="342" t="s">
        <v>21300</v>
      </c>
      <c r="K3" s="342" t="s">
        <v>21301</v>
      </c>
      <c r="L3" s="342" t="s">
        <v>21302</v>
      </c>
      <c r="M3" s="420" t="s">
        <v>21303</v>
      </c>
      <c r="N3" s="342" t="s">
        <v>21304</v>
      </c>
      <c r="O3" s="342" t="s">
        <v>21305</v>
      </c>
      <c r="P3" s="342" t="s">
        <v>21306</v>
      </c>
      <c r="Q3" s="342" t="b">
        <v>1</v>
      </c>
      <c r="R3" s="342" t="s">
        <v>21099</v>
      </c>
      <c r="S3" s="342">
        <v>0</v>
      </c>
      <c r="T3" s="342" t="s">
        <v>21307</v>
      </c>
      <c r="U3" s="342" t="s">
        <v>21100</v>
      </c>
      <c r="V3" s="469">
        <v>43756</v>
      </c>
      <c r="W3" s="342" t="b">
        <v>0</v>
      </c>
      <c r="X3" s="421" t="b">
        <v>0</v>
      </c>
      <c r="Y3" s="342" t="b">
        <v>1</v>
      </c>
      <c r="Z3" s="422">
        <v>50</v>
      </c>
      <c r="AA3" s="342" t="b">
        <v>0</v>
      </c>
      <c r="AB3" s="342" t="s">
        <v>21309</v>
      </c>
      <c r="AC3" s="342" t="s">
        <v>21310</v>
      </c>
    </row>
    <row r="4" ht="153">
      <c r="A4" s="320">
        <v>2</v>
      </c>
      <c r="B4" s="415" t="s">
        <v>21101</v>
      </c>
      <c r="C4" s="416" t="s">
        <v>21102</v>
      </c>
      <c r="D4" s="417" t="s">
        <v>20855</v>
      </c>
      <c r="E4" s="418">
        <v>105.762325</v>
      </c>
      <c r="F4" s="418">
        <v>21.03086</v>
      </c>
      <c r="G4" s="419">
        <v>1</v>
      </c>
      <c r="H4" s="320">
        <v>2</v>
      </c>
      <c r="I4" s="342" t="s">
        <v>21346</v>
      </c>
      <c r="J4" s="342" t="s">
        <v>21338</v>
      </c>
      <c r="K4" s="342" t="s">
        <v>21339</v>
      </c>
      <c r="L4" s="342" t="s">
        <v>21340</v>
      </c>
      <c r="M4" s="420" t="s">
        <v>21341</v>
      </c>
      <c r="N4" s="342" t="s">
        <v>21342</v>
      </c>
      <c r="O4" s="342" t="s">
        <v>21343</v>
      </c>
      <c r="P4" s="342" t="s">
        <v>21344</v>
      </c>
      <c r="Q4" s="342" t="b">
        <v>1</v>
      </c>
      <c r="R4" s="342" t="s">
        <v>21103</v>
      </c>
      <c r="S4" s="342">
        <v>0</v>
      </c>
      <c r="T4" s="342" t="s">
        <v>21307</v>
      </c>
      <c r="U4" s="342" t="s">
        <v>21104</v>
      </c>
      <c r="V4" s="469">
        <v>43756</v>
      </c>
      <c r="W4" s="342" t="b">
        <v>0</v>
      </c>
      <c r="X4" s="421" t="b">
        <v>0</v>
      </c>
      <c r="Y4" s="342" t="b">
        <v>1</v>
      </c>
      <c r="Z4" s="422">
        <v>36</v>
      </c>
      <c r="AA4" s="342" t="b">
        <v>0</v>
      </c>
      <c r="AB4" s="342" t="s">
        <v>21309</v>
      </c>
      <c r="AC4" s="342" t="s">
        <v>21310</v>
      </c>
    </row>
    <row r="5" ht="153">
      <c r="A5" s="320">
        <v>3</v>
      </c>
      <c r="B5" s="415" t="s">
        <v>21105</v>
      </c>
      <c r="C5" s="416" t="s">
        <v>21106</v>
      </c>
      <c r="D5" s="417" t="s">
        <v>20855</v>
      </c>
      <c r="E5" s="418">
        <v>105.759331</v>
      </c>
      <c r="F5" s="418">
        <v>21.030374</v>
      </c>
      <c r="G5" s="419">
        <v>1</v>
      </c>
      <c r="H5" s="320">
        <v>2</v>
      </c>
      <c r="I5" s="342" t="s">
        <v>21346</v>
      </c>
      <c r="J5" s="342" t="s">
        <v>21350</v>
      </c>
      <c r="K5" s="342" t="s">
        <v>21339</v>
      </c>
      <c r="L5" s="342" t="s">
        <v>21340</v>
      </c>
      <c r="M5" s="420" t="s">
        <v>21341</v>
      </c>
      <c r="N5" s="342" t="s">
        <v>21342</v>
      </c>
      <c r="O5" s="342" t="s">
        <v>21343</v>
      </c>
      <c r="P5" s="342" t="s">
        <v>21351</v>
      </c>
      <c r="Q5" s="342" t="b">
        <v>1</v>
      </c>
      <c r="R5" s="342" t="s">
        <v>21107</v>
      </c>
      <c r="S5" s="342">
        <v>0</v>
      </c>
      <c r="T5" s="342" t="s">
        <v>21307</v>
      </c>
      <c r="U5" s="342" t="s">
        <v>21108</v>
      </c>
      <c r="V5" s="469">
        <v>43756</v>
      </c>
      <c r="W5" s="342" t="b">
        <v>0</v>
      </c>
      <c r="X5" s="421" t="b">
        <v>0</v>
      </c>
      <c r="Y5" s="342" t="b">
        <v>1</v>
      </c>
      <c r="Z5" s="422">
        <v>12</v>
      </c>
      <c r="AA5" s="342" t="b">
        <v>0</v>
      </c>
      <c r="AB5" s="342" t="s">
        <v>21309</v>
      </c>
      <c r="AC5" s="342" t="s">
        <v>21310</v>
      </c>
    </row>
    <row r="6" ht="153">
      <c r="A6" s="320">
        <v>4</v>
      </c>
      <c r="B6" s="415" t="s">
        <v>21109</v>
      </c>
      <c r="C6" s="416" t="s">
        <v>21110</v>
      </c>
      <c r="D6" s="417" t="s">
        <v>20855</v>
      </c>
      <c r="E6" s="418">
        <v>105.77749</v>
      </c>
      <c r="F6" s="418">
        <v>21.019984</v>
      </c>
      <c r="G6" s="419">
        <v>1</v>
      </c>
      <c r="H6" s="320">
        <v>2</v>
      </c>
      <c r="I6" s="342" t="s">
        <v>21346</v>
      </c>
      <c r="J6" s="342" t="s">
        <v>21354</v>
      </c>
      <c r="K6" s="342" t="s">
        <v>21339</v>
      </c>
      <c r="L6" s="342" t="s">
        <v>21340</v>
      </c>
      <c r="M6" s="420" t="s">
        <v>21341</v>
      </c>
      <c r="N6" s="342" t="s">
        <v>21342</v>
      </c>
      <c r="O6" s="342" t="s">
        <v>21343</v>
      </c>
      <c r="P6" s="342" t="s">
        <v>21355</v>
      </c>
      <c r="Q6" s="342" t="b">
        <v>1</v>
      </c>
      <c r="R6" s="342" t="s">
        <v>21111</v>
      </c>
      <c r="S6" s="342">
        <v>0</v>
      </c>
      <c r="T6" s="342" t="s">
        <v>21307</v>
      </c>
      <c r="U6" s="342" t="s">
        <v>21112</v>
      </c>
      <c r="V6" s="469">
        <v>43756</v>
      </c>
      <c r="W6" s="342" t="b">
        <v>0</v>
      </c>
      <c r="X6" s="421" t="b">
        <v>0</v>
      </c>
      <c r="Y6" s="342" t="b">
        <v>1</v>
      </c>
      <c r="Z6" s="422">
        <v>36</v>
      </c>
      <c r="AA6" s="342" t="b">
        <v>0</v>
      </c>
      <c r="AB6" s="342" t="s">
        <v>21309</v>
      </c>
      <c r="AC6" s="342" t="s">
        <v>21310</v>
      </c>
    </row>
    <row r="7" ht="153">
      <c r="A7" s="320">
        <v>5</v>
      </c>
      <c r="B7" s="415" t="s">
        <v>21113</v>
      </c>
      <c r="C7" s="416" t="s">
        <v>21114</v>
      </c>
      <c r="D7" s="417" t="s">
        <v>20855</v>
      </c>
      <c r="E7" s="418">
        <v>105.775795</v>
      </c>
      <c r="F7" s="418">
        <v>21.017797</v>
      </c>
      <c r="G7" s="419">
        <v>1</v>
      </c>
      <c r="H7" s="320">
        <v>2</v>
      </c>
      <c r="I7" s="342" t="s">
        <v>21346</v>
      </c>
      <c r="J7" s="342" t="s">
        <v>21360</v>
      </c>
      <c r="K7" s="342" t="s">
        <v>21339</v>
      </c>
      <c r="L7" s="342" t="s">
        <v>21340</v>
      </c>
      <c r="M7" s="420" t="s">
        <v>21341</v>
      </c>
      <c r="N7" s="342" t="s">
        <v>21342</v>
      </c>
      <c r="O7" s="342" t="s">
        <v>21343</v>
      </c>
      <c r="P7" s="342" t="s">
        <v>21344</v>
      </c>
      <c r="Q7" s="342" t="b">
        <v>1</v>
      </c>
      <c r="R7" s="342" t="s">
        <v>21115</v>
      </c>
      <c r="S7" s="342">
        <v>0</v>
      </c>
      <c r="T7" s="342" t="s">
        <v>21307</v>
      </c>
      <c r="U7" s="342" t="s">
        <v>21116</v>
      </c>
      <c r="V7" s="469">
        <v>43756</v>
      </c>
      <c r="W7" s="342" t="b">
        <v>0</v>
      </c>
      <c r="X7" s="421" t="b">
        <v>0</v>
      </c>
      <c r="Y7" s="342" t="b">
        <v>1</v>
      </c>
      <c r="Z7" s="422">
        <v>40</v>
      </c>
      <c r="AA7" s="342" t="b">
        <v>0</v>
      </c>
      <c r="AB7" s="342" t="s">
        <v>21309</v>
      </c>
      <c r="AC7" s="342" t="s">
        <v>21310</v>
      </c>
    </row>
    <row r="8" ht="153">
      <c r="A8" s="320">
        <v>6</v>
      </c>
      <c r="B8" s="415" t="s">
        <v>21117</v>
      </c>
      <c r="C8" s="416" t="s">
        <v>21118</v>
      </c>
      <c r="D8" s="417" t="s">
        <v>20855</v>
      </c>
      <c r="E8" s="418">
        <v>105.779681</v>
      </c>
      <c r="F8" s="418">
        <v>21.011955</v>
      </c>
      <c r="G8" s="419">
        <v>1</v>
      </c>
      <c r="H8" s="320">
        <v>2</v>
      </c>
      <c r="I8" s="342" t="s">
        <v>21346</v>
      </c>
      <c r="J8" s="342" t="s">
        <v>21362</v>
      </c>
      <c r="K8" s="342" t="s">
        <v>21339</v>
      </c>
      <c r="L8" s="342" t="s">
        <v>21340</v>
      </c>
      <c r="M8" s="420" t="s">
        <v>21341</v>
      </c>
      <c r="N8" s="342" t="s">
        <v>21342</v>
      </c>
      <c r="O8" s="342" t="s">
        <v>21343</v>
      </c>
      <c r="P8" s="342" t="s">
        <v>21363</v>
      </c>
      <c r="Q8" s="342" t="b">
        <v>1</v>
      </c>
      <c r="R8" s="342" t="s">
        <v>21119</v>
      </c>
      <c r="S8" s="342">
        <v>0</v>
      </c>
      <c r="T8" s="342" t="s">
        <v>21307</v>
      </c>
      <c r="U8" s="342" t="s">
        <v>21120</v>
      </c>
      <c r="V8" s="469">
        <v>43756</v>
      </c>
      <c r="W8" s="342" t="b">
        <v>0</v>
      </c>
      <c r="X8" s="421" t="b">
        <v>0</v>
      </c>
      <c r="Y8" s="342" t="b">
        <v>1</v>
      </c>
      <c r="Z8" s="422">
        <v>36</v>
      </c>
      <c r="AA8" s="342" t="b">
        <v>0</v>
      </c>
      <c r="AB8" s="342" t="s">
        <v>21309</v>
      </c>
      <c r="AC8" s="342" t="s">
        <v>21310</v>
      </c>
    </row>
    <row r="9" ht="127.5">
      <c r="A9" s="320">
        <v>7</v>
      </c>
      <c r="B9" s="415" t="s">
        <v>21121</v>
      </c>
      <c r="C9" s="416" t="s">
        <v>21122</v>
      </c>
      <c r="D9" s="417" t="s">
        <v>20855</v>
      </c>
      <c r="E9" s="418">
        <v>105.765581</v>
      </c>
      <c r="F9" s="418">
        <v>21.013064</v>
      </c>
      <c r="G9" s="419">
        <v>1</v>
      </c>
      <c r="H9" s="320">
        <v>3</v>
      </c>
      <c r="I9" s="342" t="s">
        <v>21320</v>
      </c>
      <c r="J9" s="342" t="s">
        <v>21367</v>
      </c>
      <c r="K9" s="342" t="s">
        <v>21368</v>
      </c>
      <c r="L9" s="342" t="s">
        <v>21302</v>
      </c>
      <c r="M9" s="420" t="s">
        <v>21303</v>
      </c>
      <c r="N9" s="342" t="s">
        <v>21304</v>
      </c>
      <c r="O9" s="342" t="s">
        <v>21305</v>
      </c>
      <c r="P9" s="342" t="s">
        <v>21369</v>
      </c>
      <c r="Q9" s="342" t="b">
        <v>1</v>
      </c>
      <c r="R9" s="342" t="s">
        <v>21123</v>
      </c>
      <c r="S9" s="342">
        <v>0</v>
      </c>
      <c r="T9" s="342" t="s">
        <v>21307</v>
      </c>
      <c r="U9" s="342" t="s">
        <v>21124</v>
      </c>
      <c r="V9" s="469">
        <v>43756</v>
      </c>
      <c r="W9" s="342" t="b">
        <v>0</v>
      </c>
      <c r="X9" s="421" t="b">
        <v>0</v>
      </c>
      <c r="Y9" s="342" t="b">
        <v>1</v>
      </c>
      <c r="Z9" s="422">
        <v>24</v>
      </c>
      <c r="AA9" s="342" t="b">
        <v>0</v>
      </c>
      <c r="AB9" s="342" t="s">
        <v>21309</v>
      </c>
      <c r="AC9" s="342" t="s">
        <v>21310</v>
      </c>
    </row>
    <row r="10" ht="153">
      <c r="A10" s="320">
        <v>8</v>
      </c>
      <c r="B10" s="415" t="s">
        <v>21125</v>
      </c>
      <c r="C10" s="416" t="s">
        <v>21126</v>
      </c>
      <c r="D10" s="417" t="s">
        <v>20855</v>
      </c>
      <c r="E10" s="418">
        <v>105.782861</v>
      </c>
      <c r="F10" s="418">
        <v>21.012196</v>
      </c>
      <c r="G10" s="419">
        <v>1</v>
      </c>
      <c r="H10" s="320">
        <v>2</v>
      </c>
      <c r="I10" s="342" t="s">
        <v>21346</v>
      </c>
      <c r="J10" s="342" t="s">
        <v>21376</v>
      </c>
      <c r="K10" s="342" t="s">
        <v>21339</v>
      </c>
      <c r="L10" s="342" t="s">
        <v>21340</v>
      </c>
      <c r="M10" s="420" t="s">
        <v>21341</v>
      </c>
      <c r="N10" s="342" t="s">
        <v>21342</v>
      </c>
      <c r="O10" s="342" t="s">
        <v>21343</v>
      </c>
      <c r="P10" s="342" t="s">
        <v>21377</v>
      </c>
      <c r="Q10" s="342" t="b">
        <v>1</v>
      </c>
      <c r="R10" s="342" t="s">
        <v>21127</v>
      </c>
      <c r="S10" s="342">
        <v>0</v>
      </c>
      <c r="T10" s="342" t="s">
        <v>21307</v>
      </c>
      <c r="U10" s="342" t="s">
        <v>21128</v>
      </c>
      <c r="V10" s="469">
        <v>43756</v>
      </c>
      <c r="W10" s="342" t="b">
        <v>0</v>
      </c>
      <c r="X10" s="421" t="b">
        <v>0</v>
      </c>
      <c r="Y10" s="342" t="b">
        <v>1</v>
      </c>
      <c r="Z10" s="422">
        <v>26</v>
      </c>
      <c r="AA10" s="342" t="b">
        <v>0</v>
      </c>
      <c r="AB10" s="342" t="s">
        <v>21309</v>
      </c>
      <c r="AC10" s="342" t="s">
        <v>21310</v>
      </c>
    </row>
    <row r="11" ht="127.5">
      <c r="A11" s="320">
        <v>9</v>
      </c>
      <c r="B11" s="415" t="s">
        <v>21129</v>
      </c>
      <c r="C11" s="416" t="s">
        <v>21130</v>
      </c>
      <c r="D11" s="417" t="s">
        <v>20855</v>
      </c>
      <c r="E11" s="418">
        <v>105.753192</v>
      </c>
      <c r="F11" s="418">
        <v>20.995712</v>
      </c>
      <c r="G11" s="419">
        <v>1</v>
      </c>
      <c r="H11" s="320">
        <v>3</v>
      </c>
      <c r="I11" s="342" t="s">
        <v>21320</v>
      </c>
      <c r="J11" s="342" t="s">
        <v>21381</v>
      </c>
      <c r="K11" s="342" t="s">
        <v>21382</v>
      </c>
      <c r="L11" s="342" t="s">
        <v>21302</v>
      </c>
      <c r="M11" s="420" t="s">
        <v>21303</v>
      </c>
      <c r="N11" s="342" t="s">
        <v>21383</v>
      </c>
      <c r="O11" s="342" t="s">
        <v>21384</v>
      </c>
      <c r="P11" s="342" t="s">
        <v>21385</v>
      </c>
      <c r="Q11" s="342" t="b">
        <v>1</v>
      </c>
      <c r="R11" s="342" t="s">
        <v>21131</v>
      </c>
      <c r="S11" s="342">
        <v>0</v>
      </c>
      <c r="T11" s="342" t="s">
        <v>21307</v>
      </c>
      <c r="U11" s="342" t="s">
        <v>21132</v>
      </c>
      <c r="V11" s="469">
        <v>43756</v>
      </c>
      <c r="W11" s="342" t="b">
        <v>0</v>
      </c>
      <c r="X11" s="421" t="b">
        <v>0</v>
      </c>
      <c r="Y11" s="342" t="b">
        <v>1</v>
      </c>
      <c r="Z11" s="422">
        <v>16</v>
      </c>
      <c r="AA11" s="342" t="b">
        <v>0</v>
      </c>
      <c r="AB11" s="342" t="s">
        <v>21309</v>
      </c>
      <c r="AC11" s="342" t="s">
        <v>21310</v>
      </c>
    </row>
    <row r="12" ht="153">
      <c r="A12" s="320">
        <v>10</v>
      </c>
      <c r="B12" s="415" t="s">
        <v>21133</v>
      </c>
      <c r="C12" s="416" t="s">
        <v>21134</v>
      </c>
      <c r="D12" s="417" t="s">
        <v>20855</v>
      </c>
      <c r="E12" s="418">
        <v>105.76771</v>
      </c>
      <c r="F12" s="418">
        <v>21.013744</v>
      </c>
      <c r="G12" s="419">
        <v>1</v>
      </c>
      <c r="H12" s="320">
        <v>2</v>
      </c>
      <c r="I12" s="342" t="s">
        <v>21346</v>
      </c>
      <c r="J12" s="342" t="s">
        <v>21389</v>
      </c>
      <c r="K12" s="342" t="s">
        <v>21339</v>
      </c>
      <c r="L12" s="342" t="s">
        <v>21340</v>
      </c>
      <c r="M12" s="420" t="s">
        <v>21341</v>
      </c>
      <c r="N12" s="342" t="s">
        <v>21342</v>
      </c>
      <c r="O12" s="342" t="s">
        <v>21343</v>
      </c>
      <c r="P12" s="342" t="s">
        <v>21377</v>
      </c>
      <c r="Q12" s="342" t="b">
        <v>1</v>
      </c>
      <c r="R12" s="342" t="s">
        <v>21135</v>
      </c>
      <c r="S12" s="342">
        <v>0</v>
      </c>
      <c r="T12" s="342" t="s">
        <v>21307</v>
      </c>
      <c r="U12" s="342" t="s">
        <v>21136</v>
      </c>
      <c r="V12" s="469">
        <v>43756</v>
      </c>
      <c r="W12" s="342" t="b">
        <v>0</v>
      </c>
      <c r="X12" s="421" t="b">
        <v>0</v>
      </c>
      <c r="Y12" s="342" t="b">
        <v>1</v>
      </c>
      <c r="Z12" s="422">
        <v>26</v>
      </c>
      <c r="AA12" s="342" t="b">
        <v>0</v>
      </c>
      <c r="AB12" s="342" t="s">
        <v>21309</v>
      </c>
      <c r="AC12" s="342" t="s">
        <v>21310</v>
      </c>
    </row>
    <row r="13" ht="127.5">
      <c r="A13" s="320">
        <v>11</v>
      </c>
      <c r="B13" s="415" t="s">
        <v>21137</v>
      </c>
      <c r="C13" s="416" t="s">
        <v>21138</v>
      </c>
      <c r="D13" s="417" t="s">
        <v>20855</v>
      </c>
      <c r="E13" s="418">
        <v>105.744625</v>
      </c>
      <c r="F13" s="418">
        <v>21.002667</v>
      </c>
      <c r="G13" s="419">
        <v>1</v>
      </c>
      <c r="H13" s="320">
        <v>3</v>
      </c>
      <c r="I13" s="342" t="s">
        <v>21320</v>
      </c>
      <c r="J13" s="342" t="s">
        <v>21391</v>
      </c>
      <c r="K13" s="342" t="s">
        <v>21368</v>
      </c>
      <c r="L13" s="342" t="s">
        <v>21302</v>
      </c>
      <c r="M13" s="420" t="s">
        <v>21303</v>
      </c>
      <c r="N13" s="342" t="s">
        <v>21304</v>
      </c>
      <c r="O13" s="342" t="s">
        <v>21305</v>
      </c>
      <c r="P13" s="342" t="s">
        <v>21392</v>
      </c>
      <c r="Q13" s="342" t="b">
        <v>1</v>
      </c>
      <c r="R13" s="342" t="s">
        <v>21139</v>
      </c>
      <c r="S13" s="342">
        <v>0</v>
      </c>
      <c r="T13" s="342" t="s">
        <v>21307</v>
      </c>
      <c r="U13" s="342" t="s">
        <v>21140</v>
      </c>
      <c r="V13" s="469">
        <v>43756</v>
      </c>
      <c r="W13" s="342" t="b">
        <v>0</v>
      </c>
      <c r="X13" s="421" t="b">
        <v>0</v>
      </c>
      <c r="Y13" s="342" t="b">
        <v>1</v>
      </c>
      <c r="Z13" s="422">
        <v>12</v>
      </c>
      <c r="AA13" s="342" t="b">
        <v>0</v>
      </c>
      <c r="AB13" s="342" t="s">
        <v>21309</v>
      </c>
      <c r="AC13" s="342" t="s">
        <v>21310</v>
      </c>
    </row>
    <row r="14" ht="127.5">
      <c r="A14" s="320">
        <v>12</v>
      </c>
      <c r="B14" s="415" t="s">
        <v>21141</v>
      </c>
      <c r="C14" s="416" t="s">
        <v>21142</v>
      </c>
      <c r="D14" s="417" t="s">
        <v>20855</v>
      </c>
      <c r="E14" s="418">
        <v>105.732104</v>
      </c>
      <c r="F14" s="418">
        <v>21.050928</v>
      </c>
      <c r="G14" s="419">
        <v>1</v>
      </c>
      <c r="H14" s="320">
        <v>3</v>
      </c>
      <c r="I14" s="342" t="s">
        <v>21320</v>
      </c>
      <c r="J14" s="342" t="s">
        <v>21395</v>
      </c>
      <c r="K14" s="342" t="s">
        <v>21368</v>
      </c>
      <c r="L14" s="342" t="s">
        <v>21302</v>
      </c>
      <c r="M14" s="420" t="s">
        <v>21303</v>
      </c>
      <c r="N14" s="342" t="s">
        <v>21304</v>
      </c>
      <c r="O14" s="342" t="s">
        <v>21305</v>
      </c>
      <c r="P14" s="342" t="s">
        <v>21396</v>
      </c>
      <c r="Q14" s="342" t="b">
        <v>1</v>
      </c>
      <c r="R14" s="342" t="s">
        <v>21143</v>
      </c>
      <c r="S14" s="342">
        <v>0</v>
      </c>
      <c r="T14" s="342" t="s">
        <v>21307</v>
      </c>
      <c r="U14" s="342" t="s">
        <v>21144</v>
      </c>
      <c r="V14" s="469">
        <v>43756</v>
      </c>
      <c r="W14" s="342" t="b">
        <v>0</v>
      </c>
      <c r="X14" s="421" t="b">
        <v>0</v>
      </c>
      <c r="Y14" s="342" t="b">
        <v>1</v>
      </c>
      <c r="Z14" s="422">
        <v>12</v>
      </c>
      <c r="AA14" s="342" t="b">
        <v>0</v>
      </c>
      <c r="AB14" s="342" t="s">
        <v>21309</v>
      </c>
      <c r="AC14" s="342" t="s">
        <v>21310</v>
      </c>
    </row>
    <row r="15" ht="63.75">
      <c r="A15" s="320">
        <v>13</v>
      </c>
      <c r="B15" s="415" t="s">
        <v>21145</v>
      </c>
      <c r="C15" s="416" t="s">
        <v>21146</v>
      </c>
      <c r="D15" s="417" t="s">
        <v>20855</v>
      </c>
      <c r="E15" s="418">
        <v>105.847146</v>
      </c>
      <c r="F15" s="418">
        <v>20.960182</v>
      </c>
      <c r="G15" s="419">
        <v>1</v>
      </c>
      <c r="H15" s="320">
        <v>2</v>
      </c>
      <c r="I15" s="342" t="s">
        <v>21346</v>
      </c>
      <c r="J15" s="342" t="s">
        <v>21400</v>
      </c>
      <c r="K15" s="342" t="s">
        <v>21401</v>
      </c>
      <c r="L15" s="342" t="s">
        <v>21340</v>
      </c>
      <c r="M15" s="420" t="s">
        <v>21402</v>
      </c>
      <c r="N15" s="342" t="s">
        <v>21403</v>
      </c>
      <c r="O15" s="342" t="s">
        <v>21404</v>
      </c>
      <c r="P15" s="342" t="s">
        <v>21405</v>
      </c>
      <c r="Q15" s="342" t="b">
        <v>1</v>
      </c>
      <c r="R15" s="342" t="s">
        <v>21147</v>
      </c>
      <c r="S15" s="342">
        <v>0</v>
      </c>
      <c r="T15" s="342" t="s">
        <v>21307</v>
      </c>
      <c r="U15" s="342" t="s">
        <v>21148</v>
      </c>
      <c r="V15" s="469">
        <v>43756</v>
      </c>
      <c r="W15" s="342" t="b">
        <v>0</v>
      </c>
      <c r="X15" s="421" t="b">
        <v>0</v>
      </c>
      <c r="Y15" s="342" t="b">
        <v>1</v>
      </c>
      <c r="Z15" s="422">
        <v>30</v>
      </c>
      <c r="AA15" s="342" t="b">
        <v>0</v>
      </c>
      <c r="AB15" s="342" t="s">
        <v>21309</v>
      </c>
      <c r="AC15" s="342" t="s">
        <v>21310</v>
      </c>
    </row>
    <row r="16" ht="153">
      <c r="A16" s="320">
        <v>14</v>
      </c>
      <c r="B16" s="415" t="s">
        <v>21149</v>
      </c>
      <c r="C16" s="416" t="s">
        <v>21150</v>
      </c>
      <c r="D16" s="417" t="s">
        <v>20855</v>
      </c>
      <c r="E16" s="418">
        <v>105.893886</v>
      </c>
      <c r="F16" s="418">
        <v>20.975974</v>
      </c>
      <c r="G16" s="419">
        <v>1</v>
      </c>
      <c r="H16" s="320">
        <v>2</v>
      </c>
      <c r="I16" s="342" t="s">
        <v>21346</v>
      </c>
      <c r="J16" s="342" t="s">
        <v>21411</v>
      </c>
      <c r="K16" s="342" t="s">
        <v>21339</v>
      </c>
      <c r="L16" s="342" t="s">
        <v>21340</v>
      </c>
      <c r="M16" s="420" t="s">
        <v>21341</v>
      </c>
      <c r="N16" s="342" t="s">
        <v>21342</v>
      </c>
      <c r="O16" s="342" t="s">
        <v>21343</v>
      </c>
      <c r="P16" s="342" t="s">
        <v>21412</v>
      </c>
      <c r="Q16" s="342" t="b">
        <v>1</v>
      </c>
      <c r="R16" s="342" t="s">
        <v>21151</v>
      </c>
      <c r="S16" s="342">
        <v>0</v>
      </c>
      <c r="T16" s="342" t="s">
        <v>21307</v>
      </c>
      <c r="U16" s="342" t="s">
        <v>21152</v>
      </c>
      <c r="V16" s="469">
        <v>43756</v>
      </c>
      <c r="W16" s="342" t="b">
        <v>0</v>
      </c>
      <c r="X16" s="421" t="b">
        <v>0</v>
      </c>
      <c r="Y16" s="342" t="b">
        <v>1</v>
      </c>
      <c r="Z16" s="422">
        <v>20</v>
      </c>
      <c r="AA16" s="342" t="b">
        <v>0</v>
      </c>
      <c r="AB16" s="342" t="s">
        <v>21309</v>
      </c>
      <c r="AC16" s="342" t="s">
        <v>21310</v>
      </c>
    </row>
    <row r="17" ht="153">
      <c r="A17" s="320">
        <v>15</v>
      </c>
      <c r="B17" s="415" t="s">
        <v>21153</v>
      </c>
      <c r="C17" s="416" t="s">
        <v>21154</v>
      </c>
      <c r="D17" s="417" t="s">
        <v>20855</v>
      </c>
      <c r="E17" s="418">
        <v>105.878833</v>
      </c>
      <c r="F17" s="418">
        <v>20.981013</v>
      </c>
      <c r="G17" s="419">
        <v>1</v>
      </c>
      <c r="H17" s="320">
        <v>2</v>
      </c>
      <c r="I17" s="342" t="s">
        <v>21346</v>
      </c>
      <c r="J17" s="342" t="s">
        <v>21417</v>
      </c>
      <c r="K17" s="342" t="s">
        <v>21339</v>
      </c>
      <c r="L17" s="342" t="s">
        <v>21418</v>
      </c>
      <c r="M17" s="420" t="s">
        <v>21419</v>
      </c>
      <c r="N17" s="342" t="s">
        <v>21420</v>
      </c>
      <c r="O17" s="342" t="s">
        <v>21343</v>
      </c>
      <c r="P17" s="342" t="s">
        <v>21421</v>
      </c>
      <c r="Q17" s="342" t="b">
        <v>1</v>
      </c>
      <c r="R17" s="342" t="s">
        <v>21155</v>
      </c>
      <c r="S17" s="342">
        <v>0</v>
      </c>
      <c r="T17" s="342" t="s">
        <v>21307</v>
      </c>
      <c r="U17" s="342" t="s">
        <v>21156</v>
      </c>
      <c r="V17" s="469">
        <v>43756</v>
      </c>
      <c r="W17" s="342" t="b">
        <v>0</v>
      </c>
      <c r="X17" s="421" t="b">
        <v>0</v>
      </c>
      <c r="Y17" s="342" t="b">
        <v>1</v>
      </c>
      <c r="Z17" s="422">
        <v>50</v>
      </c>
      <c r="AA17" s="342" t="b">
        <v>0</v>
      </c>
      <c r="AB17" s="342" t="s">
        <v>21309</v>
      </c>
      <c r="AC17" s="342" t="s">
        <v>21310</v>
      </c>
    </row>
    <row r="18" ht="153">
      <c r="A18" s="320">
        <v>16</v>
      </c>
      <c r="B18" s="415" t="s">
        <v>21157</v>
      </c>
      <c r="C18" s="416" t="s">
        <v>21158</v>
      </c>
      <c r="D18" s="417" t="s">
        <v>20855</v>
      </c>
      <c r="E18" s="418">
        <v>105.850808</v>
      </c>
      <c r="F18" s="418">
        <v>20.971897</v>
      </c>
      <c r="G18" s="419">
        <v>1</v>
      </c>
      <c r="H18" s="320">
        <v>2</v>
      </c>
      <c r="I18" s="342" t="s">
        <v>21346</v>
      </c>
      <c r="J18" s="342" t="s">
        <v>21427</v>
      </c>
      <c r="K18" s="342" t="s">
        <v>21339</v>
      </c>
      <c r="L18" s="342" t="s">
        <v>21340</v>
      </c>
      <c r="M18" s="420" t="s">
        <v>21341</v>
      </c>
      <c r="N18" s="342" t="s">
        <v>21342</v>
      </c>
      <c r="O18" s="342" t="s">
        <v>21343</v>
      </c>
      <c r="P18" s="342" t="s">
        <v>21428</v>
      </c>
      <c r="Q18" s="342" t="b">
        <v>1</v>
      </c>
      <c r="R18" s="342" t="s">
        <v>21159</v>
      </c>
      <c r="S18" s="342">
        <v>0</v>
      </c>
      <c r="T18" s="342" t="s">
        <v>21307</v>
      </c>
      <c r="U18" s="342" t="s">
        <v>21160</v>
      </c>
      <c r="V18" s="469">
        <v>43756</v>
      </c>
      <c r="W18" s="342" t="b">
        <v>0</v>
      </c>
      <c r="X18" s="421" t="b">
        <v>0</v>
      </c>
      <c r="Y18" s="342" t="b">
        <v>1</v>
      </c>
      <c r="Z18" s="422">
        <v>12</v>
      </c>
      <c r="AA18" s="342" t="b">
        <v>0</v>
      </c>
      <c r="AB18" s="342" t="s">
        <v>21309</v>
      </c>
      <c r="AC18" s="342" t="s">
        <v>21310</v>
      </c>
    </row>
    <row r="19" ht="153">
      <c r="A19" s="320">
        <v>17</v>
      </c>
      <c r="B19" s="415" t="s">
        <v>21161</v>
      </c>
      <c r="C19" s="416" t="s">
        <v>21162</v>
      </c>
      <c r="D19" s="417" t="s">
        <v>20855</v>
      </c>
      <c r="E19" s="418">
        <v>105.851466</v>
      </c>
      <c r="F19" s="418">
        <v>20.985777</v>
      </c>
      <c r="G19" s="419">
        <v>1</v>
      </c>
      <c r="H19" s="320">
        <v>2</v>
      </c>
      <c r="I19" s="342" t="s">
        <v>21346</v>
      </c>
      <c r="J19" s="342" t="s">
        <v>21433</v>
      </c>
      <c r="K19" s="342" t="s">
        <v>21339</v>
      </c>
      <c r="L19" s="342" t="s">
        <v>21340</v>
      </c>
      <c r="M19" s="420" t="s">
        <v>21341</v>
      </c>
      <c r="N19" s="342" t="s">
        <v>21342</v>
      </c>
      <c r="O19" s="342" t="s">
        <v>21343</v>
      </c>
      <c r="P19" s="342" t="s">
        <v>21434</v>
      </c>
      <c r="Q19" s="342" t="b">
        <v>1</v>
      </c>
      <c r="R19" s="342" t="s">
        <v>21163</v>
      </c>
      <c r="S19" s="342">
        <v>0</v>
      </c>
      <c r="T19" s="342" t="s">
        <v>21307</v>
      </c>
      <c r="U19" s="342" t="s">
        <v>21164</v>
      </c>
      <c r="V19" s="469">
        <v>43756</v>
      </c>
      <c r="W19" s="342" t="b">
        <v>0</v>
      </c>
      <c r="X19" s="421" t="b">
        <v>0</v>
      </c>
      <c r="Y19" s="342" t="b">
        <v>1</v>
      </c>
      <c r="Z19" s="422">
        <v>24</v>
      </c>
      <c r="AA19" s="342" t="b">
        <v>0</v>
      </c>
      <c r="AB19" s="342" t="s">
        <v>21309</v>
      </c>
      <c r="AC19" s="342" t="s">
        <v>21310</v>
      </c>
    </row>
    <row r="20" ht="153">
      <c r="A20" s="320">
        <v>18</v>
      </c>
      <c r="B20" s="415" t="s">
        <v>21165</v>
      </c>
      <c r="C20" s="416" t="s">
        <v>21166</v>
      </c>
      <c r="D20" s="417" t="s">
        <v>20855</v>
      </c>
      <c r="E20" s="418">
        <v>105.840384</v>
      </c>
      <c r="F20" s="418">
        <v>20.962545</v>
      </c>
      <c r="G20" s="419">
        <v>1</v>
      </c>
      <c r="H20" s="320">
        <v>2</v>
      </c>
      <c r="I20" s="342" t="s">
        <v>21346</v>
      </c>
      <c r="J20" s="342" t="s">
        <v>21439</v>
      </c>
      <c r="K20" s="342" t="s">
        <v>21339</v>
      </c>
      <c r="L20" s="342" t="s">
        <v>21340</v>
      </c>
      <c r="M20" s="420" t="s">
        <v>21341</v>
      </c>
      <c r="N20" s="342" t="s">
        <v>21342</v>
      </c>
      <c r="O20" s="342" t="s">
        <v>21343</v>
      </c>
      <c r="P20" s="342" t="s">
        <v>21440</v>
      </c>
      <c r="Q20" s="342" t="b">
        <v>1</v>
      </c>
      <c r="R20" s="342" t="s">
        <v>21167</v>
      </c>
      <c r="S20" s="342">
        <v>0</v>
      </c>
      <c r="T20" s="342" t="s">
        <v>21307</v>
      </c>
      <c r="U20" s="342" t="s">
        <v>21168</v>
      </c>
      <c r="V20" s="469">
        <v>43756</v>
      </c>
      <c r="W20" s="342" t="b">
        <v>0</v>
      </c>
      <c r="X20" s="421" t="b">
        <v>0</v>
      </c>
      <c r="Y20" s="342" t="b">
        <v>1</v>
      </c>
      <c r="Z20" s="422">
        <v>12</v>
      </c>
      <c r="AA20" s="342" t="b">
        <v>0</v>
      </c>
      <c r="AB20" s="342" t="s">
        <v>21309</v>
      </c>
      <c r="AC20" s="342" t="s">
        <v>21310</v>
      </c>
    </row>
    <row r="21" ht="153">
      <c r="A21" s="320">
        <v>19</v>
      </c>
      <c r="B21" s="415" t="s">
        <v>21169</v>
      </c>
      <c r="C21" s="416" t="s">
        <v>21170</v>
      </c>
      <c r="D21" s="417" t="s">
        <v>20855</v>
      </c>
      <c r="E21" s="418">
        <v>105.844472</v>
      </c>
      <c r="F21" s="418">
        <v>20.955057</v>
      </c>
      <c r="G21" s="419">
        <v>1</v>
      </c>
      <c r="H21" s="320">
        <v>2</v>
      </c>
      <c r="I21" s="342" t="s">
        <v>21346</v>
      </c>
      <c r="J21" s="342" t="s">
        <v>21443</v>
      </c>
      <c r="K21" s="342" t="s">
        <v>21339</v>
      </c>
      <c r="L21" s="342" t="s">
        <v>21340</v>
      </c>
      <c r="M21" s="420" t="s">
        <v>21341</v>
      </c>
      <c r="N21" s="342" t="s">
        <v>21342</v>
      </c>
      <c r="O21" s="342" t="s">
        <v>21343</v>
      </c>
      <c r="P21" s="342" t="s">
        <v>21412</v>
      </c>
      <c r="Q21" s="342" t="b">
        <v>1</v>
      </c>
      <c r="R21" s="342" t="s">
        <v>21171</v>
      </c>
      <c r="S21" s="342">
        <v>0</v>
      </c>
      <c r="T21" s="342" t="s">
        <v>21307</v>
      </c>
      <c r="U21" s="342" t="s">
        <v>21172</v>
      </c>
      <c r="V21" s="469">
        <v>43756</v>
      </c>
      <c r="W21" s="342" t="b">
        <v>0</v>
      </c>
      <c r="X21" s="421" t="b">
        <v>0</v>
      </c>
      <c r="Y21" s="342" t="b">
        <v>1</v>
      </c>
      <c r="Z21" s="422">
        <v>20</v>
      </c>
      <c r="AA21" s="342" t="b">
        <v>0</v>
      </c>
      <c r="AB21" s="342" t="s">
        <v>21309</v>
      </c>
      <c r="AC21" s="342" t="s">
        <v>21310</v>
      </c>
    </row>
    <row r="22" ht="63.75">
      <c r="A22" s="320">
        <v>20</v>
      </c>
      <c r="B22" s="415" t="s">
        <v>21173</v>
      </c>
      <c r="C22" s="416" t="s">
        <v>21174</v>
      </c>
      <c r="D22" s="417" t="s">
        <v>20855</v>
      </c>
      <c r="E22" s="418">
        <v>105.845611</v>
      </c>
      <c r="F22" s="418">
        <v>20.936085</v>
      </c>
      <c r="G22" s="419">
        <v>1</v>
      </c>
      <c r="H22" s="320">
        <v>2</v>
      </c>
      <c r="I22" s="342" t="s">
        <v>21346</v>
      </c>
      <c r="J22" s="342" t="s">
        <v>21445</v>
      </c>
      <c r="K22" s="342" t="s">
        <v>21401</v>
      </c>
      <c r="L22" s="342" t="s">
        <v>21340</v>
      </c>
      <c r="M22" s="420" t="s">
        <v>21402</v>
      </c>
      <c r="N22" s="342" t="s">
        <v>21403</v>
      </c>
      <c r="O22" s="342" t="s">
        <v>21446</v>
      </c>
      <c r="P22" s="342" t="s">
        <v>21447</v>
      </c>
      <c r="Q22" s="342" t="b">
        <v>1</v>
      </c>
      <c r="R22" s="342" t="s">
        <v>21175</v>
      </c>
      <c r="S22" s="342">
        <v>0</v>
      </c>
      <c r="T22" s="342" t="s">
        <v>21307</v>
      </c>
      <c r="U22" s="342" t="s">
        <v>21176</v>
      </c>
      <c r="V22" s="469">
        <v>43756</v>
      </c>
      <c r="W22" s="342" t="b">
        <v>0</v>
      </c>
      <c r="X22" s="421" t="b">
        <v>0</v>
      </c>
      <c r="Y22" s="342" t="b">
        <v>1</v>
      </c>
      <c r="Z22" s="422">
        <v>12</v>
      </c>
      <c r="AA22" s="342" t="b">
        <v>0</v>
      </c>
      <c r="AB22" s="342" t="s">
        <v>21309</v>
      </c>
      <c r="AC22" s="342" t="s">
        <v>21310</v>
      </c>
    </row>
    <row r="23" ht="127.5">
      <c r="A23" s="320">
        <v>21</v>
      </c>
      <c r="B23" s="415" t="s">
        <v>21177</v>
      </c>
      <c r="C23" s="416" t="s">
        <v>21178</v>
      </c>
      <c r="D23" s="417" t="s">
        <v>20855</v>
      </c>
      <c r="E23" s="418">
        <v>105.84544</v>
      </c>
      <c r="F23" s="418">
        <v>20.94065</v>
      </c>
      <c r="G23" s="419">
        <v>1</v>
      </c>
      <c r="H23" s="320">
        <v>3</v>
      </c>
      <c r="I23" s="342" t="s">
        <v>21320</v>
      </c>
      <c r="J23" s="342" t="s">
        <v>21453</v>
      </c>
      <c r="K23" s="342" t="s">
        <v>21368</v>
      </c>
      <c r="L23" s="342" t="s">
        <v>21302</v>
      </c>
      <c r="M23" s="420" t="s">
        <v>21303</v>
      </c>
      <c r="N23" s="342" t="s">
        <v>21304</v>
      </c>
      <c r="O23" s="342" t="s">
        <v>21305</v>
      </c>
      <c r="P23" s="342" t="s">
        <v>21454</v>
      </c>
      <c r="Q23" s="342" t="b">
        <v>1</v>
      </c>
      <c r="R23" s="342" t="s">
        <v>21179</v>
      </c>
      <c r="S23" s="342">
        <v>0</v>
      </c>
      <c r="T23" s="342" t="s">
        <v>21307</v>
      </c>
      <c r="U23" s="342" t="s">
        <v>21180</v>
      </c>
      <c r="V23" s="469">
        <v>43756</v>
      </c>
      <c r="W23" s="342" t="b">
        <v>0</v>
      </c>
      <c r="X23" s="421" t="b">
        <v>0</v>
      </c>
      <c r="Y23" s="342" t="b">
        <v>1</v>
      </c>
      <c r="Z23" s="422">
        <v>12</v>
      </c>
      <c r="AA23" s="342" t="b">
        <v>0</v>
      </c>
      <c r="AB23" s="342" t="s">
        <v>21309</v>
      </c>
      <c r="AC23" s="342" t="s">
        <v>21310</v>
      </c>
    </row>
    <row r="24" ht="153">
      <c r="A24" s="320">
        <v>22</v>
      </c>
      <c r="B24" s="415" t="s">
        <v>21181</v>
      </c>
      <c r="C24" s="416" t="s">
        <v>21182</v>
      </c>
      <c r="D24" s="417" t="s">
        <v>20855</v>
      </c>
      <c r="E24" s="418">
        <v>105.830701</v>
      </c>
      <c r="F24" s="418">
        <v>20.93644</v>
      </c>
      <c r="G24" s="419">
        <v>1</v>
      </c>
      <c r="H24" s="320">
        <v>4</v>
      </c>
      <c r="I24" s="342" t="s">
        <v>21468</v>
      </c>
      <c r="J24" s="342" t="s">
        <v>21460</v>
      </c>
      <c r="K24" s="342" t="s">
        <v>21461</v>
      </c>
      <c r="L24" s="342" t="s">
        <v>21462</v>
      </c>
      <c r="M24" s="420" t="s">
        <v>21463</v>
      </c>
      <c r="N24" s="342" t="s">
        <v>21464</v>
      </c>
      <c r="O24" s="342" t="s">
        <v>21465</v>
      </c>
      <c r="P24" s="342" t="s">
        <v>21466</v>
      </c>
      <c r="Q24" s="342" t="b">
        <v>1</v>
      </c>
      <c r="R24" s="342" t="s">
        <v>21183</v>
      </c>
      <c r="S24" s="342">
        <v>0</v>
      </c>
      <c r="T24" s="342" t="s">
        <v>21307</v>
      </c>
      <c r="U24" s="342" t="s">
        <v>21184</v>
      </c>
      <c r="V24" s="469">
        <v>43756</v>
      </c>
      <c r="W24" s="342" t="b">
        <v>0</v>
      </c>
      <c r="X24" s="421" t="b">
        <v>0</v>
      </c>
      <c r="Y24" s="342" t="b">
        <v>1</v>
      </c>
      <c r="Z24" s="422">
        <v>8</v>
      </c>
      <c r="AA24" s="342" t="b">
        <v>0</v>
      </c>
      <c r="AB24" s="342" t="s">
        <v>21309</v>
      </c>
      <c r="AC24" s="342" t="s">
        <v>21310</v>
      </c>
    </row>
    <row r="25" ht="153">
      <c r="A25" s="320">
        <v>23</v>
      </c>
      <c r="B25" s="415" t="s">
        <v>21185</v>
      </c>
      <c r="C25" s="416" t="s">
        <v>21186</v>
      </c>
      <c r="D25" s="417" t="s">
        <v>20855</v>
      </c>
      <c r="E25" s="418">
        <v>105.735023</v>
      </c>
      <c r="F25" s="418">
        <v>20.964811</v>
      </c>
      <c r="G25" s="419">
        <v>1</v>
      </c>
      <c r="H25" s="320">
        <v>2</v>
      </c>
      <c r="I25" s="342" t="s">
        <v>21346</v>
      </c>
      <c r="J25" s="342" t="s">
        <v>21470</v>
      </c>
      <c r="K25" s="342" t="s">
        <v>21339</v>
      </c>
      <c r="L25" s="342" t="s">
        <v>21340</v>
      </c>
      <c r="M25" s="420" t="s">
        <v>21341</v>
      </c>
      <c r="N25" s="342" t="s">
        <v>21342</v>
      </c>
      <c r="O25" s="342" t="s">
        <v>21343</v>
      </c>
      <c r="P25" s="342" t="s">
        <v>21471</v>
      </c>
      <c r="Q25" s="342" t="b">
        <v>1</v>
      </c>
      <c r="R25" s="342" t="s">
        <v>21187</v>
      </c>
      <c r="S25" s="342">
        <v>0</v>
      </c>
      <c r="T25" s="342" t="s">
        <v>21307</v>
      </c>
      <c r="U25" s="342" t="s">
        <v>21188</v>
      </c>
      <c r="V25" s="469">
        <v>43756</v>
      </c>
      <c r="W25" s="342" t="b">
        <v>1</v>
      </c>
      <c r="X25" s="421" t="b">
        <v>1</v>
      </c>
      <c r="Y25" s="342" t="b">
        <v>1</v>
      </c>
      <c r="Z25" s="422">
        <v>5</v>
      </c>
      <c r="AA25" s="342" t="b">
        <v>0</v>
      </c>
      <c r="AB25" s="342" t="s">
        <v>21309</v>
      </c>
      <c r="AC25" s="342" t="s">
        <v>21310</v>
      </c>
    </row>
    <row r="26" ht="153">
      <c r="A26" s="320">
        <v>24</v>
      </c>
      <c r="B26" s="415" t="s">
        <v>21189</v>
      </c>
      <c r="C26" s="416" t="s">
        <v>21190</v>
      </c>
      <c r="D26" s="417" t="s">
        <v>20855</v>
      </c>
      <c r="E26" s="418">
        <v>105.713595</v>
      </c>
      <c r="F26" s="418">
        <v>20.997391</v>
      </c>
      <c r="G26" s="419">
        <v>1</v>
      </c>
      <c r="H26" s="320">
        <v>2</v>
      </c>
      <c r="I26" s="342" t="s">
        <v>21346</v>
      </c>
      <c r="J26" s="342" t="s">
        <v>21477</v>
      </c>
      <c r="K26" s="342" t="s">
        <v>21339</v>
      </c>
      <c r="L26" s="342" t="s">
        <v>21340</v>
      </c>
      <c r="M26" s="420" t="s">
        <v>21341</v>
      </c>
      <c r="N26" s="342" t="s">
        <v>21342</v>
      </c>
      <c r="O26" s="342" t="s">
        <v>21343</v>
      </c>
      <c r="P26" s="342" t="s">
        <v>21478</v>
      </c>
      <c r="Q26" s="342" t="b">
        <v>1</v>
      </c>
      <c r="R26" s="342" t="s">
        <v>21191</v>
      </c>
      <c r="S26" s="342">
        <v>0</v>
      </c>
      <c r="T26" s="342" t="s">
        <v>21307</v>
      </c>
      <c r="U26" s="342" t="s">
        <v>21192</v>
      </c>
      <c r="V26" s="469">
        <v>43756</v>
      </c>
      <c r="W26" s="342" t="b">
        <v>1</v>
      </c>
      <c r="X26" s="421" t="b">
        <v>0</v>
      </c>
      <c r="Y26" s="342" t="b">
        <v>0</v>
      </c>
      <c r="Z26" s="422">
        <v>0</v>
      </c>
      <c r="AA26" s="342" t="b">
        <v>0</v>
      </c>
      <c r="AB26" s="342" t="s">
        <v>21309</v>
      </c>
      <c r="AC26" s="342" t="s">
        <v>21310</v>
      </c>
    </row>
    <row r="27" ht="229.5">
      <c r="A27" s="320">
        <v>25</v>
      </c>
      <c r="B27" s="415" t="s">
        <v>21193</v>
      </c>
      <c r="C27" s="416" t="s">
        <v>21194</v>
      </c>
      <c r="D27" s="417" t="s">
        <v>20855</v>
      </c>
      <c r="E27" s="418">
        <v>105.798988</v>
      </c>
      <c r="F27" s="418">
        <v>20.999661</v>
      </c>
      <c r="G27" s="419">
        <v>1</v>
      </c>
      <c r="H27" s="320">
        <v>3</v>
      </c>
      <c r="I27" s="342" t="s">
        <v>21320</v>
      </c>
      <c r="J27" s="342" t="s">
        <v>21482</v>
      </c>
      <c r="K27" s="342" t="s">
        <v>21301</v>
      </c>
      <c r="L27" s="342" t="s">
        <v>21302</v>
      </c>
      <c r="M27" s="420" t="s">
        <v>21303</v>
      </c>
      <c r="N27" s="342" t="s">
        <v>21304</v>
      </c>
      <c r="O27" s="342" t="s">
        <v>21305</v>
      </c>
      <c r="P27" s="342" t="s">
        <v>21483</v>
      </c>
      <c r="Q27" s="342" t="b">
        <v>1</v>
      </c>
      <c r="R27" s="342" t="s">
        <v>21195</v>
      </c>
      <c r="S27" s="342">
        <v>0</v>
      </c>
      <c r="T27" s="342" t="s">
        <v>21307</v>
      </c>
      <c r="U27" s="342" t="s">
        <v>21196</v>
      </c>
      <c r="V27" s="469">
        <v>43756</v>
      </c>
      <c r="W27" s="342" t="b">
        <v>0</v>
      </c>
      <c r="X27" s="421" t="b">
        <v>0</v>
      </c>
      <c r="Y27" s="342" t="b">
        <v>1</v>
      </c>
      <c r="Z27" s="422">
        <v>50</v>
      </c>
      <c r="AA27" s="342" t="b">
        <v>0</v>
      </c>
      <c r="AB27" s="342" t="s">
        <v>21309</v>
      </c>
      <c r="AC27" s="342" t="s">
        <v>21310</v>
      </c>
    </row>
    <row r="28" ht="153">
      <c r="A28" s="320">
        <v>26</v>
      </c>
      <c r="B28" s="415" t="s">
        <v>21197</v>
      </c>
      <c r="C28" s="416" t="s">
        <v>21198</v>
      </c>
      <c r="D28" s="417" t="s">
        <v>20855</v>
      </c>
      <c r="E28" s="418">
        <v>105.813943</v>
      </c>
      <c r="F28" s="418">
        <v>20.996429</v>
      </c>
      <c r="G28" s="419">
        <v>1</v>
      </c>
      <c r="H28" s="320">
        <v>2</v>
      </c>
      <c r="I28" s="342" t="s">
        <v>21346</v>
      </c>
      <c r="J28" s="342" t="s">
        <v>21489</v>
      </c>
      <c r="K28" s="342" t="s">
        <v>21339</v>
      </c>
      <c r="L28" s="342" t="s">
        <v>21340</v>
      </c>
      <c r="M28" s="420" t="s">
        <v>21341</v>
      </c>
      <c r="N28" s="342" t="s">
        <v>21342</v>
      </c>
      <c r="O28" s="342" t="s">
        <v>21343</v>
      </c>
      <c r="P28" s="342" t="s">
        <v>21440</v>
      </c>
      <c r="Q28" s="342" t="b">
        <v>1</v>
      </c>
      <c r="R28" s="342" t="s">
        <v>21199</v>
      </c>
      <c r="S28" s="342">
        <v>0</v>
      </c>
      <c r="T28" s="342" t="s">
        <v>21307</v>
      </c>
      <c r="U28" s="342" t="s">
        <v>21200</v>
      </c>
      <c r="V28" s="469">
        <v>43756</v>
      </c>
      <c r="W28" s="342" t="b">
        <v>0</v>
      </c>
      <c r="X28" s="421" t="b">
        <v>0</v>
      </c>
      <c r="Y28" s="342" t="b">
        <v>1</v>
      </c>
      <c r="Z28" s="422">
        <v>20</v>
      </c>
      <c r="AA28" s="342" t="b">
        <v>0</v>
      </c>
      <c r="AB28" s="342" t="s">
        <v>21309</v>
      </c>
      <c r="AC28" s="342" t="s">
        <v>21310</v>
      </c>
    </row>
    <row r="29" ht="153">
      <c r="A29" s="320">
        <v>27</v>
      </c>
      <c r="B29" s="415" t="s">
        <v>21201</v>
      </c>
      <c r="C29" s="416" t="s">
        <v>21202</v>
      </c>
      <c r="D29" s="417" t="s">
        <v>20855</v>
      </c>
      <c r="E29" s="418">
        <v>105.830771</v>
      </c>
      <c r="F29" s="418">
        <v>20.993583</v>
      </c>
      <c r="G29" s="419">
        <v>1</v>
      </c>
      <c r="H29" s="320">
        <v>2</v>
      </c>
      <c r="I29" s="342" t="s">
        <v>21346</v>
      </c>
      <c r="J29" s="342" t="s">
        <v>21492</v>
      </c>
      <c r="K29" s="342" t="s">
        <v>21339</v>
      </c>
      <c r="L29" s="342" t="s">
        <v>21340</v>
      </c>
      <c r="M29" s="420" t="s">
        <v>21341</v>
      </c>
      <c r="N29" s="342" t="s">
        <v>21342</v>
      </c>
      <c r="O29" s="342" t="s">
        <v>21343</v>
      </c>
      <c r="P29" s="342" t="s">
        <v>21493</v>
      </c>
      <c r="Q29" s="342" t="b">
        <v>1</v>
      </c>
      <c r="R29" s="342" t="s">
        <v>21203</v>
      </c>
      <c r="S29" s="342">
        <v>0</v>
      </c>
      <c r="T29" s="342" t="s">
        <v>21307</v>
      </c>
      <c r="U29" s="342" t="s">
        <v>21204</v>
      </c>
      <c r="V29" s="469">
        <v>43756</v>
      </c>
      <c r="W29" s="342" t="b">
        <v>0</v>
      </c>
      <c r="X29" s="421" t="b">
        <v>0</v>
      </c>
      <c r="Y29" s="342" t="b">
        <v>1</v>
      </c>
      <c r="Z29" s="422">
        <v>16</v>
      </c>
      <c r="AA29" s="342" t="b">
        <v>0</v>
      </c>
      <c r="AB29" s="342" t="s">
        <v>21309</v>
      </c>
      <c r="AC29" s="342" t="s">
        <v>21310</v>
      </c>
    </row>
    <row r="30" ht="153">
      <c r="A30" s="320">
        <v>28</v>
      </c>
      <c r="B30" s="415" t="s">
        <v>21205</v>
      </c>
      <c r="C30" s="416" t="s">
        <v>21206</v>
      </c>
      <c r="D30" s="417" t="s">
        <v>20855</v>
      </c>
      <c r="E30" s="418">
        <v>105.811422</v>
      </c>
      <c r="F30" s="418">
        <v>21.047256</v>
      </c>
      <c r="G30" s="419">
        <v>1</v>
      </c>
      <c r="H30" s="320">
        <v>2</v>
      </c>
      <c r="I30" s="342" t="s">
        <v>21346</v>
      </c>
      <c r="J30" s="342" t="s">
        <v>21495</v>
      </c>
      <c r="K30" s="342" t="s">
        <v>21339</v>
      </c>
      <c r="L30" s="342" t="s">
        <v>21340</v>
      </c>
      <c r="M30" s="420" t="s">
        <v>21341</v>
      </c>
      <c r="N30" s="342" t="s">
        <v>21342</v>
      </c>
      <c r="O30" s="342" t="s">
        <v>21343</v>
      </c>
      <c r="P30" s="342" t="s">
        <v>21447</v>
      </c>
      <c r="Q30" s="342" t="b">
        <v>1</v>
      </c>
      <c r="R30" s="342" t="s">
        <v>21207</v>
      </c>
      <c r="S30" s="342">
        <v>0</v>
      </c>
      <c r="T30" s="342" t="s">
        <v>21307</v>
      </c>
      <c r="U30" s="342" t="s">
        <v>21208</v>
      </c>
      <c r="V30" s="469">
        <v>43756</v>
      </c>
      <c r="W30" s="342" t="b">
        <v>0</v>
      </c>
      <c r="X30" s="421" t="b">
        <v>0</v>
      </c>
      <c r="Y30" s="342" t="b">
        <v>1</v>
      </c>
      <c r="Z30" s="422">
        <v>25</v>
      </c>
      <c r="AA30" s="342" t="b">
        <v>0</v>
      </c>
      <c r="AB30" s="342" t="s">
        <v>21309</v>
      </c>
      <c r="AC30" s="342" t="s">
        <v>21310</v>
      </c>
    </row>
    <row r="31" ht="153">
      <c r="A31" s="320">
        <v>29</v>
      </c>
      <c r="B31" s="415" t="s">
        <v>21209</v>
      </c>
      <c r="C31" s="416" t="s">
        <v>21210</v>
      </c>
      <c r="D31" s="417" t="s">
        <v>20855</v>
      </c>
      <c r="E31" s="418">
        <v>105.787131</v>
      </c>
      <c r="F31" s="418">
        <v>21.001691</v>
      </c>
      <c r="G31" s="419">
        <v>1</v>
      </c>
      <c r="H31" s="320">
        <v>2</v>
      </c>
      <c r="I31" s="342" t="s">
        <v>21346</v>
      </c>
      <c r="J31" s="342" t="s">
        <v>21499</v>
      </c>
      <c r="K31" s="342" t="s">
        <v>21339</v>
      </c>
      <c r="L31" s="342" t="s">
        <v>21340</v>
      </c>
      <c r="M31" s="420" t="s">
        <v>21341</v>
      </c>
      <c r="N31" s="342" t="s">
        <v>21342</v>
      </c>
      <c r="O31" s="342" t="s">
        <v>21343</v>
      </c>
      <c r="P31" s="342" t="s">
        <v>21478</v>
      </c>
      <c r="Q31" s="342" t="b">
        <v>1</v>
      </c>
      <c r="R31" s="342" t="s">
        <v>21211</v>
      </c>
      <c r="S31" s="342">
        <v>0</v>
      </c>
      <c r="T31" s="342" t="s">
        <v>21307</v>
      </c>
      <c r="U31" s="342" t="s">
        <v>21212</v>
      </c>
      <c r="V31" s="469">
        <v>43756</v>
      </c>
      <c r="W31" s="342" t="b">
        <v>1</v>
      </c>
      <c r="X31" s="421" t="b">
        <v>0</v>
      </c>
      <c r="Y31" s="342" t="b">
        <v>0</v>
      </c>
      <c r="Z31" s="422">
        <v>0</v>
      </c>
      <c r="AA31" s="342" t="b">
        <v>0</v>
      </c>
      <c r="AB31" s="342" t="s">
        <v>21309</v>
      </c>
      <c r="AC31" s="342" t="s">
        <v>21310</v>
      </c>
    </row>
    <row r="32" ht="153">
      <c r="A32" s="320">
        <v>30</v>
      </c>
      <c r="B32" s="415" t="s">
        <v>21213</v>
      </c>
      <c r="C32" s="416" t="s">
        <v>21214</v>
      </c>
      <c r="D32" s="417" t="s">
        <v>20855</v>
      </c>
      <c r="E32" s="418">
        <v>105.853985</v>
      </c>
      <c r="F32" s="418">
        <v>21.026803</v>
      </c>
      <c r="G32" s="419">
        <v>1</v>
      </c>
      <c r="H32" s="320">
        <v>2</v>
      </c>
      <c r="I32" s="342" t="s">
        <v>21346</v>
      </c>
      <c r="J32" s="342" t="s">
        <v>21501</v>
      </c>
      <c r="K32" s="342" t="s">
        <v>21339</v>
      </c>
      <c r="L32" s="342" t="s">
        <v>21340</v>
      </c>
      <c r="M32" s="420" t="s">
        <v>21341</v>
      </c>
      <c r="N32" s="342" t="s">
        <v>21342</v>
      </c>
      <c r="O32" s="342" t="s">
        <v>21343</v>
      </c>
      <c r="P32" s="342" t="s">
        <v>21447</v>
      </c>
      <c r="Q32" s="342" t="b">
        <v>1</v>
      </c>
      <c r="R32" s="342" t="s">
        <v>21215</v>
      </c>
      <c r="S32" s="342">
        <v>0</v>
      </c>
      <c r="T32" s="342" t="s">
        <v>21307</v>
      </c>
      <c r="U32" s="342" t="s">
        <v>21216</v>
      </c>
      <c r="V32" s="469">
        <v>43756</v>
      </c>
      <c r="W32" s="342" t="b">
        <v>0</v>
      </c>
      <c r="X32" s="421" t="b">
        <v>0</v>
      </c>
      <c r="Y32" s="342" t="b">
        <v>1</v>
      </c>
      <c r="Z32" s="422">
        <v>24</v>
      </c>
      <c r="AA32" s="342" t="b">
        <v>0</v>
      </c>
      <c r="AB32" s="342" t="s">
        <v>21309</v>
      </c>
      <c r="AC32" s="342" t="s">
        <v>21310</v>
      </c>
    </row>
    <row r="33" ht="153">
      <c r="A33" s="320">
        <v>31</v>
      </c>
      <c r="B33" s="415" t="s">
        <v>21217</v>
      </c>
      <c r="C33" s="416" t="s">
        <v>21218</v>
      </c>
      <c r="D33" s="417" t="s">
        <v>20855</v>
      </c>
      <c r="E33" s="418">
        <v>105.876561</v>
      </c>
      <c r="F33" s="418">
        <v>21.049645</v>
      </c>
      <c r="G33" s="419">
        <v>1</v>
      </c>
      <c r="H33" s="320">
        <v>2</v>
      </c>
      <c r="I33" s="342" t="s">
        <v>21346</v>
      </c>
      <c r="J33" s="342" t="s">
        <v>21504</v>
      </c>
      <c r="K33" s="342" t="s">
        <v>21339</v>
      </c>
      <c r="L33" s="342" t="s">
        <v>21340</v>
      </c>
      <c r="M33" s="420" t="s">
        <v>21341</v>
      </c>
      <c r="N33" s="342" t="s">
        <v>21342</v>
      </c>
      <c r="O33" s="342" t="s">
        <v>21343</v>
      </c>
      <c r="P33" s="342" t="s">
        <v>21447</v>
      </c>
      <c r="Q33" s="342" t="b">
        <v>1</v>
      </c>
      <c r="R33" s="342" t="s">
        <v>21219</v>
      </c>
      <c r="S33" s="342">
        <v>0</v>
      </c>
      <c r="T33" s="342" t="s">
        <v>21307</v>
      </c>
      <c r="U33" s="342" t="s">
        <v>21220</v>
      </c>
      <c r="V33" s="469">
        <v>43756</v>
      </c>
      <c r="W33" s="342" t="b">
        <v>0</v>
      </c>
      <c r="X33" s="421" t="b">
        <v>0</v>
      </c>
      <c r="Y33" s="342" t="b">
        <v>1</v>
      </c>
      <c r="Z33" s="422">
        <v>20</v>
      </c>
      <c r="AA33" s="342" t="b">
        <v>0</v>
      </c>
      <c r="AB33" s="342" t="s">
        <v>21309</v>
      </c>
      <c r="AC33" s="342" t="s">
        <v>21310</v>
      </c>
    </row>
    <row r="34" ht="153">
      <c r="A34" s="320">
        <v>32</v>
      </c>
      <c r="B34" s="415" t="s">
        <v>21221</v>
      </c>
      <c r="C34" s="416" t="s">
        <v>21222</v>
      </c>
      <c r="D34" s="417" t="s">
        <v>20855</v>
      </c>
      <c r="E34" s="418">
        <v>105.937558</v>
      </c>
      <c r="F34" s="418">
        <v>21.021868</v>
      </c>
      <c r="G34" s="419">
        <v>1</v>
      </c>
      <c r="H34" s="320">
        <v>2</v>
      </c>
      <c r="I34" s="342" t="s">
        <v>21346</v>
      </c>
      <c r="J34" s="342" t="s">
        <v>21507</v>
      </c>
      <c r="K34" s="342" t="s">
        <v>21339</v>
      </c>
      <c r="L34" s="342" t="s">
        <v>21340</v>
      </c>
      <c r="M34" s="420" t="s">
        <v>21341</v>
      </c>
      <c r="N34" s="342" t="s">
        <v>21342</v>
      </c>
      <c r="O34" s="342" t="s">
        <v>21343</v>
      </c>
      <c r="P34" s="342" t="s">
        <v>21508</v>
      </c>
      <c r="Q34" s="342" t="b">
        <v>1</v>
      </c>
      <c r="R34" s="342" t="s">
        <v>21223</v>
      </c>
      <c r="S34" s="342">
        <v>0</v>
      </c>
      <c r="T34" s="342" t="s">
        <v>21307</v>
      </c>
      <c r="U34" s="342" t="s">
        <v>21224</v>
      </c>
      <c r="V34" s="469">
        <v>43756</v>
      </c>
      <c r="W34" s="342" t="b">
        <v>0</v>
      </c>
      <c r="X34" s="421" t="b">
        <v>0</v>
      </c>
      <c r="Y34" s="342" t="b">
        <v>1</v>
      </c>
      <c r="Z34" s="422">
        <v>12</v>
      </c>
      <c r="AA34" s="342" t="b">
        <v>0</v>
      </c>
      <c r="AB34" s="342" t="s">
        <v>21309</v>
      </c>
      <c r="AC34" s="342" t="s">
        <v>21310</v>
      </c>
    </row>
    <row r="35" ht="153">
      <c r="A35" s="320">
        <v>33</v>
      </c>
      <c r="B35" s="415" t="s">
        <v>21225</v>
      </c>
      <c r="C35" s="416" t="s">
        <v>21226</v>
      </c>
      <c r="D35" s="417" t="s">
        <v>20855</v>
      </c>
      <c r="E35" s="418">
        <v>105.916195</v>
      </c>
      <c r="F35" s="418">
        <v>21.057921</v>
      </c>
      <c r="G35" s="419">
        <v>1</v>
      </c>
      <c r="H35" s="320">
        <v>2</v>
      </c>
      <c r="I35" s="342" t="s">
        <v>21346</v>
      </c>
      <c r="J35" s="342" t="s">
        <v>21514</v>
      </c>
      <c r="K35" s="342" t="s">
        <v>21339</v>
      </c>
      <c r="L35" s="342" t="s">
        <v>21340</v>
      </c>
      <c r="M35" s="420" t="s">
        <v>21341</v>
      </c>
      <c r="N35" s="342" t="s">
        <v>21342</v>
      </c>
      <c r="O35" s="342" t="s">
        <v>21343</v>
      </c>
      <c r="P35" s="342" t="s">
        <v>21351</v>
      </c>
      <c r="Q35" s="342" t="b">
        <v>1</v>
      </c>
      <c r="R35" s="342" t="s">
        <v>21227</v>
      </c>
      <c r="S35" s="342">
        <v>0</v>
      </c>
      <c r="T35" s="342" t="s">
        <v>21307</v>
      </c>
      <c r="U35" s="342" t="s">
        <v>21228</v>
      </c>
      <c r="V35" s="469">
        <v>43756</v>
      </c>
      <c r="W35" s="342" t="b">
        <v>0</v>
      </c>
      <c r="X35" s="421" t="b">
        <v>0</v>
      </c>
      <c r="Y35" s="342" t="b">
        <v>1</v>
      </c>
      <c r="Z35" s="422">
        <v>12</v>
      </c>
      <c r="AA35" s="342" t="b">
        <v>0</v>
      </c>
      <c r="AB35" s="342" t="s">
        <v>21309</v>
      </c>
      <c r="AC35" s="342" t="s">
        <v>21310</v>
      </c>
    </row>
    <row r="36" ht="153">
      <c r="A36" s="320">
        <v>34</v>
      </c>
      <c r="B36" s="415" t="s">
        <v>21229</v>
      </c>
      <c r="C36" s="416" t="s">
        <v>21230</v>
      </c>
      <c r="D36" s="417" t="s">
        <v>20855</v>
      </c>
      <c r="E36" s="418">
        <v>105.776841</v>
      </c>
      <c r="F36" s="418">
        <v>21.110002</v>
      </c>
      <c r="G36" s="419">
        <v>1</v>
      </c>
      <c r="H36" s="320">
        <v>2</v>
      </c>
      <c r="I36" s="342" t="s">
        <v>21346</v>
      </c>
      <c r="J36" s="342" t="s">
        <v>21516</v>
      </c>
      <c r="K36" s="342" t="s">
        <v>21339</v>
      </c>
      <c r="L36" s="342" t="s">
        <v>21340</v>
      </c>
      <c r="M36" s="420" t="s">
        <v>21341</v>
      </c>
      <c r="N36" s="342" t="s">
        <v>21342</v>
      </c>
      <c r="O36" s="342" t="s">
        <v>21343</v>
      </c>
      <c r="P36" s="342" t="s">
        <v>21508</v>
      </c>
      <c r="Q36" s="342" t="b">
        <v>1</v>
      </c>
      <c r="R36" s="342" t="s">
        <v>21231</v>
      </c>
      <c r="S36" s="342">
        <v>0</v>
      </c>
      <c r="T36" s="342" t="s">
        <v>21307</v>
      </c>
      <c r="U36" s="342" t="s">
        <v>21232</v>
      </c>
      <c r="V36" s="469">
        <v>43756</v>
      </c>
      <c r="W36" s="342" t="b">
        <v>0</v>
      </c>
      <c r="X36" s="421" t="b">
        <v>0</v>
      </c>
      <c r="Y36" s="342" t="b">
        <v>1</v>
      </c>
      <c r="Z36" s="422">
        <v>12</v>
      </c>
      <c r="AA36" s="342" t="b">
        <v>0</v>
      </c>
      <c r="AB36" s="342" t="s">
        <v>21309</v>
      </c>
      <c r="AC36" s="342" t="s">
        <v>21310</v>
      </c>
    </row>
    <row r="37" ht="153">
      <c r="A37" s="320">
        <v>35</v>
      </c>
      <c r="B37" s="415" t="s">
        <v>21233</v>
      </c>
      <c r="C37" s="416" t="s">
        <v>21234</v>
      </c>
      <c r="D37" s="417" t="s">
        <v>20855</v>
      </c>
      <c r="E37" s="418">
        <v>105.755618</v>
      </c>
      <c r="F37" s="418">
        <v>21.110651</v>
      </c>
      <c r="G37" s="419">
        <v>1</v>
      </c>
      <c r="H37" s="320">
        <v>2</v>
      </c>
      <c r="I37" s="342" t="s">
        <v>21346</v>
      </c>
      <c r="J37" s="342" t="s">
        <v>21520</v>
      </c>
      <c r="K37" s="342" t="s">
        <v>21339</v>
      </c>
      <c r="L37" s="342" t="s">
        <v>21340</v>
      </c>
      <c r="M37" s="420" t="s">
        <v>21341</v>
      </c>
      <c r="N37" s="342" t="s">
        <v>21342</v>
      </c>
      <c r="O37" s="342" t="s">
        <v>21343</v>
      </c>
      <c r="P37" s="342" t="s">
        <v>21521</v>
      </c>
      <c r="Q37" s="342" t="b">
        <v>1</v>
      </c>
      <c r="R37" s="342" t="s">
        <v>21235</v>
      </c>
      <c r="S37" s="342">
        <v>0</v>
      </c>
      <c r="T37" s="342" t="s">
        <v>21307</v>
      </c>
      <c r="U37" s="342" t="s">
        <v>21236</v>
      </c>
      <c r="V37" s="469">
        <v>43756</v>
      </c>
      <c r="W37" s="342" t="b">
        <v>1</v>
      </c>
      <c r="X37" s="421" t="b">
        <v>1</v>
      </c>
      <c r="Y37" s="342" t="b">
        <v>0</v>
      </c>
      <c r="Z37" s="422">
        <v>0</v>
      </c>
      <c r="AA37" s="342" t="b">
        <v>0</v>
      </c>
      <c r="AB37" s="342" t="s">
        <v>21309</v>
      </c>
      <c r="AC37" s="342" t="s">
        <v>21310</v>
      </c>
    </row>
    <row r="38" ht="153">
      <c r="A38" s="320">
        <v>36</v>
      </c>
      <c r="B38" s="415" t="s">
        <v>21237</v>
      </c>
      <c r="C38" s="416" t="s">
        <v>21238</v>
      </c>
      <c r="D38" s="417" t="s">
        <v>20855</v>
      </c>
      <c r="E38" s="418">
        <v>105.768676</v>
      </c>
      <c r="F38" s="418">
        <v>21.195116</v>
      </c>
      <c r="G38" s="419">
        <v>1</v>
      </c>
      <c r="H38" s="320">
        <v>2</v>
      </c>
      <c r="I38" s="342" t="s">
        <v>21346</v>
      </c>
      <c r="J38" s="342" t="s">
        <v>21525</v>
      </c>
      <c r="K38" s="342" t="s">
        <v>21339</v>
      </c>
      <c r="L38" s="342" t="s">
        <v>21340</v>
      </c>
      <c r="M38" s="420" t="s">
        <v>21341</v>
      </c>
      <c r="N38" s="342" t="s">
        <v>21342</v>
      </c>
      <c r="O38" s="342" t="s">
        <v>21343</v>
      </c>
      <c r="P38" s="342" t="s">
        <v>21526</v>
      </c>
      <c r="Q38" s="342" t="b">
        <v>1</v>
      </c>
      <c r="R38" s="342" t="s">
        <v>21239</v>
      </c>
      <c r="S38" s="342">
        <v>0</v>
      </c>
      <c r="T38" s="342" t="s">
        <v>21307</v>
      </c>
      <c r="U38" s="342" t="s">
        <v>21240</v>
      </c>
      <c r="V38" s="469">
        <v>43756</v>
      </c>
      <c r="W38" s="342" t="b">
        <v>0</v>
      </c>
      <c r="X38" s="421" t="b">
        <v>0</v>
      </c>
      <c r="Y38" s="342" t="b">
        <v>1</v>
      </c>
      <c r="Z38" s="422">
        <v>16</v>
      </c>
      <c r="AA38" s="342" t="b">
        <v>0</v>
      </c>
      <c r="AB38" s="342" t="s">
        <v>21309</v>
      </c>
      <c r="AC38" s="342" t="s">
        <v>21310</v>
      </c>
    </row>
    <row r="39" ht="409.5">
      <c r="A39" s="320">
        <v>37</v>
      </c>
      <c r="B39" s="415" t="s">
        <v>21241</v>
      </c>
      <c r="C39" s="416" t="s">
        <v>21242</v>
      </c>
      <c r="D39" s="417" t="s">
        <v>20855</v>
      </c>
      <c r="E39" s="418">
        <v>105.723142</v>
      </c>
      <c r="F39" s="418">
        <v>21.184451</v>
      </c>
      <c r="G39" s="419">
        <v>1</v>
      </c>
      <c r="H39" s="320">
        <v>3</v>
      </c>
      <c r="I39" s="342" t="s">
        <v>21537</v>
      </c>
      <c r="J39" s="342" t="s">
        <v>21529</v>
      </c>
      <c r="K39" s="342" t="s">
        <v>21530</v>
      </c>
      <c r="L39" s="342" t="s">
        <v>21531</v>
      </c>
      <c r="M39" s="420" t="s">
        <v>21532</v>
      </c>
      <c r="N39" s="342" t="s">
        <v>21533</v>
      </c>
      <c r="O39" s="342" t="s">
        <v>21534</v>
      </c>
      <c r="P39" s="342" t="s">
        <v>21535</v>
      </c>
      <c r="Q39" s="342" t="b">
        <v>1</v>
      </c>
      <c r="R39" s="342" t="s">
        <v>21243</v>
      </c>
      <c r="S39" s="342">
        <v>0</v>
      </c>
      <c r="T39" s="342" t="s">
        <v>21307</v>
      </c>
      <c r="U39" s="342" t="s">
        <v>21244</v>
      </c>
      <c r="V39" s="469">
        <v>43756</v>
      </c>
      <c r="W39" s="342" t="b">
        <v>1</v>
      </c>
      <c r="X39" s="421" t="b">
        <v>0</v>
      </c>
      <c r="Y39" s="342" t="b">
        <v>1</v>
      </c>
      <c r="Z39" s="422">
        <v>20</v>
      </c>
      <c r="AA39" s="342" t="b">
        <v>0</v>
      </c>
      <c r="AB39" s="342" t="s">
        <v>21309</v>
      </c>
      <c r="AC39" s="342" t="s">
        <v>21310</v>
      </c>
    </row>
  </sheetData>
  <sheetProtection sheet="1" objects="1" scenarios="1"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8A582498-5972-49EF-8DC1-8FE13AD026FC}">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39"/>
  <sheetViews>
    <sheetView zoomScale="85" zoomScaleNormal="85" workbookViewId="0">
      <pane xSplit="5" ySplit="1" topLeftCell="F39" activePane="bottomRight" state="frozen"/>
      <selection activeCell="AL13" sqref="AL13"/>
      <selection pane="topRight" activeCell="AL13" sqref="AL13"/>
      <selection pane="bottomLeft" activeCell="AL13" sqref="AL13"/>
      <selection pane="bottomRight" activeCell="A39" sqref="A39:II39"/>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21293</v>
      </c>
      <c r="C1" s="344" t="s">
        <v>21294</v>
      </c>
      <c r="D1" s="374" t="s">
        <v>21541</v>
      </c>
      <c r="E1" s="378" t="s">
        <v>21542</v>
      </c>
      <c r="F1" s="374" t="s">
        <v>21543</v>
      </c>
      <c r="G1" s="374" t="s">
        <v>21544</v>
      </c>
      <c r="H1" s="375" t="s">
        <v>21545</v>
      </c>
      <c r="I1" s="375" t="s">
        <v>21546</v>
      </c>
      <c r="J1" s="375" t="s">
        <v>21547</v>
      </c>
      <c r="K1" s="375" t="s">
        <v>21548</v>
      </c>
      <c r="L1" s="375" t="s">
        <v>21549</v>
      </c>
      <c r="M1" s="375" t="s">
        <v>21550</v>
      </c>
      <c r="N1" s="375" t="s">
        <v>21551</v>
      </c>
      <c r="O1" s="375" t="s">
        <v>21552</v>
      </c>
      <c r="P1" s="375" t="s">
        <v>21553</v>
      </c>
      <c r="Q1" s="375" t="s">
        <v>21554</v>
      </c>
      <c r="R1" s="375" t="s">
        <v>21555</v>
      </c>
      <c r="S1" s="372" t="s">
        <v>21556</v>
      </c>
      <c r="T1" s="374" t="s">
        <v>21295</v>
      </c>
      <c r="U1" s="374" t="s">
        <v>21557</v>
      </c>
      <c r="V1" s="374" t="s">
        <v>21558</v>
      </c>
      <c r="W1" s="294" t="s">
        <v>21559</v>
      </c>
      <c r="X1" s="339" t="s">
        <v>21560</v>
      </c>
      <c r="Y1" s="337" t="s">
        <v>21561</v>
      </c>
      <c r="Z1" s="337" t="s">
        <v>21562</v>
      </c>
      <c r="AA1" s="337" t="s">
        <v>21563</v>
      </c>
      <c r="AB1" s="337" t="s">
        <v>21564</v>
      </c>
      <c r="AC1" s="338" t="s">
        <v>21565</v>
      </c>
      <c r="AD1" s="337" t="s">
        <v>21566</v>
      </c>
      <c r="AE1" s="358" t="s">
        <v>21567</v>
      </c>
      <c r="AF1" s="358" t="s">
        <v>21568</v>
      </c>
      <c r="AG1" s="358" t="s">
        <v>21569</v>
      </c>
      <c r="AH1" s="358" t="s">
        <v>21570</v>
      </c>
      <c r="AI1" s="358" t="s">
        <v>21571</v>
      </c>
      <c r="AJ1" s="358" t="s">
        <v>21572</v>
      </c>
      <c r="AK1" s="358" t="s">
        <v>21573</v>
      </c>
      <c r="AL1" s="365" t="s">
        <v>21574</v>
      </c>
      <c r="AM1" s="292" t="s">
        <v>21575</v>
      </c>
      <c r="AN1" s="292" t="s">
        <v>21576</v>
      </c>
      <c r="AO1" s="292" t="s">
        <v>21577</v>
      </c>
      <c r="AP1" s="292" t="s">
        <v>21578</v>
      </c>
      <c r="AQ1" s="385" t="s">
        <v>21579</v>
      </c>
      <c r="AR1" s="385" t="s">
        <v>21580</v>
      </c>
      <c r="AS1" s="294" t="s">
        <v>21581</v>
      </c>
      <c r="AT1" s="295" t="s">
        <v>21582</v>
      </c>
      <c r="AU1" s="295" t="s">
        <v>21583</v>
      </c>
      <c r="AV1" s="295" t="s">
        <v>21584</v>
      </c>
      <c r="AW1" s="295" t="s">
        <v>21585</v>
      </c>
      <c r="AX1" s="295" t="s">
        <v>21586</v>
      </c>
      <c r="AY1" s="295" t="s">
        <v>21587</v>
      </c>
      <c r="AZ1" s="294" t="s">
        <v>21588</v>
      </c>
      <c r="BA1" s="294" t="s">
        <v>21589</v>
      </c>
      <c r="BB1" s="294" t="s">
        <v>21590</v>
      </c>
      <c r="BC1" s="294" t="s">
        <v>21591</v>
      </c>
      <c r="BD1" s="294" t="s">
        <v>21592</v>
      </c>
      <c r="BE1" s="294" t="s">
        <v>21593</v>
      </c>
      <c r="BF1" s="295" t="s">
        <v>21594</v>
      </c>
      <c r="BG1" s="294" t="s">
        <v>21595</v>
      </c>
      <c r="BH1" s="294" t="s">
        <v>21596</v>
      </c>
      <c r="BI1" s="294" t="s">
        <v>21597</v>
      </c>
      <c r="BJ1" s="294" t="s">
        <v>21598</v>
      </c>
      <c r="BK1" s="294" t="s">
        <v>21599</v>
      </c>
      <c r="BL1" s="294" t="s">
        <v>21600</v>
      </c>
      <c r="BM1" s="295" t="s">
        <v>21601</v>
      </c>
      <c r="BN1" s="295" t="s">
        <v>21602</v>
      </c>
      <c r="BO1" s="295" t="s">
        <v>21603</v>
      </c>
      <c r="BP1" s="295" t="s">
        <v>21604</v>
      </c>
      <c r="BQ1" s="295" t="s">
        <v>21605</v>
      </c>
      <c r="BR1" s="295" t="s">
        <v>21606</v>
      </c>
      <c r="BS1" s="294" t="s">
        <v>21607</v>
      </c>
      <c r="BT1" s="294" t="s">
        <v>21608</v>
      </c>
      <c r="BU1" s="294" t="s">
        <v>21609</v>
      </c>
      <c r="BV1" s="294" t="s">
        <v>21610</v>
      </c>
      <c r="BW1" s="294" t="s">
        <v>21611</v>
      </c>
      <c r="BX1" s="294" t="s">
        <v>21612</v>
      </c>
      <c r="BY1" s="295" t="s">
        <v>21613</v>
      </c>
      <c r="BZ1" s="294" t="s">
        <v>21614</v>
      </c>
      <c r="CA1" s="294" t="s">
        <v>21615</v>
      </c>
      <c r="CB1" s="294" t="s">
        <v>21616</v>
      </c>
      <c r="CC1" s="294" t="s">
        <v>21617</v>
      </c>
      <c r="CD1" s="294" t="s">
        <v>21618</v>
      </c>
      <c r="CE1" s="294" t="s">
        <v>21619</v>
      </c>
      <c r="CF1" s="295" t="s">
        <v>21620</v>
      </c>
      <c r="CG1" s="294" t="s">
        <v>21621</v>
      </c>
      <c r="CH1" s="294" t="s">
        <v>21622</v>
      </c>
      <c r="CI1" s="294" t="s">
        <v>21623</v>
      </c>
      <c r="CJ1" s="294" t="s">
        <v>21624</v>
      </c>
      <c r="CK1" s="294" t="s">
        <v>21625</v>
      </c>
      <c r="CL1" s="294" t="s">
        <v>21626</v>
      </c>
      <c r="CM1" s="295" t="s">
        <v>21627</v>
      </c>
      <c r="CN1" s="294" t="s">
        <v>21628</v>
      </c>
      <c r="CO1" s="294" t="s">
        <v>21629</v>
      </c>
      <c r="CP1" s="294" t="s">
        <v>21630</v>
      </c>
      <c r="CQ1" s="294" t="s">
        <v>21631</v>
      </c>
      <c r="CR1" s="294" t="s">
        <v>21632</v>
      </c>
      <c r="CS1" s="294" t="s">
        <v>21633</v>
      </c>
      <c r="CT1" s="295" t="s">
        <v>21634</v>
      </c>
      <c r="CU1" s="294" t="s">
        <v>21635</v>
      </c>
      <c r="CV1" s="294" t="s">
        <v>21636</v>
      </c>
      <c r="CW1" s="294" t="s">
        <v>21637</v>
      </c>
      <c r="CX1" s="294" t="s">
        <v>21638</v>
      </c>
      <c r="CY1" s="294" t="s">
        <v>21639</v>
      </c>
      <c r="CZ1" s="294" t="s">
        <v>21640</v>
      </c>
      <c r="DA1" s="295" t="s">
        <v>21641</v>
      </c>
      <c r="DB1" s="294" t="s">
        <v>21642</v>
      </c>
      <c r="DC1" s="294" t="s">
        <v>21643</v>
      </c>
      <c r="DD1" s="294" t="s">
        <v>21644</v>
      </c>
      <c r="DE1" s="294" t="s">
        <v>21645</v>
      </c>
      <c r="DF1" s="294" t="s">
        <v>21646</v>
      </c>
      <c r="DG1" s="294" t="s">
        <v>21647</v>
      </c>
      <c r="DH1" s="295" t="s">
        <v>21648</v>
      </c>
      <c r="DI1" s="294" t="s">
        <v>21649</v>
      </c>
      <c r="DJ1" s="294" t="s">
        <v>21650</v>
      </c>
      <c r="DK1" s="294" t="s">
        <v>21651</v>
      </c>
      <c r="DL1" s="294" t="s">
        <v>21652</v>
      </c>
      <c r="DM1" s="294" t="s">
        <v>21653</v>
      </c>
      <c r="DN1" s="294" t="s">
        <v>21654</v>
      </c>
      <c r="DO1" s="295" t="s">
        <v>21655</v>
      </c>
      <c r="DP1" s="294" t="s">
        <v>21656</v>
      </c>
      <c r="DQ1" s="294" t="s">
        <v>21657</v>
      </c>
      <c r="DR1" s="294" t="s">
        <v>21658</v>
      </c>
      <c r="DS1" s="294" t="s">
        <v>21659</v>
      </c>
      <c r="DT1" s="294" t="s">
        <v>21660</v>
      </c>
      <c r="DU1" s="294" t="s">
        <v>21661</v>
      </c>
      <c r="DV1" s="296" t="s">
        <v>21662</v>
      </c>
      <c r="DW1" s="296" t="s">
        <v>21663</v>
      </c>
      <c r="DX1" s="295" t="s">
        <v>21664</v>
      </c>
      <c r="DY1" s="294" t="s">
        <v>21665</v>
      </c>
      <c r="DZ1" s="294" t="s">
        <v>21666</v>
      </c>
      <c r="EA1" s="294" t="s">
        <v>21667</v>
      </c>
      <c r="EB1" s="294" t="s">
        <v>21668</v>
      </c>
      <c r="EC1" s="294" t="s">
        <v>21669</v>
      </c>
      <c r="ED1" s="294" t="s">
        <v>21670</v>
      </c>
      <c r="EE1" s="296" t="s">
        <v>21671</v>
      </c>
      <c r="EF1" s="296" t="s">
        <v>21672</v>
      </c>
      <c r="EG1" s="295" t="s">
        <v>21673</v>
      </c>
      <c r="EH1" s="294" t="s">
        <v>21674</v>
      </c>
      <c r="EI1" s="294" t="s">
        <v>21675</v>
      </c>
      <c r="EJ1" s="294" t="s">
        <v>21676</v>
      </c>
      <c r="EK1" s="294" t="s">
        <v>21677</v>
      </c>
      <c r="EL1" s="294" t="s">
        <v>21678</v>
      </c>
      <c r="EM1" s="294" t="s">
        <v>21679</v>
      </c>
      <c r="EN1" s="296" t="s">
        <v>21680</v>
      </c>
      <c r="EO1" s="296" t="s">
        <v>21681</v>
      </c>
      <c r="EP1" s="295" t="s">
        <v>21682</v>
      </c>
      <c r="EQ1" s="294" t="s">
        <v>21683</v>
      </c>
      <c r="ER1" s="294" t="s">
        <v>21684</v>
      </c>
      <c r="ES1" s="294" t="s">
        <v>21685</v>
      </c>
      <c r="ET1" s="294" t="s">
        <v>21686</v>
      </c>
      <c r="EU1" s="294" t="s">
        <v>21687</v>
      </c>
      <c r="EV1" s="294" t="s">
        <v>21688</v>
      </c>
      <c r="EW1" s="296" t="s">
        <v>21689</v>
      </c>
      <c r="EX1" s="296" t="s">
        <v>21690</v>
      </c>
      <c r="EY1" s="295" t="s">
        <v>21691</v>
      </c>
      <c r="EZ1" s="294" t="s">
        <v>21692</v>
      </c>
      <c r="FA1" s="294" t="s">
        <v>21693</v>
      </c>
      <c r="FB1" s="294" t="s">
        <v>21694</v>
      </c>
      <c r="FC1" s="294" t="s">
        <v>21695</v>
      </c>
      <c r="FD1" s="294" t="s">
        <v>21696</v>
      </c>
      <c r="FE1" s="294" t="s">
        <v>21697</v>
      </c>
      <c r="FF1" s="296" t="s">
        <v>21698</v>
      </c>
      <c r="FG1" s="296" t="s">
        <v>21699</v>
      </c>
      <c r="FH1" s="295" t="s">
        <v>21700</v>
      </c>
      <c r="FI1" s="294" t="s">
        <v>21701</v>
      </c>
      <c r="FJ1" s="294" t="s">
        <v>21702</v>
      </c>
      <c r="FK1" s="294" t="s">
        <v>21703</v>
      </c>
      <c r="FL1" s="294" t="s">
        <v>21704</v>
      </c>
      <c r="FM1" s="294" t="s">
        <v>21705</v>
      </c>
      <c r="FN1" s="294" t="s">
        <v>21706</v>
      </c>
      <c r="FO1" s="296" t="s">
        <v>21707</v>
      </c>
      <c r="FP1" s="296" t="s">
        <v>21708</v>
      </c>
      <c r="FQ1" s="296" t="s">
        <v>21709</v>
      </c>
      <c r="FR1" s="297" t="s">
        <v>21710</v>
      </c>
      <c r="FS1" s="297" t="s">
        <v>21711</v>
      </c>
      <c r="FT1" s="297" t="s">
        <v>21712</v>
      </c>
      <c r="FU1" s="297" t="s">
        <v>21713</v>
      </c>
      <c r="FV1" s="297" t="s">
        <v>21714</v>
      </c>
      <c r="FW1" s="297" t="s">
        <v>21715</v>
      </c>
      <c r="FX1" s="295" t="s">
        <v>21716</v>
      </c>
      <c r="FY1" s="294" t="s">
        <v>21717</v>
      </c>
      <c r="FZ1" s="294" t="s">
        <v>21718</v>
      </c>
      <c r="GA1" s="294" t="s">
        <v>21719</v>
      </c>
      <c r="GB1" s="294" t="s">
        <v>21720</v>
      </c>
      <c r="GC1" s="294" t="s">
        <v>21721</v>
      </c>
      <c r="GD1" s="294" t="s">
        <v>21722</v>
      </c>
      <c r="GE1" s="296" t="s">
        <v>21723</v>
      </c>
      <c r="GF1" s="295" t="s">
        <v>21724</v>
      </c>
      <c r="GG1" s="294" t="s">
        <v>21725</v>
      </c>
      <c r="GH1" s="294" t="s">
        <v>21726</v>
      </c>
      <c r="GI1" s="294" t="s">
        <v>21727</v>
      </c>
      <c r="GJ1" s="294" t="s">
        <v>21728</v>
      </c>
      <c r="GK1" s="294" t="s">
        <v>21729</v>
      </c>
      <c r="GL1" s="294" t="s">
        <v>21730</v>
      </c>
      <c r="GM1" s="296" t="s">
        <v>21731</v>
      </c>
      <c r="GN1" s="295" t="s">
        <v>21732</v>
      </c>
      <c r="GO1" s="294" t="s">
        <v>21733</v>
      </c>
      <c r="GP1" s="294" t="s">
        <v>21734</v>
      </c>
      <c r="GQ1" s="294" t="s">
        <v>21735</v>
      </c>
      <c r="GR1" s="294" t="s">
        <v>21736</v>
      </c>
      <c r="GS1" s="294" t="s">
        <v>21737</v>
      </c>
      <c r="GT1" s="294" t="s">
        <v>21738</v>
      </c>
      <c r="GU1" s="296" t="s">
        <v>21739</v>
      </c>
      <c r="GV1" s="295" t="s">
        <v>21740</v>
      </c>
      <c r="GW1" s="294" t="s">
        <v>21741</v>
      </c>
      <c r="GX1" s="294" t="s">
        <v>21742</v>
      </c>
      <c r="GY1" s="294" t="s">
        <v>21743</v>
      </c>
      <c r="GZ1" s="294" t="s">
        <v>21744</v>
      </c>
      <c r="HA1" s="294" t="s">
        <v>21745</v>
      </c>
      <c r="HB1" s="294" t="s">
        <v>21746</v>
      </c>
      <c r="HC1" s="296" t="s">
        <v>21747</v>
      </c>
      <c r="HD1" s="295" t="s">
        <v>21748</v>
      </c>
      <c r="HE1" s="294" t="s">
        <v>21749</v>
      </c>
      <c r="HF1" s="294" t="s">
        <v>21750</v>
      </c>
      <c r="HG1" s="294" t="s">
        <v>21751</v>
      </c>
      <c r="HH1" s="294" t="s">
        <v>21752</v>
      </c>
      <c r="HI1" s="294" t="s">
        <v>21753</v>
      </c>
      <c r="HJ1" s="294" t="s">
        <v>21754</v>
      </c>
      <c r="HK1" s="296" t="s">
        <v>21755</v>
      </c>
      <c r="HL1" s="295" t="s">
        <v>21756</v>
      </c>
      <c r="HM1" s="294" t="s">
        <v>21757</v>
      </c>
      <c r="HN1" s="294" t="s">
        <v>21758</v>
      </c>
      <c r="HO1" s="294" t="s">
        <v>21759</v>
      </c>
      <c r="HP1" s="294" t="s">
        <v>21760</v>
      </c>
      <c r="HQ1" s="294" t="s">
        <v>21761</v>
      </c>
      <c r="HR1" s="294" t="s">
        <v>21762</v>
      </c>
      <c r="HS1" s="296" t="s">
        <v>21763</v>
      </c>
      <c r="HT1" s="295" t="s">
        <v>21764</v>
      </c>
      <c r="HU1" s="298" t="s">
        <v>21765</v>
      </c>
      <c r="HV1" s="298" t="s">
        <v>21766</v>
      </c>
      <c r="HW1" s="298" t="s">
        <v>21767</v>
      </c>
      <c r="HX1" s="298" t="s">
        <v>21768</v>
      </c>
      <c r="HY1" s="298" t="s">
        <v>21769</v>
      </c>
      <c r="HZ1" s="298" t="s">
        <v>21770</v>
      </c>
      <c r="IA1" s="299" t="s">
        <v>21771</v>
      </c>
      <c r="IB1" s="300" t="s">
        <v>21772</v>
      </c>
      <c r="IC1" s="381" t="s">
        <v>21773</v>
      </c>
      <c r="ID1" s="302" t="s">
        <v>21774</v>
      </c>
      <c r="IE1" s="303" t="s">
        <v>21775</v>
      </c>
      <c r="IF1" s="302" t="s">
        <v>21776</v>
      </c>
      <c r="IG1" s="382" t="s">
        <v>21777</v>
      </c>
      <c r="IH1" s="382" t="s">
        <v>21778</v>
      </c>
      <c r="II1" s="301" t="s">
        <v>21779</v>
      </c>
    </row>
    <row r="2" ht="76.5">
      <c r="A2" s="429" t="str">
        <f>Input!A2</f>
        <v>Stt</v>
      </c>
      <c r="B2" s="430" t="s">
        <v>21780</v>
      </c>
      <c r="C2" s="430" t="s">
        <v>21781</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s">
        <v>21782</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21783</v>
      </c>
      <c r="AH2" s="430" t="s">
        <v>21784</v>
      </c>
      <c r="AI2" s="430" t="s">
        <v>21785</v>
      </c>
      <c r="AJ2" s="430" t="s">
        <v>21786</v>
      </c>
      <c r="AK2" s="430" t="s">
        <v>21787</v>
      </c>
      <c r="AL2" s="429"/>
      <c r="AM2" s="429" t="s">
        <v>21788</v>
      </c>
      <c r="AN2" s="429" t="s">
        <v>21789</v>
      </c>
      <c r="AO2" s="429" t="s">
        <v>21790</v>
      </c>
      <c r="AP2" s="429" t="s">
        <v>21791</v>
      </c>
      <c r="AQ2" s="429" t="s">
        <v>21792</v>
      </c>
      <c r="AR2" s="429" t="s">
        <v>21793</v>
      </c>
      <c r="AS2" s="429" t="s">
        <v>21794</v>
      </c>
      <c r="AT2" s="429" t="s">
        <v>21795</v>
      </c>
      <c r="AU2" s="429" t="s">
        <v>21796</v>
      </c>
      <c r="AV2" s="429" t="s">
        <v>21797</v>
      </c>
      <c r="AW2" s="429" t="s">
        <v>21798</v>
      </c>
      <c r="AX2" s="429" t="s">
        <v>21799</v>
      </c>
      <c r="AY2" s="429" t="s">
        <v>21800</v>
      </c>
      <c r="AZ2" s="429" t="s">
        <v>21801</v>
      </c>
      <c r="BA2" s="429" t="s">
        <v>21802</v>
      </c>
      <c r="BB2" s="429" t="s">
        <v>21803</v>
      </c>
      <c r="BC2" s="429" t="s">
        <v>21804</v>
      </c>
      <c r="BD2" s="429" t="s">
        <v>21805</v>
      </c>
      <c r="BE2" s="429" t="s">
        <v>21806</v>
      </c>
      <c r="BF2" s="429" t="s">
        <v>21807</v>
      </c>
      <c r="BG2" s="429" t="s">
        <v>21801</v>
      </c>
      <c r="BH2" s="429" t="s">
        <v>21802</v>
      </c>
      <c r="BI2" s="429" t="s">
        <v>21803</v>
      </c>
      <c r="BJ2" s="429" t="s">
        <v>21804</v>
      </c>
      <c r="BK2" s="429" t="s">
        <v>21805</v>
      </c>
      <c r="BL2" s="429" t="s">
        <v>21806</v>
      </c>
      <c r="BM2" s="429" t="s">
        <v>21808</v>
      </c>
      <c r="BN2" s="429" t="s">
        <v>21809</v>
      </c>
      <c r="BO2" s="429" t="s">
        <v>21810</v>
      </c>
      <c r="BP2" s="429" t="s">
        <v>21811</v>
      </c>
      <c r="BQ2" s="429" t="s">
        <v>21812</v>
      </c>
      <c r="BR2" s="429" t="s">
        <v>21813</v>
      </c>
      <c r="BS2" s="429" t="s">
        <v>21814</v>
      </c>
      <c r="BT2" s="429" t="s">
        <v>21815</v>
      </c>
      <c r="BU2" s="429" t="s">
        <v>21816</v>
      </c>
      <c r="BV2" s="429" t="s">
        <v>21817</v>
      </c>
      <c r="BW2" s="429" t="s">
        <v>21818</v>
      </c>
      <c r="BX2" s="429" t="s">
        <v>21819</v>
      </c>
      <c r="BY2" s="429" t="s">
        <v>21820</v>
      </c>
      <c r="BZ2" s="429" t="s">
        <v>21821</v>
      </c>
      <c r="CA2" s="429" t="s">
        <v>21822</v>
      </c>
      <c r="CB2" s="429" t="s">
        <v>21823</v>
      </c>
      <c r="CC2" s="429" t="s">
        <v>21824</v>
      </c>
      <c r="CD2" s="429" t="s">
        <v>21825</v>
      </c>
      <c r="CE2" s="429" t="s">
        <v>21826</v>
      </c>
      <c r="CF2" s="429" t="s">
        <v>21827</v>
      </c>
      <c r="CG2" s="429" t="s">
        <v>21828</v>
      </c>
      <c r="CH2" s="429" t="s">
        <v>21829</v>
      </c>
      <c r="CI2" s="429" t="s">
        <v>21830</v>
      </c>
      <c r="CJ2" s="429" t="s">
        <v>21831</v>
      </c>
      <c r="CK2" s="429" t="s">
        <v>21832</v>
      </c>
      <c r="CL2" s="429" t="s">
        <v>21833</v>
      </c>
      <c r="CM2" s="429" t="s">
        <v>21834</v>
      </c>
      <c r="CN2" s="429" t="s">
        <v>21835</v>
      </c>
      <c r="CO2" s="429" t="s">
        <v>21836</v>
      </c>
      <c r="CP2" s="429" t="s">
        <v>21837</v>
      </c>
      <c r="CQ2" s="429" t="s">
        <v>21838</v>
      </c>
      <c r="CR2" s="429" t="s">
        <v>21839</v>
      </c>
      <c r="CS2" s="429" t="s">
        <v>21840</v>
      </c>
      <c r="CT2" s="429" t="s">
        <v>21841</v>
      </c>
      <c r="CU2" s="429" t="s">
        <v>21842</v>
      </c>
      <c r="CV2" s="429" t="s">
        <v>21843</v>
      </c>
      <c r="CW2" s="429" t="s">
        <v>21844</v>
      </c>
      <c r="CX2" s="429" t="s">
        <v>21845</v>
      </c>
      <c r="CY2" s="429" t="s">
        <v>21846</v>
      </c>
      <c r="CZ2" s="429" t="s">
        <v>21847</v>
      </c>
      <c r="DA2" s="429" t="s">
        <v>21848</v>
      </c>
      <c r="DB2" s="429" t="s">
        <v>21849</v>
      </c>
      <c r="DC2" s="429" t="s">
        <v>21850</v>
      </c>
      <c r="DD2" s="429" t="s">
        <v>21851</v>
      </c>
      <c r="DE2" s="429" t="s">
        <v>21852</v>
      </c>
      <c r="DF2" s="429" t="s">
        <v>21853</v>
      </c>
      <c r="DG2" s="429" t="s">
        <v>21854</v>
      </c>
      <c r="DH2" s="429" t="s">
        <v>21855</v>
      </c>
      <c r="DI2" s="429" t="s">
        <v>21856</v>
      </c>
      <c r="DJ2" s="429" t="s">
        <v>21857</v>
      </c>
      <c r="DK2" s="429" t="s">
        <v>21858</v>
      </c>
      <c r="DL2" s="429" t="s">
        <v>21859</v>
      </c>
      <c r="DM2" s="429" t="s">
        <v>21860</v>
      </c>
      <c r="DN2" s="429" t="s">
        <v>21861</v>
      </c>
      <c r="DO2" s="429" t="s">
        <v>21862</v>
      </c>
      <c r="DP2" s="429" t="s">
        <v>21863</v>
      </c>
      <c r="DQ2" s="429" t="s">
        <v>21864</v>
      </c>
      <c r="DR2" s="429" t="s">
        <v>21865</v>
      </c>
      <c r="DS2" s="429" t="s">
        <v>21866</v>
      </c>
      <c r="DT2" s="429" t="s">
        <v>21867</v>
      </c>
      <c r="DU2" s="429" t="s">
        <v>21868</v>
      </c>
      <c r="DV2" s="429" t="s">
        <v>21862</v>
      </c>
      <c r="DW2" s="429" t="s">
        <v>21869</v>
      </c>
      <c r="DX2" s="429" t="s">
        <v>21870</v>
      </c>
      <c r="DY2" s="429" t="s">
        <v>21871</v>
      </c>
      <c r="DZ2" s="429" t="s">
        <v>21872</v>
      </c>
      <c r="EA2" s="429" t="s">
        <v>21873</v>
      </c>
      <c r="EB2" s="429" t="s">
        <v>21874</v>
      </c>
      <c r="EC2" s="429" t="s">
        <v>21875</v>
      </c>
      <c r="ED2" s="429" t="s">
        <v>21876</v>
      </c>
      <c r="EE2" s="429" t="s">
        <v>21870</v>
      </c>
      <c r="EF2" s="429" t="s">
        <v>21877</v>
      </c>
      <c r="EG2" s="429" t="s">
        <v>21878</v>
      </c>
      <c r="EH2" s="429" t="s">
        <v>21879</v>
      </c>
      <c r="EI2" s="429" t="s">
        <v>21880</v>
      </c>
      <c r="EJ2" s="429" t="s">
        <v>21881</v>
      </c>
      <c r="EK2" s="429" t="s">
        <v>21882</v>
      </c>
      <c r="EL2" s="429" t="s">
        <v>21883</v>
      </c>
      <c r="EM2" s="429" t="s">
        <v>21884</v>
      </c>
      <c r="EN2" s="429" t="s">
        <v>21878</v>
      </c>
      <c r="EO2" s="429" t="s">
        <v>21885</v>
      </c>
      <c r="EP2" s="429" t="s">
        <v>21886</v>
      </c>
      <c r="EQ2" s="429" t="s">
        <v>21887</v>
      </c>
      <c r="ER2" s="429" t="s">
        <v>21888</v>
      </c>
      <c r="ES2" s="429" t="s">
        <v>21889</v>
      </c>
      <c r="ET2" s="429" t="s">
        <v>21890</v>
      </c>
      <c r="EU2" s="429" t="s">
        <v>21891</v>
      </c>
      <c r="EV2" s="429" t="s">
        <v>21892</v>
      </c>
      <c r="EW2" s="429" t="s">
        <v>21886</v>
      </c>
      <c r="EX2" s="429" t="s">
        <v>21893</v>
      </c>
      <c r="EY2" s="429" t="s">
        <v>21894</v>
      </c>
      <c r="EZ2" s="429" t="s">
        <v>21895</v>
      </c>
      <c r="FA2" s="429" t="s">
        <v>21896</v>
      </c>
      <c r="FB2" s="429" t="s">
        <v>21897</v>
      </c>
      <c r="FC2" s="429" t="s">
        <v>21898</v>
      </c>
      <c r="FD2" s="429" t="s">
        <v>21899</v>
      </c>
      <c r="FE2" s="429" t="s">
        <v>21900</v>
      </c>
      <c r="FF2" s="429" t="s">
        <v>21894</v>
      </c>
      <c r="FG2" s="429" t="s">
        <v>21901</v>
      </c>
      <c r="FH2" s="429" t="s">
        <v>21902</v>
      </c>
      <c r="FI2" s="429" t="s">
        <v>21903</v>
      </c>
      <c r="FJ2" s="429" t="s">
        <v>21904</v>
      </c>
      <c r="FK2" s="429" t="s">
        <v>21905</v>
      </c>
      <c r="FL2" s="429" t="s">
        <v>21906</v>
      </c>
      <c r="FM2" s="429" t="s">
        <v>21907</v>
      </c>
      <c r="FN2" s="429" t="s">
        <v>21908</v>
      </c>
      <c r="FO2" s="429" t="s">
        <v>21902</v>
      </c>
      <c r="FP2" s="429" t="s">
        <v>21909</v>
      </c>
      <c r="FQ2" s="429" t="s">
        <v>21910</v>
      </c>
      <c r="FR2" s="429" t="s">
        <v>21911</v>
      </c>
      <c r="FS2" s="429" t="s">
        <v>21912</v>
      </c>
      <c r="FT2" s="429" t="s">
        <v>21913</v>
      </c>
      <c r="FU2" s="429" t="s">
        <v>21914</v>
      </c>
      <c r="FV2" s="429" t="s">
        <v>21915</v>
      </c>
      <c r="FW2" s="429" t="s">
        <v>21916</v>
      </c>
      <c r="FX2" s="429" t="s">
        <v>21917</v>
      </c>
      <c r="FY2" s="429" t="s">
        <v>21918</v>
      </c>
      <c r="FZ2" s="429" t="s">
        <v>21919</v>
      </c>
      <c r="GA2" s="429" t="s">
        <v>21920</v>
      </c>
      <c r="GB2" s="429" t="s">
        <v>21921</v>
      </c>
      <c r="GC2" s="429" t="s">
        <v>21922</v>
      </c>
      <c r="GD2" s="429" t="s">
        <v>21923</v>
      </c>
      <c r="GE2" s="429" t="s">
        <v>21917</v>
      </c>
      <c r="GF2" s="429" t="s">
        <v>21924</v>
      </c>
      <c r="GG2" s="429" t="s">
        <v>21925</v>
      </c>
      <c r="GH2" s="429" t="s">
        <v>21926</v>
      </c>
      <c r="GI2" s="429" t="s">
        <v>21927</v>
      </c>
      <c r="GJ2" s="429" t="s">
        <v>21928</v>
      </c>
      <c r="GK2" s="429" t="s">
        <v>21929</v>
      </c>
      <c r="GL2" s="429" t="s">
        <v>21930</v>
      </c>
      <c r="GM2" s="429" t="s">
        <v>21924</v>
      </c>
      <c r="GN2" s="429" t="s">
        <v>21931</v>
      </c>
      <c r="GO2" s="429" t="s">
        <v>21932</v>
      </c>
      <c r="GP2" s="429" t="s">
        <v>21933</v>
      </c>
      <c r="GQ2" s="429" t="s">
        <v>21934</v>
      </c>
      <c r="GR2" s="429" t="s">
        <v>21935</v>
      </c>
      <c r="GS2" s="429" t="s">
        <v>21936</v>
      </c>
      <c r="GT2" s="429" t="s">
        <v>21937</v>
      </c>
      <c r="GU2" s="429" t="s">
        <v>21931</v>
      </c>
      <c r="GV2" s="429" t="s">
        <v>21938</v>
      </c>
      <c r="GW2" s="429" t="s">
        <v>21939</v>
      </c>
      <c r="GX2" s="429" t="s">
        <v>21940</v>
      </c>
      <c r="GY2" s="429" t="s">
        <v>21941</v>
      </c>
      <c r="GZ2" s="429" t="s">
        <v>21942</v>
      </c>
      <c r="HA2" s="429" t="s">
        <v>21943</v>
      </c>
      <c r="HB2" s="429" t="s">
        <v>21944</v>
      </c>
      <c r="HC2" s="429" t="s">
        <v>21938</v>
      </c>
      <c r="HD2" s="429" t="s">
        <v>21945</v>
      </c>
      <c r="HE2" s="429" t="s">
        <v>21946</v>
      </c>
      <c r="HF2" s="429" t="s">
        <v>21947</v>
      </c>
      <c r="HG2" s="429" t="s">
        <v>21948</v>
      </c>
      <c r="HH2" s="429" t="s">
        <v>21949</v>
      </c>
      <c r="HI2" s="429" t="s">
        <v>21950</v>
      </c>
      <c r="HJ2" s="429" t="s">
        <v>21951</v>
      </c>
      <c r="HK2" s="429" t="s">
        <v>21945</v>
      </c>
      <c r="HL2" s="429" t="s">
        <v>21952</v>
      </c>
      <c r="HM2" s="429" t="s">
        <v>21953</v>
      </c>
      <c r="HN2" s="429" t="s">
        <v>21954</v>
      </c>
      <c r="HO2" s="429" t="s">
        <v>21955</v>
      </c>
      <c r="HP2" s="429" t="s">
        <v>21956</v>
      </c>
      <c r="HQ2" s="429" t="s">
        <v>21957</v>
      </c>
      <c r="HR2" s="429" t="s">
        <v>21958</v>
      </c>
      <c r="HS2" s="429" t="s">
        <v>21952</v>
      </c>
      <c r="HT2" s="429" t="s">
        <v>21959</v>
      </c>
      <c r="HU2" s="429" t="s">
        <v>21960</v>
      </c>
      <c r="HV2" s="429" t="s">
        <v>21961</v>
      </c>
      <c r="HW2" s="429" t="s">
        <v>21962</v>
      </c>
      <c r="HX2" s="429" t="s">
        <v>21963</v>
      </c>
      <c r="HY2" s="429" t="s">
        <v>21964</v>
      </c>
      <c r="HZ2" s="429" t="s">
        <v>21965</v>
      </c>
      <c r="IA2" s="429" t="s">
        <v>21966</v>
      </c>
      <c r="IB2" s="429" t="s">
        <v>21967</v>
      </c>
      <c r="IC2" s="430" t="s">
        <v>21968</v>
      </c>
      <c r="ID2" s="430" t="s">
        <v>21969</v>
      </c>
      <c r="IE2" s="430" t="s">
        <v>21970</v>
      </c>
      <c r="IF2" s="430" t="s">
        <v>21971</v>
      </c>
      <c r="IG2" s="430" t="s">
        <v>21972</v>
      </c>
      <c r="IH2" s="430" t="s">
        <v>21973</v>
      </c>
      <c r="II2" s="429">
        <v>4</v>
      </c>
    </row>
    <row r="3" ht="242.25">
      <c r="A3" s="207">
        <f>Input!A3</f>
        <v>1</v>
      </c>
      <c r="B3" s="343" t="str">
        <f> Profile!$A$3</f>
        <v>VINAPHONE</v>
      </c>
      <c r="C3" s="343" t="str">
        <f> Profile!$L$3</f>
        <v>VINAPHONE</v>
      </c>
      <c r="D3" s="207" t="str">
        <f>Input!B3</f>
        <v>MY-DINH2-CT5-3-NTM_HNI</v>
      </c>
      <c r="E3" s="317" t="str">
        <f>Input!C3</f>
        <v>Tòa nhà CT5, Đơn Nguyên 3, khu đô thị Mỹ Đình 2, phường Mỹ Đình 2, quận Nam Từ Liêm, thành phố Hà Nội</v>
      </c>
      <c r="F3" s="207" t="str">
        <f>Input!D3</f>
        <v>Hà Nội</v>
      </c>
      <c r="G3" s="207">
        <f>Input!E3</f>
        <v>105.76466</v>
      </c>
      <c r="H3" s="207">
        <f>Input!F3</f>
        <v>21.029509</v>
      </c>
      <c r="I3" s="207">
        <f>Input!G3</f>
        <v>1</v>
      </c>
      <c r="J3" s="207">
        <f>Input!H3</f>
        <v>3</v>
      </c>
      <c r="K3" s="207" t="str">
        <f>ConcateMultiple(AT3:AY3,";",J3)</f>
        <v>TỔNG CÔNG TY HẠ TẦNG MẠNG;TỔNG CÔNG TY HẠ TẦNG MẠNG;TỔNG CÔNG TY HẠ TẦNG MẠNG</v>
      </c>
      <c r="L3" s="207" t="str">
        <f>Input!J3</f>
        <v>MY-DINH2-CT5-3-NTM_HNI;MY-DINH2-CT5-3-NTM_HNI;MY-DINH2-CT5-3-NTM_HNI</v>
      </c>
      <c r="M3" s="207" t="str">
        <f>Input!K3</f>
        <v>NOKIA FLEXI MULTIRADIO BTS RADIO MODULE AND REMOTE RADIO;NOKIA FLEXI MULTIRADIO BTS RADIO MODULE AND REMOTE RADIO (FRGY);NOKIA FLEXI MULTIRADIO BTS RADIO MODULE AND REMOTE RADIO (FHEL)</v>
      </c>
      <c r="N3" s="207" t="str">
        <f>Input!L3</f>
        <v>3;3;3</v>
      </c>
      <c r="O3" s="207" t="str">
        <f>Input!M3</f>
        <v>2/2/2;2/2/2;1/1/1</v>
      </c>
      <c r="P3" s="207" t="str">
        <f>Input!N3</f>
        <v>80/80/80;60/60/60;60/60/60</v>
      </c>
      <c r="Q3" s="207" t="str">
        <f>Input!O3</f>
        <v>900;2100;1800</v>
      </c>
      <c r="R3" s="207" t="str">
        <f>Input!P3</f>
        <v>52,5/52,5/52,5;52,5/52,5/52,5;52,5/52,5/52,5</v>
      </c>
      <c r="S3" s="364" t="b">
        <f>Input!Q3</f>
        <v>1</v>
      </c>
      <c r="T3" s="207" t="str">
        <f>Input!R3</f>
        <v>A03983181019TG05</v>
      </c>
      <c r="U3" s="207">
        <f>Input!S3</f>
        <v>0</v>
      </c>
      <c r="V3" s="207" t="str">
        <f>Input!T3</f>
        <v>VCC1</v>
      </c>
      <c r="W3" s="207" t="str">
        <f>Input!U3</f>
        <v>1903233/19/TG/TT1</v>
      </c>
      <c r="X3" s="209" t="str">
        <f>TEXT(Input!V3,"dd/mm/yyyy")</f>
        <v>18/10/2019</v>
      </c>
      <c r="Y3" s="207" t="b">
        <f>Input!W3</f>
        <v>0</v>
      </c>
      <c r="Z3" s="364" t="b">
        <f>Input!X3</f>
        <v>0</v>
      </c>
      <c r="AA3" s="207">
        <f>IA3</f>
        <v>52.5</v>
      </c>
      <c r="AB3" s="364" t="b">
        <f>Input!Y3</f>
        <v>1</v>
      </c>
      <c r="AC3" s="207">
        <f>VALUE(Input!Z3)</f>
        <v>50</v>
      </c>
      <c r="AD3" s="207" t="b">
        <f>Input!AA3</f>
        <v>0</v>
      </c>
      <c r="AE3" s="207" t="str">
        <f>Input!AB3</f>
        <v>Vũ Văn Giáp</v>
      </c>
      <c r="AF3" s="207" t="str">
        <f>Input!AC3</f>
        <v>Lê Tiến Cường</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Tổng Công ty Hạ tầng mạng</v>
      </c>
      <c r="AN3" s="208" t="str">
        <f>INDEX(OperatorNameList,MATCH(C3,OperatorIDList,0))</f>
        <v>TỔNG CÔNG TY HẠ TẦNG MẠNG</v>
      </c>
      <c r="AO3" s="207">
        <f>LEN(E3)-LEN(SUBSTITUTE(E3,",",""))</f>
        <v>5</v>
      </c>
      <c r="AP3" s="287" t="str">
        <f>TRIM(IF(AO3&gt;=2,MID(E3,FIND("~",SUBSTITUTE(E3,",","~", AO3))+1,IFERROR(FIND("~",SUBSTITUTE(E3,",","~", AO3+1))-1,LEN(E3))- FIND("~",SUBSTITUTE(E3,",","~", AO3))),""))</f>
        <v>thành phố Hà Nội</v>
      </c>
      <c r="AQ3" s="448" t="str">
        <f>TRIM(IF(AO3&gt;=2,MID(E3,FIND("~",SUBSTITUTE(E3,",","~", AO3-1))+1,IFERROR(FIND("~",SUBSTITUTE(E3,",","~", AO3-0))-1,LEN(E3))- FIND("~",SUBSTITUTE(E3,",","~", AO3-1))),""))</f>
        <v>quận Nam Từ Liêm</v>
      </c>
      <c r="AR3" s="448" t="str">
        <f>TRIM(IF(AO3&gt;=3,MID(E3,FIND("~",SUBSTITUTE(E3,",","~", AO3-2))+1,IFERROR(FIND("~",SUBSTITUTE(E3,",","~", AO3-1))-1,LEN(E3))- FIND("~",SUBSTITUTE(E3,",","~", AO3-2))),""))</f>
        <v>phường Mỹ Đình 2</v>
      </c>
      <c r="AS3" s="449" t="str">
        <f>INDEX(CityIDList,MATCH(F3,CityNameList,0))</f>
        <v>HNI</v>
      </c>
      <c r="AT3" s="208" t="str">
        <f>IF(J3&gt;=1,INDEX(OperatorNameList,MATCH(AZ3,OperatorIDList,0)),"")</f>
        <v>TỔNG CÔNG TY HẠ TẦNG MẠNG</v>
      </c>
      <c r="AU3" s="208" t="str">
        <f>IF(J3&gt;=2,INDEX(OperatorNameList,MATCH(BA3,OperatorIDList,0)),"")</f>
        <v>TỔNG CÔNG TY HẠ TẦNG MẠNG</v>
      </c>
      <c r="AV3" s="208" t="str">
        <f>IF(J3&gt;=3,INDEX(OperatorNameList,MATCH(BB3,OperatorIDList,0)),"")</f>
        <v>TỔNG CÔNG TY HẠ TẦNG MẠNG</v>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VINAPHONE</v>
      </c>
      <c r="BA3" s="208" t="str">
        <f>TRIM(IF(J3&gt;=2,MID(BF3,FIND("~",SUBSTITUTE(BF3,";","~",1))+1,IFERROR(FIND("~",SUBSTITUTE(BF3,";","~",2))-1,LEN(BF3))- FIND("~",SUBSTITUTE(BF3,";","~",1))),""))</f>
        <v>VINAPHONE</v>
      </c>
      <c r="BB3" s="208" t="str">
        <f>TRIM(IF(J3&gt;=3,MID(BF3,FIND("~",SUBSTITUTE(BF3,";","~",2))+1,IFERROR(FIND("~",SUBSTITUTE(BF3,";","~",3))-1,LEN(BF3))- FIND("~",SUBSTITUTE(BF3,";","~",2))),""))</f>
        <v>VINAPHONE</v>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VINAPHONE;VINAPHONE;VINAPHONE</v>
      </c>
      <c r="BG3" s="208" t="str">
        <f>IF(J3&gt;=1,MID(L3,1,IFERROR(FIND("~",SUBSTITUTE(L3,";","~",1))-1,LEN(L3))),"")</f>
        <v>MY-DINH2-CT5-3-NTM_HNI</v>
      </c>
      <c r="BH3" s="208" t="str">
        <f>IF(J3&gt;=2,MID(L3,FIND("~",SUBSTITUTE(L3,";","~",1))+1,IFERROR(FIND("~",SUBSTITUTE(L3,";","~",2))-1,LEN(L3))- FIND("~",SUBSTITUTE(L3,";","~",1))),"")</f>
        <v>MY-DINH2-CT5-3-NTM_HNI</v>
      </c>
      <c r="BI3" s="208" t="str">
        <f>IF(J3&gt;=3,MID(L3,FIND("~",SUBSTITUTE(L3,";","~",2))+1,IFERROR(FIND("~",SUBSTITUTE(L3,";","~",3))-1,LEN(L3))- FIND("~",SUBSTITUTE(L3,";","~",2))),"")</f>
        <v>MY-DINH2-CT5-3-NTM_HNI</v>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NOKIA FLEXI MULTIRADIO BTS RADIO MODULE AND REMOTE RADIO</v>
      </c>
      <c r="BN3" s="208" t="str">
        <f>IF(J3&gt;=2,MID(M3,FIND("~",SUBSTITUTE(M3,";","~",1))+1,IFERROR(FIND("~",SUBSTITUTE(M3,";","~",2))-1,LEN(M3))- FIND("~",SUBSTITUTE(M3,";","~",1))),"")</f>
        <v>NOKIA FLEXI MULTIRADIO BTS RADIO MODULE AND REMOTE RADIO (FRGY)</v>
      </c>
      <c r="BO3" s="208" t="str">
        <f>IF(J3&gt;=3,MID(M3,FIND("~",SUBSTITUTE(M3,";","~",2))+1,IFERROR(FIND("~",SUBSTITUTE(M3,";","~",3))-1,LEN(M3))- FIND("~",SUBSTITUTE(M3,";","~",2))),"")</f>
        <v>NOKIA FLEXI MULTIRADIO BTS RADIO MODULE AND REMOTE RADIO (FHEL)</v>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3</v>
      </c>
      <c r="BU3" s="208">
        <f>IF(J3&gt;=3,MID(N3,FIND("~",SUBSTITUTE(N3,";","~",2))+1,IFERROR(FIND("~",SUBSTITUTE(N3,";","~",3))-1,LEN(N3))- FIND("~",SUBSTITUTE(N3,";","~",2))),"0")*1</f>
        <v>3</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2/2/2</v>
      </c>
      <c r="BZ3" s="208">
        <f>IF(BS3&gt;=1,MID(BY3,1,IFERROR(FIND("~",SUBSTITUTE(BY3,"/","~",1))-1,LEN(BY3))),"0")*1</f>
        <v>2</v>
      </c>
      <c r="CA3" s="208">
        <f>IF(BS3&gt;=2,MID(BY3,FIND("~",SUBSTITUTE(BY3,"/","~",1))+1,IFERROR(FIND("~",SUBSTITUTE(BY3,"/","~",2))-1,LEN(BY3))- FIND("~",SUBSTITUTE(BY3,"/","~",1))),"0")*1</f>
        <v>2</v>
      </c>
      <c r="CB3" s="208">
        <f>IF(BS3&gt;=3,MID(BY3,FIND("~",SUBSTITUTE(BY3,"/","~",2))+1,IFERROR(FIND("~",SUBSTITUTE(BY3,"/","~",3))-1,LEN(BY3))- FIND("~",SUBSTITUTE(BY3,"/","~",2))),"0")*1</f>
        <v>2</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v>2/2/2</v>
      </c>
      <c r="CG3" s="208">
        <f>IF(BT3&gt;=1,MID(CF3,1,IFERROR(FIND("~",SUBSTITUTE(CF3,"/","~",1))-1,LEN(CF3))),"0")*1</f>
        <v>2</v>
      </c>
      <c r="CH3" s="208">
        <f>IF(BT3&gt;=2,MID(CF3,FIND("~",SUBSTITUTE(CF3,"/","~",1))+1,IFERROR(FIND("~",SUBSTITUTE(CF3,"/","~",2))-1,LEN(CF3))- FIND("~",SUBSTITUTE(CF3,"/","~",1))),"0")*1</f>
        <v>2</v>
      </c>
      <c r="CI3" s="208">
        <f>IF(BT3&gt;=3,MID(CF3,FIND("~",SUBSTITUTE(CF3,"/","~",2))+1,IFERROR(FIND("~",SUBSTITUTE(CF3,"/","~",3))-1,LEN(CF3))- FIND("~",SUBSTITUTE(CF3,"/","~",2))),"0")*1</f>
        <v>2</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v>1/1/1</v>
      </c>
      <c r="CN3" s="208">
        <f>IF(BU3&gt;=1,MID(CM3,1,IFERROR(FIND("~",SUBSTITUTE(CM3,"/","~",1))-1,LEN(CM3))),"0")*1</f>
        <v>1</v>
      </c>
      <c r="CO3" s="208">
        <f>IF(BU3&gt;=2,MID(CM3,FIND("~",SUBSTITUTE(CM3,"/","~",1))+1,IFERROR(FIND("~",SUBSTITUTE(CM3,"/","~",2))-1,LEN(CM3))- FIND("~",SUBSTITUTE(CM3,"/","~",1))),"0")*1</f>
        <v>1</v>
      </c>
      <c r="CP3" s="208">
        <f>IF(BU3&gt;=3,MID(CM3,FIND("~",SUBSTITUTE(CM3,"/","~",2))+1,IFERROR(FIND("~",SUBSTITUTE(CM3,"/","~",3))-1,LEN(CM3))- FIND("~",SUBSTITUTE(CM3,"/","~",2))),"0")*1</f>
        <v>1</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v>60/60/60</v>
      </c>
      <c r="DY3" s="208">
        <f>SUBSTITUTE(IF(BT3&gt;=1,MID(DX3,1,IFERROR(FIND("~",SUBSTITUTE(DX3,"/","~",1))-1,LEN(DX3))),"0"),"W","")*1</f>
        <v>60</v>
      </c>
      <c r="DZ3" s="208">
        <f>SUBSTITUTE(IF(BT3&gt;=2,MID(DX3,FIND("~",SUBSTITUTE(DX3,"/","~",1))+1,IFERROR(FIND("~",SUBSTITUTE(DX3,"/","~",2))-1,LEN(DX3))- FIND("~",SUBSTITUTE(DX3,"/","~",1))),"0"),"W","")*1</f>
        <v>60</v>
      </c>
      <c r="EA3" s="208">
        <f>SUBSTITUTE(IF(BT3&gt;=3,MID(DX3,FIND("~",SUBSTITUTE(DX3,"/","~",2))+1,IFERROR(FIND("~",SUBSTITUTE(DX3,"/","~",3))-1,LEN(DX3))- FIND("~",SUBSTITUTE(DX3,"/","~",2))),"0"),"W","")*1</f>
        <v>60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v>60W/ 60W/ 60W</v>
      </c>
      <c r="EF3" s="208">
        <f>MAX(DY3:EB3)</f>
        <v>60</v>
      </c>
      <c r="EG3" s="208" t="str">
        <f>IF(J3&gt;=3,MID(P3,FIND("~",SUBSTITUTE(P3,";","~",2))+1,IFERROR(FIND("~",SUBSTITUTE(P3,";","~",3))-1,LEN(P3))- FIND("~",SUBSTITUTE(P3,";","~",2))),"")</f>
        <v>60/60/60</v>
      </c>
      <c r="EH3" s="208">
        <f>SUBSTITUTE(IF(BU3&gt;=1,MID(EG3,1,IFERROR(FIND("~",SUBSTITUTE(EG3,"/","~",1))-1,LEN(EG3))),"0"),"W","")*1</f>
        <v>60</v>
      </c>
      <c r="EI3" s="208">
        <f>SUBSTITUTE(IF(BU3&gt;=2,MID(EG3,FIND("~",SUBSTITUTE(EG3,"/","~",1))+1,IFERROR(FIND("~",SUBSTITUTE(EG3,"/","~",2))-1,LEN(EG3))- FIND("~",SUBSTITUTE(EG3,"/","~",1))),"0"),"W","")*1</f>
        <v>60</v>
      </c>
      <c r="EJ3" s="208">
        <f>SUBSTITUTE(IF(BU3&gt;=3,MID(EG3,FIND("~",SUBSTITUTE(EG3,"/","~",2))+1,IFERROR(FIND("~",SUBSTITUTE(EG3,"/","~",3))-1,LEN(EG3))- FIND("~",SUBSTITUTE(EG3,"/","~",2))),"0"),"W","")*1</f>
        <v>60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v>60W/ 60W/ 60W</v>
      </c>
      <c r="EO3" s="208">
        <f>MAX(EH3:EK3)</f>
        <v>60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900</v>
      </c>
      <c r="FS3" s="208" t="str">
        <f>TRIM(IF(J3&gt;=2,MID(Q3,FIND("~",SUBSTITUTE(Q3,";","~",1))+1,IFERROR(FIND("~",SUBSTITUTE(Q3,";","~",2))-1,LEN(Q3))- FIND("~",SUBSTITUTE(Q3,";","~",1))),""))</f>
        <v>2100</v>
      </c>
      <c r="FT3" s="208" t="str">
        <f>TRIM(IF(J3&gt;=3,MID(Q3,FIND("~",SUBSTITUTE(Q3,";","~",2))+1,IFERROR(FIND("~",SUBSTITUTE(Q3,";","~",3))-1,LEN(Q3))- FIND("~",SUBSTITUTE(Q3,";","~",2))),""))</f>
        <v>1800</v>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52,5/52,5/52,5</v>
      </c>
      <c r="FY3" s="208">
        <f>SUBSTITUTE(IF(BS3&gt;=1,MID(FX3,1,IFERROR(FIND("~",SUBSTITUTE(FX3,"/","~",1))-1,LEN(FX3))),"0"),"m","")*1</f>
        <v>52.5</v>
      </c>
      <c r="FZ3" s="208">
        <f>SUBSTITUTE(TRIM(IF(BS3&gt;=2,MID(FX3,FIND("~",SUBSTITUTE(FX3,"/","~",1))+1,IFERROR(FIND("~",SUBSTITUTE(FX3,"/","~",2))-1,LEN(FX3))- FIND("~",SUBSTITUTE(FX3,"/","~",1))),"0")),"m","")*1</f>
        <v>52.5</v>
      </c>
      <c r="GA3" s="208">
        <f>SUBSTITUTE(TRIM(IF(BS3&gt;=3,MID(FX3,FIND("~",SUBSTITUTE(FX3,"/","~",2))+1,IFERROR(FIND("~",SUBSTITUTE(FX3,"/","~",3))-1,LEN(FX3))- FIND("~",SUBSTITUTE(FX3,"/","~",2))),"0")),"m","")*1</f>
        <v>52.5</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52,5m/ 52,5m/ 52,5m</v>
      </c>
      <c r="GF3" s="208" t="str">
        <f>TRIM(IF(J3&gt;=2,MID(R3,FIND("~",SUBSTITUTE(R3,";","~",1))+1,IFERROR(FIND("~",SUBSTITUTE(R3,";","~",2))-1,LEN(R3))- FIND("~",SUBSTITUTE(R3,";","~",1))),""))</f>
        <v>52,5/52,5/52,5</v>
      </c>
      <c r="GG3" s="208">
        <f>SUBSTITUTE(IF(BT3&gt;=1,MID(GF3,1,IFERROR(FIND("~",SUBSTITUTE(GF3,"/","~",1))-1,LEN(GF3))),"0"),"m","")*1</f>
        <v>52.5</v>
      </c>
      <c r="GH3" s="208">
        <f>SUBSTITUTE(TRIM(IF(BT3&gt;=2,MID(GF3,FIND("~",SUBSTITUTE(GF3,"/","~",1))+1,IFERROR(FIND("~",SUBSTITUTE(GF3,"/","~",2))-1,LEN(GF3))- FIND("~",SUBSTITUTE(GF3,"/","~",1))),"0")),"m","")*1</f>
        <v>52.5</v>
      </c>
      <c r="GI3" s="208">
        <f>SUBSTITUTE(TRIM(IF(BT3&gt;=3,MID(GF3,FIND("~",SUBSTITUTE(GF3,"/","~",2))+1,IFERROR(FIND("~",SUBSTITUTE(GF3,"/","~",3))-1,LEN(GF3))- FIND("~",SUBSTITUTE(GF3,"/","~",2))),"0")),"m","")*1</f>
        <v>52.5</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v>52,5m/ 52,5m/ 52,5m</v>
      </c>
      <c r="GN3" s="208" t="str">
        <f>TRIM(IF(J3&gt;=3,MID(R3,FIND("~",SUBSTITUTE(R3,";","~",2))+1,IFERROR(FIND("~",SUBSTITUTE(R3,";","~",3))-1,LEN(R3))- FIND("~",SUBSTITUTE(R3,";","~",2))),""))</f>
        <v>52,5/52,5/52,5</v>
      </c>
      <c r="GO3" s="208">
        <f>SUBSTITUTE(IF(BU3&gt;=1,MID(GN3,1,IFERROR(FIND("~",SUBSTITUTE(GN3,"/","~",1))-1,LEN(GN3))),"0"),"m","")*1</f>
        <v>52.5</v>
      </c>
      <c r="GP3" s="208">
        <f>SUBSTITUTE(TRIM(IF(BU3&gt;=2,MID(GN3,FIND("~",SUBSTITUTE(GN3,"/","~",1))+1,IFERROR(FIND("~",SUBSTITUTE(GN3,"/","~",2))-1,LEN(GN3))- FIND("~",SUBSTITUTE(GN3,"/","~",1))),"0")),"m","")*1</f>
        <v>52.5</v>
      </c>
      <c r="GQ3" s="208">
        <f>SUBSTITUTE(TRIM(IF(BU3&gt;=3,MID(GN3,FIND("~",SUBSTITUTE(GN3,"/","~",2))+1,IFERROR(FIND("~",SUBSTITUTE(GN3,"/","~",3))-1,LEN(GN3))- FIND("~",SUBSTITUTE(GN3,"/","~",2))),"0")),"m","")*1</f>
        <v>52.5</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v>52,5m/ 52,5m/ 52,5m</v>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52.5</v>
      </c>
      <c r="HV3" s="208">
        <f>MinMultiple(GG3:GJ3,BT3)</f>
        <v>52.5</v>
      </c>
      <c r="HW3" s="208">
        <f>MinMultiple(GO3:GR3,BU3)</f>
        <v>52.5</v>
      </c>
      <c r="HX3" s="208">
        <f>MinMultiple(GW3:GZ3,BV3)</f>
        <v>0</v>
      </c>
      <c r="HY3" s="208">
        <f>MinMultiple(HE3:HH3,BW3)</f>
        <v>0</v>
      </c>
      <c r="HZ3" s="208">
        <f>MinMultiple(HM3:HP3,BX3)</f>
        <v>0</v>
      </c>
      <c r="IA3" s="207">
        <f>MinMultiple(HU3:HZ3,J3)</f>
        <v>52.5</v>
      </c>
      <c r="IB3" s="207">
        <f>IA3-AC3</f>
        <v>2.5</v>
      </c>
      <c r="IC3" s="343" t="str">
        <f>IF(S3=TRUE,MID(T3,1,1),"")</f>
        <v>A</v>
      </c>
      <c r="ID3" s="343" t="str">
        <f>MID(T3,2,5)</f>
        <v>03983</v>
      </c>
      <c r="IE3" s="343" t="str">
        <f>MID(T3,7,6)</f>
        <v>181019</v>
      </c>
      <c r="IF3" s="343" t="str">
        <f>MID(T3,13,4)</f>
        <v>TG05</v>
      </c>
      <c r="IG3" s="383">
        <f>IF(S3=TRUE,DATE(2000+MID(IE3,5,2),MID(IE3,3,2),MID(IE3,1,2)),"")</f>
        <v>43756</v>
      </c>
      <c r="IH3" s="383">
        <f>IF(S3=TRUE,DATE(YEAR(IG3) + 5,MONTH(IG3),DAY(IG3)),"")</f>
        <v>45583</v>
      </c>
      <c r="II3" s="208">
        <v>37</v>
      </c>
    </row>
    <row r="4" ht="165.75">
      <c r="A4" s="207">
        <f>Input!A4</f>
        <v>2</v>
      </c>
      <c r="B4" s="343" t="str">
        <f> Profile!$A$3</f>
        <v>VINAPHONE</v>
      </c>
      <c r="C4" s="343" t="str">
        <f> Profile!$L$3</f>
        <v>VINAPHONE</v>
      </c>
      <c r="D4" s="207" t="str">
        <f>Input!B4</f>
        <v>CHUNG-CU-C7-NTM_HNI</v>
      </c>
      <c r="E4" s="317" t="str">
        <f>Input!C4</f>
        <v>Tòa nhà C7, ngõ 6, phố Trần Hữu Dực, phường Cầu Diễn, quận Nam Từ Liêm, thành phố Hà Nội</v>
      </c>
      <c r="F4" s="207" t="str">
        <f>Input!D4</f>
        <v>Hà Nội</v>
      </c>
      <c r="G4" s="207">
        <f>Input!E4</f>
        <v>105.762325</v>
      </c>
      <c r="H4" s="207">
        <f>Input!F4</f>
        <v>21.03086</v>
      </c>
      <c r="I4" s="207">
        <f>Input!G4</f>
        <v>1</v>
      </c>
      <c r="J4" s="207">
        <f>Input!H4</f>
        <v>2</v>
      </c>
      <c r="K4" s="207" t="str">
        <f ref="K4:K39" t="shared" si="0">ConcateMultiple(AT4:AY4,";",J4)</f>
        <v>TỔNG CÔNG TY HẠ TẦNG MẠNG;TỔNG CÔNG TY HẠ TẦNG MẠNG</v>
      </c>
      <c r="L4" s="207" t="str">
        <f>Input!J4</f>
        <v>CHUNG-CU-C7-NTM_HNI;CHUNG-CU-C7-NTM_HNI</v>
      </c>
      <c r="M4" s="207" t="str">
        <f>Input!K4</f>
        <v>NOKIA FLEXI MULTIRADIO BTS RADIO MODULE AND REMOTE RADIO (FRGY);NOKIA FLEXI MULTIRADIO BTS RADIO MODULE AND REMOTE RADIO (FHEL)</v>
      </c>
      <c r="N4" s="207" t="str">
        <f>Input!L4</f>
        <v>3;3</v>
      </c>
      <c r="O4" s="207" t="str">
        <f>Input!M4</f>
        <v>2/2/2;1/1/1</v>
      </c>
      <c r="P4" s="207" t="str">
        <f>Input!N4</f>
        <v>60/60/60;60/60/60</v>
      </c>
      <c r="Q4" s="207" t="str">
        <f>Input!O4</f>
        <v>2100;1800</v>
      </c>
      <c r="R4" s="207" t="str">
        <f>Input!P4</f>
        <v>42,5/42,5/42,5;42,5/42,5/42,5</v>
      </c>
      <c r="S4" s="364" t="b">
        <f>Input!Q4</f>
        <v>1</v>
      </c>
      <c r="T4" s="207" t="str">
        <f>Input!R4</f>
        <v>A03984181019TG05</v>
      </c>
      <c r="U4" s="207">
        <f>Input!S4</f>
        <v>0</v>
      </c>
      <c r="V4" s="207" t="str">
        <f>Input!T4</f>
        <v>VCC1</v>
      </c>
      <c r="W4" s="207" t="str">
        <f>Input!U4</f>
        <v>1903231/19/TG/TT1</v>
      </c>
      <c r="X4" s="209" t="str">
        <f>TEXT(Input!V4,"dd/mm/yyyy")</f>
        <v>18/10/2019</v>
      </c>
      <c r="Y4" s="207" t="b">
        <f>Input!W4</f>
        <v>0</v>
      </c>
      <c r="Z4" s="364" t="b">
        <f>Input!X4</f>
        <v>0</v>
      </c>
      <c r="AA4" s="207">
        <f ref="AA4:AA39" t="shared" si="1">IA4</f>
        <v>42.5</v>
      </c>
      <c r="AB4" s="364" t="b">
        <f>Input!Y4</f>
        <v>1</v>
      </c>
      <c r="AC4" s="207">
        <f>VALUE(Input!Z4)</f>
        <v>36</v>
      </c>
      <c r="AD4" s="207" t="b">
        <f>Input!AA4</f>
        <v>0</v>
      </c>
      <c r="AE4" s="207" t="str">
        <f>Input!AB4</f>
        <v>Vũ Văn Giáp</v>
      </c>
      <c r="AF4" s="207" t="str">
        <f>Input!AC4</f>
        <v>Lê Tiến Cường</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Tổng Công ty Hạ tầng mạng</v>
      </c>
      <c r="AN4" s="208" t="str">
        <f>INDEX(OperatorNameList,MATCH(C4,OperatorIDList,0))</f>
        <v>TỔNG CÔNG TY HẠ TẦNG MẠNG</v>
      </c>
      <c r="AO4" s="207">
        <f ref="AO4:AO39" t="shared" si="2">LEN(E4)-LEN(SUBSTITUTE(E4,",",""))</f>
        <v>5</v>
      </c>
      <c r="AP4" s="287" t="str">
        <f ref="AP4:AP39" t="shared" si="3">TRIM(IF(AO4&gt;=2,MID(E4,FIND("~",SUBSTITUTE(E4,",","~", AO4))+1,IFERROR(FIND("~",SUBSTITUTE(E4,",","~", AO4+1))-1,LEN(E4))- FIND("~",SUBSTITUTE(E4,",","~", AO4))),""))</f>
        <v>thành phố Hà Nội</v>
      </c>
      <c r="AQ4" s="448" t="str">
        <f ref="AQ4:AQ39" t="shared" si="4">TRIM(IF(AO4&gt;=2,MID(E4,FIND("~",SUBSTITUTE(E4,",","~", AO4-1))+1,IFERROR(FIND("~",SUBSTITUTE(E4,",","~", AO4-0))-1,LEN(E4))- FIND("~",SUBSTITUTE(E4,",","~", AO4-1))),""))</f>
        <v>quận Nam Từ Liêm</v>
      </c>
      <c r="AR4" s="448" t="str">
        <f ref="AR4:AR39" t="shared" si="5">TRIM(IF(AO4&gt;=3,MID(E4,FIND("~",SUBSTITUTE(E4,",","~", AO4-2))+1,IFERROR(FIND("~",SUBSTITUTE(E4,",","~", AO4-1))-1,LEN(E4))- FIND("~",SUBSTITUTE(E4,",","~", AO4-2))),""))</f>
        <v>phường Cầu Diễn</v>
      </c>
      <c r="AS4" s="449" t="str">
        <f>INDEX(CityIDList,MATCH(F4,CityNameList,0))</f>
        <v>HNI</v>
      </c>
      <c r="AT4" s="208" t="str">
        <f>IF(J4&gt;=1,INDEX(OperatorNameList,MATCH(AZ4,OperatorIDList,0)),"")</f>
        <v>TỔNG CÔNG TY HẠ TẦNG MẠNG</v>
      </c>
      <c r="AU4" s="208" t="str">
        <f>IF(J4&gt;=2,INDEX(OperatorNameList,MATCH(BA4,OperatorIDList,0)),"")</f>
        <v>TỔNG CÔNG TY HẠ TẦNG MẠNG</v>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39" t="shared" si="6">TRIM(IF(J4&gt;=1,MID(BF4,1,IFERROR(FIND("~",SUBSTITUTE(BF4,";","~",1))-1,LEN(BF4))),""))</f>
        <v>VINAPHONE</v>
      </c>
      <c r="BA4" s="208" t="str">
        <f ref="BA4:BA39" t="shared" si="7">TRIM(IF(J4&gt;=2,MID(BF4,FIND("~",SUBSTITUTE(BF4,";","~",1))+1,IFERROR(FIND("~",SUBSTITUTE(BF4,";","~",2))-1,LEN(BF4))- FIND("~",SUBSTITUTE(BF4,";","~",1))),""))</f>
        <v>VINAPHONE</v>
      </c>
      <c r="BB4" s="208" t="str">
        <f ref="BB4:BB39" t="shared" si="8">TRIM(IF(J4&gt;=3,MID(BF4,FIND("~",SUBSTITUTE(BF4,";","~",2))+1,IFERROR(FIND("~",SUBSTITUTE(BF4,";","~",3))-1,LEN(BF4))- FIND("~",SUBSTITUTE(BF4,";","~",2))),""))</f>
      </c>
      <c r="BC4" s="208" t="str">
        <f ref="BC4:BC39" t="shared" si="9">TRIM(IF(J4&gt;=4,MID(BF4,FIND("~",SUBSTITUTE(BF4,";","~",3))+1,IFERROR(FIND("~",SUBSTITUTE(BF4,";","~",4))-1,LEN(BF4))- FIND("~",SUBSTITUTE(BF4,";","~",3))),""))</f>
      </c>
      <c r="BD4" s="208" t="str">
        <f ref="BD4:BD39" t="shared" si="10">TRIM(IF(J4&gt;=5,MID(BF4,FIND("~",SUBSTITUTE(BF4,";","~",4))+1,IFERROR(FIND("~",SUBSTITUTE(BF4,";","~",5))-1,LEN(BF4))- FIND("~",SUBSTITUTE(BF4,";","~",4))),""))</f>
      </c>
      <c r="BE4" s="208" t="str">
        <f ref="BE4:BE39" t="shared" si="11">TRIM(IF(J4&gt;=6,MID(BF4,FIND("~",SUBSTITUTE(BF4,";","~",5))+1,IFERROR(FIND("~",SUBSTITUTE(BF4,";","~",6))-1,LEN(BF4))- FIND("~",SUBSTITUTE(BF4,";","~",5))),""))</f>
      </c>
      <c r="BF4" s="208" t="str">
        <f>Input!I4</f>
        <v>VINAPHONE;VINAPHONE</v>
      </c>
      <c r="BG4" s="208" t="str">
        <f ref="BG4:BG39" t="shared" si="12">IF(J4&gt;=1,MID(L4,1,IFERROR(FIND("~",SUBSTITUTE(L4,";","~",1))-1,LEN(L4))),"")</f>
        <v>CHUNG-CU-C7-NTM_HNI</v>
      </c>
      <c r="BH4" s="208" t="str">
        <f ref="BH4:BH39" t="shared" si="13">IF(J4&gt;=2,MID(L4,FIND("~",SUBSTITUTE(L4,";","~",1))+1,IFERROR(FIND("~",SUBSTITUTE(L4,";","~",2))-1,LEN(L4))- FIND("~",SUBSTITUTE(L4,";","~",1))),"")</f>
        <v>CHUNG-CU-C7-NTM_HNI</v>
      </c>
      <c r="BI4" s="208" t="str">
        <f ref="BI4:BI39" t="shared" si="14">IF(J4&gt;=3,MID(L4,FIND("~",SUBSTITUTE(L4,";","~",2))+1,IFERROR(FIND("~",SUBSTITUTE(L4,";","~",3))-1,LEN(L4))- FIND("~",SUBSTITUTE(L4,";","~",2))),"")</f>
      </c>
      <c r="BJ4" s="208" t="str">
        <f ref="BJ4:BJ39" t="shared" si="15">IF(J4&gt;=4,MID(L4,FIND("~",SUBSTITUTE(L4,";","~",3))+1,IFERROR(FIND("~",SUBSTITUTE(L4,";","~",4))-1,LEN(L4))- FIND("~",SUBSTITUTE(L4,";","~",3))),"")</f>
      </c>
      <c r="BK4" s="208" t="str">
        <f ref="BK4:BK39" t="shared" si="16">IF(J4&gt;=5,MID(L4,FIND("~",SUBSTITUTE(L4,";","~",4))+1,IFERROR(FIND("~",SUBSTITUTE(L4,";","~",5))-1,LEN(L4))- FIND("~",SUBSTITUTE(L4,";","~",4))),"")</f>
      </c>
      <c r="BL4" s="208" t="str">
        <f ref="BL4:BL39" t="shared" si="17">IF(J4&gt;=6,MID(L4,FIND("~",SUBSTITUTE(L4,";","~",5))+1,IFERROR(FIND("~",SUBSTITUTE(L4,";","~",6))-1,LEN(L4))- FIND("~",SUBSTITUTE(L4,";","~",5))),"")</f>
      </c>
      <c r="BM4" s="208" t="str">
        <f ref="BM4:BM39" t="shared" si="18">IF(J4&gt;=1,MID(M4,1,IFERROR(FIND("~",SUBSTITUTE(M4,";","~",1))-1,LEN(M4))),"")</f>
        <v>NOKIA FLEXI MULTIRADIO BTS RADIO MODULE AND REMOTE RADIO (FRGY)</v>
      </c>
      <c r="BN4" s="208" t="str">
        <f ref="BN4:BN39" t="shared" si="19">IF(J4&gt;=2,MID(M4,FIND("~",SUBSTITUTE(M4,";","~",1))+1,IFERROR(FIND("~",SUBSTITUTE(M4,";","~",2))-1,LEN(M4))- FIND("~",SUBSTITUTE(M4,";","~",1))),"")</f>
        <v>NOKIA FLEXI MULTIRADIO BTS RADIO MODULE AND REMOTE RADIO (FHEL)</v>
      </c>
      <c r="BO4" s="208" t="str">
        <f ref="BO4:BO39" t="shared" si="20">IF(J4&gt;=3,MID(M4,FIND("~",SUBSTITUTE(M4,";","~",2))+1,IFERROR(FIND("~",SUBSTITUTE(M4,";","~",3))-1,LEN(M4))- FIND("~",SUBSTITUTE(M4,";","~",2))),"")</f>
      </c>
      <c r="BP4" s="208" t="str">
        <f ref="BP4:BP39" t="shared" si="21">IF(J4&gt;=4,MID(M4,FIND("~",SUBSTITUTE(M4,";","~",3))+1,IFERROR(FIND("~",SUBSTITUTE(M4,";","~",4))-1,LEN(M4))- FIND("~",SUBSTITUTE(M4,";","~",3))),"")</f>
      </c>
      <c r="BQ4" s="208" t="str">
        <f ref="BQ4:BQ39" t="shared" si="22">IF(J4&gt;=5,MID(M4,FIND("~",SUBSTITUTE(M4,";","~",4))+1,IFERROR(FIND("~",SUBSTITUTE(M4,";","~",5))-1,LEN(M4))- FIND("~",SUBSTITUTE(M4,";","~",4))),"")</f>
      </c>
      <c r="BR4" s="208" t="str">
        <f ref="BR4:BR39" t="shared" si="23">IF(J4&gt;=6,MID(M4,FIND("~",SUBSTITUTE(M4,";","~",5))+1,IFERROR(FIND("~",SUBSTITUTE(M4,";","~",6))-1,LEN(M4))- FIND("~",SUBSTITUTE(M4,";","~",5))),"")</f>
      </c>
      <c r="BS4" s="208">
        <f ref="BS4:BS39" t="shared" si="24">IF(J4&gt;=1,MID(N4,1,IFERROR(FIND("~",SUBSTITUTE(N4,";","~",1))-1,LEN(N4))),"0")*1</f>
        <v>3</v>
      </c>
      <c r="BT4" s="208">
        <f ref="BT4:BT39" t="shared" si="25">IF(J4&gt;=2,MID(N4,FIND("~",SUBSTITUTE(N4,";","~",1))+1,IFERROR(FIND("~",SUBSTITUTE(N4,";","~",2))-1,LEN(N4))- FIND("~",SUBSTITUTE(N4,";","~",1))),"0")*1</f>
        <v>3</v>
      </c>
      <c r="BU4" s="208">
        <f ref="BU4:BU39" t="shared" si="26">IF(J4&gt;=3,MID(N4,FIND("~",SUBSTITUTE(N4,";","~",2))+1,IFERROR(FIND("~",SUBSTITUTE(N4,";","~",3))-1,LEN(N4))- FIND("~",SUBSTITUTE(N4,";","~",2))),"0")*1</f>
        <v>0</v>
      </c>
      <c r="BV4" s="208">
        <f ref="BV4:BV39" t="shared" si="27">IF(J4&gt;=4,MID(N4,FIND("~",SUBSTITUTE(N4,";","~",3))+1,IFERROR(FIND("~",SUBSTITUTE(N4,";","~",4))-1,LEN(N4))- FIND("~",SUBSTITUTE(N4,";","~",3))),"0")*1</f>
        <v>0</v>
      </c>
      <c r="BW4" s="208">
        <f ref="BW4:BW39" t="shared" si="28">IF(J4&gt;=5,MID(N4,FIND("~",SUBSTITUTE(N4,";","~",4))+1,IFERROR(FIND("~",SUBSTITUTE(N4,";","~",5))-1,LEN(N4))- FIND("~",SUBSTITUTE(N4,";","~",4))),"0")*1</f>
        <v>0</v>
      </c>
      <c r="BX4" s="208">
        <f ref="BX4:BX39" t="shared" si="29">IF(J4&gt;=6,MID(N4,FIND("~",SUBSTITUTE(N4,";","~",5))+1,IFERROR(FIND("~",SUBSTITUTE(N4,";","~",6))-1,LEN(N4))- FIND("~",SUBSTITUTE(N4,";","~",5))),"0")*1</f>
        <v>0</v>
      </c>
      <c r="BY4" s="208" t="str">
        <f ref="BY4:BY39" t="shared" si="30">IF(J4&gt;=1,MID(O4,1,IFERROR(FIND("~",SUBSTITUTE(O4,";","~",1))-1,LEN(O4))),"")</f>
        <v>2/2/2</v>
      </c>
      <c r="BZ4" s="208">
        <f ref="BZ4:BZ39" t="shared" si="31">IF(BS4&gt;=1,MID(BY4,1,IFERROR(FIND("~",SUBSTITUTE(BY4,"/","~",1))-1,LEN(BY4))),"0")*1</f>
        <v>2</v>
      </c>
      <c r="CA4" s="208">
        <f ref="CA4:CA39" t="shared" si="32">IF(BS4&gt;=2,MID(BY4,FIND("~",SUBSTITUTE(BY4,"/","~",1))+1,IFERROR(FIND("~",SUBSTITUTE(BY4,"/","~",2))-1,LEN(BY4))- FIND("~",SUBSTITUTE(BY4,"/","~",1))),"0")*1</f>
        <v>2</v>
      </c>
      <c r="CB4" s="208">
        <f ref="CB4:CB39" t="shared" si="33">IF(BS4&gt;=3,MID(BY4,FIND("~",SUBSTITUTE(BY4,"/","~",2))+1,IFERROR(FIND("~",SUBSTITUTE(BY4,"/","~",3))-1,LEN(BY4))- FIND("~",SUBSTITUTE(BY4,"/","~",2))),"0")*1</f>
        <v>2</v>
      </c>
      <c r="CC4" s="208">
        <f ref="CC4:CC39" t="shared" si="34">IF(BS4&gt;=4,MID(BY4,FIND("~",SUBSTITUTE(BY4,"/","~",3))+1,IFERROR(FIND("~",SUBSTITUTE(BY4,"/","~",4))-1,LEN(BY4))- FIND("~",SUBSTITUTE(BY4,"/","~",3))),"0")*1</f>
        <v>0</v>
      </c>
      <c r="CD4" s="208">
        <f ref="CD4:CD39" t="shared" si="35">IF(BS4&gt;=5,MID(BY4,FIND("~",SUBSTITUTE(BY4,"/","~",4))+1,IFERROR(FIND("~",SUBSTITUTE(BY4,"/","~",5))-1,LEN(BY4))- FIND("~",SUBSTITUTE(BY4,"/","~",4))),"0")*1</f>
        <v>0</v>
      </c>
      <c r="CE4" s="208">
        <f ref="CE4:CE39" t="shared" si="36">IF(BS4&gt;=6,MID(BY4,FIND("~",SUBSTITUTE(BY4,"/","~",5))+1,IFERROR(FIND("~",SUBSTITUTE(BY4,"/","~",6))-1,LEN(BY4))- FIND("~",SUBSTITUTE(BY4,"/","~",5))),"0")*1</f>
        <v>0</v>
      </c>
      <c r="CF4" s="208" t="str">
        <f ref="CF4:CF39" t="shared" si="37">IF(J4&gt;=2,MID(O4,FIND("~",SUBSTITUTE(O4,";","~",1))+1,IFERROR(FIND("~",SUBSTITUTE(O4,";","~",2))-1,LEN(O4))- FIND("~",SUBSTITUTE(O4,";","~",1))),"")</f>
        <v>1/1/1</v>
      </c>
      <c r="CG4" s="208">
        <f ref="CG4:CG39" t="shared" si="38">IF(BT4&gt;=1,MID(CF4,1,IFERROR(FIND("~",SUBSTITUTE(CF4,"/","~",1))-1,LEN(CF4))),"0")*1</f>
        <v>1</v>
      </c>
      <c r="CH4" s="208">
        <f ref="CH4:CH39" t="shared" si="39">IF(BT4&gt;=2,MID(CF4,FIND("~",SUBSTITUTE(CF4,"/","~",1))+1,IFERROR(FIND("~",SUBSTITUTE(CF4,"/","~",2))-1,LEN(CF4))- FIND("~",SUBSTITUTE(CF4,"/","~",1))),"0")*1</f>
        <v>1</v>
      </c>
      <c r="CI4" s="208">
        <f ref="CI4:CI39" t="shared" si="40">IF(BT4&gt;=3,MID(CF4,FIND("~",SUBSTITUTE(CF4,"/","~",2))+1,IFERROR(FIND("~",SUBSTITUTE(CF4,"/","~",3))-1,LEN(CF4))- FIND("~",SUBSTITUTE(CF4,"/","~",2))),"0")*1</f>
        <v>1</v>
      </c>
      <c r="CJ4" s="208">
        <f ref="CJ4:CJ39" t="shared" si="41">IF(BT4&gt;=4,MID(CF4,FIND("~",SUBSTITUTE(CF4,"/","~",3))+1,IFERROR(FIND("~",SUBSTITUTE(CF4,"/","~",4))-1,LEN(CF4))- FIND("~",SUBSTITUTE(CF4,"/","~",3))),"0")*1</f>
        <v>0</v>
      </c>
      <c r="CK4" s="208">
        <f ref="CK4:CK39" t="shared" si="42">IF(BT4&gt;=5,MID(CF4,FIND("~",SUBSTITUTE(CF4,"/","~",4))+1,IFERROR(FIND("~",SUBSTITUTE(CF4,"/","~",5))-1,LEN(CF4))- FIND("~",SUBSTITUTE(CF4,"/","~",4))),"0")*1</f>
        <v>0</v>
      </c>
      <c r="CL4" s="208">
        <f ref="CL4:CL39" t="shared" si="43">IF(BT4&gt;=6,MID(CF4,FIND("~",SUBSTITUTE(CF4,"/","~",5))+1,IFERROR(FIND("~",SUBSTITUTE(CF4,"/","~",6))-1,LEN(CF4))- FIND("~",SUBSTITUTE(CF4,"/","~",5))),"0")*1</f>
        <v>0</v>
      </c>
      <c r="CM4" s="208" t="str">
        <f ref="CM4:CM39" t="shared" si="44">IF(J4&gt;=3,MID(O4,FIND("~",SUBSTITUTE(O4,";","~",2))+1,IFERROR(FIND("~",SUBSTITUTE(O4,";","~",3))-1,LEN(O4))- FIND("~",SUBSTITUTE(O4,";","~",2))),"")</f>
      </c>
      <c r="CN4" s="208">
        <f ref="CN4:CN39" t="shared" si="45">IF(BU4&gt;=1,MID(CM4,1,IFERROR(FIND("~",SUBSTITUTE(CM4,"/","~",1))-1,LEN(CM4))),"0")*1</f>
        <v>0</v>
      </c>
      <c r="CO4" s="208">
        <f ref="CO4:CO39" t="shared" si="46">IF(BU4&gt;=2,MID(CM4,FIND("~",SUBSTITUTE(CM4,"/","~",1))+1,IFERROR(FIND("~",SUBSTITUTE(CM4,"/","~",2))-1,LEN(CM4))- FIND("~",SUBSTITUTE(CM4,"/","~",1))),"0")*1</f>
        <v>0</v>
      </c>
      <c r="CP4" s="208">
        <f ref="CP4:CP39" t="shared" si="47">IF(BU4&gt;=3,MID(CM4,FIND("~",SUBSTITUTE(CM4,"/","~",2))+1,IFERROR(FIND("~",SUBSTITUTE(CM4,"/","~",3))-1,LEN(CM4))- FIND("~",SUBSTITUTE(CM4,"/","~",2))),"0")*1</f>
        <v>0</v>
      </c>
      <c r="CQ4" s="208">
        <f ref="CQ4:CQ39" t="shared" si="48">IF(BU4&gt;=4,MID(CM4,FIND("~",SUBSTITUTE(CM4,"/","~",3))+1,IFERROR(FIND("~",SUBSTITUTE(CM4,"/","~",4))-1,LEN(CM4))- FIND("~",SUBSTITUTE(CM4,"/","~",3))),"0")*1</f>
        <v>0</v>
      </c>
      <c r="CR4" s="208">
        <f ref="CR4:CR39" t="shared" si="49">IF(BU4&gt;=5,MID(CM4,FIND("~",SUBSTITUTE(CM4,"/","~",4))+1,IFERROR(FIND("~",SUBSTITUTE(CM4,"/","~",5))-1,LEN(CM4))- FIND("~",SUBSTITUTE(CM4,"/","~",4))),"0")*1</f>
        <v>0</v>
      </c>
      <c r="CS4" s="208">
        <f ref="CS4:CS39" t="shared" si="50">IF(BU4&gt;=6,MID(CM4,FIND("~",SUBSTITUTE(CM4,"/","~",5))+1,IFERROR(FIND("~",SUBSTITUTE(CM4,"/","~",6))-1,LEN(CM4))- FIND("~",SUBSTITUTE(CM4,"/","~",5))),"0")*1</f>
        <v>0</v>
      </c>
      <c r="CT4" s="208" t="str">
        <f ref="CT4:CT39" t="shared" si="51">IF(J4&gt;=4,MID(O4,FIND("~",SUBSTITUTE(O4,";","~",3))+1,IFERROR(FIND("~",SUBSTITUTE(O4,";","~",4))-1,LEN(O4))- FIND("~",SUBSTITUTE(O4,";","~",3))),"")</f>
      </c>
      <c r="CU4" s="208">
        <f ref="CU4:CU39" t="shared" si="52">IF(BV4&gt;=1,MID(CT4,1,IFERROR(FIND("~",SUBSTITUTE(CT4,"/","~",1))-1,LEN(CT4))),"0")*1</f>
        <v>0</v>
      </c>
      <c r="CV4" s="208">
        <f ref="CV4:CV39" t="shared" si="53">IF(BV4&gt;=2,MID(CT4,FIND("~",SUBSTITUTE(CT4,"/","~",1))+1,IFERROR(FIND("~",SUBSTITUTE(CT4,"/","~",2))-1,LEN(CT4))- FIND("~",SUBSTITUTE(CT4,"/","~",1))),"0")*1</f>
        <v>0</v>
      </c>
      <c r="CW4" s="208">
        <f ref="CW4:CW39" t="shared" si="54">IF(BV4&gt;=3,MID(CT4,FIND("~",SUBSTITUTE(CT4,"/","~",2))+1,IFERROR(FIND("~",SUBSTITUTE(CT4,"/","~",3))-1,LEN(CT4))- FIND("~",SUBSTITUTE(CT4,"/","~",2))),"0")*1</f>
        <v>0</v>
      </c>
      <c r="CX4" s="208">
        <f ref="CX4:CX39" t="shared" si="55">IF(BV4&gt;=4,MID(CT4,FIND("~",SUBSTITUTE(CT4,"/","~",3))+1,IFERROR(FIND("~",SUBSTITUTE(CT4,"/","~",4))-1,LEN(CT4))- FIND("~",SUBSTITUTE(CT4,"/","~",3))),"0")*1</f>
        <v>0</v>
      </c>
      <c r="CY4" s="208">
        <f ref="CY4:CY39" t="shared" si="56">IF(BV4&gt;=5,MID(CT4,FIND("~",SUBSTITUTE(CT4,"/","~",4))+1,IFERROR(FIND("~",SUBSTITUTE(CT4,"/","~",5))-1,LEN(CT4))- FIND("~",SUBSTITUTE(CT4,"/","~",4))),"0")*1</f>
        <v>0</v>
      </c>
      <c r="CZ4" s="208">
        <f ref="CZ4:CZ39" t="shared" si="57">IF(BV4&gt;=6,MID(CT4,FIND("~",SUBSTITUTE(CT4,"/","~",5))+1,IFERROR(FIND("~",SUBSTITUTE(CT4,"/","~",6))-1,LEN(CT4))- FIND("~",SUBSTITUTE(CT4,"/","~",5))),"0")*1</f>
        <v>0</v>
      </c>
      <c r="DA4" s="208" t="str">
        <f ref="DA4:DA39" t="shared" si="58">IF(J4&gt;=5,MID(O4,FIND("~",SUBSTITUTE(O4,";","~",4))+1,IFERROR(FIND("~",SUBSTITUTE(O4,";","~",5))-1,LEN(O4))- FIND("~",SUBSTITUTE(O4,";","~",4))),"")</f>
      </c>
      <c r="DB4" s="208">
        <f ref="DB4:DB39" t="shared" si="59">IF(BW4&gt;=1,MID(DA4,1,IFERROR(FIND("~",SUBSTITUTE(DA4,"/","~",1))-1,LEN(DA4))),"0")*1</f>
        <v>0</v>
      </c>
      <c r="DC4" s="208">
        <f ref="DC4:DC39" t="shared" si="60">IF(BW4&gt;=2,MID(DA4,FIND("~",SUBSTITUTE(DA4,"/","~",1))+1,IFERROR(FIND("~",SUBSTITUTE(DA4,"/","~",2))-1,LEN(DA4))- FIND("~",SUBSTITUTE(DA4,"/","~",1))),"0")*1</f>
        <v>0</v>
      </c>
      <c r="DD4" s="208">
        <f ref="DD4:DD39" t="shared" si="61">IF(BW4&gt;=3,MID(DA4,FIND("~",SUBSTITUTE(DA4,"/","~",2))+1,IFERROR(FIND("~",SUBSTITUTE(DA4,"/","~",3))-1,LEN(DA4))- FIND("~",SUBSTITUTE(DA4,"/","~",2))),"0")*1</f>
        <v>0</v>
      </c>
      <c r="DE4" s="208">
        <f ref="DE4:DE39" t="shared" si="62">IF(BW4&gt;=4,MID(DA4,FIND("~",SUBSTITUTE(DA4,"/","~",3))+1,IFERROR(FIND("~",SUBSTITUTE(DA4,"/","~",4))-1,LEN(DA4))- FIND("~",SUBSTITUTE(DA4,"/","~",3))),"0")*1</f>
        <v>0</v>
      </c>
      <c r="DF4" s="208">
        <f ref="DF4:DF39" t="shared" si="63">IF(BW4&gt;=5,MID(DA4,FIND("~",SUBSTITUTE(DA4,"/","~",4))+1,IFERROR(FIND("~",SUBSTITUTE(DA4,"/","~",5))-1,LEN(DA4))- FIND("~",SUBSTITUTE(DA4,"/","~",4))),"0")*1</f>
        <v>0</v>
      </c>
      <c r="DG4" s="208">
        <f ref="DG4:DG39" t="shared" si="64">IF(BW4&gt;=6,MID(DA4,FIND("~",SUBSTITUTE(DA4,"/","~",5))+1,IFERROR(FIND("~",SUBSTITUTE(DA4,"/","~",6))-1,LEN(DA4))- FIND("~",SUBSTITUTE(DA4,"/","~",5))),"0")*1</f>
        <v>0</v>
      </c>
      <c r="DH4" s="208" t="str">
        <f ref="DH4:DH39" t="shared" si="65">IF(J4&gt;=6,MID(O4,FIND("~",SUBSTITUTE(O4,";","~",5))+1,IFERROR(FIND("~",SUBSTITUTE(O4,";","~",6))-1,LEN(O4))- FIND("~",SUBSTITUTE(O4,";","~",5))),"")</f>
      </c>
      <c r="DI4" s="208">
        <f ref="DI4:DI39" t="shared" si="66">IF(BX4&gt;=1,MID(DH4,1,IFERROR(FIND("~",SUBSTITUTE(DH4,"/","~",1))-1,LEN(DH4))),"0")*1</f>
        <v>0</v>
      </c>
      <c r="DJ4" s="208">
        <f ref="DJ4:DJ39" t="shared" si="67">IF(BX4&gt;=2,MID(DH4,FIND("~",SUBSTITUTE(DH4,"/","~",1))+1,IFERROR(FIND("~",SUBSTITUTE(DH4,"/","~",2))-1,LEN(DH4))- FIND("~",SUBSTITUTE(DH4,"/","~",1))),"0")*1</f>
        <v>0</v>
      </c>
      <c r="DK4" s="208">
        <f ref="DK4:DK39" t="shared" si="68">IF(BX4&gt;=3,MID(DH4,FIND("~",SUBSTITUTE(DH4,"/","~",2))+1,IFERROR(FIND("~",SUBSTITUTE(DH4,"/","~",3))-1,LEN(DH4))- FIND("~",SUBSTITUTE(DH4,"/","~",2))),"0")*1</f>
        <v>0</v>
      </c>
      <c r="DL4" s="208">
        <f ref="DL4:DL39" t="shared" si="69">IF(BX4&gt;=4,MID(DH4,FIND("~",SUBSTITUTE(DH4,"/","~",3))+1,IFERROR(FIND("~",SUBSTITUTE(DH4,"/","~",4))-1,LEN(DH4))- FIND("~",SUBSTITUTE(DH4,"/","~",3))),"0")*1</f>
        <v>0</v>
      </c>
      <c r="DM4" s="208">
        <f ref="DM4:DM39" t="shared" si="70">IF(BX4&gt;=5,MID(DH4,FIND("~",SUBSTITUTE(DH4,"/","~",4))+1,IFERROR(FIND("~",SUBSTITUTE(DH4,"/","~",5))-1,LEN(DH4))- FIND("~",SUBSTITUTE(DH4,"/","~",4))),"0")*1</f>
        <v>0</v>
      </c>
      <c r="DN4" s="208">
        <f ref="DN4:DN39" t="shared" si="71">IF(BX4&gt;=6,MID(DH4,FIND("~",SUBSTITUTE(DH4,"/","~",5))+1,IFERROR(FIND("~",SUBSTITUTE(DH4,"/","~",6))-1,LEN(DH4))- FIND("~",SUBSTITUTE(DH4,"/","~",5))),"0")*1</f>
        <v>0</v>
      </c>
      <c r="DO4" s="208" t="str">
        <f ref="DO4:DO39" t="shared" si="72">IF(J4&gt;=1,MID(P4,1,IFERROR(FIND("~",SUBSTITUTE(P4,";","~",1))-1,LEN(P4))),"")</f>
        <v>60/60/60</v>
      </c>
      <c r="DP4" s="208">
        <f ref="DP4:DP39" t="shared" si="73">SUBSTITUTE(IF(BS4&gt;=1,MID(DO4,1,IFERROR(FIND("~",SUBSTITUTE(DO4,"/","~",1))-1,LEN(DO4))),"0"),"W","")*1</f>
        <v>60</v>
      </c>
      <c r="DQ4" s="208">
        <f ref="DQ4:DQ39" t="shared" si="74">SUBSTITUTE(IF(BS4&gt;=2,MID(DO4,FIND("~",SUBSTITUTE(DO4,"/","~",1))+1,IFERROR(FIND("~",SUBSTITUTE(DO4,"/","~",2))-1,LEN(DO4))- FIND("~",SUBSTITUTE(DO4,"/","~",1))),"0"),"W","")*1</f>
        <v>60</v>
      </c>
      <c r="DR4" s="208">
        <f ref="DR4:DR39" t="shared" si="75">SUBSTITUTE(IF(BS4&gt;=3,MID(DO4,FIND("~",SUBSTITUTE(DO4,"/","~",2))+1,IFERROR(FIND("~",SUBSTITUTE(DO4,"/","~",3))-1,LEN(DO4))- FIND("~",SUBSTITUTE(DO4,"/","~",2))),"0"),"W","")*1</f>
        <v>60</v>
      </c>
      <c r="DS4" s="208">
        <f ref="DS4:DS39" t="shared" si="76">SUBSTITUTE(IF(BS4&gt;=4,MID(DO4,FIND("~",SUBSTITUTE(DO4,"/","~",3))+1,IFERROR(FIND("~",SUBSTITUTE(DO4,"/","~",4))-1,LEN(DO4))- FIND("~",SUBSTITUTE(DO4,"/","~",3))),"0"),"W","")*1</f>
        <v>0</v>
      </c>
      <c r="DT4" s="208">
        <f ref="DT4:DT39" t="shared" si="77">SUBSTITUTE(IF(BS4&gt;=5,MID(DO4,FIND("~",SUBSTITUTE(DO4,"/","~",4))+1,IFERROR(FIND("~",SUBSTITUTE(DO4,"/","~",5))-1,LEN(DO4))- FIND("~",SUBSTITUTE(DO4,"/","~",4))),"0"),"W","")*1</f>
        <v>0</v>
      </c>
      <c r="DU4" s="208">
        <f ref="DU4:DU39" t="shared" si="78">SUBSTITUTE(IF(BS4&gt;=6,MID(DO4,FIND("~",SUBSTITUTE(DO4,"/","~",5))+1,IFERROR(FIND("~",SUBSTITUTE(DO4,"/","~",6))-1,LEN(DO4))- FIND("~",SUBSTITUTE(DO4,"/","~",5))),"0"),"W","")*1</f>
        <v>0</v>
      </c>
      <c r="DV4" s="208" t="str">
        <f ref="DV4:DV39" t="shared" si="79">ConcateMultiple(DP4:DU4,"W/ ",BS4)</f>
        <v>60W/ 60W/ 60W</v>
      </c>
      <c r="DW4" s="208">
        <f ref="DW4:DW39" t="shared" si="80">MAX(DP4:DS4)</f>
        <v>60</v>
      </c>
      <c r="DX4" s="208" t="str">
        <f ref="DX4:DX39" t="shared" si="81">IF(J4&gt;=2,MID(P4,FIND("~",SUBSTITUTE(P4,";","~",1))+1,IFERROR(FIND("~",SUBSTITUTE(P4,";","~",2))-1,LEN(P4))- FIND("~",SUBSTITUTE(P4,";","~",1))),"")</f>
        <v>60/60/60</v>
      </c>
      <c r="DY4" s="208">
        <f ref="DY4:DY39" t="shared" si="82">SUBSTITUTE(IF(BT4&gt;=1,MID(DX4,1,IFERROR(FIND("~",SUBSTITUTE(DX4,"/","~",1))-1,LEN(DX4))),"0"),"W","")*1</f>
        <v>60</v>
      </c>
      <c r="DZ4" s="208">
        <f ref="DZ4:DZ39" t="shared" si="83">SUBSTITUTE(IF(BT4&gt;=2,MID(DX4,FIND("~",SUBSTITUTE(DX4,"/","~",1))+1,IFERROR(FIND("~",SUBSTITUTE(DX4,"/","~",2))-1,LEN(DX4))- FIND("~",SUBSTITUTE(DX4,"/","~",1))),"0"),"W","")*1</f>
        <v>60</v>
      </c>
      <c r="EA4" s="208">
        <f ref="EA4:EA39" t="shared" si="84">SUBSTITUTE(IF(BT4&gt;=3,MID(DX4,FIND("~",SUBSTITUTE(DX4,"/","~",2))+1,IFERROR(FIND("~",SUBSTITUTE(DX4,"/","~",3))-1,LEN(DX4))- FIND("~",SUBSTITUTE(DX4,"/","~",2))),"0"),"W","")*1</f>
        <v>60</v>
      </c>
      <c r="EB4" s="208">
        <f ref="EB4:EB39" t="shared" si="85">SUBSTITUTE(IF(BT4&gt;=4,MID(DX4,FIND("~",SUBSTITUTE(DX4,"/","~",3))+1,IFERROR(FIND("~",SUBSTITUTE(DX4,"/","~",4))-1,LEN(DX4))- FIND("~",SUBSTITUTE(DX4,"/","~",3))),"0"),"W","")*1</f>
        <v>0</v>
      </c>
      <c r="EC4" s="208">
        <f ref="EC4:EC39" t="shared" si="86">SUBSTITUTE(IF(BT4&gt;=5,MID(DX4,FIND("~",SUBSTITUTE(DX4,"/","~",4))+1,IFERROR(FIND("~",SUBSTITUTE(DX4,"/","~",5))-1,LEN(DX4))- FIND("~",SUBSTITUTE(DX4,"/","~",4))),"0"),"W","")*1</f>
        <v>0</v>
      </c>
      <c r="ED4" s="208">
        <f ref="ED4:ED39" t="shared" si="87">SUBSTITUTE(IF(BT4&gt;=6,MID(DX4,FIND("~",SUBSTITUTE(DX4,"/","~",5))+1,IFERROR(FIND("~",SUBSTITUTE(DX4,"/","~",6))-1,LEN(DX4))- FIND("~",SUBSTITUTE(DX4,"/","~",5))),"0"),"W","")*1</f>
        <v>0</v>
      </c>
      <c r="EE4" s="208" t="str">
        <f ref="EE4:EE39" t="shared" si="88">ConcateMultiple(DY4:ED4,"W/ ",BT4)</f>
        <v>60W/ 60W/ 60W</v>
      </c>
      <c r="EF4" s="208">
        <f ref="EF4:EF39" t="shared" si="89">MAX(DY4:EB4)</f>
        <v>60</v>
      </c>
      <c r="EG4" s="208" t="str">
        <f ref="EG4:EG39" t="shared" si="90">IF(J4&gt;=3,MID(P4,FIND("~",SUBSTITUTE(P4,";","~",2))+1,IFERROR(FIND("~",SUBSTITUTE(P4,";","~",3))-1,LEN(P4))- FIND("~",SUBSTITUTE(P4,";","~",2))),"")</f>
      </c>
      <c r="EH4" s="208">
        <f ref="EH4:EH39" t="shared" si="91">SUBSTITUTE(IF(BU4&gt;=1,MID(EG4,1,IFERROR(FIND("~",SUBSTITUTE(EG4,"/","~",1))-1,LEN(EG4))),"0"),"W","")*1</f>
        <v>0</v>
      </c>
      <c r="EI4" s="208">
        <f ref="EI4:EI39" t="shared" si="92">SUBSTITUTE(IF(BU4&gt;=2,MID(EG4,FIND("~",SUBSTITUTE(EG4,"/","~",1))+1,IFERROR(FIND("~",SUBSTITUTE(EG4,"/","~",2))-1,LEN(EG4))- FIND("~",SUBSTITUTE(EG4,"/","~",1))),"0"),"W","")*1</f>
        <v>0</v>
      </c>
      <c r="EJ4" s="208">
        <f ref="EJ4:EJ39" t="shared" si="93">SUBSTITUTE(IF(BU4&gt;=3,MID(EG4,FIND("~",SUBSTITUTE(EG4,"/","~",2))+1,IFERROR(FIND("~",SUBSTITUTE(EG4,"/","~",3))-1,LEN(EG4))- FIND("~",SUBSTITUTE(EG4,"/","~",2))),"0"),"W","")*1</f>
        <v>0</v>
      </c>
      <c r="EK4" s="208">
        <f ref="EK4:EK39" t="shared" si="94">SUBSTITUTE(IF(BU4&gt;=4,MID(EG4,FIND("~",SUBSTITUTE(EG4,"/","~",3))+1,IFERROR(FIND("~",SUBSTITUTE(EG4,"/","~",4))-1,LEN(EG4))- FIND("~",SUBSTITUTE(EG4,"/","~",3))),"0"),"W","")*1</f>
        <v>0</v>
      </c>
      <c r="EL4" s="208">
        <f ref="EL4:EL39" t="shared" si="95">SUBSTITUTE(IF(BU4&gt;=5,MID(EG4,FIND("~",SUBSTITUTE(EG4,"/","~",4))+1,IFERROR(FIND("~",SUBSTITUTE(EG4,"/","~",5))-1,LEN(EG4))- FIND("~",SUBSTITUTE(EG4,"/","~",4))),"0"),"W","")*1</f>
        <v>0</v>
      </c>
      <c r="EM4" s="208">
        <f ref="EM4:EM39" t="shared" si="96">SUBSTITUTE(IF(BU4&gt;=6,MID(EG4,FIND("~",SUBSTITUTE(EG4,"/","~",5))+1,IFERROR(FIND("~",SUBSTITUTE(EG4,"/","~",6))-1,LEN(EG4))- FIND("~",SUBSTITUTE(EG4,"/","~",5))),"0"),"W","")*1</f>
        <v>0</v>
      </c>
      <c r="EN4" s="208" t="str">
        <f ref="EN4:EN39" t="shared" si="97">ConcateMultiple(EH4:EM4,"W/ ",BU4)</f>
      </c>
      <c r="EO4" s="208">
        <f ref="EO4:EO39" t="shared" si="98">MAX(EH4:EK4)</f>
        <v>0</v>
      </c>
      <c r="EP4" s="208" t="str">
        <f ref="EP4:EP39" t="shared" si="99">IF(J4&gt;=4,MID(P4,FIND("~",SUBSTITUTE(P4,";","~",3))+1,IFERROR(FIND("~",SUBSTITUTE(P4,";","~",4))-1,LEN(P4))- FIND("~",SUBSTITUTE(P4,";","~",3))),"")</f>
      </c>
      <c r="EQ4" s="208">
        <f ref="EQ4:EQ39" t="shared" si="100">SUBSTITUTE(IF(BV4&gt;=1,MID(EP4,1,IFERROR(FIND("~",SUBSTITUTE(EP4,"/","~",1))-1,LEN(EP4))),"0"),"W","")*1</f>
        <v>0</v>
      </c>
      <c r="ER4" s="208">
        <f ref="ER4:ER39" t="shared" si="101">SUBSTITUTE(IF(BV4&gt;=2,MID(EP4,FIND("~",SUBSTITUTE(EP4,"/","~",1))+1,IFERROR(FIND("~",SUBSTITUTE(EP4,"/","~",2))-1,LEN(EP4))- FIND("~",SUBSTITUTE(EP4,"/","~",1))),"0"),"W","")*1</f>
        <v>0</v>
      </c>
      <c r="ES4" s="208">
        <f ref="ES4:ES39" t="shared" si="102">SUBSTITUTE(IF(BV4&gt;=3,MID(EP4,FIND("~",SUBSTITUTE(EP4,"/","~",2))+1,IFERROR(FIND("~",SUBSTITUTE(EP4,"/","~",3))-1,LEN(EP4))- FIND("~",SUBSTITUTE(EP4,"/","~",2))),"0"),"W","")*1</f>
        <v>0</v>
      </c>
      <c r="ET4" s="208">
        <f ref="ET4:ET39" t="shared" si="103">SUBSTITUTE(IF(BV4&gt;=4,MID(EP4,FIND("~",SUBSTITUTE(EP4,"/","~",3))+1,IFERROR(FIND("~",SUBSTITUTE(EP4,"/","~",4))-1,LEN(EP4))- FIND("~",SUBSTITUTE(EP4,"/","~",3))),"0"),"W","")*1</f>
        <v>0</v>
      </c>
      <c r="EU4" s="208">
        <f ref="EU4:EU39" t="shared" si="104">SUBSTITUTE(IF(BV4&gt;=5,MID(EP4,FIND("~",SUBSTITUTE(EP4,"/","~",4))+1,IFERROR(FIND("~",SUBSTITUTE(EP4,"/","~",5))-1,LEN(EP4))- FIND("~",SUBSTITUTE(EP4,"/","~",4))),"0"),"W","")*1</f>
        <v>0</v>
      </c>
      <c r="EV4" s="208">
        <f ref="EV4:EV39" t="shared" si="105">SUBSTITUTE(IF(BV4&gt;=6,MID(EP4,FIND("~",SUBSTITUTE(EP4,"/","~",5))+1,IFERROR(FIND("~",SUBSTITUTE(EP4,"/","~",6))-1,LEN(EP4))- FIND("~",SUBSTITUTE(EP4,"/","~",5))),"0"),"W","")*1</f>
        <v>0</v>
      </c>
      <c r="EW4" s="208" t="str">
        <f ref="EW4:EW39" t="shared" si="106">ConcateMultiple(EQ4:EV4,"W/ ",BV4)</f>
      </c>
      <c r="EX4" s="208">
        <f ref="EX4:EX39" t="shared" si="107">MAX(EQ4:ET4)</f>
        <v>0</v>
      </c>
      <c r="EY4" s="208" t="str">
        <f ref="EY4:EY39" t="shared" si="108">IF(J4&gt;=5,MID(P4,FIND("~",SUBSTITUTE(P4,";","~",4))+1,IFERROR(FIND("~",SUBSTITUTE(P4,";","~",5))-1,LEN(P4))- FIND("~",SUBSTITUTE(P4,";","~",4))),"")</f>
      </c>
      <c r="EZ4" s="208">
        <f ref="EZ4:EZ39" t="shared" si="109">SUBSTITUTE(IF(BW4&gt;=1,MID(EY4,1,IFERROR(FIND("~",SUBSTITUTE(EY4,"/","~",1))-1,LEN(EY4))),"0"),"W","")*1</f>
        <v>0</v>
      </c>
      <c r="FA4" s="208">
        <f ref="FA4:FA39" t="shared" si="110">SUBSTITUTE(IF(BW4&gt;=2,MID(EY4,FIND("~",SUBSTITUTE(EY4,"/","~",1))+1,IFERROR(FIND("~",SUBSTITUTE(EY4,"/","~",2))-1,LEN(EY4))- FIND("~",SUBSTITUTE(EY4,"/","~",1))),"0"),"W","")*1</f>
        <v>0</v>
      </c>
      <c r="FB4" s="208">
        <f ref="FB4:FB39" t="shared" si="111">SUBSTITUTE(IF(BW4&gt;=3,MID(EY4,FIND("~",SUBSTITUTE(EY4,"/","~",2))+1,IFERROR(FIND("~",SUBSTITUTE(EY4,"/","~",3))-1,LEN(EY4))- FIND("~",SUBSTITUTE(EY4,"/","~",2))),"0"),"W","")*1</f>
        <v>0</v>
      </c>
      <c r="FC4" s="208">
        <f ref="FC4:FC39" t="shared" si="112">SUBSTITUTE(IF(BW4&gt;=4,MID(EY4,FIND("~",SUBSTITUTE(EY4,"/","~",3))+1,IFERROR(FIND("~",SUBSTITUTE(EY4,"/","~",4))-1,LEN(EY4))- FIND("~",SUBSTITUTE(EY4,"/","~",3))),"0"),"W","")*1</f>
        <v>0</v>
      </c>
      <c r="FD4" s="208">
        <f ref="FD4:FD39" t="shared" si="113">SUBSTITUTE(IF(BW4&gt;=5,MID(EY4,FIND("~",SUBSTITUTE(EY4,"/","~",4))+1,IFERROR(FIND("~",SUBSTITUTE(EY4,"/","~",5))-1,LEN(EY4))- FIND("~",SUBSTITUTE(EY4,"/","~",4))),"0"),"W","")*1</f>
        <v>0</v>
      </c>
      <c r="FE4" s="208">
        <f ref="FE4:FE39" t="shared" si="114">SUBSTITUTE(IF(BW4&gt;=6,MID(EY4,FIND("~",SUBSTITUTE(EY4,"/","~",5))+1,IFERROR(FIND("~",SUBSTITUTE(EY4,"/","~",6))-1,LEN(EY4))- FIND("~",SUBSTITUTE(EY4,"/","~",5))),"0"),"W","")*1</f>
        <v>0</v>
      </c>
      <c r="FF4" s="208" t="str">
        <f ref="FF4:FF39" t="shared" si="115">ConcateMultiple(EZ4:FE4,"W/ ",BW4)</f>
      </c>
      <c r="FG4" s="208">
        <f ref="FG4:FG39" t="shared" si="116">MAX(EZ4:FC4)</f>
        <v>0</v>
      </c>
      <c r="FH4" s="208" t="str">
        <f ref="FH4:FH39" t="shared" si="117">IF(J4&gt;=6,MID(P4,FIND("~",SUBSTITUTE(P4,";","~",5))+1,IFERROR(FIND("~",SUBSTITUTE(P4,";","~",6))-1,LEN(P4))- FIND("~",SUBSTITUTE(P4,";","~",5))),"")</f>
      </c>
      <c r="FI4" s="208">
        <f ref="FI4:FI39" t="shared" si="118">SUBSTITUTE(IF(BX4&gt;=1,MID(FH4,1,IFERROR(FIND("~",SUBSTITUTE(FH4,"/","~",1))-1,LEN(FH4))),"0"),"W","")*1</f>
        <v>0</v>
      </c>
      <c r="FJ4" s="208">
        <f ref="FJ4:FJ39" t="shared" si="119">SUBSTITUTE(IF(BX4&gt;=2,MID(FH4,FIND("~",SUBSTITUTE(FH4,"/","~",1))+1,IFERROR(FIND("~",SUBSTITUTE(FH4,"/","~",2))-1,LEN(FH4))- FIND("~",SUBSTITUTE(FH4,"/","~",1))),"0"),"W","")*1</f>
        <v>0</v>
      </c>
      <c r="FK4" s="208">
        <f ref="FK4:FK39" t="shared" si="120">SUBSTITUTE(IF(BX4&gt;=3,MID(FH4,FIND("~",SUBSTITUTE(FH4,"/","~",2))+1,IFERROR(FIND("~",SUBSTITUTE(FH4,"/","~",3))-1,LEN(FH4))- FIND("~",SUBSTITUTE(FH4,"/","~",2))),"0"),"W","")*1</f>
        <v>0</v>
      </c>
      <c r="FL4" s="208">
        <f ref="FL4:FL39" t="shared" si="121">SUBSTITUTE(IF(BX4&gt;=4,MID(FH4,FIND("~",SUBSTITUTE(FH4,"/","~",3))+1,IFERROR(FIND("~",SUBSTITUTE(FH4,"/","~",4))-1,LEN(FH4))- FIND("~",SUBSTITUTE(FH4,"/","~",3))),"0"),"W","")*1</f>
        <v>0</v>
      </c>
      <c r="FM4" s="208">
        <f ref="FM4:FM39" t="shared" si="122">SUBSTITUTE(IF(BX4&gt;=5,MID(FH4,FIND("~",SUBSTITUTE(FH4,"/","~",4))+1,IFERROR(FIND("~",SUBSTITUTE(FH4,"/","~",5))-1,LEN(FH4))- FIND("~",SUBSTITUTE(FH4,"/","~",4))),"0"),"W","")*1</f>
        <v>0</v>
      </c>
      <c r="FN4" s="208">
        <f ref="FN4:FN39" t="shared" si="123">SUBSTITUTE(IF(BX4&gt;=6,MID(FH4,FIND("~",SUBSTITUTE(FH4,"/","~",5))+1,IFERROR(FIND("~",SUBSTITUTE(FH4,"/","~",6))-1,LEN(FH4))- FIND("~",SUBSTITUTE(FH4,"/","~",5))),"0"),"W","")*1</f>
        <v>0</v>
      </c>
      <c r="FO4" s="208" t="str">
        <f ref="FO4:FO39" t="shared" si="124">ConcateMultiple(FI4:FN4,"W/ ",BX4)</f>
      </c>
      <c r="FP4" s="208">
        <f ref="FP4:FP39" t="shared" si="125">MAX(FI4:FL4)</f>
        <v>0</v>
      </c>
      <c r="FQ4" s="208">
        <f ref="FQ4:FQ39" t="shared" si="126">MAX(DW4,EF4,EO4,EX4,FG4,FP4)</f>
        <v>60</v>
      </c>
      <c r="FR4" s="208" t="str">
        <f ref="FR4:FR39" t="shared" si="127">TRIM(IF(J4&gt;=1,MID(Q4,1,IFERROR(FIND("~",SUBSTITUTE(Q4,";","~",1))-1,LEN(Q4))),""))</f>
        <v>2100</v>
      </c>
      <c r="FS4" s="208" t="str">
        <f ref="FS4:FS39" t="shared" si="128">TRIM(IF(J4&gt;=2,MID(Q4,FIND("~",SUBSTITUTE(Q4,";","~",1))+1,IFERROR(FIND("~",SUBSTITUTE(Q4,";","~",2))-1,LEN(Q4))- FIND("~",SUBSTITUTE(Q4,";","~",1))),""))</f>
        <v>1800</v>
      </c>
      <c r="FT4" s="208" t="str">
        <f ref="FT4:FT39" t="shared" si="129">TRIM(IF(J4&gt;=3,MID(Q4,FIND("~",SUBSTITUTE(Q4,";","~",2))+1,IFERROR(FIND("~",SUBSTITUTE(Q4,";","~",3))-1,LEN(Q4))- FIND("~",SUBSTITUTE(Q4,";","~",2))),""))</f>
      </c>
      <c r="FU4" s="208" t="str">
        <f ref="FU4:FU39" t="shared" si="130">TRIM(IF(J4&gt;=4,MID(Q4,FIND("~",SUBSTITUTE(Q4,";","~",3))+1,IFERROR(FIND("~",SUBSTITUTE(Q4,";","~",4))-1,LEN(Q4))- FIND("~",SUBSTITUTE(Q4,";","~",3))),""))</f>
      </c>
      <c r="FV4" s="208" t="str">
        <f ref="FV4:FV39" t="shared" si="131">TRIM(IF(J4&gt;=5,MID(Q4,FIND("~",SUBSTITUTE(Q4,";","~",4))+1,IFERROR(FIND("~",SUBSTITUTE(Q4,";","~",5))-1,LEN(Q4))- FIND("~",SUBSTITUTE(Q4,";","~",4))),""))</f>
      </c>
      <c r="FW4" s="208" t="str">
        <f ref="FW4:FW39" t="shared" si="132">TRIM(IF(J4&gt;=6,MID(Q4,FIND("~",SUBSTITUTE(Q4,";","~",5))+1,IFERROR(FIND("~",SUBSTITUTE(Q4,";","~",6))-1,LEN(Q4))- FIND("~",SUBSTITUTE(Q4,";","~",5))),""))</f>
      </c>
      <c r="FX4" s="208" t="str">
        <f ref="FX4:FX39" t="shared" si="133">TRIM(IF(J4&gt;=1,MID(R4,1,IFERROR(FIND("~",SUBSTITUTE(R4,";","~",1))-1,LEN(R4))),""))</f>
        <v>42,5/42,5/42,5</v>
      </c>
      <c r="FY4" s="208">
        <f ref="FY4:FY39" t="shared" si="134">SUBSTITUTE(IF(BS4&gt;=1,MID(FX4,1,IFERROR(FIND("~",SUBSTITUTE(FX4,"/","~",1))-1,LEN(FX4))),"0"),"m","")*1</f>
        <v>42.5</v>
      </c>
      <c r="FZ4" s="208">
        <f ref="FZ4:FZ39" t="shared" si="135">SUBSTITUTE(TRIM(IF(BS4&gt;=2,MID(FX4,FIND("~",SUBSTITUTE(FX4,"/","~",1))+1,IFERROR(FIND("~",SUBSTITUTE(FX4,"/","~",2))-1,LEN(FX4))- FIND("~",SUBSTITUTE(FX4,"/","~",1))),"0")),"m","")*1</f>
        <v>42.5</v>
      </c>
      <c r="GA4" s="208">
        <f ref="GA4:GA39" t="shared" si="136">SUBSTITUTE(TRIM(IF(BS4&gt;=3,MID(FX4,FIND("~",SUBSTITUTE(FX4,"/","~",2))+1,IFERROR(FIND("~",SUBSTITUTE(FX4,"/","~",3))-1,LEN(FX4))- FIND("~",SUBSTITUTE(FX4,"/","~",2))),"0")),"m","")*1</f>
        <v>42.5</v>
      </c>
      <c r="GB4" s="208">
        <f ref="GB4:GB39" t="shared" si="137">SUBSTITUTE(TRIM(IF(BS4&gt;=4,MID(FX4,FIND("~",SUBSTITUTE(FX4,"/","~",3))+1,IFERROR(FIND("~",SUBSTITUTE(FX4,"/","~",4))-1,LEN(FX4))- FIND("~",SUBSTITUTE(FX4,"/","~",3))),"0")),"m","")*1</f>
        <v>0</v>
      </c>
      <c r="GC4" s="208">
        <f ref="GC4:GC39" t="shared" si="138">SUBSTITUTE(TRIM(IF(BS4&gt;=5,MID(FX4,FIND("~",SUBSTITUTE(FX4,"/","~",4))+1,IFERROR(FIND("~",SUBSTITUTE(FX4,"/","~",5))-1,LEN(FX4))- FIND("~",SUBSTITUTE(FX4,"/","~",4))),"0")),"m","")*1</f>
        <v>0</v>
      </c>
      <c r="GD4" s="208">
        <f ref="GD4:GD39" t="shared" si="139">SUBSTITUTE(TRIM(IF(BS4&gt;=6,MID(FX4,FIND("~",SUBSTITUTE(FX4,"/","~",5))+1,IFERROR(FIND("~",SUBSTITUTE(FX4,"/","~",6))-1,LEN(FX4))- FIND("~",SUBSTITUTE(FX4,"/","~",5))),"0")),"m","")*1</f>
        <v>0</v>
      </c>
      <c r="GE4" s="208" t="str">
        <f ref="GE4:GE39" t="shared" si="140">ConcateMultiple(FY4:GD4,"m/ ",BS4)</f>
        <v>42,5m/ 42,5m/ 42,5m</v>
      </c>
      <c r="GF4" s="208" t="str">
        <f ref="GF4:GF39" t="shared" si="141">TRIM(IF(J4&gt;=2,MID(R4,FIND("~",SUBSTITUTE(R4,";","~",1))+1,IFERROR(FIND("~",SUBSTITUTE(R4,";","~",2))-1,LEN(R4))- FIND("~",SUBSTITUTE(R4,";","~",1))),""))</f>
        <v>42,5/42,5/42,5</v>
      </c>
      <c r="GG4" s="208">
        <f ref="GG4:GG39" t="shared" si="142">SUBSTITUTE(IF(BT4&gt;=1,MID(GF4,1,IFERROR(FIND("~",SUBSTITUTE(GF4,"/","~",1))-1,LEN(GF4))),"0"),"m","")*1</f>
        <v>42.5</v>
      </c>
      <c r="GH4" s="208">
        <f ref="GH4:GH39" t="shared" si="143">SUBSTITUTE(TRIM(IF(BT4&gt;=2,MID(GF4,FIND("~",SUBSTITUTE(GF4,"/","~",1))+1,IFERROR(FIND("~",SUBSTITUTE(GF4,"/","~",2))-1,LEN(GF4))- FIND("~",SUBSTITUTE(GF4,"/","~",1))),"0")),"m","")*1</f>
        <v>42.5</v>
      </c>
      <c r="GI4" s="208">
        <f ref="GI4:GI39" t="shared" si="144">SUBSTITUTE(TRIM(IF(BT4&gt;=3,MID(GF4,FIND("~",SUBSTITUTE(GF4,"/","~",2))+1,IFERROR(FIND("~",SUBSTITUTE(GF4,"/","~",3))-1,LEN(GF4))- FIND("~",SUBSTITUTE(GF4,"/","~",2))),"0")),"m","")*1</f>
        <v>42.5</v>
      </c>
      <c r="GJ4" s="208">
        <f ref="GJ4:GJ39" t="shared" si="145">SUBSTITUTE(TRIM(IF(BT4&gt;=4,MID(GF4,FIND("~",SUBSTITUTE(GF4,"/","~",3))+1,IFERROR(FIND("~",SUBSTITUTE(GF4,"/","~",4))-1,LEN(GF4))- FIND("~",SUBSTITUTE(GF4,"/","~",3))),"0")),"m","")*1</f>
        <v>0</v>
      </c>
      <c r="GK4" s="208">
        <f ref="GK4:GK39" t="shared" si="146">SUBSTITUTE(TRIM(IF(BT4&gt;=5,MID(GF4,FIND("~",SUBSTITUTE(GF4,"/","~",4))+1,IFERROR(FIND("~",SUBSTITUTE(GF4,"/","~",5))-1,LEN(GF4))- FIND("~",SUBSTITUTE(GF4,"/","~",4))),"0")),"m","")*1</f>
        <v>0</v>
      </c>
      <c r="GL4" s="208">
        <f ref="GL4:GL39" t="shared" si="147">SUBSTITUTE(TRIM(IF(BT4&gt;=6,MID(GF4,FIND("~",SUBSTITUTE(GF4,"/","~",5))+1,IFERROR(FIND("~",SUBSTITUTE(GF4,"/","~",6))-1,LEN(GF4))- FIND("~",SUBSTITUTE(GF4,"/","~",5))),"0")),"m","")*1</f>
        <v>0</v>
      </c>
      <c r="GM4" s="208" t="str">
        <f ref="GM4:GM39" t="shared" si="148">ConcateMultiple(GG4:GL4,"m/ ",BT4)</f>
        <v>42,5m/ 42,5m/ 42,5m</v>
      </c>
      <c r="GN4" s="208" t="str">
        <f ref="GN4:GN39" t="shared" si="149">TRIM(IF(J4&gt;=3,MID(R4,FIND("~",SUBSTITUTE(R4,";","~",2))+1,IFERROR(FIND("~",SUBSTITUTE(R4,";","~",3))-1,LEN(R4))- FIND("~",SUBSTITUTE(R4,";","~",2))),""))</f>
      </c>
      <c r="GO4" s="208">
        <f ref="GO4:GO39" t="shared" si="150">SUBSTITUTE(IF(BU4&gt;=1,MID(GN4,1,IFERROR(FIND("~",SUBSTITUTE(GN4,"/","~",1))-1,LEN(GN4))),"0"),"m","")*1</f>
        <v>0</v>
      </c>
      <c r="GP4" s="208">
        <f ref="GP4:GP39" t="shared" si="151">SUBSTITUTE(TRIM(IF(BU4&gt;=2,MID(GN4,FIND("~",SUBSTITUTE(GN4,"/","~",1))+1,IFERROR(FIND("~",SUBSTITUTE(GN4,"/","~",2))-1,LEN(GN4))- FIND("~",SUBSTITUTE(GN4,"/","~",1))),"0")),"m","")*1</f>
        <v>0</v>
      </c>
      <c r="GQ4" s="208">
        <f ref="GQ4:GQ39" t="shared" si="152">SUBSTITUTE(TRIM(IF(BU4&gt;=3,MID(GN4,FIND("~",SUBSTITUTE(GN4,"/","~",2))+1,IFERROR(FIND("~",SUBSTITUTE(GN4,"/","~",3))-1,LEN(GN4))- FIND("~",SUBSTITUTE(GN4,"/","~",2))),"0")),"m","")*1</f>
        <v>0</v>
      </c>
      <c r="GR4" s="208">
        <f ref="GR4:GR39" t="shared" si="153">SUBSTITUTE(TRIM(IF(BU4&gt;=4,MID(GN4,FIND("~",SUBSTITUTE(GN4,"/","~",3))+1,IFERROR(FIND("~",SUBSTITUTE(GN4,"/","~",4))-1,LEN(GN4))- FIND("~",SUBSTITUTE(GN4,"/","~",3))),"0")),"m","")*1</f>
        <v>0</v>
      </c>
      <c r="GS4" s="208">
        <f ref="GS4:GS39" t="shared" si="154">SUBSTITUTE(TRIM(IF(BU4&gt;=5,MID(GN4,FIND("~",SUBSTITUTE(GN4,"/","~",4))+1,IFERROR(FIND("~",SUBSTITUTE(GN4,"/","~",5))-1,LEN(GN4))- FIND("~",SUBSTITUTE(GN4,"/","~",4))),"0")),"m","")*1</f>
        <v>0</v>
      </c>
      <c r="GT4" s="208">
        <f ref="GT4:GT39" t="shared" si="155">SUBSTITUTE(TRIM(IF(BU4&gt;=6,MID(GN4,FIND("~",SUBSTITUTE(GN4,"/","~",5))+1,IFERROR(FIND("~",SUBSTITUTE(GN4,"/","~",6))-1,LEN(GN4))- FIND("~",SUBSTITUTE(GN4,"/","~",5))),"0")),"m","")*1</f>
        <v>0</v>
      </c>
      <c r="GU4" s="208" t="str">
        <f ref="GU4:GU39" t="shared" si="156">ConcateMultiple(GO4:GT4,"m/ ",BU4)</f>
      </c>
      <c r="GV4" s="208" t="str">
        <f ref="GV4:GV39" t="shared" si="157">TRIM(IF(J4&gt;=4,MID(R4,FIND("~",SUBSTITUTE(R4,";","~",3))+1,IFERROR(FIND("~",SUBSTITUTE(R4,";","~",4))-1,LEN(R4))- FIND("~",SUBSTITUTE(R4,";","~",3))),""))</f>
      </c>
      <c r="GW4" s="208">
        <f ref="GW4:GW39" t="shared" si="158">SUBSTITUTE(IF(BV4&gt;=1,MID(GV4,1,IFERROR(FIND("~",SUBSTITUTE(GV4,"/","~",1))-1,LEN(GV4))),"0"),"m","")*1</f>
        <v>0</v>
      </c>
      <c r="GX4" s="208">
        <f ref="GX4:GX39" t="shared" si="159">SUBSTITUTE(TRIM(IF(BV4&gt;=2,MID(GV4,FIND("~",SUBSTITUTE(GV4,"/","~",1))+1,IFERROR(FIND("~",SUBSTITUTE(GV4,"/","~",2))-1,LEN(GV4))- FIND("~",SUBSTITUTE(GV4,"/","~",1))),"0")),"m","")*1</f>
        <v>0</v>
      </c>
      <c r="GY4" s="208">
        <f ref="GY4:GY39" t="shared" si="160">SUBSTITUTE(TRIM(IF(BV4&gt;=3,MID(GV4,FIND("~",SUBSTITUTE(GV4,"/","~",2))+1,IFERROR(FIND("~",SUBSTITUTE(GV4,"/","~",3))-1,LEN(GV4))- FIND("~",SUBSTITUTE(GV4,"/","~",2))),"0")),"m","")*1</f>
        <v>0</v>
      </c>
      <c r="GZ4" s="208">
        <f ref="GZ4:GZ39" t="shared" si="161">SUBSTITUTE(TRIM(IF(BV4&gt;=4,MID(GV4,FIND("~",SUBSTITUTE(GV4,"/","~",3))+1,IFERROR(FIND("~",SUBSTITUTE(GV4,"/","~",4))-1,LEN(GV4))- FIND("~",SUBSTITUTE(GV4,"/","~",3))),"0")),"m","")*1</f>
        <v>0</v>
      </c>
      <c r="HA4" s="208">
        <f ref="HA4:HA39" t="shared" si="162">SUBSTITUTE(TRIM(IF(BV4&gt;=5,MID(GV4,FIND("~",SUBSTITUTE(GV4,"/","~",4))+1,IFERROR(FIND("~",SUBSTITUTE(GV4,"/","~",5))-1,LEN(GV4))- FIND("~",SUBSTITUTE(GV4,"/","~",4))),"0")),"m","")*1</f>
        <v>0</v>
      </c>
      <c r="HB4" s="208">
        <f ref="HB4:HB39" t="shared" si="163">SUBSTITUTE(TRIM(IF(BV4&gt;=6,MID(GV4,FIND("~",SUBSTITUTE(GV4,"/","~",5))+1,IFERROR(FIND("~",SUBSTITUTE(GV4,"/","~",6))-1,LEN(GV4))- FIND("~",SUBSTITUTE(GV4,"/","~",5))),"0")),"m","")*1</f>
        <v>0</v>
      </c>
      <c r="HC4" s="208" t="str">
        <f ref="HC4:HC39" t="shared" si="164">ConcateMultiple(GW4:HB4,"m/ ",BV4)</f>
      </c>
      <c r="HD4" s="208" t="str">
        <f ref="HD4:HD39" t="shared" si="165">TRIM(IF(J4&gt;=5,MID(R4,FIND("~",SUBSTITUTE(R4,";","~",4))+1,IFERROR(FIND("~",SUBSTITUTE(R4,";","~",5))-1,LEN(R4))- FIND("~",SUBSTITUTE(R4,";","~",4))),""))</f>
      </c>
      <c r="HE4" s="208">
        <f ref="HE4:HE39" t="shared" si="166">SUBSTITUTE(IF(BW4&gt;=1,MID(HD4,1,IFERROR(FIND("~",SUBSTITUTE(HD4,"/","~",1))-1,LEN(HD4))),"0"),"m","")*1</f>
        <v>0</v>
      </c>
      <c r="HF4" s="208">
        <f ref="HF4:HF39" t="shared" si="167">SUBSTITUTE(TRIM(IF(BW4&gt;=2,MID(HD4,FIND("~",SUBSTITUTE(HD4,"/","~",1))+1,IFERROR(FIND("~",SUBSTITUTE(HD4,"/","~",2))-1,LEN(HD4))- FIND("~",SUBSTITUTE(HD4,"/","~",1))),"0")),"m","")*1</f>
        <v>0</v>
      </c>
      <c r="HG4" s="208">
        <f ref="HG4:HG39" t="shared" si="168">SUBSTITUTE(TRIM(IF(BW4&gt;=3,MID(HD4,FIND("~",SUBSTITUTE(HD4,"/","~",2))+1,IFERROR(FIND("~",SUBSTITUTE(HD4,"/","~",3))-1,LEN(HD4))- FIND("~",SUBSTITUTE(HD4,"/","~",2))),"0")),"m","")*1</f>
        <v>0</v>
      </c>
      <c r="HH4" s="208">
        <f ref="HH4:HH39" t="shared" si="169">SUBSTITUTE(TRIM(IF(BW4&gt;=4,MID(HD4,FIND("~",SUBSTITUTE(HD4,"/","~",3))+1,IFERROR(FIND("~",SUBSTITUTE(HD4,"/","~",4))-1,LEN(HD4))- FIND("~",SUBSTITUTE(HD4,"/","~",3))),"0")),"m","")*1</f>
        <v>0</v>
      </c>
      <c r="HI4" s="208">
        <f ref="HI4:HI39" t="shared" si="170">SUBSTITUTE(TRIM(IF(BW4&gt;=5,MID(HD4,FIND("~",SUBSTITUTE(HD4,"/","~",4))+1,IFERROR(FIND("~",SUBSTITUTE(HD4,"/","~",5))-1,LEN(HD4))- FIND("~",SUBSTITUTE(HD4,"/","~",4))),"0")),"m","")*1</f>
        <v>0</v>
      </c>
      <c r="HJ4" s="208">
        <f ref="HJ4:HJ39" t="shared" si="171">SUBSTITUTE(TRIM(IF(BW4&gt;=6,MID(HD4,FIND("~",SUBSTITUTE(HD4,"/","~",5))+1,IFERROR(FIND("~",SUBSTITUTE(HD4,"/","~",6))-1,LEN(HD4))- FIND("~",SUBSTITUTE(HD4,"/","~",5))),"0")),"m","")*1</f>
        <v>0</v>
      </c>
      <c r="HK4" s="208" t="str">
        <f ref="HK4:HK39" t="shared" si="172">ConcateMultiple(HE4:HJ4,"m/ ",BW4)</f>
      </c>
      <c r="HL4" s="208" t="str">
        <f ref="HL4:HL39" t="shared" si="173">TRIM(IF(J4&gt;=6,MID(R4,FIND("~",SUBSTITUTE(R4,";","~",5))+1,IFERROR(FIND("~",SUBSTITUTE(R4,";","~",6))-1,LEN(R4))- FIND("~",SUBSTITUTE(R4,";","~",5))),""))</f>
      </c>
      <c r="HM4" s="208">
        <f ref="HM4:HM39" t="shared" si="174">SUBSTITUTE(IF(BX4&gt;=1,MID(HL4,1,IFERROR(FIND("~",SUBSTITUTE(HL4,"/","~",1))-1,LEN(HL4))),"0"),"m","")*1</f>
        <v>0</v>
      </c>
      <c r="HN4" s="208">
        <f ref="HN4:HN39" t="shared" si="175">SUBSTITUTE(TRIM(IF(BX4&gt;=2,MID(HL4,FIND("~",SUBSTITUTE(HL4,"/","~",1))+1,IFERROR(FIND("~",SUBSTITUTE(HL4,"/","~",2))-1,LEN(HL4))- FIND("~",SUBSTITUTE(HL4,"/","~",1))),"0")),"m","")*1</f>
        <v>0</v>
      </c>
      <c r="HO4" s="208">
        <f ref="HO4:HO39" t="shared" si="176">SUBSTITUTE(TRIM(IF(BX4&gt;=3,MID(HL4,FIND("~",SUBSTITUTE(HL4,"/","~",2))+1,IFERROR(FIND("~",SUBSTITUTE(HL4,"/","~",3))-1,LEN(HL4))- FIND("~",SUBSTITUTE(HL4,"/","~",2))),"0")),"m","")*1</f>
        <v>0</v>
      </c>
      <c r="HP4" s="208">
        <f ref="HP4:HP39" t="shared" si="177">SUBSTITUTE(TRIM(IF(BX4&gt;=4,MID(HL4,FIND("~",SUBSTITUTE(HL4,"/","~",3))+1,IFERROR(FIND("~",SUBSTITUTE(HL4,"/","~",4))-1,LEN(HL4))- FIND("~",SUBSTITUTE(HL4,"/","~",3))),"0")),"m","")*1</f>
        <v>0</v>
      </c>
      <c r="HQ4" s="208">
        <f ref="HQ4:HQ39" t="shared" si="178">SUBSTITUTE(TRIM(IF(BX4&gt;=5,MID(HL4,FIND("~",SUBSTITUTE(HL4,"/","~",4))+1,IFERROR(FIND("~",SUBSTITUTE(HL4,"/","~",5))-1,LEN(HL4))- FIND("~",SUBSTITUTE(HL4,"/","~",4))),"0")),"m","")*1</f>
        <v>0</v>
      </c>
      <c r="HR4" s="208">
        <f ref="HR4:HR39" t="shared" si="179">SUBSTITUTE(TRIM(IF(BX4&gt;=6,MID(HL4,FIND("~",SUBSTITUTE(HL4,"/","~",5))+1,IFERROR(FIND("~",SUBSTITUTE(HL4,"/","~",6))-1,LEN(HL4))- FIND("~",SUBSTITUTE(HL4,"/","~",5))),"0")),"m","")*1</f>
        <v>0</v>
      </c>
      <c r="HS4" s="208" t="str">
        <f ref="HS4:HS39" t="shared" si="180">ConcateMultiple(HM4:HR4,"m/ ",BX4)</f>
      </c>
      <c r="HT4" s="208" t="str">
        <f>INDEX(LabNameList,MATCH(V4,LabIDList,0))</f>
        <v>Trung tâm Kiểm định và Chứng nhận 1</v>
      </c>
      <c r="HU4" s="208">
        <f ref="HU4:HU39" t="shared" si="181">MinMultiple(FY4:GB4,BS4)</f>
        <v>42.5</v>
      </c>
      <c r="HV4" s="208">
        <f ref="HV4:HV39" t="shared" si="182">MinMultiple(GG4:GJ4,BT4)</f>
        <v>42.5</v>
      </c>
      <c r="HW4" s="208">
        <f ref="HW4:HW39" t="shared" si="183">MinMultiple(GO4:GR4,BU4)</f>
        <v>0</v>
      </c>
      <c r="HX4" s="208">
        <f ref="HX4:HX39" t="shared" si="184">MinMultiple(GW4:GZ4,BV4)</f>
        <v>0</v>
      </c>
      <c r="HY4" s="208">
        <f ref="HY4:HY39" t="shared" si="185">MinMultiple(HE4:HH4,BW4)</f>
        <v>0</v>
      </c>
      <c r="HZ4" s="208">
        <f ref="HZ4:HZ39" t="shared" si="186">MinMultiple(HM4:HP4,BX4)</f>
        <v>0</v>
      </c>
      <c r="IA4" s="207">
        <f ref="IA4:IA39" t="shared" si="187">MinMultiple(HU4:HZ4,J4)</f>
        <v>42.5</v>
      </c>
      <c r="IB4" s="207">
        <f ref="IB4:IB39" t="shared" si="188">IA4-AC4</f>
        <v>6.5</v>
      </c>
      <c r="IC4" s="343" t="str">
        <f ref="IC4:IC39" t="shared" si="189">IF(S4=TRUE,MID(T4,1,1),"")</f>
        <v>A</v>
      </c>
      <c r="ID4" s="343" t="str">
        <f ref="ID4:ID39" t="shared" si="190">MID(T4,2,5)</f>
        <v>03984</v>
      </c>
      <c r="IE4" s="343" t="str">
        <f ref="IE4:IE39" t="shared" si="191">MID(T4,7,6)</f>
        <v>181019</v>
      </c>
      <c r="IF4" s="343" t="str">
        <f ref="IF4:IF39" t="shared" si="192">MID(T4,13,4)</f>
        <v>TG05</v>
      </c>
      <c r="IG4" s="383">
        <f ref="IG4:IG39" t="shared" si="193">IF(S4=TRUE,DATE(2000+MID(IE4,5,2),MID(IE4,3,2),MID(IE4,1,2)),"")</f>
        <v>43756</v>
      </c>
      <c r="IH4" s="383">
        <f ref="IH4:IH39" t="shared" si="194">IF(S4=TRUE,DATE(YEAR(IG4) + 5,MONTH(IG4),DAY(IG4)),"")</f>
        <v>45583</v>
      </c>
      <c r="II4" s="208">
        <v>37</v>
      </c>
    </row>
    <row r="5" ht="165.75">
      <c r="A5" s="207">
        <f>Input!A5</f>
        <v>3</v>
      </c>
      <c r="B5" s="343" t="str">
        <f> Profile!$A$3</f>
        <v>VINAPHONE</v>
      </c>
      <c r="C5" s="343" t="str">
        <f> Profile!$L$3</f>
        <v>VINAPHONE</v>
      </c>
      <c r="D5" s="207" t="str">
        <f>Input!B5</f>
        <v>DUONG-K2-256-NTM_HNI</v>
      </c>
      <c r="E5" s="317" t="str">
        <f>Input!C5</f>
        <v>Số 256, đường K2, phường Cầu Diễn, quận Nam Từ Liêm, thành phố Hà Nội</v>
      </c>
      <c r="F5" s="207" t="str">
        <f>Input!D5</f>
        <v>Hà Nội</v>
      </c>
      <c r="G5" s="207">
        <f>Input!E5</f>
        <v>105.759331</v>
      </c>
      <c r="H5" s="207">
        <f>Input!F5</f>
        <v>21.030374</v>
      </c>
      <c r="I5" s="207">
        <f>Input!G5</f>
        <v>1</v>
      </c>
      <c r="J5" s="207">
        <f>Input!H5</f>
        <v>2</v>
      </c>
      <c r="K5" s="207" t="str">
        <f t="shared" si="0"/>
        <v>TỔNG CÔNG TY HẠ TẦNG MẠNG;TỔNG CÔNG TY HẠ TẦNG MẠNG</v>
      </c>
      <c r="L5" s="207" t="str">
        <f>Input!J5</f>
        <v>DUONG-K2-256-NTM_HNI;DUONG-K2-256-NTM_HNI</v>
      </c>
      <c r="M5" s="207" t="str">
        <f>Input!K5</f>
        <v>NOKIA FLEXI MULTIRADIO BTS RADIO MODULE AND REMOTE RADIO (FRGY);NOKIA FLEXI MULTIRADIO BTS RADIO MODULE AND REMOTE RADIO (FHEL)</v>
      </c>
      <c r="N5" s="207" t="str">
        <f>Input!L5</f>
        <v>3;3</v>
      </c>
      <c r="O5" s="207" t="str">
        <f>Input!M5</f>
        <v>2/2/2;1/1/1</v>
      </c>
      <c r="P5" s="207" t="str">
        <f>Input!N5</f>
        <v>60/60/60;60/60/60</v>
      </c>
      <c r="Q5" s="207" t="str">
        <f>Input!O5</f>
        <v>2100;1800</v>
      </c>
      <c r="R5" s="207" t="str">
        <f>Input!P5</f>
        <v>16,5/16,5/16,5;16,5/16,5/16,5</v>
      </c>
      <c r="S5" s="364" t="b">
        <f>Input!Q5</f>
        <v>1</v>
      </c>
      <c r="T5" s="207" t="str">
        <f>Input!R5</f>
        <v>A03985181019TG05</v>
      </c>
      <c r="U5" s="207">
        <f>Input!S5</f>
        <v>0</v>
      </c>
      <c r="V5" s="207" t="str">
        <f>Input!T5</f>
        <v>VCC1</v>
      </c>
      <c r="W5" s="207" t="str">
        <f>Input!U5</f>
        <v>1902989/19/TG/TT1</v>
      </c>
      <c r="X5" s="209" t="str">
        <f>TEXT(Input!V5,"dd/mm/yyyy")</f>
        <v>18/10/2019</v>
      </c>
      <c r="Y5" s="207" t="b">
        <f>Input!W5</f>
        <v>0</v>
      </c>
      <c r="Z5" s="364" t="b">
        <f>Input!X5</f>
        <v>0</v>
      </c>
      <c r="AA5" s="207">
        <f t="shared" si="1"/>
        <v>16.5</v>
      </c>
      <c r="AB5" s="364" t="b">
        <f>Input!Y5</f>
        <v>1</v>
      </c>
      <c r="AC5" s="207">
        <f>VALUE(Input!Z5)</f>
        <v>12</v>
      </c>
      <c r="AD5" s="207" t="b">
        <f>Input!AA5</f>
        <v>0</v>
      </c>
      <c r="AE5" s="207" t="str">
        <f>Input!AB5</f>
        <v>Vũ Văn Giáp</v>
      </c>
      <c r="AF5" s="207" t="str">
        <f>Input!AC5</f>
        <v>Lê Tiến Cường</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Tổng Công ty Hạ tầng mạng</v>
      </c>
      <c r="AN5" s="208" t="str">
        <f>INDEX(OperatorNameList,MATCH(C5,OperatorIDList,0))</f>
        <v>TỔNG CÔNG TY HẠ TẦNG MẠNG</v>
      </c>
      <c r="AO5" s="207">
        <f t="shared" si="2"/>
        <v>4</v>
      </c>
      <c r="AP5" s="287" t="str">
        <f t="shared" si="3"/>
        <v>thành phố Hà Nội</v>
      </c>
      <c r="AQ5" s="448" t="str">
        <f t="shared" si="4"/>
        <v>quận Nam Từ Liêm</v>
      </c>
      <c r="AR5" s="448" t="str">
        <f t="shared" si="5"/>
        <v>phường Cầu Diễn</v>
      </c>
      <c r="AS5" s="449" t="str">
        <f>INDEX(CityIDList,MATCH(F5,CityNameList,0))</f>
        <v>HNI</v>
      </c>
      <c r="AT5" s="208" t="str">
        <f>IF(J5&gt;=1,INDEX(OperatorNameList,MATCH(AZ5,OperatorIDList,0)),"")</f>
        <v>TỔNG CÔNG TY HẠ TẦNG MẠNG</v>
      </c>
      <c r="AU5" s="208" t="str">
        <f>IF(J5&gt;=2,INDEX(OperatorNameList,MATCH(BA5,OperatorIDList,0)),"")</f>
        <v>TỔNG CÔNG TY HẠ TẦNG MẠNG</v>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VINAPHONE</v>
      </c>
      <c r="BA5" s="208" t="str">
        <f t="shared" si="7"/>
        <v>VINAPHONE</v>
      </c>
      <c r="BB5" s="208" t="str">
        <f t="shared" si="8"/>
      </c>
      <c r="BC5" s="208" t="str">
        <f t="shared" si="9"/>
      </c>
      <c r="BD5" s="208" t="str">
        <f t="shared" si="10"/>
      </c>
      <c r="BE5" s="208" t="str">
        <f t="shared" si="11"/>
      </c>
      <c r="BF5" s="208" t="str">
        <f>Input!I5</f>
        <v>VINAPHONE;VINAPHONE</v>
      </c>
      <c r="BG5" s="208" t="str">
        <f t="shared" si="12"/>
        <v>DUONG-K2-256-NTM_HNI</v>
      </c>
      <c r="BH5" s="208" t="str">
        <f t="shared" si="13"/>
        <v>DUONG-K2-256-NTM_HNI</v>
      </c>
      <c r="BI5" s="208" t="str">
        <f t="shared" si="14"/>
      </c>
      <c r="BJ5" s="208" t="str">
        <f t="shared" si="15"/>
      </c>
      <c r="BK5" s="208" t="str">
        <f t="shared" si="16"/>
      </c>
      <c r="BL5" s="208" t="str">
        <f t="shared" si="17"/>
      </c>
      <c r="BM5" s="208" t="str">
        <f t="shared" si="18"/>
        <v>NOKIA FLEXI MULTIRADIO BTS RADIO MODULE AND REMOTE RADIO (FRGY)</v>
      </c>
      <c r="BN5" s="208" t="str">
        <f t="shared" si="19"/>
        <v>NOKIA FLEXI MULTIRADIO BTS RADIO MODULE AND REMOTE RADIO (FHEL)</v>
      </c>
      <c r="BO5" s="208" t="str">
        <f t="shared" si="20"/>
      </c>
      <c r="BP5" s="208" t="str">
        <f t="shared" si="21"/>
      </c>
      <c r="BQ5" s="208" t="str">
        <f t="shared" si="22"/>
      </c>
      <c r="BR5" s="208" t="str">
        <f t="shared" si="23"/>
      </c>
      <c r="BS5" s="208">
        <f t="shared" si="24"/>
        <v>3</v>
      </c>
      <c r="BT5" s="208">
        <f t="shared" si="25"/>
        <v>3</v>
      </c>
      <c r="BU5" s="208">
        <f t="shared" si="26"/>
        <v>0</v>
      </c>
      <c r="BV5" s="208">
        <f t="shared" si="27"/>
        <v>0</v>
      </c>
      <c r="BW5" s="208">
        <f t="shared" si="28"/>
        <v>0</v>
      </c>
      <c r="BX5" s="208">
        <f t="shared" si="29"/>
        <v>0</v>
      </c>
      <c r="BY5" s="208" t="str">
        <f t="shared" si="30"/>
        <v>2/2/2</v>
      </c>
      <c r="BZ5" s="208">
        <f t="shared" si="31"/>
        <v>2</v>
      </c>
      <c r="CA5" s="208">
        <f t="shared" si="32"/>
        <v>2</v>
      </c>
      <c r="CB5" s="208">
        <f t="shared" si="33"/>
        <v>2</v>
      </c>
      <c r="CC5" s="208">
        <f t="shared" si="34"/>
        <v>0</v>
      </c>
      <c r="CD5" s="208">
        <f t="shared" si="35"/>
        <v>0</v>
      </c>
      <c r="CE5" s="208">
        <f t="shared" si="36"/>
        <v>0</v>
      </c>
      <c r="CF5" s="208" t="str">
        <f t="shared" si="37"/>
        <v>1/1/1</v>
      </c>
      <c r="CG5" s="208">
        <f t="shared" si="38"/>
        <v>1</v>
      </c>
      <c r="CH5" s="208">
        <f t="shared" si="39"/>
        <v>1</v>
      </c>
      <c r="CI5" s="208">
        <f t="shared" si="40"/>
        <v>1</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60/60/60</v>
      </c>
      <c r="DP5" s="208">
        <f t="shared" si="73"/>
        <v>60</v>
      </c>
      <c r="DQ5" s="208">
        <f t="shared" si="74"/>
        <v>60</v>
      </c>
      <c r="DR5" s="208">
        <f t="shared" si="75"/>
        <v>60</v>
      </c>
      <c r="DS5" s="208">
        <f t="shared" si="76"/>
        <v>0</v>
      </c>
      <c r="DT5" s="208">
        <f t="shared" si="77"/>
        <v>0</v>
      </c>
      <c r="DU5" s="208">
        <f t="shared" si="78"/>
        <v>0</v>
      </c>
      <c r="DV5" s="208" t="str">
        <f t="shared" si="79"/>
        <v>60W/ 60W/ 60W</v>
      </c>
      <c r="DW5" s="208">
        <f t="shared" si="80"/>
        <v>60</v>
      </c>
      <c r="DX5" s="208" t="str">
        <f t="shared" si="81"/>
        <v>60/60/60</v>
      </c>
      <c r="DY5" s="208">
        <f t="shared" si="82"/>
        <v>60</v>
      </c>
      <c r="DZ5" s="208">
        <f t="shared" si="83"/>
        <v>60</v>
      </c>
      <c r="EA5" s="208">
        <f t="shared" si="84"/>
        <v>60</v>
      </c>
      <c r="EB5" s="208">
        <f t="shared" si="85"/>
        <v>0</v>
      </c>
      <c r="EC5" s="208">
        <f t="shared" si="86"/>
        <v>0</v>
      </c>
      <c r="ED5" s="208">
        <f t="shared" si="87"/>
        <v>0</v>
      </c>
      <c r="EE5" s="208" t="str">
        <f t="shared" si="88"/>
        <v>60W/ 60W/ 60W</v>
      </c>
      <c r="EF5" s="208">
        <f t="shared" si="89"/>
        <v>60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60</v>
      </c>
      <c r="FR5" s="208" t="str">
        <f t="shared" si="127"/>
        <v>2100</v>
      </c>
      <c r="FS5" s="208" t="str">
        <f t="shared" si="128"/>
        <v>1800</v>
      </c>
      <c r="FT5" s="208" t="str">
        <f t="shared" si="129"/>
      </c>
      <c r="FU5" s="208" t="str">
        <f t="shared" si="130"/>
      </c>
      <c r="FV5" s="208" t="str">
        <f t="shared" si="131"/>
      </c>
      <c r="FW5" s="208" t="str">
        <f t="shared" si="132"/>
      </c>
      <c r="FX5" s="208" t="str">
        <f t="shared" si="133"/>
        <v>16,5/16,5/16,5</v>
      </c>
      <c r="FY5" s="208">
        <f t="shared" si="134"/>
        <v>16.5</v>
      </c>
      <c r="FZ5" s="208">
        <f t="shared" si="135"/>
        <v>16.5</v>
      </c>
      <c r="GA5" s="208">
        <f t="shared" si="136"/>
        <v>16.5</v>
      </c>
      <c r="GB5" s="208">
        <f t="shared" si="137"/>
        <v>0</v>
      </c>
      <c r="GC5" s="208">
        <f t="shared" si="138"/>
        <v>0</v>
      </c>
      <c r="GD5" s="208">
        <f t="shared" si="139"/>
        <v>0</v>
      </c>
      <c r="GE5" s="208" t="str">
        <f t="shared" si="140"/>
        <v>16,5m/ 16,5m/ 16,5m</v>
      </c>
      <c r="GF5" s="208" t="str">
        <f t="shared" si="141"/>
        <v>16,5/16,5/16,5</v>
      </c>
      <c r="GG5" s="208">
        <f t="shared" si="142"/>
        <v>16.5</v>
      </c>
      <c r="GH5" s="208">
        <f t="shared" si="143"/>
        <v>16.5</v>
      </c>
      <c r="GI5" s="208">
        <f t="shared" si="144"/>
        <v>16.5</v>
      </c>
      <c r="GJ5" s="208">
        <f t="shared" si="145"/>
        <v>0</v>
      </c>
      <c r="GK5" s="208">
        <f t="shared" si="146"/>
        <v>0</v>
      </c>
      <c r="GL5" s="208">
        <f t="shared" si="147"/>
        <v>0</v>
      </c>
      <c r="GM5" s="208" t="str">
        <f t="shared" si="148"/>
        <v>16,5m/ 16,5m/ 16,5m</v>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16.5</v>
      </c>
      <c r="HV5" s="208">
        <f t="shared" si="182"/>
        <v>16.5</v>
      </c>
      <c r="HW5" s="208">
        <f t="shared" si="183"/>
        <v>0</v>
      </c>
      <c r="HX5" s="208">
        <f t="shared" si="184"/>
        <v>0</v>
      </c>
      <c r="HY5" s="208">
        <f t="shared" si="185"/>
        <v>0</v>
      </c>
      <c r="HZ5" s="208">
        <f t="shared" si="186"/>
        <v>0</v>
      </c>
      <c r="IA5" s="207">
        <f t="shared" si="187"/>
        <v>16.5</v>
      </c>
      <c r="IB5" s="207">
        <f t="shared" si="188"/>
        <v>4.5</v>
      </c>
      <c r="IC5" s="343" t="str">
        <f t="shared" si="189"/>
        <v>A</v>
      </c>
      <c r="ID5" s="343" t="str">
        <f t="shared" si="190"/>
        <v>03985</v>
      </c>
      <c r="IE5" s="343" t="str">
        <f t="shared" si="191"/>
        <v>181019</v>
      </c>
      <c r="IF5" s="343" t="str">
        <f t="shared" si="192"/>
        <v>TG05</v>
      </c>
      <c r="IG5" s="383">
        <f t="shared" si="193"/>
        <v>43756</v>
      </c>
      <c r="IH5" s="383">
        <f t="shared" si="194"/>
        <v>45583</v>
      </c>
      <c r="II5" s="208">
        <v>37</v>
      </c>
    </row>
    <row r="6" ht="165.75">
      <c r="A6" s="207">
        <f>Input!A6</f>
        <v>4</v>
      </c>
      <c r="B6" s="343" t="str">
        <f> Profile!$A$3</f>
        <v>VINAPHONE</v>
      </c>
      <c r="C6" s="343" t="str">
        <f> Profile!$L$3</f>
        <v>VINAPHONE</v>
      </c>
      <c r="D6" s="207" t="str">
        <f>Input!B6</f>
        <v>DINH-THON-85-NTM_HNI</v>
      </c>
      <c r="E6" s="317" t="str">
        <f>Input!C6</f>
        <v>Số 85, đường Đình Thôn, phường Mỹ Đình 1, quận Nam Từ Liêm, thành phố Hà Nội</v>
      </c>
      <c r="F6" s="207" t="str">
        <f>Input!D6</f>
        <v>Hà Nội</v>
      </c>
      <c r="G6" s="207">
        <f>Input!E6</f>
        <v>105.77749</v>
      </c>
      <c r="H6" s="207">
        <f>Input!F6</f>
        <v>21.019984</v>
      </c>
      <c r="I6" s="207">
        <f>Input!G6</f>
        <v>1</v>
      </c>
      <c r="J6" s="207">
        <f>Input!H6</f>
        <v>2</v>
      </c>
      <c r="K6" s="207" t="str">
        <f t="shared" si="0"/>
        <v>TỔNG CÔNG TY HẠ TẦNG MẠNG;TỔNG CÔNG TY HẠ TẦNG MẠNG</v>
      </c>
      <c r="L6" s="207" t="str">
        <f>Input!J6</f>
        <v>DINH-THON-85-NTM_HNI;DINH-THON-85-NTM_HNI</v>
      </c>
      <c r="M6" s="207" t="str">
        <f>Input!K6</f>
        <v>NOKIA FLEXI MULTIRADIO BTS RADIO MODULE AND REMOTE RADIO (FRGY);NOKIA FLEXI MULTIRADIO BTS RADIO MODULE AND REMOTE RADIO (FHEL)</v>
      </c>
      <c r="N6" s="207" t="str">
        <f>Input!L6</f>
        <v>3;3</v>
      </c>
      <c r="O6" s="207" t="str">
        <f>Input!M6</f>
        <v>2/2/2;1/1/1</v>
      </c>
      <c r="P6" s="207" t="str">
        <f>Input!N6</f>
        <v>60/60/60;60/60/60</v>
      </c>
      <c r="Q6" s="207" t="str">
        <f>Input!O6</f>
        <v>2100;1800</v>
      </c>
      <c r="R6" s="207" t="str">
        <f>Input!P6</f>
        <v>38/38/38;38/38/38</v>
      </c>
      <c r="S6" s="364" t="b">
        <f>Input!Q6</f>
        <v>1</v>
      </c>
      <c r="T6" s="207" t="str">
        <f>Input!R6</f>
        <v>A03986181019TG05</v>
      </c>
      <c r="U6" s="207">
        <f>Input!S6</f>
        <v>0</v>
      </c>
      <c r="V6" s="207" t="str">
        <f>Input!T6</f>
        <v>VCC1</v>
      </c>
      <c r="W6" s="207" t="str">
        <f>Input!U6</f>
        <v>1903229/19/TG/TT1</v>
      </c>
      <c r="X6" s="209" t="str">
        <f>TEXT(Input!V6,"dd/mm/yyyy")</f>
        <v>18/10/2019</v>
      </c>
      <c r="Y6" s="207" t="b">
        <f>Input!W6</f>
        <v>0</v>
      </c>
      <c r="Z6" s="364" t="b">
        <f>Input!X6</f>
        <v>0</v>
      </c>
      <c r="AA6" s="207">
        <f t="shared" si="1"/>
        <v>38</v>
      </c>
      <c r="AB6" s="364" t="b">
        <f>Input!Y6</f>
        <v>1</v>
      </c>
      <c r="AC6" s="207">
        <f>VALUE(Input!Z6)</f>
        <v>36</v>
      </c>
      <c r="AD6" s="207" t="b">
        <f>Input!AA6</f>
        <v>0</v>
      </c>
      <c r="AE6" s="207" t="str">
        <f>Input!AB6</f>
        <v>Vũ Văn Giáp</v>
      </c>
      <c r="AF6" s="207" t="str">
        <f>Input!AC6</f>
        <v>Lê Tiến Cường</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Tổng Công ty Hạ tầng mạng</v>
      </c>
      <c r="AN6" s="208" t="str">
        <f>INDEX(OperatorNameList,MATCH(C6,OperatorIDList,0))</f>
        <v>TỔNG CÔNG TY HẠ TẦNG MẠNG</v>
      </c>
      <c r="AO6" s="207">
        <f t="shared" si="2"/>
        <v>4</v>
      </c>
      <c r="AP6" s="287" t="str">
        <f t="shared" si="3"/>
        <v>thành phố Hà Nội</v>
      </c>
      <c r="AQ6" s="448" t="str">
        <f t="shared" si="4"/>
        <v>quận Nam Từ Liêm</v>
      </c>
      <c r="AR6" s="448" t="str">
        <f t="shared" si="5"/>
        <v>phường Mỹ Đình 1</v>
      </c>
      <c r="AS6" s="449" t="str">
        <f>INDEX(CityIDList,MATCH(F6,CityNameList,0))</f>
        <v>HNI</v>
      </c>
      <c r="AT6" s="208" t="str">
        <f>IF(J6&gt;=1,INDEX(OperatorNameList,MATCH(AZ6,OperatorIDList,0)),"")</f>
        <v>TỔNG CÔNG TY HẠ TẦNG MẠNG</v>
      </c>
      <c r="AU6" s="208" t="str">
        <f>IF(J6&gt;=2,INDEX(OperatorNameList,MATCH(BA6,OperatorIDList,0)),"")</f>
        <v>TỔNG CÔNG TY HẠ TẦNG MẠNG</v>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VINAPHONE</v>
      </c>
      <c r="BA6" s="208" t="str">
        <f t="shared" si="7"/>
        <v>VINAPHONE</v>
      </c>
      <c r="BB6" s="208" t="str">
        <f t="shared" si="8"/>
      </c>
      <c r="BC6" s="208" t="str">
        <f t="shared" si="9"/>
      </c>
      <c r="BD6" s="208" t="str">
        <f t="shared" si="10"/>
      </c>
      <c r="BE6" s="208" t="str">
        <f t="shared" si="11"/>
      </c>
      <c r="BF6" s="208" t="str">
        <f>Input!I6</f>
        <v>VINAPHONE;VINAPHONE</v>
      </c>
      <c r="BG6" s="208" t="str">
        <f t="shared" si="12"/>
        <v>DINH-THON-85-NTM_HNI</v>
      </c>
      <c r="BH6" s="208" t="str">
        <f t="shared" si="13"/>
        <v>DINH-THON-85-NTM_HNI</v>
      </c>
      <c r="BI6" s="208" t="str">
        <f t="shared" si="14"/>
      </c>
      <c r="BJ6" s="208" t="str">
        <f t="shared" si="15"/>
      </c>
      <c r="BK6" s="208" t="str">
        <f t="shared" si="16"/>
      </c>
      <c r="BL6" s="208" t="str">
        <f t="shared" si="17"/>
      </c>
      <c r="BM6" s="208" t="str">
        <f t="shared" si="18"/>
        <v>NOKIA FLEXI MULTIRADIO BTS RADIO MODULE AND REMOTE RADIO (FRGY)</v>
      </c>
      <c r="BN6" s="208" t="str">
        <f t="shared" si="19"/>
        <v>NOKIA FLEXI MULTIRADIO BTS RADIO MODULE AND REMOTE RADIO (FHEL)</v>
      </c>
      <c r="BO6" s="208" t="str">
        <f t="shared" si="20"/>
      </c>
      <c r="BP6" s="208" t="str">
        <f t="shared" si="21"/>
      </c>
      <c r="BQ6" s="208" t="str">
        <f t="shared" si="22"/>
      </c>
      <c r="BR6" s="208" t="str">
        <f t="shared" si="23"/>
      </c>
      <c r="BS6" s="208">
        <f t="shared" si="24"/>
        <v>3</v>
      </c>
      <c r="BT6" s="208">
        <f t="shared" si="25"/>
        <v>3</v>
      </c>
      <c r="BU6" s="208">
        <f t="shared" si="26"/>
        <v>0</v>
      </c>
      <c r="BV6" s="208">
        <f t="shared" si="27"/>
        <v>0</v>
      </c>
      <c r="BW6" s="208">
        <f t="shared" si="28"/>
        <v>0</v>
      </c>
      <c r="BX6" s="208">
        <f t="shared" si="29"/>
        <v>0</v>
      </c>
      <c r="BY6" s="208" t="str">
        <f t="shared" si="30"/>
        <v>2/2/2</v>
      </c>
      <c r="BZ6" s="208">
        <f t="shared" si="31"/>
        <v>2</v>
      </c>
      <c r="CA6" s="208">
        <f t="shared" si="32"/>
        <v>2</v>
      </c>
      <c r="CB6" s="208">
        <f t="shared" si="33"/>
        <v>2</v>
      </c>
      <c r="CC6" s="208">
        <f t="shared" si="34"/>
        <v>0</v>
      </c>
      <c r="CD6" s="208">
        <f t="shared" si="35"/>
        <v>0</v>
      </c>
      <c r="CE6" s="208">
        <f t="shared" si="36"/>
        <v>0</v>
      </c>
      <c r="CF6" s="208" t="str">
        <f t="shared" si="37"/>
        <v>1/1/1</v>
      </c>
      <c r="CG6" s="208">
        <f t="shared" si="38"/>
        <v>1</v>
      </c>
      <c r="CH6" s="208">
        <f t="shared" si="39"/>
        <v>1</v>
      </c>
      <c r="CI6" s="208">
        <f t="shared" si="40"/>
        <v>1</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60/60/60</v>
      </c>
      <c r="DP6" s="208">
        <f t="shared" si="73"/>
        <v>60</v>
      </c>
      <c r="DQ6" s="208">
        <f t="shared" si="74"/>
        <v>60</v>
      </c>
      <c r="DR6" s="208">
        <f t="shared" si="75"/>
        <v>60</v>
      </c>
      <c r="DS6" s="208">
        <f t="shared" si="76"/>
        <v>0</v>
      </c>
      <c r="DT6" s="208">
        <f t="shared" si="77"/>
        <v>0</v>
      </c>
      <c r="DU6" s="208">
        <f t="shared" si="78"/>
        <v>0</v>
      </c>
      <c r="DV6" s="208" t="str">
        <f t="shared" si="79"/>
        <v>60W/ 60W/ 60W</v>
      </c>
      <c r="DW6" s="208">
        <f t="shared" si="80"/>
        <v>60</v>
      </c>
      <c r="DX6" s="208" t="str">
        <f t="shared" si="81"/>
        <v>60/60/60</v>
      </c>
      <c r="DY6" s="208">
        <f t="shared" si="82"/>
        <v>60</v>
      </c>
      <c r="DZ6" s="208">
        <f t="shared" si="83"/>
        <v>60</v>
      </c>
      <c r="EA6" s="208">
        <f t="shared" si="84"/>
        <v>60</v>
      </c>
      <c r="EB6" s="208">
        <f t="shared" si="85"/>
        <v>0</v>
      </c>
      <c r="EC6" s="208">
        <f t="shared" si="86"/>
        <v>0</v>
      </c>
      <c r="ED6" s="208">
        <f t="shared" si="87"/>
        <v>0</v>
      </c>
      <c r="EE6" s="208" t="str">
        <f t="shared" si="88"/>
        <v>60W/ 60W/ 60W</v>
      </c>
      <c r="EF6" s="208">
        <f t="shared" si="89"/>
        <v>60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60</v>
      </c>
      <c r="FR6" s="208" t="str">
        <f t="shared" si="127"/>
        <v>2100</v>
      </c>
      <c r="FS6" s="208" t="str">
        <f t="shared" si="128"/>
        <v>1800</v>
      </c>
      <c r="FT6" s="208" t="str">
        <f t="shared" si="129"/>
      </c>
      <c r="FU6" s="208" t="str">
        <f t="shared" si="130"/>
      </c>
      <c r="FV6" s="208" t="str">
        <f t="shared" si="131"/>
      </c>
      <c r="FW6" s="208" t="str">
        <f t="shared" si="132"/>
      </c>
      <c r="FX6" s="208" t="str">
        <f t="shared" si="133"/>
        <v>38/38/38</v>
      </c>
      <c r="FY6" s="208">
        <f t="shared" si="134"/>
        <v>38</v>
      </c>
      <c r="FZ6" s="208">
        <f t="shared" si="135"/>
        <v>38</v>
      </c>
      <c r="GA6" s="208">
        <f t="shared" si="136"/>
        <v>38</v>
      </c>
      <c r="GB6" s="208">
        <f t="shared" si="137"/>
        <v>0</v>
      </c>
      <c r="GC6" s="208">
        <f t="shared" si="138"/>
        <v>0</v>
      </c>
      <c r="GD6" s="208">
        <f t="shared" si="139"/>
        <v>0</v>
      </c>
      <c r="GE6" s="208" t="str">
        <f t="shared" si="140"/>
        <v>38m/ 38m/ 38m</v>
      </c>
      <c r="GF6" s="208" t="str">
        <f t="shared" si="141"/>
        <v>38/38/38</v>
      </c>
      <c r="GG6" s="208">
        <f t="shared" si="142"/>
        <v>38</v>
      </c>
      <c r="GH6" s="208">
        <f t="shared" si="143"/>
        <v>38</v>
      </c>
      <c r="GI6" s="208">
        <f t="shared" si="144"/>
        <v>38</v>
      </c>
      <c r="GJ6" s="208">
        <f t="shared" si="145"/>
        <v>0</v>
      </c>
      <c r="GK6" s="208">
        <f t="shared" si="146"/>
        <v>0</v>
      </c>
      <c r="GL6" s="208">
        <f t="shared" si="147"/>
        <v>0</v>
      </c>
      <c r="GM6" s="208" t="str">
        <f t="shared" si="148"/>
        <v>38m/ 38m/ 38m</v>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38</v>
      </c>
      <c r="HV6" s="208">
        <f t="shared" si="182"/>
        <v>38</v>
      </c>
      <c r="HW6" s="208">
        <f t="shared" si="183"/>
        <v>0</v>
      </c>
      <c r="HX6" s="208">
        <f t="shared" si="184"/>
        <v>0</v>
      </c>
      <c r="HY6" s="208">
        <f t="shared" si="185"/>
        <v>0</v>
      </c>
      <c r="HZ6" s="208">
        <f t="shared" si="186"/>
        <v>0</v>
      </c>
      <c r="IA6" s="207">
        <f t="shared" si="187"/>
        <v>38</v>
      </c>
      <c r="IB6" s="207">
        <f t="shared" si="188"/>
        <v>2</v>
      </c>
      <c r="IC6" s="343" t="str">
        <f t="shared" si="189"/>
        <v>A</v>
      </c>
      <c r="ID6" s="343" t="str">
        <f t="shared" si="190"/>
        <v>03986</v>
      </c>
      <c r="IE6" s="343" t="str">
        <f t="shared" si="191"/>
        <v>181019</v>
      </c>
      <c r="IF6" s="343" t="str">
        <f t="shared" si="192"/>
        <v>TG05</v>
      </c>
      <c r="IG6" s="383">
        <f t="shared" si="193"/>
        <v>43756</v>
      </c>
      <c r="IH6" s="383">
        <f t="shared" si="194"/>
        <v>45583</v>
      </c>
      <c r="II6" s="208">
        <v>37</v>
      </c>
    </row>
    <row r="7" ht="165.75">
      <c r="A7" s="207">
        <f>Input!A7</f>
        <v>5</v>
      </c>
      <c r="B7" s="343" t="str">
        <f> Profile!$A$3</f>
        <v>VINAPHONE</v>
      </c>
      <c r="C7" s="343" t="str">
        <f> Profile!$L$3</f>
        <v>VINAPHONE</v>
      </c>
      <c r="D7" s="207" t="str">
        <f>Input!B7</f>
        <v>DN3-CT4-SUDICO-NTL_HNI</v>
      </c>
      <c r="E7" s="317" t="str">
        <f>Input!C7</f>
        <v>Tòa nhà CT4, khu đô thị Mỹ Đình-Sông Đà, phường Mỹ Đình 1, quận Nam Từ Liêm, thành phố Hà Nội</v>
      </c>
      <c r="F7" s="207" t="str">
        <f>Input!D7</f>
        <v>Hà Nội</v>
      </c>
      <c r="G7" s="207">
        <f>Input!E7</f>
        <v>105.775795</v>
      </c>
      <c r="H7" s="207">
        <f>Input!F7</f>
        <v>21.017797</v>
      </c>
      <c r="I7" s="207">
        <f>Input!G7</f>
        <v>1</v>
      </c>
      <c r="J7" s="207">
        <f>Input!H7</f>
        <v>2</v>
      </c>
      <c r="K7" s="207" t="str">
        <f t="shared" si="0"/>
        <v>TỔNG CÔNG TY HẠ TẦNG MẠNG;TỔNG CÔNG TY HẠ TẦNG MẠNG</v>
      </c>
      <c r="L7" s="207" t="str">
        <f>Input!J7</f>
        <v>DN3-CT4-SUDICO-NTL_HNI;DN3-CT4-SUDICO-NTL_HNI</v>
      </c>
      <c r="M7" s="207" t="str">
        <f>Input!K7</f>
        <v>NOKIA FLEXI MULTIRADIO BTS RADIO MODULE AND REMOTE RADIO (FRGY);NOKIA FLEXI MULTIRADIO BTS RADIO MODULE AND REMOTE RADIO (FHEL)</v>
      </c>
      <c r="N7" s="207" t="str">
        <f>Input!L7</f>
        <v>3;3</v>
      </c>
      <c r="O7" s="207" t="str">
        <f>Input!M7</f>
        <v>2/2/2;1/1/1</v>
      </c>
      <c r="P7" s="207" t="str">
        <f>Input!N7</f>
        <v>60/60/60;60/60/60</v>
      </c>
      <c r="Q7" s="207" t="str">
        <f>Input!O7</f>
        <v>2100;1800</v>
      </c>
      <c r="R7" s="207" t="str">
        <f>Input!P7</f>
        <v>42,5/42,5/42,5;42,5/42,5/42,5</v>
      </c>
      <c r="S7" s="364" t="b">
        <f>Input!Q7</f>
        <v>1</v>
      </c>
      <c r="T7" s="207" t="str">
        <f>Input!R7</f>
        <v>A03987181019TG05</v>
      </c>
      <c r="U7" s="207">
        <f>Input!S7</f>
        <v>0</v>
      </c>
      <c r="V7" s="207" t="str">
        <f>Input!T7</f>
        <v>VCC1</v>
      </c>
      <c r="W7" s="207" t="str">
        <f>Input!U7</f>
        <v>1903225/19/TG/TT1</v>
      </c>
      <c r="X7" s="209" t="str">
        <f>TEXT(Input!V7,"dd/mm/yyyy")</f>
        <v>18/10/2019</v>
      </c>
      <c r="Y7" s="207" t="b">
        <f>Input!W7</f>
        <v>0</v>
      </c>
      <c r="Z7" s="364" t="b">
        <f>Input!X7</f>
        <v>0</v>
      </c>
      <c r="AA7" s="207">
        <f t="shared" si="1"/>
        <v>42.5</v>
      </c>
      <c r="AB7" s="364" t="b">
        <f>Input!Y7</f>
        <v>1</v>
      </c>
      <c r="AC7" s="207">
        <f>VALUE(Input!Z7)</f>
        <v>40</v>
      </c>
      <c r="AD7" s="207" t="b">
        <f>Input!AA7</f>
        <v>0</v>
      </c>
      <c r="AE7" s="207" t="str">
        <f>Input!AB7</f>
        <v>Vũ Văn Giáp</v>
      </c>
      <c r="AF7" s="207" t="str">
        <f>Input!AC7</f>
        <v>Lê Tiến Cường</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Tổng Công ty Hạ tầng mạng</v>
      </c>
      <c r="AN7" s="208" t="str">
        <f>INDEX(OperatorNameList,MATCH(C7,OperatorIDList,0))</f>
        <v>TỔNG CÔNG TY HẠ TẦNG MẠNG</v>
      </c>
      <c r="AO7" s="207">
        <f t="shared" si="2"/>
        <v>4</v>
      </c>
      <c r="AP7" s="287" t="str">
        <f t="shared" si="3"/>
        <v>thành phố Hà Nội</v>
      </c>
      <c r="AQ7" s="448" t="str">
        <f t="shared" si="4"/>
        <v>quận Nam Từ Liêm</v>
      </c>
      <c r="AR7" s="448" t="str">
        <f t="shared" si="5"/>
        <v>phường Mỹ Đình 1</v>
      </c>
      <c r="AS7" s="449" t="str">
        <f>INDEX(CityIDList,MATCH(F7,CityNameList,0))</f>
        <v>HNI</v>
      </c>
      <c r="AT7" s="208" t="str">
        <f>IF(J7&gt;=1,INDEX(OperatorNameList,MATCH(AZ7,OperatorIDList,0)),"")</f>
        <v>TỔNG CÔNG TY HẠ TẦNG MẠNG</v>
      </c>
      <c r="AU7" s="208" t="str">
        <f>IF(J7&gt;=2,INDEX(OperatorNameList,MATCH(BA7,OperatorIDList,0)),"")</f>
        <v>TỔNG CÔNG TY HẠ TẦNG MẠNG</v>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VINAPHONE</v>
      </c>
      <c r="BA7" s="208" t="str">
        <f t="shared" si="7"/>
        <v>VINAPHONE</v>
      </c>
      <c r="BB7" s="208" t="str">
        <f t="shared" si="8"/>
      </c>
      <c r="BC7" s="208" t="str">
        <f t="shared" si="9"/>
      </c>
      <c r="BD7" s="208" t="str">
        <f t="shared" si="10"/>
      </c>
      <c r="BE7" s="208" t="str">
        <f t="shared" si="11"/>
      </c>
      <c r="BF7" s="208" t="str">
        <f>Input!I7</f>
        <v>VINAPHONE;VINAPHONE</v>
      </c>
      <c r="BG7" s="208" t="str">
        <f t="shared" si="12"/>
        <v>DN3-CT4-SUDICO-NTL_HNI</v>
      </c>
      <c r="BH7" s="208" t="str">
        <f t="shared" si="13"/>
        <v>DN3-CT4-SUDICO-NTL_HNI</v>
      </c>
      <c r="BI7" s="208" t="str">
        <f t="shared" si="14"/>
      </c>
      <c r="BJ7" s="208" t="str">
        <f t="shared" si="15"/>
      </c>
      <c r="BK7" s="208" t="str">
        <f t="shared" si="16"/>
      </c>
      <c r="BL7" s="208" t="str">
        <f t="shared" si="17"/>
      </c>
      <c r="BM7" s="208" t="str">
        <f t="shared" si="18"/>
        <v>NOKIA FLEXI MULTIRADIO BTS RADIO MODULE AND REMOTE RADIO (FRGY)</v>
      </c>
      <c r="BN7" s="208" t="str">
        <f t="shared" si="19"/>
        <v>NOKIA FLEXI MULTIRADIO BTS RADIO MODULE AND REMOTE RADIO (FHEL)</v>
      </c>
      <c r="BO7" s="208" t="str">
        <f t="shared" si="20"/>
      </c>
      <c r="BP7" s="208" t="str">
        <f t="shared" si="21"/>
      </c>
      <c r="BQ7" s="208" t="str">
        <f t="shared" si="22"/>
      </c>
      <c r="BR7" s="208" t="str">
        <f t="shared" si="23"/>
      </c>
      <c r="BS7" s="208">
        <f t="shared" si="24"/>
        <v>3</v>
      </c>
      <c r="BT7" s="208">
        <f t="shared" si="25"/>
        <v>3</v>
      </c>
      <c r="BU7" s="208">
        <f t="shared" si="26"/>
        <v>0</v>
      </c>
      <c r="BV7" s="208">
        <f t="shared" si="27"/>
        <v>0</v>
      </c>
      <c r="BW7" s="208">
        <f t="shared" si="28"/>
        <v>0</v>
      </c>
      <c r="BX7" s="208">
        <f t="shared" si="29"/>
        <v>0</v>
      </c>
      <c r="BY7" s="208" t="str">
        <f t="shared" si="30"/>
        <v>2/2/2</v>
      </c>
      <c r="BZ7" s="208">
        <f t="shared" si="31"/>
        <v>2</v>
      </c>
      <c r="CA7" s="208">
        <f t="shared" si="32"/>
        <v>2</v>
      </c>
      <c r="CB7" s="208">
        <f t="shared" si="33"/>
        <v>2</v>
      </c>
      <c r="CC7" s="208">
        <f t="shared" si="34"/>
        <v>0</v>
      </c>
      <c r="CD7" s="208">
        <f t="shared" si="35"/>
        <v>0</v>
      </c>
      <c r="CE7" s="208">
        <f t="shared" si="36"/>
        <v>0</v>
      </c>
      <c r="CF7" s="208" t="str">
        <f t="shared" si="37"/>
        <v>1/1/1</v>
      </c>
      <c r="CG7" s="208">
        <f t="shared" si="38"/>
        <v>1</v>
      </c>
      <c r="CH7" s="208">
        <f t="shared" si="39"/>
        <v>1</v>
      </c>
      <c r="CI7" s="208">
        <f t="shared" si="40"/>
        <v>1</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60/60/60</v>
      </c>
      <c r="DP7" s="208">
        <f t="shared" si="73"/>
        <v>60</v>
      </c>
      <c r="DQ7" s="208">
        <f t="shared" si="74"/>
        <v>60</v>
      </c>
      <c r="DR7" s="208">
        <f t="shared" si="75"/>
        <v>60</v>
      </c>
      <c r="DS7" s="208">
        <f t="shared" si="76"/>
        <v>0</v>
      </c>
      <c r="DT7" s="208">
        <f t="shared" si="77"/>
        <v>0</v>
      </c>
      <c r="DU7" s="208">
        <f t="shared" si="78"/>
        <v>0</v>
      </c>
      <c r="DV7" s="208" t="str">
        <f t="shared" si="79"/>
        <v>60W/ 60W/ 60W</v>
      </c>
      <c r="DW7" s="208">
        <f t="shared" si="80"/>
        <v>60</v>
      </c>
      <c r="DX7" s="208" t="str">
        <f t="shared" si="81"/>
        <v>60/60/60</v>
      </c>
      <c r="DY7" s="208">
        <f t="shared" si="82"/>
        <v>60</v>
      </c>
      <c r="DZ7" s="208">
        <f t="shared" si="83"/>
        <v>60</v>
      </c>
      <c r="EA7" s="208">
        <f t="shared" si="84"/>
        <v>60</v>
      </c>
      <c r="EB7" s="208">
        <f t="shared" si="85"/>
        <v>0</v>
      </c>
      <c r="EC7" s="208">
        <f t="shared" si="86"/>
        <v>0</v>
      </c>
      <c r="ED7" s="208">
        <f t="shared" si="87"/>
        <v>0</v>
      </c>
      <c r="EE7" s="208" t="str">
        <f t="shared" si="88"/>
        <v>60W/ 60W/ 60W</v>
      </c>
      <c r="EF7" s="208">
        <f t="shared" si="89"/>
        <v>60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60</v>
      </c>
      <c r="FR7" s="208" t="str">
        <f t="shared" si="127"/>
        <v>2100</v>
      </c>
      <c r="FS7" s="208" t="str">
        <f t="shared" si="128"/>
        <v>1800</v>
      </c>
      <c r="FT7" s="208" t="str">
        <f t="shared" si="129"/>
      </c>
      <c r="FU7" s="208" t="str">
        <f t="shared" si="130"/>
      </c>
      <c r="FV7" s="208" t="str">
        <f t="shared" si="131"/>
      </c>
      <c r="FW7" s="208" t="str">
        <f t="shared" si="132"/>
      </c>
      <c r="FX7" s="208" t="str">
        <f t="shared" si="133"/>
        <v>42,5/42,5/42,5</v>
      </c>
      <c r="FY7" s="208">
        <f t="shared" si="134"/>
        <v>42.5</v>
      </c>
      <c r="FZ7" s="208">
        <f t="shared" si="135"/>
        <v>42.5</v>
      </c>
      <c r="GA7" s="208">
        <f t="shared" si="136"/>
        <v>42.5</v>
      </c>
      <c r="GB7" s="208">
        <f t="shared" si="137"/>
        <v>0</v>
      </c>
      <c r="GC7" s="208">
        <f t="shared" si="138"/>
        <v>0</v>
      </c>
      <c r="GD7" s="208">
        <f t="shared" si="139"/>
        <v>0</v>
      </c>
      <c r="GE7" s="208" t="str">
        <f t="shared" si="140"/>
        <v>42,5m/ 42,5m/ 42,5m</v>
      </c>
      <c r="GF7" s="208" t="str">
        <f t="shared" si="141"/>
        <v>42,5/42,5/42,5</v>
      </c>
      <c r="GG7" s="208">
        <f t="shared" si="142"/>
        <v>42.5</v>
      </c>
      <c r="GH7" s="208">
        <f t="shared" si="143"/>
        <v>42.5</v>
      </c>
      <c r="GI7" s="208">
        <f t="shared" si="144"/>
        <v>42.5</v>
      </c>
      <c r="GJ7" s="208">
        <f t="shared" si="145"/>
        <v>0</v>
      </c>
      <c r="GK7" s="208">
        <f t="shared" si="146"/>
        <v>0</v>
      </c>
      <c r="GL7" s="208">
        <f t="shared" si="147"/>
        <v>0</v>
      </c>
      <c r="GM7" s="208" t="str">
        <f t="shared" si="148"/>
        <v>42,5m/ 42,5m/ 42,5m</v>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42.5</v>
      </c>
      <c r="HV7" s="208">
        <f t="shared" si="182"/>
        <v>42.5</v>
      </c>
      <c r="HW7" s="208">
        <f t="shared" si="183"/>
        <v>0</v>
      </c>
      <c r="HX7" s="208">
        <f t="shared" si="184"/>
        <v>0</v>
      </c>
      <c r="HY7" s="208">
        <f t="shared" si="185"/>
        <v>0</v>
      </c>
      <c r="HZ7" s="208">
        <f t="shared" si="186"/>
        <v>0</v>
      </c>
      <c r="IA7" s="207">
        <f t="shared" si="187"/>
        <v>42.5</v>
      </c>
      <c r="IB7" s="207">
        <f t="shared" si="188"/>
        <v>2.5</v>
      </c>
      <c r="IC7" s="343" t="str">
        <f t="shared" si="189"/>
        <v>A</v>
      </c>
      <c r="ID7" s="343" t="str">
        <f t="shared" si="190"/>
        <v>03987</v>
      </c>
      <c r="IE7" s="343" t="str">
        <f t="shared" si="191"/>
        <v>181019</v>
      </c>
      <c r="IF7" s="343" t="str">
        <f t="shared" si="192"/>
        <v>TG05</v>
      </c>
      <c r="IG7" s="383">
        <f t="shared" si="193"/>
        <v>43756</v>
      </c>
      <c r="IH7" s="383">
        <f t="shared" si="194"/>
        <v>45583</v>
      </c>
      <c r="II7" s="208">
        <v>37</v>
      </c>
    </row>
    <row r="8" ht="165.75">
      <c r="A8" s="207">
        <f>Input!A8</f>
        <v>6</v>
      </c>
      <c r="B8" s="343" t="str">
        <f> Profile!$A$3</f>
        <v>VINAPHONE</v>
      </c>
      <c r="C8" s="343" t="str">
        <f> Profile!$L$3</f>
        <v>VINAPHONE</v>
      </c>
      <c r="D8" s="207" t="str">
        <f>Input!B8</f>
        <v>ME-TRI-59-17-NTM_HNI</v>
      </c>
      <c r="E8" s="317" t="str">
        <f>Input!C8</f>
        <v>Số 17, ngõ 59/93, đường Đồng Me, phường Mễ Trì, quận Nam Từ Liêm, thành phố Hà Nội</v>
      </c>
      <c r="F8" s="207" t="str">
        <f>Input!D8</f>
        <v>Hà Nội</v>
      </c>
      <c r="G8" s="207">
        <f>Input!E8</f>
        <v>105.779681</v>
      </c>
      <c r="H8" s="207">
        <f>Input!F8</f>
        <v>21.011955</v>
      </c>
      <c r="I8" s="207">
        <f>Input!G8</f>
        <v>1</v>
      </c>
      <c r="J8" s="207">
        <f>Input!H8</f>
        <v>2</v>
      </c>
      <c r="K8" s="207" t="str">
        <f t="shared" si="0"/>
        <v>TỔNG CÔNG TY HẠ TẦNG MẠNG;TỔNG CÔNG TY HẠ TẦNG MẠNG</v>
      </c>
      <c r="L8" s="207" t="str">
        <f>Input!J8</f>
        <v>ME-TRI-59-17-NTM_HNI;ME-TRI-59-17-NTM_HNI</v>
      </c>
      <c r="M8" s="207" t="str">
        <f>Input!K8</f>
        <v>NOKIA FLEXI MULTIRADIO BTS RADIO MODULE AND REMOTE RADIO (FRGY);NOKIA FLEXI MULTIRADIO BTS RADIO MODULE AND REMOTE RADIO (FHEL)</v>
      </c>
      <c r="N8" s="207" t="str">
        <f>Input!L8</f>
        <v>3;3</v>
      </c>
      <c r="O8" s="207" t="str">
        <f>Input!M8</f>
        <v>2/2/2;1/1/1</v>
      </c>
      <c r="P8" s="207" t="str">
        <f>Input!N8</f>
        <v>60/60/60;60/60/60</v>
      </c>
      <c r="Q8" s="207" t="str">
        <f>Input!O8</f>
        <v>2100;1800</v>
      </c>
      <c r="R8" s="207" t="str">
        <f>Input!P8</f>
        <v>40/40/40;40/40/40</v>
      </c>
      <c r="S8" s="364" t="b">
        <f>Input!Q8</f>
        <v>1</v>
      </c>
      <c r="T8" s="207" t="str">
        <f>Input!R8</f>
        <v>A03988181019TG05</v>
      </c>
      <c r="U8" s="207">
        <f>Input!S8</f>
        <v>0</v>
      </c>
      <c r="V8" s="207" t="str">
        <f>Input!T8</f>
        <v>VCC1</v>
      </c>
      <c r="W8" s="207" t="str">
        <f>Input!U8</f>
        <v>1903232/19/TG/TT1</v>
      </c>
      <c r="X8" s="209" t="str">
        <f>TEXT(Input!V8,"dd/mm/yyyy")</f>
        <v>18/10/2019</v>
      </c>
      <c r="Y8" s="207" t="b">
        <f>Input!W8</f>
        <v>0</v>
      </c>
      <c r="Z8" s="364" t="b">
        <f>Input!X8</f>
        <v>0</v>
      </c>
      <c r="AA8" s="207">
        <f t="shared" si="1"/>
        <v>40</v>
      </c>
      <c r="AB8" s="364" t="b">
        <f>Input!Y8</f>
        <v>1</v>
      </c>
      <c r="AC8" s="207">
        <f>VALUE(Input!Z8)</f>
        <v>36</v>
      </c>
      <c r="AD8" s="207" t="b">
        <f>Input!AA8</f>
        <v>0</v>
      </c>
      <c r="AE8" s="207" t="str">
        <f>Input!AB8</f>
        <v>Vũ Văn Giáp</v>
      </c>
      <c r="AF8" s="207" t="str">
        <f>Input!AC8</f>
        <v>Lê Tiến Cường</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Tổng Công ty Hạ tầng mạng</v>
      </c>
      <c r="AN8" s="208" t="str">
        <f>INDEX(OperatorNameList,MATCH(C8,OperatorIDList,0))</f>
        <v>TỔNG CÔNG TY HẠ TẦNG MẠNG</v>
      </c>
      <c r="AO8" s="207">
        <f t="shared" si="2"/>
        <v>5</v>
      </c>
      <c r="AP8" s="287" t="str">
        <f t="shared" si="3"/>
        <v>thành phố Hà Nội</v>
      </c>
      <c r="AQ8" s="448" t="str">
        <f t="shared" si="4"/>
        <v>quận Nam Từ Liêm</v>
      </c>
      <c r="AR8" s="448" t="str">
        <f t="shared" si="5"/>
        <v>phường Mễ Trì</v>
      </c>
      <c r="AS8" s="449" t="str">
        <f>INDEX(CityIDList,MATCH(F8,CityNameList,0))</f>
        <v>HNI</v>
      </c>
      <c r="AT8" s="208" t="str">
        <f>IF(J8&gt;=1,INDEX(OperatorNameList,MATCH(AZ8,OperatorIDList,0)),"")</f>
        <v>TỔNG CÔNG TY HẠ TẦNG MẠNG</v>
      </c>
      <c r="AU8" s="208" t="str">
        <f>IF(J8&gt;=2,INDEX(OperatorNameList,MATCH(BA8,OperatorIDList,0)),"")</f>
        <v>TỔNG CÔNG TY HẠ TẦNG MẠNG</v>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VINAPHONE</v>
      </c>
      <c r="BA8" s="208" t="str">
        <f t="shared" si="7"/>
        <v>VINAPHONE</v>
      </c>
      <c r="BB8" s="208" t="str">
        <f t="shared" si="8"/>
      </c>
      <c r="BC8" s="208" t="str">
        <f t="shared" si="9"/>
      </c>
      <c r="BD8" s="208" t="str">
        <f t="shared" si="10"/>
      </c>
      <c r="BE8" s="208" t="str">
        <f t="shared" si="11"/>
      </c>
      <c r="BF8" s="208" t="str">
        <f>Input!I8</f>
        <v>VINAPHONE;VINAPHONE</v>
      </c>
      <c r="BG8" s="208" t="str">
        <f t="shared" si="12"/>
        <v>ME-TRI-59-17-NTM_HNI</v>
      </c>
      <c r="BH8" s="208" t="str">
        <f t="shared" si="13"/>
        <v>ME-TRI-59-17-NTM_HNI</v>
      </c>
      <c r="BI8" s="208" t="str">
        <f t="shared" si="14"/>
      </c>
      <c r="BJ8" s="208" t="str">
        <f t="shared" si="15"/>
      </c>
      <c r="BK8" s="208" t="str">
        <f t="shared" si="16"/>
      </c>
      <c r="BL8" s="208" t="str">
        <f t="shared" si="17"/>
      </c>
      <c r="BM8" s="208" t="str">
        <f t="shared" si="18"/>
        <v>NOKIA FLEXI MULTIRADIO BTS RADIO MODULE AND REMOTE RADIO (FRGY)</v>
      </c>
      <c r="BN8" s="208" t="str">
        <f t="shared" si="19"/>
        <v>NOKIA FLEXI MULTIRADIO BTS RADIO MODULE AND REMOTE RADIO (FHEL)</v>
      </c>
      <c r="BO8" s="208" t="str">
        <f t="shared" si="20"/>
      </c>
      <c r="BP8" s="208" t="str">
        <f t="shared" si="21"/>
      </c>
      <c r="BQ8" s="208" t="str">
        <f t="shared" si="22"/>
      </c>
      <c r="BR8" s="208" t="str">
        <f t="shared" si="23"/>
      </c>
      <c r="BS8" s="208">
        <f t="shared" si="24"/>
        <v>3</v>
      </c>
      <c r="BT8" s="208">
        <f t="shared" si="25"/>
        <v>3</v>
      </c>
      <c r="BU8" s="208">
        <f t="shared" si="26"/>
        <v>0</v>
      </c>
      <c r="BV8" s="208">
        <f t="shared" si="27"/>
        <v>0</v>
      </c>
      <c r="BW8" s="208">
        <f t="shared" si="28"/>
        <v>0</v>
      </c>
      <c r="BX8" s="208">
        <f t="shared" si="29"/>
        <v>0</v>
      </c>
      <c r="BY8" s="208" t="str">
        <f t="shared" si="30"/>
        <v>2/2/2</v>
      </c>
      <c r="BZ8" s="208">
        <f t="shared" si="31"/>
        <v>2</v>
      </c>
      <c r="CA8" s="208">
        <f t="shared" si="32"/>
        <v>2</v>
      </c>
      <c r="CB8" s="208">
        <f t="shared" si="33"/>
        <v>2</v>
      </c>
      <c r="CC8" s="208">
        <f t="shared" si="34"/>
        <v>0</v>
      </c>
      <c r="CD8" s="208">
        <f t="shared" si="35"/>
        <v>0</v>
      </c>
      <c r="CE8" s="208">
        <f t="shared" si="36"/>
        <v>0</v>
      </c>
      <c r="CF8" s="208" t="str">
        <f t="shared" si="37"/>
        <v>1/1/1</v>
      </c>
      <c r="CG8" s="208">
        <f t="shared" si="38"/>
        <v>1</v>
      </c>
      <c r="CH8" s="208">
        <f t="shared" si="39"/>
        <v>1</v>
      </c>
      <c r="CI8" s="208">
        <f t="shared" si="40"/>
        <v>1</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60/60/60</v>
      </c>
      <c r="DP8" s="208">
        <f t="shared" si="73"/>
        <v>60</v>
      </c>
      <c r="DQ8" s="208">
        <f t="shared" si="74"/>
        <v>60</v>
      </c>
      <c r="DR8" s="208">
        <f t="shared" si="75"/>
        <v>60</v>
      </c>
      <c r="DS8" s="208">
        <f t="shared" si="76"/>
        <v>0</v>
      </c>
      <c r="DT8" s="208">
        <f t="shared" si="77"/>
        <v>0</v>
      </c>
      <c r="DU8" s="208">
        <f t="shared" si="78"/>
        <v>0</v>
      </c>
      <c r="DV8" s="208" t="str">
        <f t="shared" si="79"/>
        <v>60W/ 60W/ 60W</v>
      </c>
      <c r="DW8" s="208">
        <f t="shared" si="80"/>
        <v>60</v>
      </c>
      <c r="DX8" s="208" t="str">
        <f t="shared" si="81"/>
        <v>60/60/60</v>
      </c>
      <c r="DY8" s="208">
        <f t="shared" si="82"/>
        <v>60</v>
      </c>
      <c r="DZ8" s="208">
        <f t="shared" si="83"/>
        <v>60</v>
      </c>
      <c r="EA8" s="208">
        <f t="shared" si="84"/>
        <v>60</v>
      </c>
      <c r="EB8" s="208">
        <f t="shared" si="85"/>
        <v>0</v>
      </c>
      <c r="EC8" s="208">
        <f t="shared" si="86"/>
        <v>0</v>
      </c>
      <c r="ED8" s="208">
        <f t="shared" si="87"/>
        <v>0</v>
      </c>
      <c r="EE8" s="208" t="str">
        <f t="shared" si="88"/>
        <v>60W/ 60W/ 60W</v>
      </c>
      <c r="EF8" s="208">
        <f t="shared" si="89"/>
        <v>60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60</v>
      </c>
      <c r="FR8" s="208" t="str">
        <f t="shared" si="127"/>
        <v>2100</v>
      </c>
      <c r="FS8" s="208" t="str">
        <f t="shared" si="128"/>
        <v>1800</v>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v>40/40/40</v>
      </c>
      <c r="GG8" s="208">
        <f t="shared" si="142"/>
        <v>40</v>
      </c>
      <c r="GH8" s="208">
        <f t="shared" si="143"/>
        <v>40</v>
      </c>
      <c r="GI8" s="208">
        <f t="shared" si="144"/>
        <v>40</v>
      </c>
      <c r="GJ8" s="208">
        <f t="shared" si="145"/>
        <v>0</v>
      </c>
      <c r="GK8" s="208">
        <f t="shared" si="146"/>
        <v>0</v>
      </c>
      <c r="GL8" s="208">
        <f t="shared" si="147"/>
        <v>0</v>
      </c>
      <c r="GM8" s="208" t="str">
        <f t="shared" si="148"/>
        <v>40m/ 40m/ 40m</v>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40</v>
      </c>
      <c r="HW8" s="208">
        <f t="shared" si="183"/>
        <v>0</v>
      </c>
      <c r="HX8" s="208">
        <f t="shared" si="184"/>
        <v>0</v>
      </c>
      <c r="HY8" s="208">
        <f t="shared" si="185"/>
        <v>0</v>
      </c>
      <c r="HZ8" s="208">
        <f t="shared" si="186"/>
        <v>0</v>
      </c>
      <c r="IA8" s="207">
        <f t="shared" si="187"/>
        <v>40</v>
      </c>
      <c r="IB8" s="207">
        <f t="shared" si="188"/>
        <v>4</v>
      </c>
      <c r="IC8" s="343" t="str">
        <f t="shared" si="189"/>
        <v>A</v>
      </c>
      <c r="ID8" s="343" t="str">
        <f t="shared" si="190"/>
        <v>03988</v>
      </c>
      <c r="IE8" s="343" t="str">
        <f t="shared" si="191"/>
        <v>181019</v>
      </c>
      <c r="IF8" s="343" t="str">
        <f t="shared" si="192"/>
        <v>TG05</v>
      </c>
      <c r="IG8" s="383">
        <f t="shared" si="193"/>
        <v>43756</v>
      </c>
      <c r="IH8" s="383">
        <f t="shared" si="194"/>
        <v>45583</v>
      </c>
      <c r="II8" s="208">
        <v>37</v>
      </c>
    </row>
    <row r="9" ht="127.5">
      <c r="A9" s="207">
        <f>Input!A9</f>
        <v>7</v>
      </c>
      <c r="B9" s="343" t="str">
        <f> Profile!$A$3</f>
        <v>VINAPHONE</v>
      </c>
      <c r="C9" s="343" t="str">
        <f> Profile!$L$3</f>
        <v>VINAPHONE</v>
      </c>
      <c r="D9" s="207" t="str">
        <f>Input!B9</f>
        <v>PHU-DO-172-NTL_HNI</v>
      </c>
      <c r="E9" s="317" t="str">
        <f>Input!C9</f>
        <v>Tổ 1, phường Phú Đô, quận Nam Từ Liêm, thành phố Hà Nội</v>
      </c>
      <c r="F9" s="207" t="str">
        <f>Input!D9</f>
        <v>Hà Nội</v>
      </c>
      <c r="G9" s="207">
        <f>Input!E9</f>
        <v>105.765581</v>
      </c>
      <c r="H9" s="207">
        <f>Input!F9</f>
        <v>21.013064</v>
      </c>
      <c r="I9" s="207">
        <f>Input!G9</f>
        <v>1</v>
      </c>
      <c r="J9" s="207">
        <f>Input!H9</f>
        <v>3</v>
      </c>
      <c r="K9" s="207" t="str">
        <f t="shared" si="0"/>
        <v>TỔNG CÔNG TY HẠ TẦNG MẠNG;TỔNG CÔNG TY HẠ TẦNG MẠNG;TỔNG CÔNG TY HẠ TẦNG MẠNG</v>
      </c>
      <c r="L9" s="207" t="str">
        <f>Input!J9</f>
        <v>PHU-DO-172-NTL_HNI;PHU-DO-172-NTL_HNI;PHU-DO-172-NTL_HNI</v>
      </c>
      <c r="M9" s="207" t="str">
        <f>Input!K9</f>
        <v>HUAWEI BTS3900;HUAWEI DBS3900 WCDMA;NOKIA FLEXI MULTIRADIO BTS RADIO MODULE AND REMOTE RADIO (FHEL)</v>
      </c>
      <c r="N9" s="207" t="str">
        <f>Input!L9</f>
        <v>3;3;3</v>
      </c>
      <c r="O9" s="207" t="str">
        <f>Input!M9</f>
        <v>2/2/2;2/2/2;1/1/1</v>
      </c>
      <c r="P9" s="207" t="str">
        <f>Input!N9</f>
        <v>80/80/80;60/60/60;60/60/60</v>
      </c>
      <c r="Q9" s="207" t="str">
        <f>Input!O9</f>
        <v>900;2100;1800</v>
      </c>
      <c r="R9" s="207" t="str">
        <f>Input!P9</f>
        <v>26/26/26;26/26/26;26/26/26</v>
      </c>
      <c r="S9" s="364" t="b">
        <f>Input!Q9</f>
        <v>1</v>
      </c>
      <c r="T9" s="207" t="str">
        <f>Input!R9</f>
        <v>A03989181019TG05</v>
      </c>
      <c r="U9" s="207">
        <f>Input!S9</f>
        <v>0</v>
      </c>
      <c r="V9" s="207" t="str">
        <f>Input!T9</f>
        <v>VCC1</v>
      </c>
      <c r="W9" s="207" t="str">
        <f>Input!U9</f>
        <v>1903224/19/TG/TT1</v>
      </c>
      <c r="X9" s="209" t="str">
        <f>TEXT(Input!V9,"dd/mm/yyyy")</f>
        <v>18/10/2019</v>
      </c>
      <c r="Y9" s="207" t="b">
        <f>Input!W9</f>
        <v>0</v>
      </c>
      <c r="Z9" s="364" t="b">
        <f>Input!X9</f>
        <v>0</v>
      </c>
      <c r="AA9" s="207">
        <f t="shared" si="1"/>
        <v>26</v>
      </c>
      <c r="AB9" s="364" t="b">
        <f>Input!Y9</f>
        <v>1</v>
      </c>
      <c r="AC9" s="207">
        <f>VALUE(Input!Z9)</f>
        <v>24</v>
      </c>
      <c r="AD9" s="207" t="b">
        <f>Input!AA9</f>
        <v>0</v>
      </c>
      <c r="AE9" s="207" t="str">
        <f>Input!AB9</f>
        <v>Vũ Văn Giáp</v>
      </c>
      <c r="AF9" s="207" t="str">
        <f>Input!AC9</f>
        <v>Lê Tiến Cường</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Tổng Công ty Hạ tầng mạng</v>
      </c>
      <c r="AN9" s="208" t="str">
        <f>INDEX(OperatorNameList,MATCH(C9,OperatorIDList,0))</f>
        <v>TỔNG CÔNG TY HẠ TẦNG MẠNG</v>
      </c>
      <c r="AO9" s="207">
        <f t="shared" si="2"/>
        <v>3</v>
      </c>
      <c r="AP9" s="287" t="str">
        <f t="shared" si="3"/>
        <v>thành phố Hà Nội</v>
      </c>
      <c r="AQ9" s="448" t="str">
        <f t="shared" si="4"/>
        <v>quận Nam Từ Liêm</v>
      </c>
      <c r="AR9" s="448" t="str">
        <f t="shared" si="5"/>
        <v>phường Phú Đô</v>
      </c>
      <c r="AS9" s="449" t="str">
        <f>INDEX(CityIDList,MATCH(F9,CityNameList,0))</f>
        <v>HNI</v>
      </c>
      <c r="AT9" s="208" t="str">
        <f>IF(J9&gt;=1,INDEX(OperatorNameList,MATCH(AZ9,OperatorIDList,0)),"")</f>
        <v>TỔNG CÔNG TY HẠ TẦNG MẠNG</v>
      </c>
      <c r="AU9" s="208" t="str">
        <f>IF(J9&gt;=2,INDEX(OperatorNameList,MATCH(BA9,OperatorIDList,0)),"")</f>
        <v>TỔNG CÔNG TY HẠ TẦNG MẠNG</v>
      </c>
      <c r="AV9" s="208" t="str">
        <f>IF(J9&gt;=3,INDEX(OperatorNameList,MATCH(BB9,OperatorIDList,0)),"")</f>
        <v>TỔNG CÔNG TY HẠ TẦNG MẠNG</v>
      </c>
      <c r="AW9" s="208" t="str">
        <f>IF(J9&gt;=4,INDEX(OperatorNameList,MATCH(BC9,OperatorIDList,0)),"")</f>
      </c>
      <c r="AX9" s="208" t="str">
        <f>IF(J9&gt;=5,INDEX(OperatorNameList,MATCH(BD9,OperatorIDList,0)),"")</f>
      </c>
      <c r="AY9" s="208" t="str">
        <f>IF(J9&gt;=6,INDEX(OperatorNameList,MATCH(BE9,OperatorIDList,0)),"")</f>
      </c>
      <c r="AZ9" s="208" t="str">
        <f t="shared" si="6"/>
        <v>VINAPHONE</v>
      </c>
      <c r="BA9" s="208" t="str">
        <f t="shared" si="7"/>
        <v>VINAPHONE</v>
      </c>
      <c r="BB9" s="208" t="str">
        <f t="shared" si="8"/>
        <v>VINAPHONE</v>
      </c>
      <c r="BC9" s="208" t="str">
        <f t="shared" si="9"/>
      </c>
      <c r="BD9" s="208" t="str">
        <f t="shared" si="10"/>
      </c>
      <c r="BE9" s="208" t="str">
        <f t="shared" si="11"/>
      </c>
      <c r="BF9" s="208" t="str">
        <f>Input!I9</f>
        <v>VINAPHONE;VINAPHONE;VINAPHONE</v>
      </c>
      <c r="BG9" s="208" t="str">
        <f t="shared" si="12"/>
        <v>PHU-DO-172-NTL_HNI</v>
      </c>
      <c r="BH9" s="208" t="str">
        <f t="shared" si="13"/>
        <v>PHU-DO-172-NTL_HNI</v>
      </c>
      <c r="BI9" s="208" t="str">
        <f t="shared" si="14"/>
        <v>PHU-DO-172-NTL_HNI</v>
      </c>
      <c r="BJ9" s="208" t="str">
        <f t="shared" si="15"/>
      </c>
      <c r="BK9" s="208" t="str">
        <f t="shared" si="16"/>
      </c>
      <c r="BL9" s="208" t="str">
        <f t="shared" si="17"/>
      </c>
      <c r="BM9" s="208" t="str">
        <f t="shared" si="18"/>
        <v>HUAWEI BTS3900</v>
      </c>
      <c r="BN9" s="208" t="str">
        <f t="shared" si="19"/>
        <v>HUAWEI DBS3900 WCDMA</v>
      </c>
      <c r="BO9" s="208" t="str">
        <f t="shared" si="20"/>
        <v>NOKIA FLEXI MULTIRADIO BTS RADIO MODULE AND REMOTE RADIO (FHEL)</v>
      </c>
      <c r="BP9" s="208" t="str">
        <f t="shared" si="21"/>
      </c>
      <c r="BQ9" s="208" t="str">
        <f t="shared" si="22"/>
      </c>
      <c r="BR9" s="208" t="str">
        <f t="shared" si="23"/>
      </c>
      <c r="BS9" s="208">
        <f t="shared" si="24"/>
        <v>3</v>
      </c>
      <c r="BT9" s="208">
        <f t="shared" si="25"/>
        <v>3</v>
      </c>
      <c r="BU9" s="208">
        <f t="shared" si="26"/>
        <v>3</v>
      </c>
      <c r="BV9" s="208">
        <f t="shared" si="27"/>
        <v>0</v>
      </c>
      <c r="BW9" s="208">
        <f t="shared" si="28"/>
        <v>0</v>
      </c>
      <c r="BX9" s="208">
        <f t="shared" si="29"/>
        <v>0</v>
      </c>
      <c r="BY9" s="208" t="str">
        <f t="shared" si="30"/>
        <v>2/2/2</v>
      </c>
      <c r="BZ9" s="208">
        <f t="shared" si="31"/>
        <v>2</v>
      </c>
      <c r="CA9" s="208">
        <f t="shared" si="32"/>
        <v>2</v>
      </c>
      <c r="CB9" s="208">
        <f t="shared" si="33"/>
        <v>2</v>
      </c>
      <c r="CC9" s="208">
        <f t="shared" si="34"/>
        <v>0</v>
      </c>
      <c r="CD9" s="208">
        <f t="shared" si="35"/>
        <v>0</v>
      </c>
      <c r="CE9" s="208">
        <f t="shared" si="36"/>
        <v>0</v>
      </c>
      <c r="CF9" s="208" t="str">
        <f t="shared" si="37"/>
        <v>2/2/2</v>
      </c>
      <c r="CG9" s="208">
        <f t="shared" si="38"/>
        <v>2</v>
      </c>
      <c r="CH9" s="208">
        <f t="shared" si="39"/>
        <v>2</v>
      </c>
      <c r="CI9" s="208">
        <f t="shared" si="40"/>
        <v>2</v>
      </c>
      <c r="CJ9" s="208">
        <f t="shared" si="41"/>
        <v>0</v>
      </c>
      <c r="CK9" s="208">
        <f t="shared" si="42"/>
        <v>0</v>
      </c>
      <c r="CL9" s="208">
        <f t="shared" si="43"/>
        <v>0</v>
      </c>
      <c r="CM9" s="208" t="str">
        <f t="shared" si="44"/>
        <v>1/1/1</v>
      </c>
      <c r="CN9" s="208">
        <f t="shared" si="45"/>
        <v>1</v>
      </c>
      <c r="CO9" s="208">
        <f t="shared" si="46"/>
        <v>1</v>
      </c>
      <c r="CP9" s="208">
        <f t="shared" si="47"/>
        <v>1</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v>60/60/60</v>
      </c>
      <c r="DY9" s="208">
        <f t="shared" si="82"/>
        <v>60</v>
      </c>
      <c r="DZ9" s="208">
        <f t="shared" si="83"/>
        <v>60</v>
      </c>
      <c r="EA9" s="208">
        <f t="shared" si="84"/>
        <v>60</v>
      </c>
      <c r="EB9" s="208">
        <f t="shared" si="85"/>
        <v>0</v>
      </c>
      <c r="EC9" s="208">
        <f t="shared" si="86"/>
        <v>0</v>
      </c>
      <c r="ED9" s="208">
        <f t="shared" si="87"/>
        <v>0</v>
      </c>
      <c r="EE9" s="208" t="str">
        <f t="shared" si="88"/>
        <v>60W/ 60W/ 60W</v>
      </c>
      <c r="EF9" s="208">
        <f t="shared" si="89"/>
        <v>60</v>
      </c>
      <c r="EG9" s="208" t="str">
        <f t="shared" si="90"/>
        <v>60/60/60</v>
      </c>
      <c r="EH9" s="208">
        <f t="shared" si="91"/>
        <v>60</v>
      </c>
      <c r="EI9" s="208">
        <f t="shared" si="92"/>
        <v>60</v>
      </c>
      <c r="EJ9" s="208">
        <f t="shared" si="93"/>
        <v>60</v>
      </c>
      <c r="EK9" s="208">
        <f t="shared" si="94"/>
        <v>0</v>
      </c>
      <c r="EL9" s="208">
        <f t="shared" si="95"/>
        <v>0</v>
      </c>
      <c r="EM9" s="208">
        <f t="shared" si="96"/>
        <v>0</v>
      </c>
      <c r="EN9" s="208" t="str">
        <f t="shared" si="97"/>
        <v>60W/ 60W/ 60W</v>
      </c>
      <c r="EO9" s="208">
        <f t="shared" si="98"/>
        <v>60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900</v>
      </c>
      <c r="FS9" s="208" t="str">
        <f t="shared" si="128"/>
        <v>2100</v>
      </c>
      <c r="FT9" s="208" t="str">
        <f t="shared" si="129"/>
        <v>1800</v>
      </c>
      <c r="FU9" s="208" t="str">
        <f t="shared" si="130"/>
      </c>
      <c r="FV9" s="208" t="str">
        <f t="shared" si="131"/>
      </c>
      <c r="FW9" s="208" t="str">
        <f t="shared" si="132"/>
      </c>
      <c r="FX9" s="208" t="str">
        <f t="shared" si="133"/>
        <v>26/26/26</v>
      </c>
      <c r="FY9" s="208">
        <f t="shared" si="134"/>
        <v>26</v>
      </c>
      <c r="FZ9" s="208">
        <f t="shared" si="135"/>
        <v>26</v>
      </c>
      <c r="GA9" s="208">
        <f t="shared" si="136"/>
        <v>26</v>
      </c>
      <c r="GB9" s="208">
        <f t="shared" si="137"/>
        <v>0</v>
      </c>
      <c r="GC9" s="208">
        <f t="shared" si="138"/>
        <v>0</v>
      </c>
      <c r="GD9" s="208">
        <f t="shared" si="139"/>
        <v>0</v>
      </c>
      <c r="GE9" s="208" t="str">
        <f t="shared" si="140"/>
        <v>26m/ 26m/ 26m</v>
      </c>
      <c r="GF9" s="208" t="str">
        <f t="shared" si="141"/>
        <v>26/26/26</v>
      </c>
      <c r="GG9" s="208">
        <f t="shared" si="142"/>
        <v>26</v>
      </c>
      <c r="GH9" s="208">
        <f t="shared" si="143"/>
        <v>26</v>
      </c>
      <c r="GI9" s="208">
        <f t="shared" si="144"/>
        <v>26</v>
      </c>
      <c r="GJ9" s="208">
        <f t="shared" si="145"/>
        <v>0</v>
      </c>
      <c r="GK9" s="208">
        <f t="shared" si="146"/>
        <v>0</v>
      </c>
      <c r="GL9" s="208">
        <f t="shared" si="147"/>
        <v>0</v>
      </c>
      <c r="GM9" s="208" t="str">
        <f t="shared" si="148"/>
        <v>26m/ 26m/ 26m</v>
      </c>
      <c r="GN9" s="208" t="str">
        <f t="shared" si="149"/>
        <v>26/26/26</v>
      </c>
      <c r="GO9" s="208">
        <f t="shared" si="150"/>
        <v>26</v>
      </c>
      <c r="GP9" s="208">
        <f t="shared" si="151"/>
        <v>26</v>
      </c>
      <c r="GQ9" s="208">
        <f t="shared" si="152"/>
        <v>26</v>
      </c>
      <c r="GR9" s="208">
        <f t="shared" si="153"/>
        <v>0</v>
      </c>
      <c r="GS9" s="208">
        <f t="shared" si="154"/>
        <v>0</v>
      </c>
      <c r="GT9" s="208">
        <f t="shared" si="155"/>
        <v>0</v>
      </c>
      <c r="GU9" s="208" t="str">
        <f t="shared" si="156"/>
        <v>26m/ 26m/ 26m</v>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26</v>
      </c>
      <c r="HV9" s="208">
        <f t="shared" si="182"/>
        <v>26</v>
      </c>
      <c r="HW9" s="208">
        <f t="shared" si="183"/>
        <v>26</v>
      </c>
      <c r="HX9" s="208">
        <f t="shared" si="184"/>
        <v>0</v>
      </c>
      <c r="HY9" s="208">
        <f t="shared" si="185"/>
        <v>0</v>
      </c>
      <c r="HZ9" s="208">
        <f t="shared" si="186"/>
        <v>0</v>
      </c>
      <c r="IA9" s="207">
        <f t="shared" si="187"/>
        <v>26</v>
      </c>
      <c r="IB9" s="207">
        <f t="shared" si="188"/>
        <v>2</v>
      </c>
      <c r="IC9" s="343" t="str">
        <f t="shared" si="189"/>
        <v>A</v>
      </c>
      <c r="ID9" s="343" t="str">
        <f t="shared" si="190"/>
        <v>03989</v>
      </c>
      <c r="IE9" s="343" t="str">
        <f t="shared" si="191"/>
        <v>181019</v>
      </c>
      <c r="IF9" s="343" t="str">
        <f t="shared" si="192"/>
        <v>TG05</v>
      </c>
      <c r="IG9" s="383">
        <f t="shared" si="193"/>
        <v>43756</v>
      </c>
      <c r="IH9" s="383">
        <f t="shared" si="194"/>
        <v>45583</v>
      </c>
      <c r="II9" s="208">
        <v>37</v>
      </c>
    </row>
    <row r="10" ht="165.75">
      <c r="A10" s="207">
        <f>Input!A10</f>
        <v>8</v>
      </c>
      <c r="B10" s="343" t="str">
        <f> Profile!$A$3</f>
        <v>VINAPHONE</v>
      </c>
      <c r="C10" s="343" t="str">
        <f> Profile!$L$3</f>
        <v>VINAPHONE</v>
      </c>
      <c r="D10" s="207" t="str">
        <f>Input!B10</f>
        <v>ME-TRI-HA-130-NTM_HNI</v>
      </c>
      <c r="E10" s="317" t="str">
        <f>Input!C10</f>
        <v>Số 130, phố Mễ Trì Hạ, phường Mễ Trì, quận Nam Từ Liêm, thành phố Hà Nội</v>
      </c>
      <c r="F10" s="207" t="str">
        <f>Input!D10</f>
        <v>Hà Nội</v>
      </c>
      <c r="G10" s="207">
        <f>Input!E10</f>
        <v>105.782861</v>
      </c>
      <c r="H10" s="207">
        <f>Input!F10</f>
        <v>21.012196</v>
      </c>
      <c r="I10" s="207">
        <f>Input!G10</f>
        <v>1</v>
      </c>
      <c r="J10" s="207">
        <f>Input!H10</f>
        <v>2</v>
      </c>
      <c r="K10" s="207" t="str">
        <f t="shared" si="0"/>
        <v>TỔNG CÔNG TY HẠ TẦNG MẠNG;TỔNG CÔNG TY HẠ TẦNG MẠNG</v>
      </c>
      <c r="L10" s="207" t="str">
        <f>Input!J10</f>
        <v>ME-TRI-HA-130-NTM_HNI;ME-TRI-HA-130-NTM_HNI</v>
      </c>
      <c r="M10" s="207" t="str">
        <f>Input!K10</f>
        <v>NOKIA FLEXI MULTIRADIO BTS RADIO MODULE AND REMOTE RADIO (FRGY);NOKIA FLEXI MULTIRADIO BTS RADIO MODULE AND REMOTE RADIO (FHEL)</v>
      </c>
      <c r="N10" s="207" t="str">
        <f>Input!L10</f>
        <v>3;3</v>
      </c>
      <c r="O10" s="207" t="str">
        <f>Input!M10</f>
        <v>2/2/2;1/1/1</v>
      </c>
      <c r="P10" s="207" t="str">
        <f>Input!N10</f>
        <v>60/60/60;60/60/60</v>
      </c>
      <c r="Q10" s="207" t="str">
        <f>Input!O10</f>
        <v>2100;1800</v>
      </c>
      <c r="R10" s="207" t="str">
        <f>Input!P10</f>
        <v>28,5/28,5/28,5;28,5/28,5/28,5</v>
      </c>
      <c r="S10" s="364" t="b">
        <f>Input!Q10</f>
        <v>1</v>
      </c>
      <c r="T10" s="207" t="str">
        <f>Input!R10</f>
        <v>A03990181019TG05</v>
      </c>
      <c r="U10" s="207">
        <f>Input!S10</f>
        <v>0</v>
      </c>
      <c r="V10" s="207" t="str">
        <f>Input!T10</f>
        <v>VCC1</v>
      </c>
      <c r="W10" s="207" t="str">
        <f>Input!U10</f>
        <v>1903230/19/TG/TT1</v>
      </c>
      <c r="X10" s="209" t="str">
        <f>TEXT(Input!V10,"dd/mm/yyyy")</f>
        <v>18/10/2019</v>
      </c>
      <c r="Y10" s="207" t="b">
        <f>Input!W10</f>
        <v>0</v>
      </c>
      <c r="Z10" s="364" t="b">
        <f>Input!X10</f>
        <v>0</v>
      </c>
      <c r="AA10" s="207">
        <f t="shared" si="1"/>
        <v>28.5</v>
      </c>
      <c r="AB10" s="364" t="b">
        <f>Input!Y10</f>
        <v>1</v>
      </c>
      <c r="AC10" s="207">
        <f>VALUE(Input!Z10)</f>
        <v>26</v>
      </c>
      <c r="AD10" s="207" t="b">
        <f>Input!AA10</f>
        <v>0</v>
      </c>
      <c r="AE10" s="207" t="str">
        <f>Input!AB10</f>
        <v>Vũ Văn Giáp</v>
      </c>
      <c r="AF10" s="207" t="str">
        <f>Input!AC10</f>
        <v>Lê Tiến Cường</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Tổng Công ty Hạ tầng mạng</v>
      </c>
      <c r="AN10" s="208" t="str">
        <f>INDEX(OperatorNameList,MATCH(C10,OperatorIDList,0))</f>
        <v>TỔNG CÔNG TY HẠ TẦNG MẠNG</v>
      </c>
      <c r="AO10" s="207">
        <f t="shared" si="2"/>
        <v>4</v>
      </c>
      <c r="AP10" s="287" t="str">
        <f t="shared" si="3"/>
        <v>thành phố Hà Nội</v>
      </c>
      <c r="AQ10" s="448" t="str">
        <f t="shared" si="4"/>
        <v>quận Nam Từ Liêm</v>
      </c>
      <c r="AR10" s="448" t="str">
        <f t="shared" si="5"/>
        <v>phường Mễ Trì</v>
      </c>
      <c r="AS10" s="449" t="str">
        <f>INDEX(CityIDList,MATCH(F10,CityNameList,0))</f>
        <v>HNI</v>
      </c>
      <c r="AT10" s="208" t="str">
        <f>IF(J10&gt;=1,INDEX(OperatorNameList,MATCH(AZ10,OperatorIDList,0)),"")</f>
        <v>TỔNG CÔNG TY HẠ TẦNG MẠNG</v>
      </c>
      <c r="AU10" s="208" t="str">
        <f>IF(J10&gt;=2,INDEX(OperatorNameList,MATCH(BA10,OperatorIDList,0)),"")</f>
        <v>TỔNG CÔNG TY HẠ TẦNG MẠNG</v>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VINAPHONE</v>
      </c>
      <c r="BA10" s="208" t="str">
        <f t="shared" si="7"/>
        <v>VINAPHONE</v>
      </c>
      <c r="BB10" s="208" t="str">
        <f t="shared" si="8"/>
      </c>
      <c r="BC10" s="208" t="str">
        <f t="shared" si="9"/>
      </c>
      <c r="BD10" s="208" t="str">
        <f t="shared" si="10"/>
      </c>
      <c r="BE10" s="208" t="str">
        <f t="shared" si="11"/>
      </c>
      <c r="BF10" s="208" t="str">
        <f>Input!I10</f>
        <v>VINAPHONE;VINAPHONE</v>
      </c>
      <c r="BG10" s="208" t="str">
        <f t="shared" si="12"/>
        <v>ME-TRI-HA-130-NTM_HNI</v>
      </c>
      <c r="BH10" s="208" t="str">
        <f t="shared" si="13"/>
        <v>ME-TRI-HA-130-NTM_HNI</v>
      </c>
      <c r="BI10" s="208" t="str">
        <f t="shared" si="14"/>
      </c>
      <c r="BJ10" s="208" t="str">
        <f t="shared" si="15"/>
      </c>
      <c r="BK10" s="208" t="str">
        <f t="shared" si="16"/>
      </c>
      <c r="BL10" s="208" t="str">
        <f t="shared" si="17"/>
      </c>
      <c r="BM10" s="208" t="str">
        <f t="shared" si="18"/>
        <v>NOKIA FLEXI MULTIRADIO BTS RADIO MODULE AND REMOTE RADIO (FRGY)</v>
      </c>
      <c r="BN10" s="208" t="str">
        <f t="shared" si="19"/>
        <v>NOKIA FLEXI MULTIRADIO BTS RADIO MODULE AND REMOTE RADIO (FHEL)</v>
      </c>
      <c r="BO10" s="208" t="str">
        <f t="shared" si="20"/>
      </c>
      <c r="BP10" s="208" t="str">
        <f t="shared" si="21"/>
      </c>
      <c r="BQ10" s="208" t="str">
        <f t="shared" si="22"/>
      </c>
      <c r="BR10" s="208" t="str">
        <f t="shared" si="23"/>
      </c>
      <c r="BS10" s="208">
        <f t="shared" si="24"/>
        <v>3</v>
      </c>
      <c r="BT10" s="208">
        <f t="shared" si="25"/>
        <v>3</v>
      </c>
      <c r="BU10" s="208">
        <f t="shared" si="26"/>
        <v>0</v>
      </c>
      <c r="BV10" s="208">
        <f t="shared" si="27"/>
        <v>0</v>
      </c>
      <c r="BW10" s="208">
        <f t="shared" si="28"/>
        <v>0</v>
      </c>
      <c r="BX10" s="208">
        <f t="shared" si="29"/>
        <v>0</v>
      </c>
      <c r="BY10" s="208" t="str">
        <f t="shared" si="30"/>
        <v>2/2/2</v>
      </c>
      <c r="BZ10" s="208">
        <f t="shared" si="31"/>
        <v>2</v>
      </c>
      <c r="CA10" s="208">
        <f t="shared" si="32"/>
        <v>2</v>
      </c>
      <c r="CB10" s="208">
        <f t="shared" si="33"/>
        <v>2</v>
      </c>
      <c r="CC10" s="208">
        <f t="shared" si="34"/>
        <v>0</v>
      </c>
      <c r="CD10" s="208">
        <f t="shared" si="35"/>
        <v>0</v>
      </c>
      <c r="CE10" s="208">
        <f t="shared" si="36"/>
        <v>0</v>
      </c>
      <c r="CF10" s="208" t="str">
        <f t="shared" si="37"/>
        <v>1/1/1</v>
      </c>
      <c r="CG10" s="208">
        <f t="shared" si="38"/>
        <v>1</v>
      </c>
      <c r="CH10" s="208">
        <f t="shared" si="39"/>
        <v>1</v>
      </c>
      <c r="CI10" s="208">
        <f t="shared" si="40"/>
        <v>1</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60/60/60</v>
      </c>
      <c r="DP10" s="208">
        <f t="shared" si="73"/>
        <v>60</v>
      </c>
      <c r="DQ10" s="208">
        <f t="shared" si="74"/>
        <v>60</v>
      </c>
      <c r="DR10" s="208">
        <f t="shared" si="75"/>
        <v>60</v>
      </c>
      <c r="DS10" s="208">
        <f t="shared" si="76"/>
        <v>0</v>
      </c>
      <c r="DT10" s="208">
        <f t="shared" si="77"/>
        <v>0</v>
      </c>
      <c r="DU10" s="208">
        <f t="shared" si="78"/>
        <v>0</v>
      </c>
      <c r="DV10" s="208" t="str">
        <f t="shared" si="79"/>
        <v>60W/ 60W/ 60W</v>
      </c>
      <c r="DW10" s="208">
        <f t="shared" si="80"/>
        <v>60</v>
      </c>
      <c r="DX10" s="208" t="str">
        <f t="shared" si="81"/>
        <v>60/60/60</v>
      </c>
      <c r="DY10" s="208">
        <f t="shared" si="82"/>
        <v>60</v>
      </c>
      <c r="DZ10" s="208">
        <f t="shared" si="83"/>
        <v>60</v>
      </c>
      <c r="EA10" s="208">
        <f t="shared" si="84"/>
        <v>60</v>
      </c>
      <c r="EB10" s="208">
        <f t="shared" si="85"/>
        <v>0</v>
      </c>
      <c r="EC10" s="208">
        <f t="shared" si="86"/>
        <v>0</v>
      </c>
      <c r="ED10" s="208">
        <f t="shared" si="87"/>
        <v>0</v>
      </c>
      <c r="EE10" s="208" t="str">
        <f t="shared" si="88"/>
        <v>60W/ 60W/ 60W</v>
      </c>
      <c r="EF10" s="208">
        <f t="shared" si="89"/>
        <v>60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60</v>
      </c>
      <c r="FR10" s="208" t="str">
        <f t="shared" si="127"/>
        <v>2100</v>
      </c>
      <c r="FS10" s="208" t="str">
        <f t="shared" si="128"/>
        <v>1800</v>
      </c>
      <c r="FT10" s="208" t="str">
        <f t="shared" si="129"/>
      </c>
      <c r="FU10" s="208" t="str">
        <f t="shared" si="130"/>
      </c>
      <c r="FV10" s="208" t="str">
        <f t="shared" si="131"/>
      </c>
      <c r="FW10" s="208" t="str">
        <f t="shared" si="132"/>
      </c>
      <c r="FX10" s="208" t="str">
        <f t="shared" si="133"/>
        <v>28,5/28,5/28,5</v>
      </c>
      <c r="FY10" s="208">
        <f t="shared" si="134"/>
        <v>28.5</v>
      </c>
      <c r="FZ10" s="208">
        <f t="shared" si="135"/>
        <v>28.5</v>
      </c>
      <c r="GA10" s="208">
        <f t="shared" si="136"/>
        <v>28.5</v>
      </c>
      <c r="GB10" s="208">
        <f t="shared" si="137"/>
        <v>0</v>
      </c>
      <c r="GC10" s="208">
        <f t="shared" si="138"/>
        <v>0</v>
      </c>
      <c r="GD10" s="208">
        <f t="shared" si="139"/>
        <v>0</v>
      </c>
      <c r="GE10" s="208" t="str">
        <f t="shared" si="140"/>
        <v>28,5m/ 28,5m/ 28,5m</v>
      </c>
      <c r="GF10" s="208" t="str">
        <f t="shared" si="141"/>
        <v>28,5/28,5/28,5</v>
      </c>
      <c r="GG10" s="208">
        <f t="shared" si="142"/>
        <v>28.5</v>
      </c>
      <c r="GH10" s="208">
        <f t="shared" si="143"/>
        <v>28.5</v>
      </c>
      <c r="GI10" s="208">
        <f t="shared" si="144"/>
        <v>28.5</v>
      </c>
      <c r="GJ10" s="208">
        <f t="shared" si="145"/>
        <v>0</v>
      </c>
      <c r="GK10" s="208">
        <f t="shared" si="146"/>
        <v>0</v>
      </c>
      <c r="GL10" s="208">
        <f t="shared" si="147"/>
        <v>0</v>
      </c>
      <c r="GM10" s="208" t="str">
        <f t="shared" si="148"/>
        <v>28,5m/ 28,5m/ 28,5m</v>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28.5</v>
      </c>
      <c r="HV10" s="208">
        <f t="shared" si="182"/>
        <v>28.5</v>
      </c>
      <c r="HW10" s="208">
        <f t="shared" si="183"/>
        <v>0</v>
      </c>
      <c r="HX10" s="208">
        <f t="shared" si="184"/>
        <v>0</v>
      </c>
      <c r="HY10" s="208">
        <f t="shared" si="185"/>
        <v>0</v>
      </c>
      <c r="HZ10" s="208">
        <f t="shared" si="186"/>
        <v>0</v>
      </c>
      <c r="IA10" s="207">
        <f t="shared" si="187"/>
        <v>28.5</v>
      </c>
      <c r="IB10" s="207">
        <f t="shared" si="188"/>
        <v>2.5</v>
      </c>
      <c r="IC10" s="343" t="str">
        <f t="shared" si="189"/>
        <v>A</v>
      </c>
      <c r="ID10" s="343" t="str">
        <f t="shared" si="190"/>
        <v>03990</v>
      </c>
      <c r="IE10" s="343" t="str">
        <f t="shared" si="191"/>
        <v>181019</v>
      </c>
      <c r="IF10" s="343" t="str">
        <f t="shared" si="192"/>
        <v>TG05</v>
      </c>
      <c r="IG10" s="383">
        <f t="shared" si="193"/>
        <v>43756</v>
      </c>
      <c r="IH10" s="383">
        <f t="shared" si="194"/>
        <v>45583</v>
      </c>
      <c r="II10" s="208">
        <v>37</v>
      </c>
    </row>
    <row r="11" ht="127.5">
      <c r="A11" s="207">
        <f>Input!A11</f>
        <v>9</v>
      </c>
      <c r="B11" s="343" t="str">
        <f> Profile!$A$3</f>
        <v>VINAPHONE</v>
      </c>
      <c r="C11" s="343" t="str">
        <f> Profile!$L$3</f>
        <v>VINAPHONE</v>
      </c>
      <c r="D11" s="207" t="str">
        <f>Input!B11</f>
        <v>DAI-MO-XOM-THAP-TLM_HNI</v>
      </c>
      <c r="E11" s="317" t="str">
        <f>Input!C11</f>
        <v>Số 475, đường Đại Mỗ, phường Đại Mỗ, quận Nam Từ Liêm, thành phố Hà Nội</v>
      </c>
      <c r="F11" s="207" t="str">
        <f>Input!D11</f>
        <v>Hà Nội</v>
      </c>
      <c r="G11" s="207">
        <f>Input!E11</f>
        <v>105.753192</v>
      </c>
      <c r="H11" s="207">
        <f>Input!F11</f>
        <v>20.995712</v>
      </c>
      <c r="I11" s="207">
        <f>Input!G11</f>
        <v>1</v>
      </c>
      <c r="J11" s="207">
        <f>Input!H11</f>
        <v>3</v>
      </c>
      <c r="K11" s="207" t="str">
        <f t="shared" si="0"/>
        <v>TỔNG CÔNG TY HẠ TẦNG MẠNG;TỔNG CÔNG TY HẠ TẦNG MẠNG;TỔNG CÔNG TY HẠ TẦNG MẠNG</v>
      </c>
      <c r="L11" s="207" t="str">
        <f>Input!J11</f>
        <v>DAI-MO-XOM-THAP-TLM_HNI;DAI-MO-XOM-THAP-TLM_HNI;DAI-MO-XOM-THAP-TLM_HNI</v>
      </c>
      <c r="M11" s="207" t="str">
        <f>Input!K11</f>
        <v>HUAWEI BTS3900;HUAWEI BTS3900;NOKIA FLEXI MULTIRADIO BTS RADIO MODULE AND REMOTE RADIO (FHEL)</v>
      </c>
      <c r="N11" s="207" t="str">
        <f>Input!L11</f>
        <v>3;3;3</v>
      </c>
      <c r="O11" s="207" t="str">
        <f>Input!M11</f>
        <v>2/2/2;2/2/2;1/1/1</v>
      </c>
      <c r="P11" s="207" t="str">
        <f>Input!N11</f>
        <v>80/80/80;80/80/80;60/60/60</v>
      </c>
      <c r="Q11" s="207" t="str">
        <f>Input!O11</f>
        <v>900;1800;1800</v>
      </c>
      <c r="R11" s="207" t="str">
        <f>Input!P11</f>
        <v>31/31/31;31/31/31;31/31/31</v>
      </c>
      <c r="S11" s="364" t="b">
        <f>Input!Q11</f>
        <v>1</v>
      </c>
      <c r="T11" s="207" t="str">
        <f>Input!R11</f>
        <v>A03991181019TG05</v>
      </c>
      <c r="U11" s="207">
        <f>Input!S11</f>
        <v>0</v>
      </c>
      <c r="V11" s="207" t="str">
        <f>Input!T11</f>
        <v>VCC1</v>
      </c>
      <c r="W11" s="207" t="str">
        <f>Input!U11</f>
        <v>1903236/19/TG/TT1</v>
      </c>
      <c r="X11" s="209" t="str">
        <f>TEXT(Input!V11,"dd/mm/yyyy")</f>
        <v>18/10/2019</v>
      </c>
      <c r="Y11" s="207" t="b">
        <f>Input!W11</f>
        <v>0</v>
      </c>
      <c r="Z11" s="364" t="b">
        <f>Input!X11</f>
        <v>0</v>
      </c>
      <c r="AA11" s="207">
        <f t="shared" si="1"/>
        <v>31</v>
      </c>
      <c r="AB11" s="364" t="b">
        <f>Input!Y11</f>
        <v>1</v>
      </c>
      <c r="AC11" s="207">
        <f>VALUE(Input!Z11)</f>
        <v>16</v>
      </c>
      <c r="AD11" s="207" t="b">
        <f>Input!AA11</f>
        <v>0</v>
      </c>
      <c r="AE11" s="207" t="str">
        <f>Input!AB11</f>
        <v>Vũ Văn Giáp</v>
      </c>
      <c r="AF11" s="207" t="str">
        <f>Input!AC11</f>
        <v>Lê Tiến Cường</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Tổng Công ty Hạ tầng mạng</v>
      </c>
      <c r="AN11" s="208" t="str">
        <f>INDEX(OperatorNameList,MATCH(C11,OperatorIDList,0))</f>
        <v>TỔNG CÔNG TY HẠ TẦNG MẠNG</v>
      </c>
      <c r="AO11" s="207">
        <f t="shared" si="2"/>
        <v>4</v>
      </c>
      <c r="AP11" s="287" t="str">
        <f t="shared" si="3"/>
        <v>thành phố Hà Nội</v>
      </c>
      <c r="AQ11" s="448" t="str">
        <f t="shared" si="4"/>
        <v>quận Nam Từ Liêm</v>
      </c>
      <c r="AR11" s="448" t="str">
        <f t="shared" si="5"/>
        <v>phường Đại Mỗ</v>
      </c>
      <c r="AS11" s="449" t="str">
        <f>INDEX(CityIDList,MATCH(F11,CityNameList,0))</f>
        <v>HNI</v>
      </c>
      <c r="AT11" s="208" t="str">
        <f>IF(J11&gt;=1,INDEX(OperatorNameList,MATCH(AZ11,OperatorIDList,0)),"")</f>
        <v>TỔNG CÔNG TY HẠ TẦNG MẠNG</v>
      </c>
      <c r="AU11" s="208" t="str">
        <f>IF(J11&gt;=2,INDEX(OperatorNameList,MATCH(BA11,OperatorIDList,0)),"")</f>
        <v>TỔNG CÔNG TY HẠ TẦNG MẠNG</v>
      </c>
      <c r="AV11" s="208" t="str">
        <f>IF(J11&gt;=3,INDEX(OperatorNameList,MATCH(BB11,OperatorIDList,0)),"")</f>
        <v>TỔNG CÔNG TY HẠ TẦNG MẠNG</v>
      </c>
      <c r="AW11" s="208" t="str">
        <f>IF(J11&gt;=4,INDEX(OperatorNameList,MATCH(BC11,OperatorIDList,0)),"")</f>
      </c>
      <c r="AX11" s="208" t="str">
        <f>IF(J11&gt;=5,INDEX(OperatorNameList,MATCH(BD11,OperatorIDList,0)),"")</f>
      </c>
      <c r="AY11" s="208" t="str">
        <f>IF(J11&gt;=6,INDEX(OperatorNameList,MATCH(BE11,OperatorIDList,0)),"")</f>
      </c>
      <c r="AZ11" s="208" t="str">
        <f t="shared" si="6"/>
        <v>VINAPHONE</v>
      </c>
      <c r="BA11" s="208" t="str">
        <f t="shared" si="7"/>
        <v>VINAPHONE</v>
      </c>
      <c r="BB11" s="208" t="str">
        <f t="shared" si="8"/>
        <v>VINAPHONE</v>
      </c>
      <c r="BC11" s="208" t="str">
        <f t="shared" si="9"/>
      </c>
      <c r="BD11" s="208" t="str">
        <f t="shared" si="10"/>
      </c>
      <c r="BE11" s="208" t="str">
        <f t="shared" si="11"/>
      </c>
      <c r="BF11" s="208" t="str">
        <f>Input!I11</f>
        <v>VINAPHONE;VINAPHONE;VINAPHONE</v>
      </c>
      <c r="BG11" s="208" t="str">
        <f t="shared" si="12"/>
        <v>DAI-MO-XOM-THAP-TLM_HNI</v>
      </c>
      <c r="BH11" s="208" t="str">
        <f t="shared" si="13"/>
        <v>DAI-MO-XOM-THAP-TLM_HNI</v>
      </c>
      <c r="BI11" s="208" t="str">
        <f t="shared" si="14"/>
        <v>DAI-MO-XOM-THAP-TLM_HNI</v>
      </c>
      <c r="BJ11" s="208" t="str">
        <f t="shared" si="15"/>
      </c>
      <c r="BK11" s="208" t="str">
        <f t="shared" si="16"/>
      </c>
      <c r="BL11" s="208" t="str">
        <f t="shared" si="17"/>
      </c>
      <c r="BM11" s="208" t="str">
        <f t="shared" si="18"/>
        <v>HUAWEI BTS3900</v>
      </c>
      <c r="BN11" s="208" t="str">
        <f t="shared" si="19"/>
        <v>HUAWEI BTS3900</v>
      </c>
      <c r="BO11" s="208" t="str">
        <f t="shared" si="20"/>
        <v>NOKIA FLEXI MULTIRADIO BTS RADIO MODULE AND REMOTE RADIO (FHEL)</v>
      </c>
      <c r="BP11" s="208" t="str">
        <f t="shared" si="21"/>
      </c>
      <c r="BQ11" s="208" t="str">
        <f t="shared" si="22"/>
      </c>
      <c r="BR11" s="208" t="str">
        <f t="shared" si="23"/>
      </c>
      <c r="BS11" s="208">
        <f t="shared" si="24"/>
        <v>3</v>
      </c>
      <c r="BT11" s="208">
        <f t="shared" si="25"/>
        <v>3</v>
      </c>
      <c r="BU11" s="208">
        <f t="shared" si="26"/>
        <v>3</v>
      </c>
      <c r="BV11" s="208">
        <f t="shared" si="27"/>
        <v>0</v>
      </c>
      <c r="BW11" s="208">
        <f t="shared" si="28"/>
        <v>0</v>
      </c>
      <c r="BX11" s="208">
        <f t="shared" si="29"/>
        <v>0</v>
      </c>
      <c r="BY11" s="208" t="str">
        <f t="shared" si="30"/>
        <v>2/2/2</v>
      </c>
      <c r="BZ11" s="208">
        <f t="shared" si="31"/>
        <v>2</v>
      </c>
      <c r="CA11" s="208">
        <f t="shared" si="32"/>
        <v>2</v>
      </c>
      <c r="CB11" s="208">
        <f t="shared" si="33"/>
        <v>2</v>
      </c>
      <c r="CC11" s="208">
        <f t="shared" si="34"/>
        <v>0</v>
      </c>
      <c r="CD11" s="208">
        <f t="shared" si="35"/>
        <v>0</v>
      </c>
      <c r="CE11" s="208">
        <f t="shared" si="36"/>
        <v>0</v>
      </c>
      <c r="CF11" s="208" t="str">
        <f t="shared" si="37"/>
        <v>2/2/2</v>
      </c>
      <c r="CG11" s="208">
        <f t="shared" si="38"/>
        <v>2</v>
      </c>
      <c r="CH11" s="208">
        <f t="shared" si="39"/>
        <v>2</v>
      </c>
      <c r="CI11" s="208">
        <f t="shared" si="40"/>
        <v>2</v>
      </c>
      <c r="CJ11" s="208">
        <f t="shared" si="41"/>
        <v>0</v>
      </c>
      <c r="CK11" s="208">
        <f t="shared" si="42"/>
        <v>0</v>
      </c>
      <c r="CL11" s="208">
        <f t="shared" si="43"/>
        <v>0</v>
      </c>
      <c r="CM11" s="208" t="str">
        <f t="shared" si="44"/>
        <v>1/1/1</v>
      </c>
      <c r="CN11" s="208">
        <f t="shared" si="45"/>
        <v>1</v>
      </c>
      <c r="CO11" s="208">
        <f t="shared" si="46"/>
        <v>1</v>
      </c>
      <c r="CP11" s="208">
        <f t="shared" si="47"/>
        <v>1</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v>80/80/80</v>
      </c>
      <c r="DY11" s="208">
        <f t="shared" si="82"/>
        <v>80</v>
      </c>
      <c r="DZ11" s="208">
        <f t="shared" si="83"/>
        <v>80</v>
      </c>
      <c r="EA11" s="208">
        <f t="shared" si="84"/>
        <v>80</v>
      </c>
      <c r="EB11" s="208">
        <f t="shared" si="85"/>
        <v>0</v>
      </c>
      <c r="EC11" s="208">
        <f t="shared" si="86"/>
        <v>0</v>
      </c>
      <c r="ED11" s="208">
        <f t="shared" si="87"/>
        <v>0</v>
      </c>
      <c r="EE11" s="208" t="str">
        <f t="shared" si="88"/>
        <v>80W/ 80W/ 80W</v>
      </c>
      <c r="EF11" s="208">
        <f t="shared" si="89"/>
        <v>80</v>
      </c>
      <c r="EG11" s="208" t="str">
        <f t="shared" si="90"/>
        <v>60/60/60</v>
      </c>
      <c r="EH11" s="208">
        <f t="shared" si="91"/>
        <v>60</v>
      </c>
      <c r="EI11" s="208">
        <f t="shared" si="92"/>
        <v>60</v>
      </c>
      <c r="EJ11" s="208">
        <f t="shared" si="93"/>
        <v>60</v>
      </c>
      <c r="EK11" s="208">
        <f t="shared" si="94"/>
        <v>0</v>
      </c>
      <c r="EL11" s="208">
        <f t="shared" si="95"/>
        <v>0</v>
      </c>
      <c r="EM11" s="208">
        <f t="shared" si="96"/>
        <v>0</v>
      </c>
      <c r="EN11" s="208" t="str">
        <f t="shared" si="97"/>
        <v>60W/ 60W/ 60W</v>
      </c>
      <c r="EO11" s="208">
        <f t="shared" si="98"/>
        <v>60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900</v>
      </c>
      <c r="FS11" s="208" t="str">
        <f t="shared" si="128"/>
        <v>1800</v>
      </c>
      <c r="FT11" s="208" t="str">
        <f t="shared" si="129"/>
        <v>1800</v>
      </c>
      <c r="FU11" s="208" t="str">
        <f t="shared" si="130"/>
      </c>
      <c r="FV11" s="208" t="str">
        <f t="shared" si="131"/>
      </c>
      <c r="FW11" s="208" t="str">
        <f t="shared" si="132"/>
      </c>
      <c r="FX11" s="208" t="str">
        <f t="shared" si="133"/>
        <v>31/31/31</v>
      </c>
      <c r="FY11" s="208">
        <f t="shared" si="134"/>
        <v>31</v>
      </c>
      <c r="FZ11" s="208">
        <f t="shared" si="135"/>
        <v>31</v>
      </c>
      <c r="GA11" s="208">
        <f t="shared" si="136"/>
        <v>31</v>
      </c>
      <c r="GB11" s="208">
        <f t="shared" si="137"/>
        <v>0</v>
      </c>
      <c r="GC11" s="208">
        <f t="shared" si="138"/>
        <v>0</v>
      </c>
      <c r="GD11" s="208">
        <f t="shared" si="139"/>
        <v>0</v>
      </c>
      <c r="GE11" s="208" t="str">
        <f t="shared" si="140"/>
        <v>31m/ 31m/ 31m</v>
      </c>
      <c r="GF11" s="208" t="str">
        <f t="shared" si="141"/>
        <v>31/31/31</v>
      </c>
      <c r="GG11" s="208">
        <f t="shared" si="142"/>
        <v>31</v>
      </c>
      <c r="GH11" s="208">
        <f t="shared" si="143"/>
        <v>31</v>
      </c>
      <c r="GI11" s="208">
        <f t="shared" si="144"/>
        <v>31</v>
      </c>
      <c r="GJ11" s="208">
        <f t="shared" si="145"/>
        <v>0</v>
      </c>
      <c r="GK11" s="208">
        <f t="shared" si="146"/>
        <v>0</v>
      </c>
      <c r="GL11" s="208">
        <f t="shared" si="147"/>
        <v>0</v>
      </c>
      <c r="GM11" s="208" t="str">
        <f t="shared" si="148"/>
        <v>31m/ 31m/ 31m</v>
      </c>
      <c r="GN11" s="208" t="str">
        <f t="shared" si="149"/>
        <v>31/31/31</v>
      </c>
      <c r="GO11" s="208">
        <f t="shared" si="150"/>
        <v>31</v>
      </c>
      <c r="GP11" s="208">
        <f t="shared" si="151"/>
        <v>31</v>
      </c>
      <c r="GQ11" s="208">
        <f t="shared" si="152"/>
        <v>31</v>
      </c>
      <c r="GR11" s="208">
        <f t="shared" si="153"/>
        <v>0</v>
      </c>
      <c r="GS11" s="208">
        <f t="shared" si="154"/>
        <v>0</v>
      </c>
      <c r="GT11" s="208">
        <f t="shared" si="155"/>
        <v>0</v>
      </c>
      <c r="GU11" s="208" t="str">
        <f t="shared" si="156"/>
        <v>31m/ 31m/ 31m</v>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31</v>
      </c>
      <c r="HV11" s="208">
        <f t="shared" si="182"/>
        <v>31</v>
      </c>
      <c r="HW11" s="208">
        <f t="shared" si="183"/>
        <v>31</v>
      </c>
      <c r="HX11" s="208">
        <f t="shared" si="184"/>
        <v>0</v>
      </c>
      <c r="HY11" s="208">
        <f t="shared" si="185"/>
        <v>0</v>
      </c>
      <c r="HZ11" s="208">
        <f t="shared" si="186"/>
        <v>0</v>
      </c>
      <c r="IA11" s="207">
        <f t="shared" si="187"/>
        <v>31</v>
      </c>
      <c r="IB11" s="207">
        <f t="shared" si="188"/>
        <v>15</v>
      </c>
      <c r="IC11" s="343" t="str">
        <f t="shared" si="189"/>
        <v>A</v>
      </c>
      <c r="ID11" s="343" t="str">
        <f t="shared" si="190"/>
        <v>03991</v>
      </c>
      <c r="IE11" s="343" t="str">
        <f t="shared" si="191"/>
        <v>181019</v>
      </c>
      <c r="IF11" s="343" t="str">
        <f t="shared" si="192"/>
        <v>TG05</v>
      </c>
      <c r="IG11" s="383">
        <f t="shared" si="193"/>
        <v>43756</v>
      </c>
      <c r="IH11" s="383">
        <f t="shared" si="194"/>
        <v>45583</v>
      </c>
      <c r="II11" s="208">
        <v>37</v>
      </c>
    </row>
    <row r="12" ht="165.75">
      <c r="A12" s="207">
        <f>Input!A12</f>
        <v>10</v>
      </c>
      <c r="B12" s="343" t="str">
        <f> Profile!$A$3</f>
        <v>VINAPHONE</v>
      </c>
      <c r="C12" s="343" t="str">
        <f> Profile!$L$3</f>
        <v>VINAPHONE</v>
      </c>
      <c r="D12" s="207" t="str">
        <f>Input!B12</f>
        <v>LE-QUANG-DAO-43-8-24-NTM_HNI</v>
      </c>
      <c r="E12" s="317" t="str">
        <f>Input!C12</f>
        <v>Số 24, ngách 8/43, đường Lê Quang Đạo, phường Phú Đô, quận Nam Từ Liêm, thành phố Hà Nội</v>
      </c>
      <c r="F12" s="207" t="str">
        <f>Input!D12</f>
        <v>Hà Nội</v>
      </c>
      <c r="G12" s="207">
        <f>Input!E12</f>
        <v>105.76771</v>
      </c>
      <c r="H12" s="207">
        <f>Input!F12</f>
        <v>21.013744</v>
      </c>
      <c r="I12" s="207">
        <f>Input!G12</f>
        <v>1</v>
      </c>
      <c r="J12" s="207">
        <f>Input!H12</f>
        <v>2</v>
      </c>
      <c r="K12" s="207" t="str">
        <f t="shared" si="0"/>
        <v>TỔNG CÔNG TY HẠ TẦNG MẠNG;TỔNG CÔNG TY HẠ TẦNG MẠNG</v>
      </c>
      <c r="L12" s="207" t="str">
        <f>Input!J12</f>
        <v>LE-QUANG-DAO-43-8-24-NTM_HNI;LE-QUANG-DAO-43-8-24-NTM_HNI</v>
      </c>
      <c r="M12" s="207" t="str">
        <f>Input!K12</f>
        <v>NOKIA FLEXI MULTIRADIO BTS RADIO MODULE AND REMOTE RADIO (FRGY);NOKIA FLEXI MULTIRADIO BTS RADIO MODULE AND REMOTE RADIO (FHEL)</v>
      </c>
      <c r="N12" s="207" t="str">
        <f>Input!L12</f>
        <v>3;3</v>
      </c>
      <c r="O12" s="207" t="str">
        <f>Input!M12</f>
        <v>2/2/2;1/1/1</v>
      </c>
      <c r="P12" s="207" t="str">
        <f>Input!N12</f>
        <v>60/60/60;60/60/60</v>
      </c>
      <c r="Q12" s="207" t="str">
        <f>Input!O12</f>
        <v>2100;1800</v>
      </c>
      <c r="R12" s="207" t="str">
        <f>Input!P12</f>
        <v>28,5/28,5/28,5;28,5/28,5/28,5</v>
      </c>
      <c r="S12" s="364" t="b">
        <f>Input!Q12</f>
        <v>1</v>
      </c>
      <c r="T12" s="207" t="str">
        <f>Input!R12</f>
        <v>A03992181019TG05</v>
      </c>
      <c r="U12" s="207">
        <f>Input!S12</f>
        <v>0</v>
      </c>
      <c r="V12" s="207" t="str">
        <f>Input!T12</f>
        <v>VCC1</v>
      </c>
      <c r="W12" s="207" t="str">
        <f>Input!U12</f>
        <v>1902990/19/TG/TT1</v>
      </c>
      <c r="X12" s="209" t="str">
        <f>TEXT(Input!V12,"dd/mm/yyyy")</f>
        <v>18/10/2019</v>
      </c>
      <c r="Y12" s="207" t="b">
        <f>Input!W12</f>
        <v>0</v>
      </c>
      <c r="Z12" s="364" t="b">
        <f>Input!X12</f>
        <v>0</v>
      </c>
      <c r="AA12" s="207">
        <f t="shared" si="1"/>
        <v>28.5</v>
      </c>
      <c r="AB12" s="364" t="b">
        <f>Input!Y12</f>
        <v>1</v>
      </c>
      <c r="AC12" s="207">
        <f>VALUE(Input!Z12)</f>
        <v>26</v>
      </c>
      <c r="AD12" s="207" t="b">
        <f>Input!AA12</f>
        <v>0</v>
      </c>
      <c r="AE12" s="207" t="str">
        <f>Input!AB12</f>
        <v>Vũ Văn Giáp</v>
      </c>
      <c r="AF12" s="207" t="str">
        <f>Input!AC12</f>
        <v>Lê Tiến Cường</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Tổng Công ty Hạ tầng mạng</v>
      </c>
      <c r="AN12" s="208" t="str">
        <f>INDEX(OperatorNameList,MATCH(C12,OperatorIDList,0))</f>
        <v>TỔNG CÔNG TY HẠ TẦNG MẠNG</v>
      </c>
      <c r="AO12" s="207">
        <f t="shared" si="2"/>
        <v>5</v>
      </c>
      <c r="AP12" s="287" t="str">
        <f t="shared" si="3"/>
        <v>thành phố Hà Nội</v>
      </c>
      <c r="AQ12" s="448" t="str">
        <f t="shared" si="4"/>
        <v>quận Nam Từ Liêm</v>
      </c>
      <c r="AR12" s="448" t="str">
        <f t="shared" si="5"/>
        <v>phường Phú Đô</v>
      </c>
      <c r="AS12" s="449" t="str">
        <f>INDEX(CityIDList,MATCH(F12,CityNameList,0))</f>
        <v>HNI</v>
      </c>
      <c r="AT12" s="208" t="str">
        <f>IF(J12&gt;=1,INDEX(OperatorNameList,MATCH(AZ12,OperatorIDList,0)),"")</f>
        <v>TỔNG CÔNG TY HẠ TẦNG MẠNG</v>
      </c>
      <c r="AU12" s="208" t="str">
        <f>IF(J12&gt;=2,INDEX(OperatorNameList,MATCH(BA12,OperatorIDList,0)),"")</f>
        <v>TỔNG CÔNG TY HẠ TẦNG MẠNG</v>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VINAPHONE</v>
      </c>
      <c r="BA12" s="208" t="str">
        <f t="shared" si="7"/>
        <v>VINAPHONE</v>
      </c>
      <c r="BB12" s="208" t="str">
        <f t="shared" si="8"/>
      </c>
      <c r="BC12" s="208" t="str">
        <f t="shared" si="9"/>
      </c>
      <c r="BD12" s="208" t="str">
        <f t="shared" si="10"/>
      </c>
      <c r="BE12" s="208" t="str">
        <f t="shared" si="11"/>
      </c>
      <c r="BF12" s="208" t="str">
        <f>Input!I12</f>
        <v>VINAPHONE;VINAPHONE</v>
      </c>
      <c r="BG12" s="208" t="str">
        <f t="shared" si="12"/>
        <v>LE-QUANG-DAO-43-8-24-NTM_HNI</v>
      </c>
      <c r="BH12" s="208" t="str">
        <f t="shared" si="13"/>
        <v>LE-QUANG-DAO-43-8-24-NTM_HNI</v>
      </c>
      <c r="BI12" s="208" t="str">
        <f t="shared" si="14"/>
      </c>
      <c r="BJ12" s="208" t="str">
        <f t="shared" si="15"/>
      </c>
      <c r="BK12" s="208" t="str">
        <f t="shared" si="16"/>
      </c>
      <c r="BL12" s="208" t="str">
        <f t="shared" si="17"/>
      </c>
      <c r="BM12" s="208" t="str">
        <f t="shared" si="18"/>
        <v>NOKIA FLEXI MULTIRADIO BTS RADIO MODULE AND REMOTE RADIO (FRGY)</v>
      </c>
      <c r="BN12" s="208" t="str">
        <f t="shared" si="19"/>
        <v>NOKIA FLEXI MULTIRADIO BTS RADIO MODULE AND REMOTE RADIO (FHEL)</v>
      </c>
      <c r="BO12" s="208" t="str">
        <f t="shared" si="20"/>
      </c>
      <c r="BP12" s="208" t="str">
        <f t="shared" si="21"/>
      </c>
      <c r="BQ12" s="208" t="str">
        <f t="shared" si="22"/>
      </c>
      <c r="BR12" s="208" t="str">
        <f t="shared" si="23"/>
      </c>
      <c r="BS12" s="208">
        <f t="shared" si="24"/>
        <v>3</v>
      </c>
      <c r="BT12" s="208">
        <f t="shared" si="25"/>
        <v>3</v>
      </c>
      <c r="BU12" s="208">
        <f t="shared" si="26"/>
        <v>0</v>
      </c>
      <c r="BV12" s="208">
        <f t="shared" si="27"/>
        <v>0</v>
      </c>
      <c r="BW12" s="208">
        <f t="shared" si="28"/>
        <v>0</v>
      </c>
      <c r="BX12" s="208">
        <f t="shared" si="29"/>
        <v>0</v>
      </c>
      <c r="BY12" s="208" t="str">
        <f t="shared" si="30"/>
        <v>2/2/2</v>
      </c>
      <c r="BZ12" s="208">
        <f t="shared" si="31"/>
        <v>2</v>
      </c>
      <c r="CA12" s="208">
        <f t="shared" si="32"/>
        <v>2</v>
      </c>
      <c r="CB12" s="208">
        <f t="shared" si="33"/>
        <v>2</v>
      </c>
      <c r="CC12" s="208">
        <f t="shared" si="34"/>
        <v>0</v>
      </c>
      <c r="CD12" s="208">
        <f t="shared" si="35"/>
        <v>0</v>
      </c>
      <c r="CE12" s="208">
        <f t="shared" si="36"/>
        <v>0</v>
      </c>
      <c r="CF12" s="208" t="str">
        <f t="shared" si="37"/>
        <v>1/1/1</v>
      </c>
      <c r="CG12" s="208">
        <f t="shared" si="38"/>
        <v>1</v>
      </c>
      <c r="CH12" s="208">
        <f t="shared" si="39"/>
        <v>1</v>
      </c>
      <c r="CI12" s="208">
        <f t="shared" si="40"/>
        <v>1</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60/60/60</v>
      </c>
      <c r="DP12" s="208">
        <f t="shared" si="73"/>
        <v>60</v>
      </c>
      <c r="DQ12" s="208">
        <f t="shared" si="74"/>
        <v>60</v>
      </c>
      <c r="DR12" s="208">
        <f t="shared" si="75"/>
        <v>60</v>
      </c>
      <c r="DS12" s="208">
        <f t="shared" si="76"/>
        <v>0</v>
      </c>
      <c r="DT12" s="208">
        <f t="shared" si="77"/>
        <v>0</v>
      </c>
      <c r="DU12" s="208">
        <f t="shared" si="78"/>
        <v>0</v>
      </c>
      <c r="DV12" s="208" t="str">
        <f t="shared" si="79"/>
        <v>60W/ 60W/ 60W</v>
      </c>
      <c r="DW12" s="208">
        <f t="shared" si="80"/>
        <v>60</v>
      </c>
      <c r="DX12" s="208" t="str">
        <f t="shared" si="81"/>
        <v>60/60/60</v>
      </c>
      <c r="DY12" s="208">
        <f t="shared" si="82"/>
        <v>60</v>
      </c>
      <c r="DZ12" s="208">
        <f t="shared" si="83"/>
        <v>60</v>
      </c>
      <c r="EA12" s="208">
        <f t="shared" si="84"/>
        <v>60</v>
      </c>
      <c r="EB12" s="208">
        <f t="shared" si="85"/>
        <v>0</v>
      </c>
      <c r="EC12" s="208">
        <f t="shared" si="86"/>
        <v>0</v>
      </c>
      <c r="ED12" s="208">
        <f t="shared" si="87"/>
        <v>0</v>
      </c>
      <c r="EE12" s="208" t="str">
        <f t="shared" si="88"/>
        <v>60W/ 60W/ 60W</v>
      </c>
      <c r="EF12" s="208">
        <f t="shared" si="89"/>
        <v>60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60</v>
      </c>
      <c r="FR12" s="208" t="str">
        <f t="shared" si="127"/>
        <v>2100</v>
      </c>
      <c r="FS12" s="208" t="str">
        <f t="shared" si="128"/>
        <v>1800</v>
      </c>
      <c r="FT12" s="208" t="str">
        <f t="shared" si="129"/>
      </c>
      <c r="FU12" s="208" t="str">
        <f t="shared" si="130"/>
      </c>
      <c r="FV12" s="208" t="str">
        <f t="shared" si="131"/>
      </c>
      <c r="FW12" s="208" t="str">
        <f t="shared" si="132"/>
      </c>
      <c r="FX12" s="208" t="str">
        <f t="shared" si="133"/>
        <v>28,5/28,5/28,5</v>
      </c>
      <c r="FY12" s="208">
        <f t="shared" si="134"/>
        <v>28.5</v>
      </c>
      <c r="FZ12" s="208">
        <f t="shared" si="135"/>
        <v>28.5</v>
      </c>
      <c r="GA12" s="208">
        <f t="shared" si="136"/>
        <v>28.5</v>
      </c>
      <c r="GB12" s="208">
        <f t="shared" si="137"/>
        <v>0</v>
      </c>
      <c r="GC12" s="208">
        <f t="shared" si="138"/>
        <v>0</v>
      </c>
      <c r="GD12" s="208">
        <f t="shared" si="139"/>
        <v>0</v>
      </c>
      <c r="GE12" s="208" t="str">
        <f t="shared" si="140"/>
        <v>28,5m/ 28,5m/ 28,5m</v>
      </c>
      <c r="GF12" s="208" t="str">
        <f t="shared" si="141"/>
        <v>28,5/28,5/28,5</v>
      </c>
      <c r="GG12" s="208">
        <f t="shared" si="142"/>
        <v>28.5</v>
      </c>
      <c r="GH12" s="208">
        <f t="shared" si="143"/>
        <v>28.5</v>
      </c>
      <c r="GI12" s="208">
        <f t="shared" si="144"/>
        <v>28.5</v>
      </c>
      <c r="GJ12" s="208">
        <f t="shared" si="145"/>
        <v>0</v>
      </c>
      <c r="GK12" s="208">
        <f t="shared" si="146"/>
        <v>0</v>
      </c>
      <c r="GL12" s="208">
        <f t="shared" si="147"/>
        <v>0</v>
      </c>
      <c r="GM12" s="208" t="str">
        <f t="shared" si="148"/>
        <v>28,5m/ 28,5m/ 28,5m</v>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28.5</v>
      </c>
      <c r="HV12" s="208">
        <f t="shared" si="182"/>
        <v>28.5</v>
      </c>
      <c r="HW12" s="208">
        <f t="shared" si="183"/>
        <v>0</v>
      </c>
      <c r="HX12" s="208">
        <f t="shared" si="184"/>
        <v>0</v>
      </c>
      <c r="HY12" s="208">
        <f t="shared" si="185"/>
        <v>0</v>
      </c>
      <c r="HZ12" s="208">
        <f t="shared" si="186"/>
        <v>0</v>
      </c>
      <c r="IA12" s="207">
        <f t="shared" si="187"/>
        <v>28.5</v>
      </c>
      <c r="IB12" s="207">
        <f t="shared" si="188"/>
        <v>2.5</v>
      </c>
      <c r="IC12" s="343" t="str">
        <f t="shared" si="189"/>
        <v>A</v>
      </c>
      <c r="ID12" s="343" t="str">
        <f t="shared" si="190"/>
        <v>03992</v>
      </c>
      <c r="IE12" s="343" t="str">
        <f t="shared" si="191"/>
        <v>181019</v>
      </c>
      <c r="IF12" s="343" t="str">
        <f t="shared" si="192"/>
        <v>TG05</v>
      </c>
      <c r="IG12" s="383">
        <f t="shared" si="193"/>
        <v>43756</v>
      </c>
      <c r="IH12" s="383">
        <f t="shared" si="194"/>
        <v>45583</v>
      </c>
      <c r="II12" s="208">
        <v>37</v>
      </c>
    </row>
    <row r="13" ht="127.5">
      <c r="A13" s="207">
        <f>Input!A13</f>
        <v>11</v>
      </c>
      <c r="B13" s="343" t="str">
        <f> Profile!$A$3</f>
        <v>VINAPHONE</v>
      </c>
      <c r="C13" s="343" t="str">
        <f> Profile!$L$3</f>
        <v>VINAPHONE</v>
      </c>
      <c r="D13" s="207" t="str">
        <f>Input!B13</f>
        <v>TAY-MO-THON-LO-TLM_HNI</v>
      </c>
      <c r="E13" s="317" t="str">
        <f>Input!C13</f>
        <v>Số 36, ngõ 193/17/25, phố Cầu Cốc, phường Tây Mỗ, quận Nam Từ Liêm, thành phố Hà Nội</v>
      </c>
      <c r="F13" s="207" t="str">
        <f>Input!D13</f>
        <v>Hà Nội</v>
      </c>
      <c r="G13" s="207">
        <f>Input!E13</f>
        <v>105.744625</v>
      </c>
      <c r="H13" s="207">
        <f>Input!F13</f>
        <v>21.002667</v>
      </c>
      <c r="I13" s="207">
        <f>Input!G13</f>
        <v>1</v>
      </c>
      <c r="J13" s="207">
        <f>Input!H13</f>
        <v>3</v>
      </c>
      <c r="K13" s="207" t="str">
        <f t="shared" si="0"/>
        <v>TỔNG CÔNG TY HẠ TẦNG MẠNG;TỔNG CÔNG TY HẠ TẦNG MẠNG;TỔNG CÔNG TY HẠ TẦNG MẠNG</v>
      </c>
      <c r="L13" s="207" t="str">
        <f>Input!J13</f>
        <v>TAY-MO-THON-LO-TLM_HNI;TAY-MO-THON-LO-TLM_HNI;TAY-MO-THON-LO-TLM_HNI</v>
      </c>
      <c r="M13" s="207" t="str">
        <f>Input!K13</f>
        <v>HUAWEI BTS3900;HUAWEI DBS3900 WCDMA;NOKIA FLEXI MULTIRADIO BTS RADIO MODULE AND REMOTE RADIO (FHEL)</v>
      </c>
      <c r="N13" s="207" t="str">
        <f>Input!L13</f>
        <v>3;3;3</v>
      </c>
      <c r="O13" s="207" t="str">
        <f>Input!M13</f>
        <v>2/2/2;2/2/2;1/1/1</v>
      </c>
      <c r="P13" s="207" t="str">
        <f>Input!N13</f>
        <v>80/80/80;60/60/60;60/60/60</v>
      </c>
      <c r="Q13" s="207" t="str">
        <f>Input!O13</f>
        <v>900;2100;1800</v>
      </c>
      <c r="R13" s="207" t="str">
        <f>Input!P13</f>
        <v>16,5/16,5/16,5;16,5/16,5/16,5;16,5/16,5/16,5</v>
      </c>
      <c r="S13" s="364" t="b">
        <f>Input!Q13</f>
        <v>1</v>
      </c>
      <c r="T13" s="207" t="str">
        <f>Input!R13</f>
        <v>A03993181019TG05</v>
      </c>
      <c r="U13" s="207">
        <f>Input!S13</f>
        <v>0</v>
      </c>
      <c r="V13" s="207" t="str">
        <f>Input!T13</f>
        <v>VCC1</v>
      </c>
      <c r="W13" s="207" t="str">
        <f>Input!U13</f>
        <v>1903235/19/TG/TT1</v>
      </c>
      <c r="X13" s="209" t="str">
        <f>TEXT(Input!V13,"dd/mm/yyyy")</f>
        <v>18/10/2019</v>
      </c>
      <c r="Y13" s="207" t="b">
        <f>Input!W13</f>
        <v>0</v>
      </c>
      <c r="Z13" s="364" t="b">
        <f>Input!X13</f>
        <v>0</v>
      </c>
      <c r="AA13" s="207">
        <f t="shared" si="1"/>
        <v>16.5</v>
      </c>
      <c r="AB13" s="364" t="b">
        <f>Input!Y13</f>
        <v>1</v>
      </c>
      <c r="AC13" s="207">
        <f>VALUE(Input!Z13)</f>
        <v>12</v>
      </c>
      <c r="AD13" s="207" t="b">
        <f>Input!AA13</f>
        <v>0</v>
      </c>
      <c r="AE13" s="207" t="str">
        <f>Input!AB13</f>
        <v>Vũ Văn Giáp</v>
      </c>
      <c r="AF13" s="207" t="str">
        <f>Input!AC13</f>
        <v>Lê Tiến Cường</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Tổng Công ty Hạ tầng mạng</v>
      </c>
      <c r="AN13" s="208" t="str">
        <f>INDEX(OperatorNameList,MATCH(C13,OperatorIDList,0))</f>
        <v>TỔNG CÔNG TY HẠ TẦNG MẠNG</v>
      </c>
      <c r="AO13" s="207">
        <f t="shared" si="2"/>
        <v>5</v>
      </c>
      <c r="AP13" s="287" t="str">
        <f t="shared" si="3"/>
        <v>thành phố Hà Nội</v>
      </c>
      <c r="AQ13" s="448" t="str">
        <f t="shared" si="4"/>
        <v>quận Nam Từ Liêm</v>
      </c>
      <c r="AR13" s="448" t="str">
        <f t="shared" si="5"/>
        <v>phường Tây Mỗ</v>
      </c>
      <c r="AS13" s="449" t="str">
        <f>INDEX(CityIDList,MATCH(F13,CityNameList,0))</f>
        <v>HNI</v>
      </c>
      <c r="AT13" s="208" t="str">
        <f>IF(J13&gt;=1,INDEX(OperatorNameList,MATCH(AZ13,OperatorIDList,0)),"")</f>
        <v>TỔNG CÔNG TY HẠ TẦNG MẠNG</v>
      </c>
      <c r="AU13" s="208" t="str">
        <f>IF(J13&gt;=2,INDEX(OperatorNameList,MATCH(BA13,OperatorIDList,0)),"")</f>
        <v>TỔNG CÔNG TY HẠ TẦNG MẠNG</v>
      </c>
      <c r="AV13" s="208" t="str">
        <f>IF(J13&gt;=3,INDEX(OperatorNameList,MATCH(BB13,OperatorIDList,0)),"")</f>
        <v>TỔNG CÔNG TY HẠ TẦNG MẠNG</v>
      </c>
      <c r="AW13" s="208" t="str">
        <f>IF(J13&gt;=4,INDEX(OperatorNameList,MATCH(BC13,OperatorIDList,0)),"")</f>
      </c>
      <c r="AX13" s="208" t="str">
        <f>IF(J13&gt;=5,INDEX(OperatorNameList,MATCH(BD13,OperatorIDList,0)),"")</f>
      </c>
      <c r="AY13" s="208" t="str">
        <f>IF(J13&gt;=6,INDEX(OperatorNameList,MATCH(BE13,OperatorIDList,0)),"")</f>
      </c>
      <c r="AZ13" s="208" t="str">
        <f t="shared" si="6"/>
        <v>VINAPHONE</v>
      </c>
      <c r="BA13" s="208" t="str">
        <f t="shared" si="7"/>
        <v>VINAPHONE</v>
      </c>
      <c r="BB13" s="208" t="str">
        <f t="shared" si="8"/>
        <v>VINAPHONE</v>
      </c>
      <c r="BC13" s="208" t="str">
        <f t="shared" si="9"/>
      </c>
      <c r="BD13" s="208" t="str">
        <f t="shared" si="10"/>
      </c>
      <c r="BE13" s="208" t="str">
        <f t="shared" si="11"/>
      </c>
      <c r="BF13" s="208" t="str">
        <f>Input!I13</f>
        <v>VINAPHONE;VINAPHONE;VINAPHONE</v>
      </c>
      <c r="BG13" s="208" t="str">
        <f t="shared" si="12"/>
        <v>TAY-MO-THON-LO-TLM_HNI</v>
      </c>
      <c r="BH13" s="208" t="str">
        <f t="shared" si="13"/>
        <v>TAY-MO-THON-LO-TLM_HNI</v>
      </c>
      <c r="BI13" s="208" t="str">
        <f t="shared" si="14"/>
        <v>TAY-MO-THON-LO-TLM_HNI</v>
      </c>
      <c r="BJ13" s="208" t="str">
        <f t="shared" si="15"/>
      </c>
      <c r="BK13" s="208" t="str">
        <f t="shared" si="16"/>
      </c>
      <c r="BL13" s="208" t="str">
        <f t="shared" si="17"/>
      </c>
      <c r="BM13" s="208" t="str">
        <f t="shared" si="18"/>
        <v>HUAWEI BTS3900</v>
      </c>
      <c r="BN13" s="208" t="str">
        <f t="shared" si="19"/>
        <v>HUAWEI DBS3900 WCDMA</v>
      </c>
      <c r="BO13" s="208" t="str">
        <f t="shared" si="20"/>
        <v>NOKIA FLEXI MULTIRADIO BTS RADIO MODULE AND REMOTE RADIO (FHEL)</v>
      </c>
      <c r="BP13" s="208" t="str">
        <f t="shared" si="21"/>
      </c>
      <c r="BQ13" s="208" t="str">
        <f t="shared" si="22"/>
      </c>
      <c r="BR13" s="208" t="str">
        <f t="shared" si="23"/>
      </c>
      <c r="BS13" s="208">
        <f t="shared" si="24"/>
        <v>3</v>
      </c>
      <c r="BT13" s="208">
        <f t="shared" si="25"/>
        <v>3</v>
      </c>
      <c r="BU13" s="208">
        <f t="shared" si="26"/>
        <v>3</v>
      </c>
      <c r="BV13" s="208">
        <f t="shared" si="27"/>
        <v>0</v>
      </c>
      <c r="BW13" s="208">
        <f t="shared" si="28"/>
        <v>0</v>
      </c>
      <c r="BX13" s="208">
        <f t="shared" si="29"/>
        <v>0</v>
      </c>
      <c r="BY13" s="208" t="str">
        <f t="shared" si="30"/>
        <v>2/2/2</v>
      </c>
      <c r="BZ13" s="208">
        <f t="shared" si="31"/>
        <v>2</v>
      </c>
      <c r="CA13" s="208">
        <f t="shared" si="32"/>
        <v>2</v>
      </c>
      <c r="CB13" s="208">
        <f t="shared" si="33"/>
        <v>2</v>
      </c>
      <c r="CC13" s="208">
        <f t="shared" si="34"/>
        <v>0</v>
      </c>
      <c r="CD13" s="208">
        <f t="shared" si="35"/>
        <v>0</v>
      </c>
      <c r="CE13" s="208">
        <f t="shared" si="36"/>
        <v>0</v>
      </c>
      <c r="CF13" s="208" t="str">
        <f t="shared" si="37"/>
        <v>2/2/2</v>
      </c>
      <c r="CG13" s="208">
        <f t="shared" si="38"/>
        <v>2</v>
      </c>
      <c r="CH13" s="208">
        <f t="shared" si="39"/>
        <v>2</v>
      </c>
      <c r="CI13" s="208">
        <f t="shared" si="40"/>
        <v>2</v>
      </c>
      <c r="CJ13" s="208">
        <f t="shared" si="41"/>
        <v>0</v>
      </c>
      <c r="CK13" s="208">
        <f t="shared" si="42"/>
        <v>0</v>
      </c>
      <c r="CL13" s="208">
        <f t="shared" si="43"/>
        <v>0</v>
      </c>
      <c r="CM13" s="208" t="str">
        <f t="shared" si="44"/>
        <v>1/1/1</v>
      </c>
      <c r="CN13" s="208">
        <f t="shared" si="45"/>
        <v>1</v>
      </c>
      <c r="CO13" s="208">
        <f t="shared" si="46"/>
        <v>1</v>
      </c>
      <c r="CP13" s="208">
        <f t="shared" si="47"/>
        <v>1</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v>60/60/60</v>
      </c>
      <c r="DY13" s="208">
        <f t="shared" si="82"/>
        <v>60</v>
      </c>
      <c r="DZ13" s="208">
        <f t="shared" si="83"/>
        <v>60</v>
      </c>
      <c r="EA13" s="208">
        <f t="shared" si="84"/>
        <v>60</v>
      </c>
      <c r="EB13" s="208">
        <f t="shared" si="85"/>
        <v>0</v>
      </c>
      <c r="EC13" s="208">
        <f t="shared" si="86"/>
        <v>0</v>
      </c>
      <c r="ED13" s="208">
        <f t="shared" si="87"/>
        <v>0</v>
      </c>
      <c r="EE13" s="208" t="str">
        <f t="shared" si="88"/>
        <v>60W/ 60W/ 60W</v>
      </c>
      <c r="EF13" s="208">
        <f t="shared" si="89"/>
        <v>60</v>
      </c>
      <c r="EG13" s="208" t="str">
        <f t="shared" si="90"/>
        <v>60/60/60</v>
      </c>
      <c r="EH13" s="208">
        <f t="shared" si="91"/>
        <v>60</v>
      </c>
      <c r="EI13" s="208">
        <f t="shared" si="92"/>
        <v>60</v>
      </c>
      <c r="EJ13" s="208">
        <f t="shared" si="93"/>
        <v>60</v>
      </c>
      <c r="EK13" s="208">
        <f t="shared" si="94"/>
        <v>0</v>
      </c>
      <c r="EL13" s="208">
        <f t="shared" si="95"/>
        <v>0</v>
      </c>
      <c r="EM13" s="208">
        <f t="shared" si="96"/>
        <v>0</v>
      </c>
      <c r="EN13" s="208" t="str">
        <f t="shared" si="97"/>
        <v>60W/ 60W/ 60W</v>
      </c>
      <c r="EO13" s="208">
        <f t="shared" si="98"/>
        <v>60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900</v>
      </c>
      <c r="FS13" s="208" t="str">
        <f t="shared" si="128"/>
        <v>2100</v>
      </c>
      <c r="FT13" s="208" t="str">
        <f t="shared" si="129"/>
        <v>1800</v>
      </c>
      <c r="FU13" s="208" t="str">
        <f t="shared" si="130"/>
      </c>
      <c r="FV13" s="208" t="str">
        <f t="shared" si="131"/>
      </c>
      <c r="FW13" s="208" t="str">
        <f t="shared" si="132"/>
      </c>
      <c r="FX13" s="208" t="str">
        <f t="shared" si="133"/>
        <v>16,5/16,5/16,5</v>
      </c>
      <c r="FY13" s="208">
        <f t="shared" si="134"/>
        <v>16.5</v>
      </c>
      <c r="FZ13" s="208">
        <f t="shared" si="135"/>
        <v>16.5</v>
      </c>
      <c r="GA13" s="208">
        <f t="shared" si="136"/>
        <v>16.5</v>
      </c>
      <c r="GB13" s="208">
        <f t="shared" si="137"/>
        <v>0</v>
      </c>
      <c r="GC13" s="208">
        <f t="shared" si="138"/>
        <v>0</v>
      </c>
      <c r="GD13" s="208">
        <f t="shared" si="139"/>
        <v>0</v>
      </c>
      <c r="GE13" s="208" t="str">
        <f t="shared" si="140"/>
        <v>16,5m/ 16,5m/ 16,5m</v>
      </c>
      <c r="GF13" s="208" t="str">
        <f t="shared" si="141"/>
        <v>16,5/16,5/16,5</v>
      </c>
      <c r="GG13" s="208">
        <f t="shared" si="142"/>
        <v>16.5</v>
      </c>
      <c r="GH13" s="208">
        <f t="shared" si="143"/>
        <v>16.5</v>
      </c>
      <c r="GI13" s="208">
        <f t="shared" si="144"/>
        <v>16.5</v>
      </c>
      <c r="GJ13" s="208">
        <f t="shared" si="145"/>
        <v>0</v>
      </c>
      <c r="GK13" s="208">
        <f t="shared" si="146"/>
        <v>0</v>
      </c>
      <c r="GL13" s="208">
        <f t="shared" si="147"/>
        <v>0</v>
      </c>
      <c r="GM13" s="208" t="str">
        <f t="shared" si="148"/>
        <v>16,5m/ 16,5m/ 16,5m</v>
      </c>
      <c r="GN13" s="208" t="str">
        <f t="shared" si="149"/>
        <v>16,5/16,5/16,5</v>
      </c>
      <c r="GO13" s="208">
        <f t="shared" si="150"/>
        <v>16.5</v>
      </c>
      <c r="GP13" s="208">
        <f t="shared" si="151"/>
        <v>16.5</v>
      </c>
      <c r="GQ13" s="208">
        <f t="shared" si="152"/>
        <v>16.5</v>
      </c>
      <c r="GR13" s="208">
        <f t="shared" si="153"/>
        <v>0</v>
      </c>
      <c r="GS13" s="208">
        <f t="shared" si="154"/>
        <v>0</v>
      </c>
      <c r="GT13" s="208">
        <f t="shared" si="155"/>
        <v>0</v>
      </c>
      <c r="GU13" s="208" t="str">
        <f t="shared" si="156"/>
        <v>16,5m/ 16,5m/ 16,5m</v>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16.5</v>
      </c>
      <c r="HV13" s="208">
        <f t="shared" si="182"/>
        <v>16.5</v>
      </c>
      <c r="HW13" s="208">
        <f t="shared" si="183"/>
        <v>16.5</v>
      </c>
      <c r="HX13" s="208">
        <f t="shared" si="184"/>
        <v>0</v>
      </c>
      <c r="HY13" s="208">
        <f t="shared" si="185"/>
        <v>0</v>
      </c>
      <c r="HZ13" s="208">
        <f t="shared" si="186"/>
        <v>0</v>
      </c>
      <c r="IA13" s="207">
        <f t="shared" si="187"/>
        <v>16.5</v>
      </c>
      <c r="IB13" s="207">
        <f t="shared" si="188"/>
        <v>4.5</v>
      </c>
      <c r="IC13" s="343" t="str">
        <f t="shared" si="189"/>
        <v>A</v>
      </c>
      <c r="ID13" s="343" t="str">
        <f t="shared" si="190"/>
        <v>03993</v>
      </c>
      <c r="IE13" s="343" t="str">
        <f t="shared" si="191"/>
        <v>181019</v>
      </c>
      <c r="IF13" s="343" t="str">
        <f t="shared" si="192"/>
        <v>TG05</v>
      </c>
      <c r="IG13" s="383">
        <f t="shared" si="193"/>
        <v>43756</v>
      </c>
      <c r="IH13" s="383">
        <f t="shared" si="194"/>
        <v>45583</v>
      </c>
      <c r="II13" s="208">
        <v>37</v>
      </c>
    </row>
    <row r="14" ht="127.5">
      <c r="A14" s="207">
        <f>Input!A14</f>
        <v>12</v>
      </c>
      <c r="B14" s="343" t="str">
        <f> Profile!$A$3</f>
        <v>VINAPHONE</v>
      </c>
      <c r="C14" s="343" t="str">
        <f> Profile!$L$3</f>
        <v>VINAPHONE</v>
      </c>
      <c r="D14" s="207" t="str">
        <f>Input!B14</f>
        <v>XUAN-PHUONG-80-66-NTL_HNI</v>
      </c>
      <c r="E14" s="317" t="str">
        <f>Input!C14</f>
        <v>Số 66, ngõ 80, đường Xuân Phương, phường Phương Canh, quận Nam Từ Liêm, thành phố Hà Nội</v>
      </c>
      <c r="F14" s="207" t="str">
        <f>Input!D14</f>
        <v>Hà Nội</v>
      </c>
      <c r="G14" s="207">
        <f>Input!E14</f>
        <v>105.732104</v>
      </c>
      <c r="H14" s="207">
        <f>Input!F14</f>
        <v>21.050928</v>
      </c>
      <c r="I14" s="207">
        <f>Input!G14</f>
        <v>1</v>
      </c>
      <c r="J14" s="207">
        <f>Input!H14</f>
        <v>3</v>
      </c>
      <c r="K14" s="207" t="str">
        <f t="shared" si="0"/>
        <v>TỔNG CÔNG TY HẠ TẦNG MẠNG;TỔNG CÔNG TY HẠ TẦNG MẠNG;TỔNG CÔNG TY HẠ TẦNG MẠNG</v>
      </c>
      <c r="L14" s="207" t="str">
        <f>Input!J14</f>
        <v>XUAN-PHUONG-80-66-NTL_HNI;XUAN-PHUONG-80-66-NTL_HNI;XUAN-PHUONG-80-66-NTL_HNI</v>
      </c>
      <c r="M14" s="207" t="str">
        <f>Input!K14</f>
        <v>HUAWEI BTS3900;HUAWEI DBS3900 WCDMA;NOKIA FLEXI MULTIRADIO BTS RADIO MODULE AND REMOTE RADIO (FHEL)</v>
      </c>
      <c r="N14" s="207" t="str">
        <f>Input!L14</f>
        <v>3;3;3</v>
      </c>
      <c r="O14" s="207" t="str">
        <f>Input!M14</f>
        <v>2/2/2;2/2/2;1/1/1</v>
      </c>
      <c r="P14" s="207" t="str">
        <f>Input!N14</f>
        <v>80/80/80;60/60/60;60/60/60</v>
      </c>
      <c r="Q14" s="207" t="str">
        <f>Input!O14</f>
        <v>900;2100;1800</v>
      </c>
      <c r="R14" s="207" t="str">
        <f>Input!P14</f>
        <v>18/18/18;18/18/18;18/18/18</v>
      </c>
      <c r="S14" s="364" t="b">
        <f>Input!Q14</f>
        <v>1</v>
      </c>
      <c r="T14" s="207" t="str">
        <f>Input!R14</f>
        <v>A03994181019TG05</v>
      </c>
      <c r="U14" s="207">
        <f>Input!S14</f>
        <v>0</v>
      </c>
      <c r="V14" s="207" t="str">
        <f>Input!T14</f>
        <v>VCC1</v>
      </c>
      <c r="W14" s="207" t="str">
        <f>Input!U14</f>
        <v>1903226/19/TG/TT1</v>
      </c>
      <c r="X14" s="209" t="str">
        <f>TEXT(Input!V14,"dd/mm/yyyy")</f>
        <v>18/10/2019</v>
      </c>
      <c r="Y14" s="207" t="b">
        <f>Input!W14</f>
        <v>0</v>
      </c>
      <c r="Z14" s="364" t="b">
        <f>Input!X14</f>
        <v>0</v>
      </c>
      <c r="AA14" s="207">
        <f t="shared" si="1"/>
        <v>18</v>
      </c>
      <c r="AB14" s="364" t="b">
        <f>Input!Y14</f>
        <v>1</v>
      </c>
      <c r="AC14" s="207">
        <f>VALUE(Input!Z14)</f>
        <v>12</v>
      </c>
      <c r="AD14" s="207" t="b">
        <f>Input!AA14</f>
        <v>0</v>
      </c>
      <c r="AE14" s="207" t="str">
        <f>Input!AB14</f>
        <v>Vũ Văn Giáp</v>
      </c>
      <c r="AF14" s="207" t="str">
        <f>Input!AC14</f>
        <v>Lê Tiến Cường</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Tổng Công ty Hạ tầng mạng</v>
      </c>
      <c r="AN14" s="208" t="str">
        <f>INDEX(OperatorNameList,MATCH(C14,OperatorIDList,0))</f>
        <v>TỔNG CÔNG TY HẠ TẦNG MẠNG</v>
      </c>
      <c r="AO14" s="207">
        <f t="shared" si="2"/>
        <v>5</v>
      </c>
      <c r="AP14" s="287" t="str">
        <f t="shared" si="3"/>
        <v>thành phố Hà Nội</v>
      </c>
      <c r="AQ14" s="448" t="str">
        <f t="shared" si="4"/>
        <v>quận Nam Từ Liêm</v>
      </c>
      <c r="AR14" s="448" t="str">
        <f t="shared" si="5"/>
        <v>phường Phương Canh</v>
      </c>
      <c r="AS14" s="449" t="str">
        <f>INDEX(CityIDList,MATCH(F14,CityNameList,0))</f>
        <v>HNI</v>
      </c>
      <c r="AT14" s="208" t="str">
        <f>IF(J14&gt;=1,INDEX(OperatorNameList,MATCH(AZ14,OperatorIDList,0)),"")</f>
        <v>TỔNG CÔNG TY HẠ TẦNG MẠNG</v>
      </c>
      <c r="AU14" s="208" t="str">
        <f>IF(J14&gt;=2,INDEX(OperatorNameList,MATCH(BA14,OperatorIDList,0)),"")</f>
        <v>TỔNG CÔNG TY HẠ TẦNG MẠNG</v>
      </c>
      <c r="AV14" s="208" t="str">
        <f>IF(J14&gt;=3,INDEX(OperatorNameList,MATCH(BB14,OperatorIDList,0)),"")</f>
        <v>TỔNG CÔNG TY HẠ TẦNG MẠNG</v>
      </c>
      <c r="AW14" s="208" t="str">
        <f>IF(J14&gt;=4,INDEX(OperatorNameList,MATCH(BC14,OperatorIDList,0)),"")</f>
      </c>
      <c r="AX14" s="208" t="str">
        <f>IF(J14&gt;=5,INDEX(OperatorNameList,MATCH(BD14,OperatorIDList,0)),"")</f>
      </c>
      <c r="AY14" s="208" t="str">
        <f>IF(J14&gt;=6,INDEX(OperatorNameList,MATCH(BE14,OperatorIDList,0)),"")</f>
      </c>
      <c r="AZ14" s="208" t="str">
        <f t="shared" si="6"/>
        <v>VINAPHONE</v>
      </c>
      <c r="BA14" s="208" t="str">
        <f t="shared" si="7"/>
        <v>VINAPHONE</v>
      </c>
      <c r="BB14" s="208" t="str">
        <f t="shared" si="8"/>
        <v>VINAPHONE</v>
      </c>
      <c r="BC14" s="208" t="str">
        <f t="shared" si="9"/>
      </c>
      <c r="BD14" s="208" t="str">
        <f t="shared" si="10"/>
      </c>
      <c r="BE14" s="208" t="str">
        <f t="shared" si="11"/>
      </c>
      <c r="BF14" s="208" t="str">
        <f>Input!I14</f>
        <v>VINAPHONE;VINAPHONE;VINAPHONE</v>
      </c>
      <c r="BG14" s="208" t="str">
        <f t="shared" si="12"/>
        <v>XUAN-PHUONG-80-66-NTL_HNI</v>
      </c>
      <c r="BH14" s="208" t="str">
        <f t="shared" si="13"/>
        <v>XUAN-PHUONG-80-66-NTL_HNI</v>
      </c>
      <c r="BI14" s="208" t="str">
        <f t="shared" si="14"/>
        <v>XUAN-PHUONG-80-66-NTL_HNI</v>
      </c>
      <c r="BJ14" s="208" t="str">
        <f t="shared" si="15"/>
      </c>
      <c r="BK14" s="208" t="str">
        <f t="shared" si="16"/>
      </c>
      <c r="BL14" s="208" t="str">
        <f t="shared" si="17"/>
      </c>
      <c r="BM14" s="208" t="str">
        <f t="shared" si="18"/>
        <v>HUAWEI BTS3900</v>
      </c>
      <c r="BN14" s="208" t="str">
        <f t="shared" si="19"/>
        <v>HUAWEI DBS3900 WCDMA</v>
      </c>
      <c r="BO14" s="208" t="str">
        <f t="shared" si="20"/>
        <v>NOKIA FLEXI MULTIRADIO BTS RADIO MODULE AND REMOTE RADIO (FHEL)</v>
      </c>
      <c r="BP14" s="208" t="str">
        <f t="shared" si="21"/>
      </c>
      <c r="BQ14" s="208" t="str">
        <f t="shared" si="22"/>
      </c>
      <c r="BR14" s="208" t="str">
        <f t="shared" si="23"/>
      </c>
      <c r="BS14" s="208">
        <f t="shared" si="24"/>
        <v>3</v>
      </c>
      <c r="BT14" s="208">
        <f t="shared" si="25"/>
        <v>3</v>
      </c>
      <c r="BU14" s="208">
        <f t="shared" si="26"/>
        <v>3</v>
      </c>
      <c r="BV14" s="208">
        <f t="shared" si="27"/>
        <v>0</v>
      </c>
      <c r="BW14" s="208">
        <f t="shared" si="28"/>
        <v>0</v>
      </c>
      <c r="BX14" s="208">
        <f t="shared" si="29"/>
        <v>0</v>
      </c>
      <c r="BY14" s="208" t="str">
        <f t="shared" si="30"/>
        <v>2/2/2</v>
      </c>
      <c r="BZ14" s="208">
        <f t="shared" si="31"/>
        <v>2</v>
      </c>
      <c r="CA14" s="208">
        <f t="shared" si="32"/>
        <v>2</v>
      </c>
      <c r="CB14" s="208">
        <f t="shared" si="33"/>
        <v>2</v>
      </c>
      <c r="CC14" s="208">
        <f t="shared" si="34"/>
        <v>0</v>
      </c>
      <c r="CD14" s="208">
        <f t="shared" si="35"/>
        <v>0</v>
      </c>
      <c r="CE14" s="208">
        <f t="shared" si="36"/>
        <v>0</v>
      </c>
      <c r="CF14" s="208" t="str">
        <f t="shared" si="37"/>
        <v>2/2/2</v>
      </c>
      <c r="CG14" s="208">
        <f t="shared" si="38"/>
        <v>2</v>
      </c>
      <c r="CH14" s="208">
        <f t="shared" si="39"/>
        <v>2</v>
      </c>
      <c r="CI14" s="208">
        <f t="shared" si="40"/>
        <v>2</v>
      </c>
      <c r="CJ14" s="208">
        <f t="shared" si="41"/>
        <v>0</v>
      </c>
      <c r="CK14" s="208">
        <f t="shared" si="42"/>
        <v>0</v>
      </c>
      <c r="CL14" s="208">
        <f t="shared" si="43"/>
        <v>0</v>
      </c>
      <c r="CM14" s="208" t="str">
        <f t="shared" si="44"/>
        <v>1/1/1</v>
      </c>
      <c r="CN14" s="208">
        <f t="shared" si="45"/>
        <v>1</v>
      </c>
      <c r="CO14" s="208">
        <f t="shared" si="46"/>
        <v>1</v>
      </c>
      <c r="CP14" s="208">
        <f t="shared" si="47"/>
        <v>1</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v>60/60/60</v>
      </c>
      <c r="DY14" s="208">
        <f t="shared" si="82"/>
        <v>60</v>
      </c>
      <c r="DZ14" s="208">
        <f t="shared" si="83"/>
        <v>60</v>
      </c>
      <c r="EA14" s="208">
        <f t="shared" si="84"/>
        <v>60</v>
      </c>
      <c r="EB14" s="208">
        <f t="shared" si="85"/>
        <v>0</v>
      </c>
      <c r="EC14" s="208">
        <f t="shared" si="86"/>
        <v>0</v>
      </c>
      <c r="ED14" s="208">
        <f t="shared" si="87"/>
        <v>0</v>
      </c>
      <c r="EE14" s="208" t="str">
        <f t="shared" si="88"/>
        <v>60W/ 60W/ 60W</v>
      </c>
      <c r="EF14" s="208">
        <f t="shared" si="89"/>
        <v>60</v>
      </c>
      <c r="EG14" s="208" t="str">
        <f t="shared" si="90"/>
        <v>60/60/60</v>
      </c>
      <c r="EH14" s="208">
        <f t="shared" si="91"/>
        <v>60</v>
      </c>
      <c r="EI14" s="208">
        <f t="shared" si="92"/>
        <v>60</v>
      </c>
      <c r="EJ14" s="208">
        <f t="shared" si="93"/>
        <v>60</v>
      </c>
      <c r="EK14" s="208">
        <f t="shared" si="94"/>
        <v>0</v>
      </c>
      <c r="EL14" s="208">
        <f t="shared" si="95"/>
        <v>0</v>
      </c>
      <c r="EM14" s="208">
        <f t="shared" si="96"/>
        <v>0</v>
      </c>
      <c r="EN14" s="208" t="str">
        <f t="shared" si="97"/>
        <v>60W/ 60W/ 60W</v>
      </c>
      <c r="EO14" s="208">
        <f t="shared" si="98"/>
        <v>60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900</v>
      </c>
      <c r="FS14" s="208" t="str">
        <f t="shared" si="128"/>
        <v>2100</v>
      </c>
      <c r="FT14" s="208" t="str">
        <f t="shared" si="129"/>
        <v>1800</v>
      </c>
      <c r="FU14" s="208" t="str">
        <f t="shared" si="130"/>
      </c>
      <c r="FV14" s="208" t="str">
        <f t="shared" si="131"/>
      </c>
      <c r="FW14" s="208" t="str">
        <f t="shared" si="132"/>
      </c>
      <c r="FX14" s="208" t="str">
        <f t="shared" si="133"/>
        <v>18/18/18</v>
      </c>
      <c r="FY14" s="208">
        <f t="shared" si="134"/>
        <v>18</v>
      </c>
      <c r="FZ14" s="208">
        <f t="shared" si="135"/>
        <v>18</v>
      </c>
      <c r="GA14" s="208">
        <f t="shared" si="136"/>
        <v>18</v>
      </c>
      <c r="GB14" s="208">
        <f t="shared" si="137"/>
        <v>0</v>
      </c>
      <c r="GC14" s="208">
        <f t="shared" si="138"/>
        <v>0</v>
      </c>
      <c r="GD14" s="208">
        <f t="shared" si="139"/>
        <v>0</v>
      </c>
      <c r="GE14" s="208" t="str">
        <f t="shared" si="140"/>
        <v>18m/ 18m/ 18m</v>
      </c>
      <c r="GF14" s="208" t="str">
        <f t="shared" si="141"/>
        <v>18/18/18</v>
      </c>
      <c r="GG14" s="208">
        <f t="shared" si="142"/>
        <v>18</v>
      </c>
      <c r="GH14" s="208">
        <f t="shared" si="143"/>
        <v>18</v>
      </c>
      <c r="GI14" s="208">
        <f t="shared" si="144"/>
        <v>18</v>
      </c>
      <c r="GJ14" s="208">
        <f t="shared" si="145"/>
        <v>0</v>
      </c>
      <c r="GK14" s="208">
        <f t="shared" si="146"/>
        <v>0</v>
      </c>
      <c r="GL14" s="208">
        <f t="shared" si="147"/>
        <v>0</v>
      </c>
      <c r="GM14" s="208" t="str">
        <f t="shared" si="148"/>
        <v>18m/ 18m/ 18m</v>
      </c>
      <c r="GN14" s="208" t="str">
        <f t="shared" si="149"/>
        <v>18/18/18</v>
      </c>
      <c r="GO14" s="208">
        <f t="shared" si="150"/>
        <v>18</v>
      </c>
      <c r="GP14" s="208">
        <f t="shared" si="151"/>
        <v>18</v>
      </c>
      <c r="GQ14" s="208">
        <f t="shared" si="152"/>
        <v>18</v>
      </c>
      <c r="GR14" s="208">
        <f t="shared" si="153"/>
        <v>0</v>
      </c>
      <c r="GS14" s="208">
        <f t="shared" si="154"/>
        <v>0</v>
      </c>
      <c r="GT14" s="208">
        <f t="shared" si="155"/>
        <v>0</v>
      </c>
      <c r="GU14" s="208" t="str">
        <f t="shared" si="156"/>
        <v>18m/ 18m/ 18m</v>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18</v>
      </c>
      <c r="HV14" s="208">
        <f t="shared" si="182"/>
        <v>18</v>
      </c>
      <c r="HW14" s="208">
        <f t="shared" si="183"/>
        <v>18</v>
      </c>
      <c r="HX14" s="208">
        <f t="shared" si="184"/>
        <v>0</v>
      </c>
      <c r="HY14" s="208">
        <f t="shared" si="185"/>
        <v>0</v>
      </c>
      <c r="HZ14" s="208">
        <f t="shared" si="186"/>
        <v>0</v>
      </c>
      <c r="IA14" s="207">
        <f t="shared" si="187"/>
        <v>18</v>
      </c>
      <c r="IB14" s="207">
        <f t="shared" si="188"/>
        <v>6</v>
      </c>
      <c r="IC14" s="343" t="str">
        <f t="shared" si="189"/>
        <v>A</v>
      </c>
      <c r="ID14" s="343" t="str">
        <f t="shared" si="190"/>
        <v>03994</v>
      </c>
      <c r="IE14" s="343" t="str">
        <f t="shared" si="191"/>
        <v>181019</v>
      </c>
      <c r="IF14" s="343" t="str">
        <f t="shared" si="192"/>
        <v>TG05</v>
      </c>
      <c r="IG14" s="383">
        <f t="shared" si="193"/>
        <v>43756</v>
      </c>
      <c r="IH14" s="383">
        <f t="shared" si="194"/>
        <v>45583</v>
      </c>
      <c r="II14" s="208">
        <v>37</v>
      </c>
    </row>
    <row r="15" ht="63.75">
      <c r="A15" s="207">
        <f>Input!A15</f>
        <v>13</v>
      </c>
      <c r="B15" s="343" t="str">
        <f> Profile!$A$3</f>
        <v>VINAPHONE</v>
      </c>
      <c r="C15" s="343" t="str">
        <f> Profile!$L$3</f>
        <v>VINAPHONE</v>
      </c>
      <c r="D15" s="207" t="str">
        <f>Input!B15</f>
        <v>VINASHIN-TRAN-THU-DO-HMI_HNI</v>
      </c>
      <c r="E15" s="317" t="str">
        <f>Input!C15</f>
        <v>Lô CC1, đường Trần Thủ Độ, phường Hoàng Liệt, quận Hoàng Mai, thành phố Hà Nội</v>
      </c>
      <c r="F15" s="207" t="str">
        <f>Input!D15</f>
        <v>Hà Nội</v>
      </c>
      <c r="G15" s="207">
        <f>Input!E15</f>
        <v>105.847146</v>
      </c>
      <c r="H15" s="207">
        <f>Input!F15</f>
        <v>20.960182</v>
      </c>
      <c r="I15" s="207">
        <f>Input!G15</f>
        <v>1</v>
      </c>
      <c r="J15" s="207">
        <f>Input!H15</f>
        <v>2</v>
      </c>
      <c r="K15" s="207" t="str">
        <f t="shared" si="0"/>
        <v>TỔNG CÔNG TY HẠ TẦNG MẠNG;TỔNG CÔNG TY HẠ TẦNG MẠNG</v>
      </c>
      <c r="L15" s="207" t="str">
        <f>Input!J15</f>
        <v>VINASHIN-TRAN-THU-DO-HMI_HNI;VINASHIN-TRAN-THU-DO-HMI_HNI</v>
      </c>
      <c r="M15" s="207" t="str">
        <f>Input!K15</f>
        <v>HUAWEI BTS3900;HUAWEI DBS3900 WCDMA</v>
      </c>
      <c r="N15" s="207" t="str">
        <f>Input!L15</f>
        <v>3;3</v>
      </c>
      <c r="O15" s="207" t="str">
        <f>Input!M15</f>
        <v>2/2/2;2/2/2</v>
      </c>
      <c r="P15" s="207" t="str">
        <f>Input!N15</f>
        <v>80/80/80;60/60/60</v>
      </c>
      <c r="Q15" s="207" t="str">
        <f>Input!O15</f>
        <v>1800;2100</v>
      </c>
      <c r="R15" s="207" t="str">
        <f>Input!P15</f>
        <v>33,5/33,5/33,5;33,5/33,5/33,5</v>
      </c>
      <c r="S15" s="364" t="b">
        <f>Input!Q15</f>
        <v>1</v>
      </c>
      <c r="T15" s="207" t="str">
        <f>Input!R15</f>
        <v>A03995181019TG05</v>
      </c>
      <c r="U15" s="207">
        <f>Input!S15</f>
        <v>0</v>
      </c>
      <c r="V15" s="207" t="str">
        <f>Input!T15</f>
        <v>VCC1</v>
      </c>
      <c r="W15" s="207" t="str">
        <f>Input!U15</f>
        <v>1902974/19/TG/TT1</v>
      </c>
      <c r="X15" s="209" t="str">
        <f>TEXT(Input!V15,"dd/mm/yyyy")</f>
        <v>18/10/2019</v>
      </c>
      <c r="Y15" s="207" t="b">
        <f>Input!W15</f>
        <v>0</v>
      </c>
      <c r="Z15" s="364" t="b">
        <f>Input!X15</f>
        <v>0</v>
      </c>
      <c r="AA15" s="207">
        <f t="shared" si="1"/>
        <v>33.5</v>
      </c>
      <c r="AB15" s="364" t="b">
        <f>Input!Y15</f>
        <v>1</v>
      </c>
      <c r="AC15" s="207">
        <f>VALUE(Input!Z15)</f>
        <v>30</v>
      </c>
      <c r="AD15" s="207" t="b">
        <f>Input!AA15</f>
        <v>0</v>
      </c>
      <c r="AE15" s="207" t="str">
        <f>Input!AB15</f>
        <v>Vũ Văn Giáp</v>
      </c>
      <c r="AF15" s="207" t="str">
        <f>Input!AC15</f>
        <v>Lê Tiến Cường</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Tổng Công ty Hạ tầng mạng</v>
      </c>
      <c r="AN15" s="208" t="str">
        <f>INDEX(OperatorNameList,MATCH(C15,OperatorIDList,0))</f>
        <v>TỔNG CÔNG TY HẠ TẦNG MẠNG</v>
      </c>
      <c r="AO15" s="207">
        <f t="shared" si="2"/>
        <v>4</v>
      </c>
      <c r="AP15" s="287" t="str">
        <f t="shared" si="3"/>
        <v>thành phố Hà Nội</v>
      </c>
      <c r="AQ15" s="448" t="str">
        <f t="shared" si="4"/>
        <v>quận Hoàng Mai</v>
      </c>
      <c r="AR15" s="448" t="str">
        <f t="shared" si="5"/>
        <v>phường Hoàng Liệt</v>
      </c>
      <c r="AS15" s="449" t="str">
        <f>INDEX(CityIDList,MATCH(F15,CityNameList,0))</f>
        <v>HNI</v>
      </c>
      <c r="AT15" s="208" t="str">
        <f>IF(J15&gt;=1,INDEX(OperatorNameList,MATCH(AZ15,OperatorIDList,0)),"")</f>
        <v>TỔNG CÔNG TY HẠ TẦNG MẠNG</v>
      </c>
      <c r="AU15" s="208" t="str">
        <f>IF(J15&gt;=2,INDEX(OperatorNameList,MATCH(BA15,OperatorIDList,0)),"")</f>
        <v>TỔNG CÔNG TY HẠ TẦNG MẠNG</v>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VINAPHONE</v>
      </c>
      <c r="BA15" s="208" t="str">
        <f t="shared" si="7"/>
        <v>VINAPHONE</v>
      </c>
      <c r="BB15" s="208" t="str">
        <f t="shared" si="8"/>
      </c>
      <c r="BC15" s="208" t="str">
        <f t="shared" si="9"/>
      </c>
      <c r="BD15" s="208" t="str">
        <f t="shared" si="10"/>
      </c>
      <c r="BE15" s="208" t="str">
        <f t="shared" si="11"/>
      </c>
      <c r="BF15" s="208" t="str">
        <f>Input!I15</f>
        <v>VINAPHONE;VINAPHONE</v>
      </c>
      <c r="BG15" s="208" t="str">
        <f t="shared" si="12"/>
        <v>VINASHIN-TRAN-THU-DO-HMI_HNI</v>
      </c>
      <c r="BH15" s="208" t="str">
        <f t="shared" si="13"/>
        <v>VINASHIN-TRAN-THU-DO-HMI_HNI</v>
      </c>
      <c r="BI15" s="208" t="str">
        <f t="shared" si="14"/>
      </c>
      <c r="BJ15" s="208" t="str">
        <f t="shared" si="15"/>
      </c>
      <c r="BK15" s="208" t="str">
        <f t="shared" si="16"/>
      </c>
      <c r="BL15" s="208" t="str">
        <f t="shared" si="17"/>
      </c>
      <c r="BM15" s="208" t="str">
        <f t="shared" si="18"/>
        <v>HUAWEI BTS3900</v>
      </c>
      <c r="BN15" s="208" t="str">
        <f t="shared" si="19"/>
        <v>HUAWEI DBS3900 WCDMA</v>
      </c>
      <c r="BO15" s="208" t="str">
        <f t="shared" si="20"/>
      </c>
      <c r="BP15" s="208" t="str">
        <f t="shared" si="21"/>
      </c>
      <c r="BQ15" s="208" t="str">
        <f t="shared" si="22"/>
      </c>
      <c r="BR15" s="208" t="str">
        <f t="shared" si="23"/>
      </c>
      <c r="BS15" s="208">
        <f t="shared" si="24"/>
        <v>3</v>
      </c>
      <c r="BT15" s="208">
        <f t="shared" si="25"/>
        <v>3</v>
      </c>
      <c r="BU15" s="208">
        <f t="shared" si="26"/>
        <v>0</v>
      </c>
      <c r="BV15" s="208">
        <f t="shared" si="27"/>
        <v>0</v>
      </c>
      <c r="BW15" s="208">
        <f t="shared" si="28"/>
        <v>0</v>
      </c>
      <c r="BX15" s="208">
        <f t="shared" si="29"/>
        <v>0</v>
      </c>
      <c r="BY15" s="208" t="str">
        <f t="shared" si="30"/>
        <v>2/2/2</v>
      </c>
      <c r="BZ15" s="208">
        <f t="shared" si="31"/>
        <v>2</v>
      </c>
      <c r="CA15" s="208">
        <f t="shared" si="32"/>
        <v>2</v>
      </c>
      <c r="CB15" s="208">
        <f t="shared" si="33"/>
        <v>2</v>
      </c>
      <c r="CC15" s="208">
        <f t="shared" si="34"/>
        <v>0</v>
      </c>
      <c r="CD15" s="208">
        <f t="shared" si="35"/>
        <v>0</v>
      </c>
      <c r="CE15" s="208">
        <f t="shared" si="36"/>
        <v>0</v>
      </c>
      <c r="CF15" s="208" t="str">
        <f t="shared" si="37"/>
        <v>2/2/2</v>
      </c>
      <c r="CG15" s="208">
        <f t="shared" si="38"/>
        <v>2</v>
      </c>
      <c r="CH15" s="208">
        <f t="shared" si="39"/>
        <v>2</v>
      </c>
      <c r="CI15" s="208">
        <f t="shared" si="40"/>
        <v>2</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v>60/60/60</v>
      </c>
      <c r="DY15" s="208">
        <f t="shared" si="82"/>
        <v>60</v>
      </c>
      <c r="DZ15" s="208">
        <f t="shared" si="83"/>
        <v>60</v>
      </c>
      <c r="EA15" s="208">
        <f t="shared" si="84"/>
        <v>60</v>
      </c>
      <c r="EB15" s="208">
        <f t="shared" si="85"/>
        <v>0</v>
      </c>
      <c r="EC15" s="208">
        <f t="shared" si="86"/>
        <v>0</v>
      </c>
      <c r="ED15" s="208">
        <f t="shared" si="87"/>
        <v>0</v>
      </c>
      <c r="EE15" s="208" t="str">
        <f t="shared" si="88"/>
        <v>60W/ 60W/ 60W</v>
      </c>
      <c r="EF15" s="208">
        <f t="shared" si="89"/>
        <v>60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1800</v>
      </c>
      <c r="FS15" s="208" t="str">
        <f t="shared" si="128"/>
        <v>2100</v>
      </c>
      <c r="FT15" s="208" t="str">
        <f t="shared" si="129"/>
      </c>
      <c r="FU15" s="208" t="str">
        <f t="shared" si="130"/>
      </c>
      <c r="FV15" s="208" t="str">
        <f t="shared" si="131"/>
      </c>
      <c r="FW15" s="208" t="str">
        <f t="shared" si="132"/>
      </c>
      <c r="FX15" s="208" t="str">
        <f t="shared" si="133"/>
        <v>33,5/33,5/33,5</v>
      </c>
      <c r="FY15" s="208">
        <f t="shared" si="134"/>
        <v>33.5</v>
      </c>
      <c r="FZ15" s="208">
        <f t="shared" si="135"/>
        <v>33.5</v>
      </c>
      <c r="GA15" s="208">
        <f t="shared" si="136"/>
        <v>33.5</v>
      </c>
      <c r="GB15" s="208">
        <f t="shared" si="137"/>
        <v>0</v>
      </c>
      <c r="GC15" s="208">
        <f t="shared" si="138"/>
        <v>0</v>
      </c>
      <c r="GD15" s="208">
        <f t="shared" si="139"/>
        <v>0</v>
      </c>
      <c r="GE15" s="208" t="str">
        <f t="shared" si="140"/>
        <v>33,5m/ 33,5m/ 33,5m</v>
      </c>
      <c r="GF15" s="208" t="str">
        <f t="shared" si="141"/>
        <v>33,5/33,5/33,5</v>
      </c>
      <c r="GG15" s="208">
        <f t="shared" si="142"/>
        <v>33.5</v>
      </c>
      <c r="GH15" s="208">
        <f t="shared" si="143"/>
        <v>33.5</v>
      </c>
      <c r="GI15" s="208">
        <f t="shared" si="144"/>
        <v>33.5</v>
      </c>
      <c r="GJ15" s="208">
        <f t="shared" si="145"/>
        <v>0</v>
      </c>
      <c r="GK15" s="208">
        <f t="shared" si="146"/>
        <v>0</v>
      </c>
      <c r="GL15" s="208">
        <f t="shared" si="147"/>
        <v>0</v>
      </c>
      <c r="GM15" s="208" t="str">
        <f t="shared" si="148"/>
        <v>33,5m/ 33,5m/ 33,5m</v>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33.5</v>
      </c>
      <c r="HV15" s="208">
        <f t="shared" si="182"/>
        <v>33.5</v>
      </c>
      <c r="HW15" s="208">
        <f t="shared" si="183"/>
        <v>0</v>
      </c>
      <c r="HX15" s="208">
        <f t="shared" si="184"/>
        <v>0</v>
      </c>
      <c r="HY15" s="208">
        <f t="shared" si="185"/>
        <v>0</v>
      </c>
      <c r="HZ15" s="208">
        <f t="shared" si="186"/>
        <v>0</v>
      </c>
      <c r="IA15" s="207">
        <f t="shared" si="187"/>
        <v>33.5</v>
      </c>
      <c r="IB15" s="207">
        <f t="shared" si="188"/>
        <v>3.5</v>
      </c>
      <c r="IC15" s="343" t="str">
        <f t="shared" si="189"/>
        <v>A</v>
      </c>
      <c r="ID15" s="343" t="str">
        <f t="shared" si="190"/>
        <v>03995</v>
      </c>
      <c r="IE15" s="343" t="str">
        <f t="shared" si="191"/>
        <v>181019</v>
      </c>
      <c r="IF15" s="343" t="str">
        <f t="shared" si="192"/>
        <v>TG05</v>
      </c>
      <c r="IG15" s="383">
        <f t="shared" si="193"/>
        <v>43756</v>
      </c>
      <c r="IH15" s="383">
        <f t="shared" si="194"/>
        <v>45583</v>
      </c>
      <c r="II15" s="208">
        <v>37</v>
      </c>
    </row>
    <row r="16" ht="165.75">
      <c r="A16" s="207">
        <f>Input!A16</f>
        <v>14</v>
      </c>
      <c r="B16" s="343" t="str">
        <f> Profile!$A$3</f>
        <v>VINAPHONE</v>
      </c>
      <c r="C16" s="343" t="str">
        <f> Profile!$L$3</f>
        <v>VINAPHONE</v>
      </c>
      <c r="D16" s="207" t="str">
        <f>Input!B16</f>
        <v>THUY-LINH-95-8-6A-HMI_HNI</v>
      </c>
      <c r="E16" s="317" t="str">
        <f>Input!C16</f>
        <v>Số 6A, ngõ 95/8, phố Thúy Lĩnh, phường Lĩnh Nam, quận Hoàng Mai, thành phố Hà Nội</v>
      </c>
      <c r="F16" s="207" t="str">
        <f>Input!D16</f>
        <v>Hà Nội</v>
      </c>
      <c r="G16" s="207">
        <f>Input!E16</f>
        <v>105.893886</v>
      </c>
      <c r="H16" s="207">
        <f>Input!F16</f>
        <v>20.975974</v>
      </c>
      <c r="I16" s="207">
        <f>Input!G16</f>
        <v>1</v>
      </c>
      <c r="J16" s="207">
        <f>Input!H16</f>
        <v>2</v>
      </c>
      <c r="K16" s="207" t="str">
        <f t="shared" si="0"/>
        <v>TỔNG CÔNG TY HẠ TẦNG MẠNG;TỔNG CÔNG TY HẠ TẦNG MẠNG</v>
      </c>
      <c r="L16" s="207" t="str">
        <f>Input!J16</f>
        <v>THUY-LINH-95-8-6A-HMI_HNI;THUY-LINH-95-8-6A-HMI_HNI</v>
      </c>
      <c r="M16" s="207" t="str">
        <f>Input!K16</f>
        <v>NOKIA FLEXI MULTIRADIO BTS RADIO MODULE AND REMOTE RADIO (FRGY);NOKIA FLEXI MULTIRADIO BTS RADIO MODULE AND REMOTE RADIO (FHEL)</v>
      </c>
      <c r="N16" s="207" t="str">
        <f>Input!L16</f>
        <v>3;3</v>
      </c>
      <c r="O16" s="207" t="str">
        <f>Input!M16</f>
        <v>2/2/2;1/1/1</v>
      </c>
      <c r="P16" s="207" t="str">
        <f>Input!N16</f>
        <v>60/60/60;60/60/60</v>
      </c>
      <c r="Q16" s="207" t="str">
        <f>Input!O16</f>
        <v>2100;1800</v>
      </c>
      <c r="R16" s="207" t="str">
        <f>Input!P16</f>
        <v>24/24/24;24/24/24</v>
      </c>
      <c r="S16" s="364" t="b">
        <f>Input!Q16</f>
        <v>1</v>
      </c>
      <c r="T16" s="207" t="str">
        <f>Input!R16</f>
        <v>A03996181019TG05</v>
      </c>
      <c r="U16" s="207">
        <f>Input!S16</f>
        <v>0</v>
      </c>
      <c r="V16" s="207" t="str">
        <f>Input!T16</f>
        <v>VCC1</v>
      </c>
      <c r="W16" s="207" t="str">
        <f>Input!U16</f>
        <v>1902971/19/TG/TT1</v>
      </c>
      <c r="X16" s="209" t="str">
        <f>TEXT(Input!V16,"dd/mm/yyyy")</f>
        <v>18/10/2019</v>
      </c>
      <c r="Y16" s="207" t="b">
        <f>Input!W16</f>
        <v>0</v>
      </c>
      <c r="Z16" s="364" t="b">
        <f>Input!X16</f>
        <v>0</v>
      </c>
      <c r="AA16" s="207">
        <f t="shared" si="1"/>
        <v>24</v>
      </c>
      <c r="AB16" s="364" t="b">
        <f>Input!Y16</f>
        <v>1</v>
      </c>
      <c r="AC16" s="207">
        <f>VALUE(Input!Z16)</f>
        <v>20</v>
      </c>
      <c r="AD16" s="207" t="b">
        <f>Input!AA16</f>
        <v>0</v>
      </c>
      <c r="AE16" s="207" t="str">
        <f>Input!AB16</f>
        <v>Vũ Văn Giáp</v>
      </c>
      <c r="AF16" s="207" t="str">
        <f>Input!AC16</f>
        <v>Lê Tiến Cường</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Tổng Công ty Hạ tầng mạng</v>
      </c>
      <c r="AN16" s="208" t="str">
        <f>INDEX(OperatorNameList,MATCH(C16,OperatorIDList,0))</f>
        <v>TỔNG CÔNG TY HẠ TẦNG MẠNG</v>
      </c>
      <c r="AO16" s="207">
        <f t="shared" si="2"/>
        <v>5</v>
      </c>
      <c r="AP16" s="287" t="str">
        <f t="shared" si="3"/>
        <v>thành phố Hà Nội</v>
      </c>
      <c r="AQ16" s="448" t="str">
        <f t="shared" si="4"/>
        <v>quận Hoàng Mai</v>
      </c>
      <c r="AR16" s="448" t="str">
        <f t="shared" si="5"/>
        <v>phường Lĩnh Nam</v>
      </c>
      <c r="AS16" s="449" t="str">
        <f>INDEX(CityIDList,MATCH(F16,CityNameList,0))</f>
        <v>HNI</v>
      </c>
      <c r="AT16" s="208" t="str">
        <f>IF(J16&gt;=1,INDEX(OperatorNameList,MATCH(AZ16,OperatorIDList,0)),"")</f>
        <v>TỔNG CÔNG TY HẠ TẦNG MẠNG</v>
      </c>
      <c r="AU16" s="208" t="str">
        <f>IF(J16&gt;=2,INDEX(OperatorNameList,MATCH(BA16,OperatorIDList,0)),"")</f>
        <v>TỔNG CÔNG TY HẠ TẦNG MẠNG</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VINAPHONE</v>
      </c>
      <c r="BA16" s="208" t="str">
        <f t="shared" si="7"/>
        <v>VINAPHONE</v>
      </c>
      <c r="BB16" s="208" t="str">
        <f t="shared" si="8"/>
      </c>
      <c r="BC16" s="208" t="str">
        <f t="shared" si="9"/>
      </c>
      <c r="BD16" s="208" t="str">
        <f t="shared" si="10"/>
      </c>
      <c r="BE16" s="208" t="str">
        <f t="shared" si="11"/>
      </c>
      <c r="BF16" s="208" t="str">
        <f>Input!I16</f>
        <v>VINAPHONE;VINAPHONE</v>
      </c>
      <c r="BG16" s="208" t="str">
        <f t="shared" si="12"/>
        <v>THUY-LINH-95-8-6A-HMI_HNI</v>
      </c>
      <c r="BH16" s="208" t="str">
        <f t="shared" si="13"/>
        <v>THUY-LINH-95-8-6A-HMI_HNI</v>
      </c>
      <c r="BI16" s="208" t="str">
        <f t="shared" si="14"/>
      </c>
      <c r="BJ16" s="208" t="str">
        <f t="shared" si="15"/>
      </c>
      <c r="BK16" s="208" t="str">
        <f t="shared" si="16"/>
      </c>
      <c r="BL16" s="208" t="str">
        <f t="shared" si="17"/>
      </c>
      <c r="BM16" s="208" t="str">
        <f t="shared" si="18"/>
        <v>NOKIA FLEXI MULTIRADIO BTS RADIO MODULE AND REMOTE RADIO (FRGY)</v>
      </c>
      <c r="BN16" s="208" t="str">
        <f t="shared" si="19"/>
        <v>NOKIA FLEXI MULTIRADIO BTS RADIO MODULE AND REMOTE RADIO (FHEL)</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2/2/2</v>
      </c>
      <c r="BZ16" s="208">
        <f t="shared" si="31"/>
        <v>2</v>
      </c>
      <c r="CA16" s="208">
        <f t="shared" si="32"/>
        <v>2</v>
      </c>
      <c r="CB16" s="208">
        <f t="shared" si="33"/>
        <v>2</v>
      </c>
      <c r="CC16" s="208">
        <f t="shared" si="34"/>
        <v>0</v>
      </c>
      <c r="CD16" s="208">
        <f t="shared" si="35"/>
        <v>0</v>
      </c>
      <c r="CE16" s="208">
        <f t="shared" si="36"/>
        <v>0</v>
      </c>
      <c r="CF16" s="208" t="str">
        <f t="shared" si="37"/>
        <v>1/1/1</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60/60/60</v>
      </c>
      <c r="DP16" s="208">
        <f t="shared" si="73"/>
        <v>60</v>
      </c>
      <c r="DQ16" s="208">
        <f t="shared" si="74"/>
        <v>60</v>
      </c>
      <c r="DR16" s="208">
        <f t="shared" si="75"/>
        <v>60</v>
      </c>
      <c r="DS16" s="208">
        <f t="shared" si="76"/>
        <v>0</v>
      </c>
      <c r="DT16" s="208">
        <f t="shared" si="77"/>
        <v>0</v>
      </c>
      <c r="DU16" s="208">
        <f t="shared" si="78"/>
        <v>0</v>
      </c>
      <c r="DV16" s="208" t="str">
        <f t="shared" si="79"/>
        <v>60W/ 60W/ 60W</v>
      </c>
      <c r="DW16" s="208">
        <f t="shared" si="80"/>
        <v>60</v>
      </c>
      <c r="DX16" s="208" t="str">
        <f t="shared" si="81"/>
        <v>60/60/60</v>
      </c>
      <c r="DY16" s="208">
        <f t="shared" si="82"/>
        <v>60</v>
      </c>
      <c r="DZ16" s="208">
        <f t="shared" si="83"/>
        <v>60</v>
      </c>
      <c r="EA16" s="208">
        <f t="shared" si="84"/>
        <v>60</v>
      </c>
      <c r="EB16" s="208">
        <f t="shared" si="85"/>
        <v>0</v>
      </c>
      <c r="EC16" s="208">
        <f t="shared" si="86"/>
        <v>0</v>
      </c>
      <c r="ED16" s="208">
        <f t="shared" si="87"/>
        <v>0</v>
      </c>
      <c r="EE16" s="208" t="str">
        <f t="shared" si="88"/>
        <v>60W/ 60W/ 60W</v>
      </c>
      <c r="EF16" s="208">
        <f t="shared" si="89"/>
        <v>60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60</v>
      </c>
      <c r="FR16" s="208" t="str">
        <f t="shared" si="127"/>
        <v>2100</v>
      </c>
      <c r="FS16" s="208" t="str">
        <f t="shared" si="128"/>
        <v>1800</v>
      </c>
      <c r="FT16" s="208" t="str">
        <f t="shared" si="129"/>
      </c>
      <c r="FU16" s="208" t="str">
        <f t="shared" si="130"/>
      </c>
      <c r="FV16" s="208" t="str">
        <f t="shared" si="131"/>
      </c>
      <c r="FW16" s="208" t="str">
        <f t="shared" si="132"/>
      </c>
      <c r="FX16" s="208" t="str">
        <f t="shared" si="133"/>
        <v>24/24/24</v>
      </c>
      <c r="FY16" s="208">
        <f t="shared" si="134"/>
        <v>24</v>
      </c>
      <c r="FZ16" s="208">
        <f t="shared" si="135"/>
        <v>24</v>
      </c>
      <c r="GA16" s="208">
        <f t="shared" si="136"/>
        <v>24</v>
      </c>
      <c r="GB16" s="208">
        <f t="shared" si="137"/>
        <v>0</v>
      </c>
      <c r="GC16" s="208">
        <f t="shared" si="138"/>
        <v>0</v>
      </c>
      <c r="GD16" s="208">
        <f t="shared" si="139"/>
        <v>0</v>
      </c>
      <c r="GE16" s="208" t="str">
        <f t="shared" si="140"/>
        <v>24m/ 24m/ 24m</v>
      </c>
      <c r="GF16" s="208" t="str">
        <f t="shared" si="141"/>
        <v>24/24/24</v>
      </c>
      <c r="GG16" s="208">
        <f t="shared" si="142"/>
        <v>24</v>
      </c>
      <c r="GH16" s="208">
        <f t="shared" si="143"/>
        <v>24</v>
      </c>
      <c r="GI16" s="208">
        <f t="shared" si="144"/>
        <v>24</v>
      </c>
      <c r="GJ16" s="208">
        <f t="shared" si="145"/>
        <v>0</v>
      </c>
      <c r="GK16" s="208">
        <f t="shared" si="146"/>
        <v>0</v>
      </c>
      <c r="GL16" s="208">
        <f t="shared" si="147"/>
        <v>0</v>
      </c>
      <c r="GM16" s="208" t="str">
        <f t="shared" si="148"/>
        <v>24m/ 24m/ 24m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24</v>
      </c>
      <c r="HV16" s="208">
        <f t="shared" si="182"/>
        <v>24</v>
      </c>
      <c r="HW16" s="208">
        <f t="shared" si="183"/>
        <v>0</v>
      </c>
      <c r="HX16" s="208">
        <f t="shared" si="184"/>
        <v>0</v>
      </c>
      <c r="HY16" s="208">
        <f t="shared" si="185"/>
        <v>0</v>
      </c>
      <c r="HZ16" s="208">
        <f t="shared" si="186"/>
        <v>0</v>
      </c>
      <c r="IA16" s="207">
        <f t="shared" si="187"/>
        <v>24</v>
      </c>
      <c r="IB16" s="207">
        <f t="shared" si="188"/>
        <v>4</v>
      </c>
      <c r="IC16" s="343" t="str">
        <f t="shared" si="189"/>
        <v>A</v>
      </c>
      <c r="ID16" s="343" t="str">
        <f t="shared" si="190"/>
        <v>03996</v>
      </c>
      <c r="IE16" s="343" t="str">
        <f t="shared" si="191"/>
        <v>181019</v>
      </c>
      <c r="IF16" s="343" t="str">
        <f t="shared" si="192"/>
        <v>TG05</v>
      </c>
      <c r="IG16" s="383">
        <f t="shared" si="193"/>
        <v>43756</v>
      </c>
      <c r="IH16" s="383">
        <f t="shared" si="194"/>
        <v>45583</v>
      </c>
      <c r="II16" s="208">
        <v>37</v>
      </c>
    </row>
    <row r="17" ht="165.75">
      <c r="A17" s="207">
        <f>Input!A17</f>
        <v>15</v>
      </c>
      <c r="B17" s="343" t="str">
        <f> Profile!$A$3</f>
        <v>VINAPHONE</v>
      </c>
      <c r="C17" s="343" t="str">
        <f> Profile!$L$3</f>
        <v>VINAPHONE</v>
      </c>
      <c r="D17" s="207" t="str">
        <f>Input!B17</f>
        <v>CC-LINH-NAM-282-NO2-HMI_HNI</v>
      </c>
      <c r="E17" s="317" t="str">
        <f>Input!C17</f>
        <v>Chung cư NO2, số 282, phố Lĩnh Nam, phường Lĩnh Nam, quận Hoàng Mai, thành phố Hà Nội</v>
      </c>
      <c r="F17" s="207" t="str">
        <f>Input!D17</f>
        <v>Hà Nội</v>
      </c>
      <c r="G17" s="207">
        <f>Input!E17</f>
        <v>105.878833</v>
      </c>
      <c r="H17" s="207">
        <f>Input!F17</f>
        <v>20.981013</v>
      </c>
      <c r="I17" s="207">
        <f>Input!G17</f>
        <v>1</v>
      </c>
      <c r="J17" s="207">
        <f>Input!H17</f>
        <v>2</v>
      </c>
      <c r="K17" s="207" t="str">
        <f t="shared" si="0"/>
        <v>TỔNG CÔNG TY HẠ TẦNG MẠNG;TỔNG CÔNG TY HẠ TẦNG MẠNG</v>
      </c>
      <c r="L17" s="207" t="str">
        <f>Input!J17</f>
        <v>CC-LINH-NAM-282-NO2-HMI_HNI;CC-LINH-NAM-282-NO2-HMI_HNI</v>
      </c>
      <c r="M17" s="207" t="str">
        <f>Input!K17</f>
        <v>NOKIA FLEXI MULTIRADIO BTS RADIO MODULE AND REMOTE RADIO (FRGY);NOKIA FLEXI MULTIRADIO BTS RADIO MODULE AND REMOTE RADIO (FHEL)</v>
      </c>
      <c r="N17" s="207" t="str">
        <f>Input!L17</f>
        <v>1;1</v>
      </c>
      <c r="O17" s="207" t="str">
        <f>Input!M17</f>
        <v>2/;1/</v>
      </c>
      <c r="P17" s="207" t="str">
        <f>Input!N17</f>
        <v>60/;60/</v>
      </c>
      <c r="Q17" s="207" t="str">
        <f>Input!O17</f>
        <v>2100;1800</v>
      </c>
      <c r="R17" s="207" t="str">
        <f>Input!P17</f>
        <v>52;52</v>
      </c>
      <c r="S17" s="364" t="b">
        <f>Input!Q17</f>
        <v>1</v>
      </c>
      <c r="T17" s="207" t="str">
        <f>Input!R17</f>
        <v>A03997181019TG05</v>
      </c>
      <c r="U17" s="207">
        <f>Input!S17</f>
        <v>0</v>
      </c>
      <c r="V17" s="207" t="str">
        <f>Input!T17</f>
        <v>VCC1</v>
      </c>
      <c r="W17" s="207" t="str">
        <f>Input!U17</f>
        <v>1902976/19/TG/TT1</v>
      </c>
      <c r="X17" s="209" t="str">
        <f>TEXT(Input!V17,"dd/mm/yyyy")</f>
        <v>18/10/2019</v>
      </c>
      <c r="Y17" s="207" t="b">
        <f>Input!W17</f>
        <v>0</v>
      </c>
      <c r="Z17" s="364" t="b">
        <f>Input!X17</f>
        <v>0</v>
      </c>
      <c r="AA17" s="207">
        <f t="shared" si="1"/>
        <v>52</v>
      </c>
      <c r="AB17" s="364" t="b">
        <f>Input!Y17</f>
        <v>1</v>
      </c>
      <c r="AC17" s="207">
        <f>VALUE(Input!Z17)</f>
        <v>50</v>
      </c>
      <c r="AD17" s="207" t="b">
        <f>Input!AA17</f>
        <v>0</v>
      </c>
      <c r="AE17" s="207" t="str">
        <f>Input!AB17</f>
        <v>Vũ Văn Giáp</v>
      </c>
      <c r="AF17" s="207" t="str">
        <f>Input!AC17</f>
        <v>Lê Tiến Cường</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Tổng Công ty Hạ tầng mạng</v>
      </c>
      <c r="AN17" s="208" t="str">
        <f>INDEX(OperatorNameList,MATCH(C17,OperatorIDList,0))</f>
        <v>TỔNG CÔNG TY HẠ TẦNG MẠNG</v>
      </c>
      <c r="AO17" s="207">
        <f t="shared" si="2"/>
        <v>5</v>
      </c>
      <c r="AP17" s="287" t="str">
        <f t="shared" si="3"/>
        <v>thành phố Hà Nội</v>
      </c>
      <c r="AQ17" s="448" t="str">
        <f t="shared" si="4"/>
        <v>quận Hoàng Mai</v>
      </c>
      <c r="AR17" s="448" t="str">
        <f t="shared" si="5"/>
        <v>phường Lĩnh Nam</v>
      </c>
      <c r="AS17" s="449" t="str">
        <f>INDEX(CityIDList,MATCH(F17,CityNameList,0))</f>
        <v>HNI</v>
      </c>
      <c r="AT17" s="208" t="str">
        <f>IF(J17&gt;=1,INDEX(OperatorNameList,MATCH(AZ17,OperatorIDList,0)),"")</f>
        <v>TỔNG CÔNG TY HẠ TẦNG MẠNG</v>
      </c>
      <c r="AU17" s="208" t="str">
        <f>IF(J17&gt;=2,INDEX(OperatorNameList,MATCH(BA17,OperatorIDList,0)),"")</f>
        <v>TỔNG CÔNG TY HẠ TẦNG MẠNG</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VINAPHONE</v>
      </c>
      <c r="BA17" s="208" t="str">
        <f t="shared" si="7"/>
        <v>VINAPHONE</v>
      </c>
      <c r="BB17" s="208" t="str">
        <f t="shared" si="8"/>
      </c>
      <c r="BC17" s="208" t="str">
        <f t="shared" si="9"/>
      </c>
      <c r="BD17" s="208" t="str">
        <f t="shared" si="10"/>
      </c>
      <c r="BE17" s="208" t="str">
        <f t="shared" si="11"/>
      </c>
      <c r="BF17" s="208" t="str">
        <f>Input!I17</f>
        <v>VINAPHONE;VINAPHONE</v>
      </c>
      <c r="BG17" s="208" t="str">
        <f t="shared" si="12"/>
        <v>CC-LINH-NAM-282-NO2-HMI_HNI</v>
      </c>
      <c r="BH17" s="208" t="str">
        <f t="shared" si="13"/>
        <v>CC-LINH-NAM-282-NO2-HMI_HNI</v>
      </c>
      <c r="BI17" s="208" t="str">
        <f t="shared" si="14"/>
      </c>
      <c r="BJ17" s="208" t="str">
        <f t="shared" si="15"/>
      </c>
      <c r="BK17" s="208" t="str">
        <f t="shared" si="16"/>
      </c>
      <c r="BL17" s="208" t="str">
        <f t="shared" si="17"/>
      </c>
      <c r="BM17" s="208" t="str">
        <f t="shared" si="18"/>
        <v>NOKIA FLEXI MULTIRADIO BTS RADIO MODULE AND REMOTE RADIO (FRGY)</v>
      </c>
      <c r="BN17" s="208" t="str">
        <f t="shared" si="19"/>
        <v>NOKIA FLEXI MULTIRADIO BTS RADIO MODULE AND REMOTE RADIO (FHEL)</v>
      </c>
      <c r="BO17" s="208" t="str">
        <f t="shared" si="20"/>
      </c>
      <c r="BP17" s="208" t="str">
        <f t="shared" si="21"/>
      </c>
      <c r="BQ17" s="208" t="str">
        <f t="shared" si="22"/>
      </c>
      <c r="BR17" s="208" t="str">
        <f t="shared" si="23"/>
      </c>
      <c r="BS17" s="208">
        <f t="shared" si="24"/>
        <v>1</v>
      </c>
      <c r="BT17" s="208">
        <f t="shared" si="25"/>
        <v>1</v>
      </c>
      <c r="BU17" s="208">
        <f t="shared" si="26"/>
        <v>0</v>
      </c>
      <c r="BV17" s="208">
        <f t="shared" si="27"/>
        <v>0</v>
      </c>
      <c r="BW17" s="208">
        <f t="shared" si="28"/>
        <v>0</v>
      </c>
      <c r="BX17" s="208">
        <f t="shared" si="29"/>
        <v>0</v>
      </c>
      <c r="BY17" s="208" t="str">
        <f t="shared" si="30"/>
        <v>2/</v>
      </c>
      <c r="BZ17" s="208">
        <f t="shared" si="31"/>
        <v>2</v>
      </c>
      <c r="CA17" s="208">
        <f t="shared" si="32"/>
        <v>0</v>
      </c>
      <c r="CB17" s="208">
        <f t="shared" si="33"/>
        <v>0</v>
      </c>
      <c r="CC17" s="208">
        <f t="shared" si="34"/>
        <v>0</v>
      </c>
      <c r="CD17" s="208">
        <f t="shared" si="35"/>
        <v>0</v>
      </c>
      <c r="CE17" s="208">
        <f t="shared" si="36"/>
        <v>0</v>
      </c>
      <c r="CF17" s="208" t="str">
        <f t="shared" si="37"/>
        <v>1/</v>
      </c>
      <c r="CG17" s="208">
        <f t="shared" si="38"/>
        <v>1</v>
      </c>
      <c r="CH17" s="208">
        <f t="shared" si="39"/>
        <v>0</v>
      </c>
      <c r="CI17" s="208">
        <f t="shared" si="40"/>
        <v>0</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60/</v>
      </c>
      <c r="DP17" s="208">
        <f t="shared" si="73"/>
        <v>60</v>
      </c>
      <c r="DQ17" s="208">
        <f t="shared" si="74"/>
        <v>0</v>
      </c>
      <c r="DR17" s="208">
        <f t="shared" si="75"/>
        <v>0</v>
      </c>
      <c r="DS17" s="208">
        <f t="shared" si="76"/>
        <v>0</v>
      </c>
      <c r="DT17" s="208">
        <f t="shared" si="77"/>
        <v>0</v>
      </c>
      <c r="DU17" s="208">
        <f t="shared" si="78"/>
        <v>0</v>
      </c>
      <c r="DV17" s="208" t="str">
        <f t="shared" si="79"/>
        <v>60W</v>
      </c>
      <c r="DW17" s="208">
        <f t="shared" si="80"/>
        <v>60</v>
      </c>
      <c r="DX17" s="208" t="str">
        <f t="shared" si="81"/>
        <v>60/</v>
      </c>
      <c r="DY17" s="208">
        <f t="shared" si="82"/>
        <v>60</v>
      </c>
      <c r="DZ17" s="208">
        <f t="shared" si="83"/>
        <v>0</v>
      </c>
      <c r="EA17" s="208">
        <f t="shared" si="84"/>
        <v>0</v>
      </c>
      <c r="EB17" s="208">
        <f t="shared" si="85"/>
        <v>0</v>
      </c>
      <c r="EC17" s="208">
        <f t="shared" si="86"/>
        <v>0</v>
      </c>
      <c r="ED17" s="208">
        <f t="shared" si="87"/>
        <v>0</v>
      </c>
      <c r="EE17" s="208" t="str">
        <f t="shared" si="88"/>
        <v>60W</v>
      </c>
      <c r="EF17" s="208">
        <f t="shared" si="89"/>
        <v>60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60</v>
      </c>
      <c r="FR17" s="208" t="str">
        <f t="shared" si="127"/>
        <v>2100</v>
      </c>
      <c r="FS17" s="208" t="str">
        <f t="shared" si="128"/>
        <v>1800</v>
      </c>
      <c r="FT17" s="208" t="str">
        <f t="shared" si="129"/>
      </c>
      <c r="FU17" s="208" t="str">
        <f t="shared" si="130"/>
      </c>
      <c r="FV17" s="208" t="str">
        <f t="shared" si="131"/>
      </c>
      <c r="FW17" s="208" t="str">
        <f t="shared" si="132"/>
      </c>
      <c r="FX17" s="208" t="str">
        <f t="shared" si="133"/>
        <v>52</v>
      </c>
      <c r="FY17" s="208">
        <f t="shared" si="134"/>
        <v>52</v>
      </c>
      <c r="FZ17" s="208">
        <f t="shared" si="135"/>
        <v>0</v>
      </c>
      <c r="GA17" s="208">
        <f t="shared" si="136"/>
        <v>0</v>
      </c>
      <c r="GB17" s="208">
        <f t="shared" si="137"/>
        <v>0</v>
      </c>
      <c r="GC17" s="208">
        <f t="shared" si="138"/>
        <v>0</v>
      </c>
      <c r="GD17" s="208">
        <f t="shared" si="139"/>
        <v>0</v>
      </c>
      <c r="GE17" s="208" t="str">
        <f t="shared" si="140"/>
        <v>52m</v>
      </c>
      <c r="GF17" s="208" t="str">
        <f t="shared" si="141"/>
        <v>52</v>
      </c>
      <c r="GG17" s="208">
        <f t="shared" si="142"/>
        <v>52</v>
      </c>
      <c r="GH17" s="208">
        <f t="shared" si="143"/>
        <v>0</v>
      </c>
      <c r="GI17" s="208">
        <f t="shared" si="144"/>
        <v>0</v>
      </c>
      <c r="GJ17" s="208">
        <f t="shared" si="145"/>
        <v>0</v>
      </c>
      <c r="GK17" s="208">
        <f t="shared" si="146"/>
        <v>0</v>
      </c>
      <c r="GL17" s="208">
        <f t="shared" si="147"/>
        <v>0</v>
      </c>
      <c r="GM17" s="208" t="str">
        <f t="shared" si="148"/>
        <v>52m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52</v>
      </c>
      <c r="HV17" s="208">
        <f t="shared" si="182"/>
        <v>52</v>
      </c>
      <c r="HW17" s="208">
        <f t="shared" si="183"/>
        <v>0</v>
      </c>
      <c r="HX17" s="208">
        <f t="shared" si="184"/>
        <v>0</v>
      </c>
      <c r="HY17" s="208">
        <f t="shared" si="185"/>
        <v>0</v>
      </c>
      <c r="HZ17" s="208">
        <f t="shared" si="186"/>
        <v>0</v>
      </c>
      <c r="IA17" s="207">
        <f t="shared" si="187"/>
        <v>52</v>
      </c>
      <c r="IB17" s="207">
        <f t="shared" si="188"/>
        <v>2</v>
      </c>
      <c r="IC17" s="343" t="str">
        <f t="shared" si="189"/>
        <v>A</v>
      </c>
      <c r="ID17" s="343" t="str">
        <f t="shared" si="190"/>
        <v>03997</v>
      </c>
      <c r="IE17" s="343" t="str">
        <f t="shared" si="191"/>
        <v>181019</v>
      </c>
      <c r="IF17" s="343" t="str">
        <f t="shared" si="192"/>
        <v>TG05</v>
      </c>
      <c r="IG17" s="383">
        <f t="shared" si="193"/>
        <v>43756</v>
      </c>
      <c r="IH17" s="383">
        <f t="shared" si="194"/>
        <v>45583</v>
      </c>
      <c r="II17" s="208">
        <v>37</v>
      </c>
    </row>
    <row r="18" ht="165.75">
      <c r="A18" s="207">
        <f>Input!A18</f>
        <v>16</v>
      </c>
      <c r="B18" s="343" t="str">
        <f> Profile!$A$3</f>
        <v>VINAPHONE</v>
      </c>
      <c r="C18" s="343" t="str">
        <f> Profile!$L$3</f>
        <v>VINAPHONE</v>
      </c>
      <c r="D18" s="207" t="str">
        <f>Input!B18</f>
        <v>THINH-LIET-42-197-30-8-HMI_HNI</v>
      </c>
      <c r="E18" s="317" t="str">
        <f>Input!C18</f>
        <v>Số 8, Ngõ 42/197/30, phố Thịnh Liệt, phường Thịnh Liệt, quận Hoàng Mai, thành phố Hà Nội</v>
      </c>
      <c r="F18" s="207" t="str">
        <f>Input!D18</f>
        <v>Hà Nội</v>
      </c>
      <c r="G18" s="207">
        <f>Input!E18</f>
        <v>105.850808</v>
      </c>
      <c r="H18" s="207">
        <f>Input!F18</f>
        <v>20.971897</v>
      </c>
      <c r="I18" s="207">
        <f>Input!G18</f>
        <v>1</v>
      </c>
      <c r="J18" s="207">
        <f>Input!H18</f>
        <v>2</v>
      </c>
      <c r="K18" s="207" t="str">
        <f t="shared" si="0"/>
        <v>TỔNG CÔNG TY HẠ TẦNG MẠNG;TỔNG CÔNG TY HẠ TẦNG MẠNG</v>
      </c>
      <c r="L18" s="207" t="str">
        <f>Input!J18</f>
        <v>THINH-LIET-42-197-30-8-HMI_HNI;THINH-LIET-42-197-30-8-HMI_HNI</v>
      </c>
      <c r="M18" s="207" t="str">
        <f>Input!K18</f>
        <v>NOKIA FLEXI MULTIRADIO BTS RADIO MODULE AND REMOTE RADIO (FRGY);NOKIA FLEXI MULTIRADIO BTS RADIO MODULE AND REMOTE RADIO (FHEL)</v>
      </c>
      <c r="N18" s="207" t="str">
        <f>Input!L18</f>
        <v>3;3</v>
      </c>
      <c r="O18" s="207" t="str">
        <f>Input!M18</f>
        <v>2/2/2;1/1/1</v>
      </c>
      <c r="P18" s="207" t="str">
        <f>Input!N18</f>
        <v>60/60/60;60/60/60</v>
      </c>
      <c r="Q18" s="207" t="str">
        <f>Input!O18</f>
        <v>2100;1800</v>
      </c>
      <c r="R18" s="207" t="str">
        <f>Input!P18</f>
        <v>19,5/19,5/19,5;19,5/19,5/19,5</v>
      </c>
      <c r="S18" s="364" t="b">
        <f>Input!Q18</f>
        <v>1</v>
      </c>
      <c r="T18" s="207" t="str">
        <f>Input!R18</f>
        <v>A03998181019TG05</v>
      </c>
      <c r="U18" s="207">
        <f>Input!S18</f>
        <v>0</v>
      </c>
      <c r="V18" s="207" t="str">
        <f>Input!T18</f>
        <v>VCC1</v>
      </c>
      <c r="W18" s="207" t="str">
        <f>Input!U18</f>
        <v>1902977/19/TG/TT1</v>
      </c>
      <c r="X18" s="209" t="str">
        <f>TEXT(Input!V18,"dd/mm/yyyy")</f>
        <v>18/10/2019</v>
      </c>
      <c r="Y18" s="207" t="b">
        <f>Input!W18</f>
        <v>0</v>
      </c>
      <c r="Z18" s="364" t="b">
        <f>Input!X18</f>
        <v>0</v>
      </c>
      <c r="AA18" s="207">
        <f t="shared" si="1"/>
        <v>19.5</v>
      </c>
      <c r="AB18" s="364" t="b">
        <f>Input!Y18</f>
        <v>1</v>
      </c>
      <c r="AC18" s="207">
        <f>VALUE(Input!Z18)</f>
        <v>12</v>
      </c>
      <c r="AD18" s="207" t="b">
        <f>Input!AA18</f>
        <v>0</v>
      </c>
      <c r="AE18" s="207" t="str">
        <f>Input!AB18</f>
        <v>Vũ Văn Giáp</v>
      </c>
      <c r="AF18" s="207" t="str">
        <f>Input!AC18</f>
        <v>Lê Tiến Cường</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Tổng Công ty Hạ tầng mạng</v>
      </c>
      <c r="AN18" s="208" t="str">
        <f>INDEX(OperatorNameList,MATCH(C18,OperatorIDList,0))</f>
        <v>TỔNG CÔNG TY HẠ TẦNG MẠNG</v>
      </c>
      <c r="AO18" s="207">
        <f t="shared" si="2"/>
        <v>5</v>
      </c>
      <c r="AP18" s="287" t="str">
        <f t="shared" si="3"/>
        <v>thành phố Hà Nội</v>
      </c>
      <c r="AQ18" s="448" t="str">
        <f t="shared" si="4"/>
        <v>quận Hoàng Mai</v>
      </c>
      <c r="AR18" s="448" t="str">
        <f t="shared" si="5"/>
        <v>phường Thịnh Liệt</v>
      </c>
      <c r="AS18" s="449" t="str">
        <f>INDEX(CityIDList,MATCH(F18,CityNameList,0))</f>
        <v>HNI</v>
      </c>
      <c r="AT18" s="208" t="str">
        <f>IF(J18&gt;=1,INDEX(OperatorNameList,MATCH(AZ18,OperatorIDList,0)),"")</f>
        <v>TỔNG CÔNG TY HẠ TẦNG MẠNG</v>
      </c>
      <c r="AU18" s="208" t="str">
        <f>IF(J18&gt;=2,INDEX(OperatorNameList,MATCH(BA18,OperatorIDList,0)),"")</f>
        <v>TỔNG CÔNG TY HẠ TẦNG MẠNG</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VINAPHONE</v>
      </c>
      <c r="BA18" s="208" t="str">
        <f t="shared" si="7"/>
        <v>VINAPHONE</v>
      </c>
      <c r="BB18" s="208" t="str">
        <f t="shared" si="8"/>
      </c>
      <c r="BC18" s="208" t="str">
        <f t="shared" si="9"/>
      </c>
      <c r="BD18" s="208" t="str">
        <f t="shared" si="10"/>
      </c>
      <c r="BE18" s="208" t="str">
        <f t="shared" si="11"/>
      </c>
      <c r="BF18" s="208" t="str">
        <f>Input!I18</f>
        <v>VINAPHONE;VINAPHONE</v>
      </c>
      <c r="BG18" s="208" t="str">
        <f t="shared" si="12"/>
        <v>THINH-LIET-42-197-30-8-HMI_HNI</v>
      </c>
      <c r="BH18" s="208" t="str">
        <f t="shared" si="13"/>
        <v>THINH-LIET-42-197-30-8-HMI_HNI</v>
      </c>
      <c r="BI18" s="208" t="str">
        <f t="shared" si="14"/>
      </c>
      <c r="BJ18" s="208" t="str">
        <f t="shared" si="15"/>
      </c>
      <c r="BK18" s="208" t="str">
        <f t="shared" si="16"/>
      </c>
      <c r="BL18" s="208" t="str">
        <f t="shared" si="17"/>
      </c>
      <c r="BM18" s="208" t="str">
        <f t="shared" si="18"/>
        <v>NOKIA FLEXI MULTIRADIO BTS RADIO MODULE AND REMOTE RADIO (FRGY)</v>
      </c>
      <c r="BN18" s="208" t="str">
        <f t="shared" si="19"/>
        <v>NOKIA FLEXI MULTIRADIO BTS RADIO MODULE AND REMOTE RADIO (FHEL)</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2/2/2</v>
      </c>
      <c r="BZ18" s="208">
        <f t="shared" si="31"/>
        <v>2</v>
      </c>
      <c r="CA18" s="208">
        <f t="shared" si="32"/>
        <v>2</v>
      </c>
      <c r="CB18" s="208">
        <f t="shared" si="33"/>
        <v>2</v>
      </c>
      <c r="CC18" s="208">
        <f t="shared" si="34"/>
        <v>0</v>
      </c>
      <c r="CD18" s="208">
        <f t="shared" si="35"/>
        <v>0</v>
      </c>
      <c r="CE18" s="208">
        <f t="shared" si="36"/>
        <v>0</v>
      </c>
      <c r="CF18" s="208" t="str">
        <f t="shared" si="37"/>
        <v>1/1/1</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60/60/60</v>
      </c>
      <c r="DP18" s="208">
        <f t="shared" si="73"/>
        <v>60</v>
      </c>
      <c r="DQ18" s="208">
        <f t="shared" si="74"/>
        <v>60</v>
      </c>
      <c r="DR18" s="208">
        <f t="shared" si="75"/>
        <v>60</v>
      </c>
      <c r="DS18" s="208">
        <f t="shared" si="76"/>
        <v>0</v>
      </c>
      <c r="DT18" s="208">
        <f t="shared" si="77"/>
        <v>0</v>
      </c>
      <c r="DU18" s="208">
        <f t="shared" si="78"/>
        <v>0</v>
      </c>
      <c r="DV18" s="208" t="str">
        <f t="shared" si="79"/>
        <v>60W/ 60W/ 60W</v>
      </c>
      <c r="DW18" s="208">
        <f t="shared" si="80"/>
        <v>60</v>
      </c>
      <c r="DX18" s="208" t="str">
        <f t="shared" si="81"/>
        <v>60/60/60</v>
      </c>
      <c r="DY18" s="208">
        <f t="shared" si="82"/>
        <v>60</v>
      </c>
      <c r="DZ18" s="208">
        <f t="shared" si="83"/>
        <v>60</v>
      </c>
      <c r="EA18" s="208">
        <f t="shared" si="84"/>
        <v>60</v>
      </c>
      <c r="EB18" s="208">
        <f t="shared" si="85"/>
        <v>0</v>
      </c>
      <c r="EC18" s="208">
        <f t="shared" si="86"/>
        <v>0</v>
      </c>
      <c r="ED18" s="208">
        <f t="shared" si="87"/>
        <v>0</v>
      </c>
      <c r="EE18" s="208" t="str">
        <f t="shared" si="88"/>
        <v>60W/ 60W/ 60W</v>
      </c>
      <c r="EF18" s="208">
        <f t="shared" si="89"/>
        <v>60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60</v>
      </c>
      <c r="FR18" s="208" t="str">
        <f t="shared" si="127"/>
        <v>2100</v>
      </c>
      <c r="FS18" s="208" t="str">
        <f t="shared" si="128"/>
        <v>1800</v>
      </c>
      <c r="FT18" s="208" t="str">
        <f t="shared" si="129"/>
      </c>
      <c r="FU18" s="208" t="str">
        <f t="shared" si="130"/>
      </c>
      <c r="FV18" s="208" t="str">
        <f t="shared" si="131"/>
      </c>
      <c r="FW18" s="208" t="str">
        <f t="shared" si="132"/>
      </c>
      <c r="FX18" s="208" t="str">
        <f t="shared" si="133"/>
        <v>19,5/19,5/19,5</v>
      </c>
      <c r="FY18" s="208">
        <f t="shared" si="134"/>
        <v>19.5</v>
      </c>
      <c r="FZ18" s="208">
        <f t="shared" si="135"/>
        <v>19.5</v>
      </c>
      <c r="GA18" s="208">
        <f t="shared" si="136"/>
        <v>19.5</v>
      </c>
      <c r="GB18" s="208">
        <f t="shared" si="137"/>
        <v>0</v>
      </c>
      <c r="GC18" s="208">
        <f t="shared" si="138"/>
        <v>0</v>
      </c>
      <c r="GD18" s="208">
        <f t="shared" si="139"/>
        <v>0</v>
      </c>
      <c r="GE18" s="208" t="str">
        <f t="shared" si="140"/>
        <v>19,5m/ 19,5m/ 19,5m</v>
      </c>
      <c r="GF18" s="208" t="str">
        <f t="shared" si="141"/>
        <v>19,5/19,5/19,5</v>
      </c>
      <c r="GG18" s="208">
        <f t="shared" si="142"/>
        <v>19.5</v>
      </c>
      <c r="GH18" s="208">
        <f t="shared" si="143"/>
        <v>19.5</v>
      </c>
      <c r="GI18" s="208">
        <f t="shared" si="144"/>
        <v>19.5</v>
      </c>
      <c r="GJ18" s="208">
        <f t="shared" si="145"/>
        <v>0</v>
      </c>
      <c r="GK18" s="208">
        <f t="shared" si="146"/>
        <v>0</v>
      </c>
      <c r="GL18" s="208">
        <f t="shared" si="147"/>
        <v>0</v>
      </c>
      <c r="GM18" s="208" t="str">
        <f t="shared" si="148"/>
        <v>19,5m/ 19,5m/ 19,5m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19.5</v>
      </c>
      <c r="HV18" s="208">
        <f t="shared" si="182"/>
        <v>19.5</v>
      </c>
      <c r="HW18" s="208">
        <f t="shared" si="183"/>
        <v>0</v>
      </c>
      <c r="HX18" s="208">
        <f t="shared" si="184"/>
        <v>0</v>
      </c>
      <c r="HY18" s="208">
        <f t="shared" si="185"/>
        <v>0</v>
      </c>
      <c r="HZ18" s="208">
        <f t="shared" si="186"/>
        <v>0</v>
      </c>
      <c r="IA18" s="207">
        <f t="shared" si="187"/>
        <v>19.5</v>
      </c>
      <c r="IB18" s="207">
        <f t="shared" si="188"/>
        <v>7.5</v>
      </c>
      <c r="IC18" s="343" t="str">
        <f t="shared" si="189"/>
        <v>A</v>
      </c>
      <c r="ID18" s="343" t="str">
        <f t="shared" si="190"/>
        <v>03998</v>
      </c>
      <c r="IE18" s="343" t="str">
        <f t="shared" si="191"/>
        <v>181019</v>
      </c>
      <c r="IF18" s="343" t="str">
        <f t="shared" si="192"/>
        <v>TG05</v>
      </c>
      <c r="IG18" s="383">
        <f t="shared" si="193"/>
        <v>43756</v>
      </c>
      <c r="IH18" s="383">
        <f t="shared" si="194"/>
        <v>45583</v>
      </c>
      <c r="II18" s="208">
        <v>37</v>
      </c>
    </row>
    <row r="19" ht="165.75">
      <c r="A19" s="207">
        <f>Input!A19</f>
        <v>17</v>
      </c>
      <c r="B19" s="343" t="str">
        <f> Profile!$A$3</f>
        <v>VINAPHONE</v>
      </c>
      <c r="C19" s="343" t="str">
        <f> Profile!$L$3</f>
        <v>VINAPHONE</v>
      </c>
      <c r="D19" s="207" t="str">
        <f>Input!B19</f>
        <v>LUONG-KHANH-THIEN-51-11-1-HMI_HNI</v>
      </c>
      <c r="E19" s="317" t="str">
        <f>Input!C19</f>
        <v>Số 1, ngõ 11/51, phố Lương Khánh Thiện, phường Tương Mai, quận Hoàng Mai, thành phố Hà Nội</v>
      </c>
      <c r="F19" s="207" t="str">
        <f>Input!D19</f>
        <v>Hà Nội</v>
      </c>
      <c r="G19" s="207">
        <f>Input!E19</f>
        <v>105.851466</v>
      </c>
      <c r="H19" s="207">
        <f>Input!F19</f>
        <v>20.985777</v>
      </c>
      <c r="I19" s="207">
        <f>Input!G19</f>
        <v>1</v>
      </c>
      <c r="J19" s="207">
        <f>Input!H19</f>
        <v>2</v>
      </c>
      <c r="K19" s="207" t="str">
        <f t="shared" si="0"/>
        <v>TỔNG CÔNG TY HẠ TẦNG MẠNG;TỔNG CÔNG TY HẠ TẦNG MẠNG</v>
      </c>
      <c r="L19" s="207" t="str">
        <f>Input!J19</f>
        <v>LUONG-KHANH-THIEN-51-11-1-HMI_HNI;LUONG-KHANH-THIEN-51-11-1-HMI_HNI</v>
      </c>
      <c r="M19" s="207" t="str">
        <f>Input!K19</f>
        <v>NOKIA FLEXI MULTIRADIO BTS RADIO MODULE AND REMOTE RADIO (FRGY);NOKIA FLEXI MULTIRADIO BTS RADIO MODULE AND REMOTE RADIO (FHEL)</v>
      </c>
      <c r="N19" s="207" t="str">
        <f>Input!L19</f>
        <v>3;3</v>
      </c>
      <c r="O19" s="207" t="str">
        <f>Input!M19</f>
        <v>2/2/2;1/1/1</v>
      </c>
      <c r="P19" s="207" t="str">
        <f>Input!N19</f>
        <v>60/60/60;60/60/60</v>
      </c>
      <c r="Q19" s="207" t="str">
        <f>Input!O19</f>
        <v>2100;1800</v>
      </c>
      <c r="R19" s="207" t="str">
        <f>Input!P19</f>
        <v>27,5/27,5/27,5;27,5/27,5/27,5</v>
      </c>
      <c r="S19" s="364" t="b">
        <f>Input!Q19</f>
        <v>1</v>
      </c>
      <c r="T19" s="207" t="str">
        <f>Input!R19</f>
        <v>A03999181019TG05</v>
      </c>
      <c r="U19" s="207">
        <f>Input!S19</f>
        <v>0</v>
      </c>
      <c r="V19" s="207" t="str">
        <f>Input!T19</f>
        <v>VCC1</v>
      </c>
      <c r="W19" s="207" t="str">
        <f>Input!U19</f>
        <v>1902969/19/TG/TT1</v>
      </c>
      <c r="X19" s="209" t="str">
        <f>TEXT(Input!V19,"dd/mm/yyyy")</f>
        <v>18/10/2019</v>
      </c>
      <c r="Y19" s="207" t="b">
        <f>Input!W19</f>
        <v>0</v>
      </c>
      <c r="Z19" s="364" t="b">
        <f>Input!X19</f>
        <v>0</v>
      </c>
      <c r="AA19" s="207">
        <f t="shared" si="1"/>
        <v>27.5</v>
      </c>
      <c r="AB19" s="364" t="b">
        <f>Input!Y19</f>
        <v>1</v>
      </c>
      <c r="AC19" s="207">
        <f>VALUE(Input!Z19)</f>
        <v>24</v>
      </c>
      <c r="AD19" s="207" t="b">
        <f>Input!AA19</f>
        <v>0</v>
      </c>
      <c r="AE19" s="207" t="str">
        <f>Input!AB19</f>
        <v>Vũ Văn Giáp</v>
      </c>
      <c r="AF19" s="207" t="str">
        <f>Input!AC19</f>
        <v>Lê Tiến Cường</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Tổng Công ty Hạ tầng mạng</v>
      </c>
      <c r="AN19" s="208" t="str">
        <f>INDEX(OperatorNameList,MATCH(C19,OperatorIDList,0))</f>
        <v>TỔNG CÔNG TY HẠ TẦNG MẠNG</v>
      </c>
      <c r="AO19" s="207">
        <f t="shared" si="2"/>
        <v>5</v>
      </c>
      <c r="AP19" s="287" t="str">
        <f t="shared" si="3"/>
        <v>thành phố Hà Nội</v>
      </c>
      <c r="AQ19" s="448" t="str">
        <f t="shared" si="4"/>
        <v>quận Hoàng Mai</v>
      </c>
      <c r="AR19" s="448" t="str">
        <f t="shared" si="5"/>
        <v>phường Tương Mai</v>
      </c>
      <c r="AS19" s="449" t="str">
        <f>INDEX(CityIDList,MATCH(F19,CityNameList,0))</f>
        <v>HNI</v>
      </c>
      <c r="AT19" s="208" t="str">
        <f>IF(J19&gt;=1,INDEX(OperatorNameList,MATCH(AZ19,OperatorIDList,0)),"")</f>
        <v>TỔNG CÔNG TY HẠ TẦNG MẠNG</v>
      </c>
      <c r="AU19" s="208" t="str">
        <f>IF(J19&gt;=2,INDEX(OperatorNameList,MATCH(BA19,OperatorIDList,0)),"")</f>
        <v>TỔNG CÔNG TY HẠ TẦNG MẠNG</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VINAPHONE</v>
      </c>
      <c r="BA19" s="208" t="str">
        <f t="shared" si="7"/>
        <v>VINAPHONE</v>
      </c>
      <c r="BB19" s="208" t="str">
        <f t="shared" si="8"/>
      </c>
      <c r="BC19" s="208" t="str">
        <f t="shared" si="9"/>
      </c>
      <c r="BD19" s="208" t="str">
        <f t="shared" si="10"/>
      </c>
      <c r="BE19" s="208" t="str">
        <f t="shared" si="11"/>
      </c>
      <c r="BF19" s="208" t="str">
        <f>Input!I19</f>
        <v>VINAPHONE;VINAPHONE</v>
      </c>
      <c r="BG19" s="208" t="str">
        <f t="shared" si="12"/>
        <v>LUONG-KHANH-THIEN-51-11-1-HMI_HNI</v>
      </c>
      <c r="BH19" s="208" t="str">
        <f t="shared" si="13"/>
        <v>LUONG-KHANH-THIEN-51-11-1-HMI_HNI</v>
      </c>
      <c r="BI19" s="208" t="str">
        <f t="shared" si="14"/>
      </c>
      <c r="BJ19" s="208" t="str">
        <f t="shared" si="15"/>
      </c>
      <c r="BK19" s="208" t="str">
        <f t="shared" si="16"/>
      </c>
      <c r="BL19" s="208" t="str">
        <f t="shared" si="17"/>
      </c>
      <c r="BM19" s="208" t="str">
        <f t="shared" si="18"/>
        <v>NOKIA FLEXI MULTIRADIO BTS RADIO MODULE AND REMOTE RADIO (FRGY)</v>
      </c>
      <c r="BN19" s="208" t="str">
        <f t="shared" si="19"/>
        <v>NOKIA FLEXI MULTIRADIO BTS RADIO MODULE AND REMOTE RADIO (FHEL)</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2/2/2</v>
      </c>
      <c r="BZ19" s="208">
        <f t="shared" si="31"/>
        <v>2</v>
      </c>
      <c r="CA19" s="208">
        <f t="shared" si="32"/>
        <v>2</v>
      </c>
      <c r="CB19" s="208">
        <f t="shared" si="33"/>
        <v>2</v>
      </c>
      <c r="CC19" s="208">
        <f t="shared" si="34"/>
        <v>0</v>
      </c>
      <c r="CD19" s="208">
        <f t="shared" si="35"/>
        <v>0</v>
      </c>
      <c r="CE19" s="208">
        <f t="shared" si="36"/>
        <v>0</v>
      </c>
      <c r="CF19" s="208" t="str">
        <f t="shared" si="37"/>
        <v>1/1/1</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60/60/60</v>
      </c>
      <c r="DP19" s="208">
        <f t="shared" si="73"/>
        <v>60</v>
      </c>
      <c r="DQ19" s="208">
        <f t="shared" si="74"/>
        <v>60</v>
      </c>
      <c r="DR19" s="208">
        <f t="shared" si="75"/>
        <v>60</v>
      </c>
      <c r="DS19" s="208">
        <f t="shared" si="76"/>
        <v>0</v>
      </c>
      <c r="DT19" s="208">
        <f t="shared" si="77"/>
        <v>0</v>
      </c>
      <c r="DU19" s="208">
        <f t="shared" si="78"/>
        <v>0</v>
      </c>
      <c r="DV19" s="208" t="str">
        <f t="shared" si="79"/>
        <v>60W/ 60W/ 60W</v>
      </c>
      <c r="DW19" s="208">
        <f t="shared" si="80"/>
        <v>60</v>
      </c>
      <c r="DX19" s="208" t="str">
        <f t="shared" si="81"/>
        <v>60/60/60</v>
      </c>
      <c r="DY19" s="208">
        <f t="shared" si="82"/>
        <v>60</v>
      </c>
      <c r="DZ19" s="208">
        <f t="shared" si="83"/>
        <v>60</v>
      </c>
      <c r="EA19" s="208">
        <f t="shared" si="84"/>
        <v>60</v>
      </c>
      <c r="EB19" s="208">
        <f t="shared" si="85"/>
        <v>0</v>
      </c>
      <c r="EC19" s="208">
        <f t="shared" si="86"/>
        <v>0</v>
      </c>
      <c r="ED19" s="208">
        <f t="shared" si="87"/>
        <v>0</v>
      </c>
      <c r="EE19" s="208" t="str">
        <f t="shared" si="88"/>
        <v>60W/ 60W/ 60W</v>
      </c>
      <c r="EF19" s="208">
        <f t="shared" si="89"/>
        <v>60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60</v>
      </c>
      <c r="FR19" s="208" t="str">
        <f t="shared" si="127"/>
        <v>2100</v>
      </c>
      <c r="FS19" s="208" t="str">
        <f t="shared" si="128"/>
        <v>1800</v>
      </c>
      <c r="FT19" s="208" t="str">
        <f t="shared" si="129"/>
      </c>
      <c r="FU19" s="208" t="str">
        <f t="shared" si="130"/>
      </c>
      <c r="FV19" s="208" t="str">
        <f t="shared" si="131"/>
      </c>
      <c r="FW19" s="208" t="str">
        <f t="shared" si="132"/>
      </c>
      <c r="FX19" s="208" t="str">
        <f t="shared" si="133"/>
        <v>27,5/27,5/27,5</v>
      </c>
      <c r="FY19" s="208">
        <f t="shared" si="134"/>
        <v>27.5</v>
      </c>
      <c r="FZ19" s="208">
        <f t="shared" si="135"/>
        <v>27.5</v>
      </c>
      <c r="GA19" s="208">
        <f t="shared" si="136"/>
        <v>27.5</v>
      </c>
      <c r="GB19" s="208">
        <f t="shared" si="137"/>
        <v>0</v>
      </c>
      <c r="GC19" s="208">
        <f t="shared" si="138"/>
        <v>0</v>
      </c>
      <c r="GD19" s="208">
        <f t="shared" si="139"/>
        <v>0</v>
      </c>
      <c r="GE19" s="208" t="str">
        <f t="shared" si="140"/>
        <v>27,5m/ 27,5m/ 27,5m</v>
      </c>
      <c r="GF19" s="208" t="str">
        <f t="shared" si="141"/>
        <v>27,5/27,5/27,5</v>
      </c>
      <c r="GG19" s="208">
        <f t="shared" si="142"/>
        <v>27.5</v>
      </c>
      <c r="GH19" s="208">
        <f t="shared" si="143"/>
        <v>27.5</v>
      </c>
      <c r="GI19" s="208">
        <f t="shared" si="144"/>
        <v>27.5</v>
      </c>
      <c r="GJ19" s="208">
        <f t="shared" si="145"/>
        <v>0</v>
      </c>
      <c r="GK19" s="208">
        <f t="shared" si="146"/>
        <v>0</v>
      </c>
      <c r="GL19" s="208">
        <f t="shared" si="147"/>
        <v>0</v>
      </c>
      <c r="GM19" s="208" t="str">
        <f t="shared" si="148"/>
        <v>27,5m/ 27,5m/ 27,5m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27.5</v>
      </c>
      <c r="HV19" s="208">
        <f t="shared" si="182"/>
        <v>27.5</v>
      </c>
      <c r="HW19" s="208">
        <f t="shared" si="183"/>
        <v>0</v>
      </c>
      <c r="HX19" s="208">
        <f t="shared" si="184"/>
        <v>0</v>
      </c>
      <c r="HY19" s="208">
        <f t="shared" si="185"/>
        <v>0</v>
      </c>
      <c r="HZ19" s="208">
        <f t="shared" si="186"/>
        <v>0</v>
      </c>
      <c r="IA19" s="207">
        <f t="shared" si="187"/>
        <v>27.5</v>
      </c>
      <c r="IB19" s="207">
        <f t="shared" si="188"/>
        <v>3.5</v>
      </c>
      <c r="IC19" s="343" t="str">
        <f t="shared" si="189"/>
        <v>A</v>
      </c>
      <c r="ID19" s="343" t="str">
        <f t="shared" si="190"/>
        <v>03999</v>
      </c>
      <c r="IE19" s="343" t="str">
        <f t="shared" si="191"/>
        <v>181019</v>
      </c>
      <c r="IF19" s="343" t="str">
        <f t="shared" si="192"/>
        <v>TG05</v>
      </c>
      <c r="IG19" s="383">
        <f t="shared" si="193"/>
        <v>43756</v>
      </c>
      <c r="IH19" s="383">
        <f t="shared" si="194"/>
        <v>45583</v>
      </c>
      <c r="II19" s="208">
        <v>37</v>
      </c>
    </row>
    <row r="20" ht="165.75">
      <c r="A20" s="207">
        <f>Input!A20</f>
        <v>18</v>
      </c>
      <c r="B20" s="343" t="str">
        <f> Profile!$A$3</f>
        <v>VINAPHONE</v>
      </c>
      <c r="C20" s="343" t="str">
        <f> Profile!$L$3</f>
        <v>VINAPHONE</v>
      </c>
      <c r="D20" s="207" t="str">
        <f>Input!B20</f>
        <v>NGOC-HOI-8-44-HMI_HNI</v>
      </c>
      <c r="E20" s="317" t="str">
        <f>Input!C20</f>
        <v>Số 44, ngõ 8, đường Ngọc Hồi, phường Hoàng Liệt, quận Hoàng Mai, thành phố Hà Nội</v>
      </c>
      <c r="F20" s="207" t="str">
        <f>Input!D20</f>
        <v>Hà Nội</v>
      </c>
      <c r="G20" s="207">
        <f>Input!E20</f>
        <v>105.840384</v>
      </c>
      <c r="H20" s="207">
        <f>Input!F20</f>
        <v>20.962545</v>
      </c>
      <c r="I20" s="207">
        <f>Input!G20</f>
        <v>1</v>
      </c>
      <c r="J20" s="207">
        <f>Input!H20</f>
        <v>2</v>
      </c>
      <c r="K20" s="207" t="str">
        <f t="shared" si="0"/>
        <v>TỔNG CÔNG TY HẠ TẦNG MẠNG;TỔNG CÔNG TY HẠ TẦNG MẠNG</v>
      </c>
      <c r="L20" s="207" t="str">
        <f>Input!J20</f>
        <v>NGOC-HOI-8-44-HMI_HNI;NGOC-HOI-8-44-HMI_HNI</v>
      </c>
      <c r="M20" s="207" t="str">
        <f>Input!K20</f>
        <v>NOKIA FLEXI MULTIRADIO BTS RADIO MODULE AND REMOTE RADIO (FRGY);NOKIA FLEXI MULTIRADIO BTS RADIO MODULE AND REMOTE RADIO (FHEL)</v>
      </c>
      <c r="N20" s="207" t="str">
        <f>Input!L20</f>
        <v>3;3</v>
      </c>
      <c r="O20" s="207" t="str">
        <f>Input!M20</f>
        <v>2/2/2;1/1/1</v>
      </c>
      <c r="P20" s="207" t="str">
        <f>Input!N20</f>
        <v>60/60/60;60/60/60</v>
      </c>
      <c r="Q20" s="207" t="str">
        <f>Input!O20</f>
        <v>2100;1800</v>
      </c>
      <c r="R20" s="207" t="str">
        <f>Input!P20</f>
        <v>22/22/22;22/22/22</v>
      </c>
      <c r="S20" s="364" t="b">
        <f>Input!Q20</f>
        <v>1</v>
      </c>
      <c r="T20" s="207" t="str">
        <f>Input!R20</f>
        <v>A04000181019TG05</v>
      </c>
      <c r="U20" s="207">
        <f>Input!S20</f>
        <v>0</v>
      </c>
      <c r="V20" s="207" t="str">
        <f>Input!T20</f>
        <v>VCC1</v>
      </c>
      <c r="W20" s="207" t="str">
        <f>Input!U20</f>
        <v>1902970/19/TG/TT1</v>
      </c>
      <c r="X20" s="209" t="str">
        <f>TEXT(Input!V20,"dd/mm/yyyy")</f>
        <v>18/10/2019</v>
      </c>
      <c r="Y20" s="207" t="b">
        <f>Input!W20</f>
        <v>0</v>
      </c>
      <c r="Z20" s="364" t="b">
        <f>Input!X20</f>
        <v>0</v>
      </c>
      <c r="AA20" s="207">
        <f t="shared" si="1"/>
        <v>22</v>
      </c>
      <c r="AB20" s="364" t="b">
        <f>Input!Y20</f>
        <v>1</v>
      </c>
      <c r="AC20" s="207">
        <f>VALUE(Input!Z20)</f>
        <v>12</v>
      </c>
      <c r="AD20" s="207" t="b">
        <f>Input!AA20</f>
        <v>0</v>
      </c>
      <c r="AE20" s="207" t="str">
        <f>Input!AB20</f>
        <v>Vũ Văn Giáp</v>
      </c>
      <c r="AF20" s="207" t="str">
        <f>Input!AC20</f>
        <v>Lê Tiến Cường</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Tổng Công ty Hạ tầng mạng</v>
      </c>
      <c r="AN20" s="208" t="str">
        <f>INDEX(OperatorNameList,MATCH(C20,OperatorIDList,0))</f>
        <v>TỔNG CÔNG TY HẠ TẦNG MẠNG</v>
      </c>
      <c r="AO20" s="207">
        <f t="shared" si="2"/>
        <v>5</v>
      </c>
      <c r="AP20" s="287" t="str">
        <f t="shared" si="3"/>
        <v>thành phố Hà Nội</v>
      </c>
      <c r="AQ20" s="448" t="str">
        <f t="shared" si="4"/>
        <v>quận Hoàng Mai</v>
      </c>
      <c r="AR20" s="448" t="str">
        <f t="shared" si="5"/>
        <v>phường Hoàng Liệt</v>
      </c>
      <c r="AS20" s="449" t="str">
        <f>INDEX(CityIDList,MATCH(F20,CityNameList,0))</f>
        <v>HNI</v>
      </c>
      <c r="AT20" s="208" t="str">
        <f>IF(J20&gt;=1,INDEX(OperatorNameList,MATCH(AZ20,OperatorIDList,0)),"")</f>
        <v>TỔNG CÔNG TY HẠ TẦNG MẠNG</v>
      </c>
      <c r="AU20" s="208" t="str">
        <f>IF(J20&gt;=2,INDEX(OperatorNameList,MATCH(BA20,OperatorIDList,0)),"")</f>
        <v>TỔNG CÔNG TY HẠ TẦNG MẠNG</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VINAPHONE</v>
      </c>
      <c r="BA20" s="208" t="str">
        <f t="shared" si="7"/>
        <v>VINAPHONE</v>
      </c>
      <c r="BB20" s="208" t="str">
        <f t="shared" si="8"/>
      </c>
      <c r="BC20" s="208" t="str">
        <f t="shared" si="9"/>
      </c>
      <c r="BD20" s="208" t="str">
        <f t="shared" si="10"/>
      </c>
      <c r="BE20" s="208" t="str">
        <f t="shared" si="11"/>
      </c>
      <c r="BF20" s="208" t="str">
        <f>Input!I20</f>
        <v>VINAPHONE;VINAPHONE</v>
      </c>
      <c r="BG20" s="208" t="str">
        <f t="shared" si="12"/>
        <v>NGOC-HOI-8-44-HMI_HNI</v>
      </c>
      <c r="BH20" s="208" t="str">
        <f t="shared" si="13"/>
        <v>NGOC-HOI-8-44-HMI_HNI</v>
      </c>
      <c r="BI20" s="208" t="str">
        <f t="shared" si="14"/>
      </c>
      <c r="BJ20" s="208" t="str">
        <f t="shared" si="15"/>
      </c>
      <c r="BK20" s="208" t="str">
        <f t="shared" si="16"/>
      </c>
      <c r="BL20" s="208" t="str">
        <f t="shared" si="17"/>
      </c>
      <c r="BM20" s="208" t="str">
        <f t="shared" si="18"/>
        <v>NOKIA FLEXI MULTIRADIO BTS RADIO MODULE AND REMOTE RADIO (FRGY)</v>
      </c>
      <c r="BN20" s="208" t="str">
        <f t="shared" si="19"/>
        <v>NOKIA FLEXI MULTIRADIO BTS RADIO MODULE AND REMOTE RADIO (FHEL)</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2/2/2</v>
      </c>
      <c r="BZ20" s="208">
        <f t="shared" si="31"/>
        <v>2</v>
      </c>
      <c r="CA20" s="208">
        <f t="shared" si="32"/>
        <v>2</v>
      </c>
      <c r="CB20" s="208">
        <f t="shared" si="33"/>
        <v>2</v>
      </c>
      <c r="CC20" s="208">
        <f t="shared" si="34"/>
        <v>0</v>
      </c>
      <c r="CD20" s="208">
        <f t="shared" si="35"/>
        <v>0</v>
      </c>
      <c r="CE20" s="208">
        <f t="shared" si="36"/>
        <v>0</v>
      </c>
      <c r="CF20" s="208" t="str">
        <f t="shared" si="37"/>
        <v>1/1/1</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60/60/60</v>
      </c>
      <c r="DP20" s="208">
        <f t="shared" si="73"/>
        <v>60</v>
      </c>
      <c r="DQ20" s="208">
        <f t="shared" si="74"/>
        <v>60</v>
      </c>
      <c r="DR20" s="208">
        <f t="shared" si="75"/>
        <v>60</v>
      </c>
      <c r="DS20" s="208">
        <f t="shared" si="76"/>
        <v>0</v>
      </c>
      <c r="DT20" s="208">
        <f t="shared" si="77"/>
        <v>0</v>
      </c>
      <c r="DU20" s="208">
        <f t="shared" si="78"/>
        <v>0</v>
      </c>
      <c r="DV20" s="208" t="str">
        <f t="shared" si="79"/>
        <v>60W/ 60W/ 60W</v>
      </c>
      <c r="DW20" s="208">
        <f t="shared" si="80"/>
        <v>60</v>
      </c>
      <c r="DX20" s="208" t="str">
        <f t="shared" si="81"/>
        <v>60/60/60</v>
      </c>
      <c r="DY20" s="208">
        <f t="shared" si="82"/>
        <v>60</v>
      </c>
      <c r="DZ20" s="208">
        <f t="shared" si="83"/>
        <v>60</v>
      </c>
      <c r="EA20" s="208">
        <f t="shared" si="84"/>
        <v>60</v>
      </c>
      <c r="EB20" s="208">
        <f t="shared" si="85"/>
        <v>0</v>
      </c>
      <c r="EC20" s="208">
        <f t="shared" si="86"/>
        <v>0</v>
      </c>
      <c r="ED20" s="208">
        <f t="shared" si="87"/>
        <v>0</v>
      </c>
      <c r="EE20" s="208" t="str">
        <f t="shared" si="88"/>
        <v>60W/ 60W/ 60W</v>
      </c>
      <c r="EF20" s="208">
        <f t="shared" si="89"/>
        <v>60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60</v>
      </c>
      <c r="FR20" s="208" t="str">
        <f t="shared" si="127"/>
        <v>2100</v>
      </c>
      <c r="FS20" s="208" t="str">
        <f t="shared" si="128"/>
        <v>1800</v>
      </c>
      <c r="FT20" s="208" t="str">
        <f t="shared" si="129"/>
      </c>
      <c r="FU20" s="208" t="str">
        <f t="shared" si="130"/>
      </c>
      <c r="FV20" s="208" t="str">
        <f t="shared" si="131"/>
      </c>
      <c r="FW20" s="208" t="str">
        <f t="shared" si="132"/>
      </c>
      <c r="FX20" s="208" t="str">
        <f t="shared" si="133"/>
        <v>22/22/22</v>
      </c>
      <c r="FY20" s="208">
        <f t="shared" si="134"/>
        <v>22</v>
      </c>
      <c r="FZ20" s="208">
        <f t="shared" si="135"/>
        <v>22</v>
      </c>
      <c r="GA20" s="208">
        <f t="shared" si="136"/>
        <v>22</v>
      </c>
      <c r="GB20" s="208">
        <f t="shared" si="137"/>
        <v>0</v>
      </c>
      <c r="GC20" s="208">
        <f t="shared" si="138"/>
        <v>0</v>
      </c>
      <c r="GD20" s="208">
        <f t="shared" si="139"/>
        <v>0</v>
      </c>
      <c r="GE20" s="208" t="str">
        <f t="shared" si="140"/>
        <v>22m/ 22m/ 22m</v>
      </c>
      <c r="GF20" s="208" t="str">
        <f t="shared" si="141"/>
        <v>22/22/22</v>
      </c>
      <c r="GG20" s="208">
        <f t="shared" si="142"/>
        <v>22</v>
      </c>
      <c r="GH20" s="208">
        <f t="shared" si="143"/>
        <v>22</v>
      </c>
      <c r="GI20" s="208">
        <f t="shared" si="144"/>
        <v>22</v>
      </c>
      <c r="GJ20" s="208">
        <f t="shared" si="145"/>
        <v>0</v>
      </c>
      <c r="GK20" s="208">
        <f t="shared" si="146"/>
        <v>0</v>
      </c>
      <c r="GL20" s="208">
        <f t="shared" si="147"/>
        <v>0</v>
      </c>
      <c r="GM20" s="208" t="str">
        <f t="shared" si="148"/>
        <v>22m/ 22m/ 22m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22</v>
      </c>
      <c r="HV20" s="208">
        <f t="shared" si="182"/>
        <v>22</v>
      </c>
      <c r="HW20" s="208">
        <f t="shared" si="183"/>
        <v>0</v>
      </c>
      <c r="HX20" s="208">
        <f t="shared" si="184"/>
        <v>0</v>
      </c>
      <c r="HY20" s="208">
        <f t="shared" si="185"/>
        <v>0</v>
      </c>
      <c r="HZ20" s="208">
        <f t="shared" si="186"/>
        <v>0</v>
      </c>
      <c r="IA20" s="207">
        <f t="shared" si="187"/>
        <v>22</v>
      </c>
      <c r="IB20" s="207">
        <f t="shared" si="188"/>
        <v>10</v>
      </c>
      <c r="IC20" s="343" t="str">
        <f t="shared" si="189"/>
        <v>A</v>
      </c>
      <c r="ID20" s="343" t="str">
        <f t="shared" si="190"/>
        <v>04000</v>
      </c>
      <c r="IE20" s="343" t="str">
        <f t="shared" si="191"/>
        <v>181019</v>
      </c>
      <c r="IF20" s="343" t="str">
        <f t="shared" si="192"/>
        <v>TG05</v>
      </c>
      <c r="IG20" s="383">
        <f t="shared" si="193"/>
        <v>43756</v>
      </c>
      <c r="IH20" s="383">
        <f t="shared" si="194"/>
        <v>45583</v>
      </c>
      <c r="II20" s="208">
        <v>37</v>
      </c>
    </row>
    <row r="21" ht="165.75">
      <c r="A21" s="207">
        <f>Input!A21</f>
        <v>19</v>
      </c>
      <c r="B21" s="343" t="str">
        <f> Profile!$A$3</f>
        <v>VINAPHONE</v>
      </c>
      <c r="C21" s="343" t="str">
        <f> Profile!$L$3</f>
        <v>VINAPHONE</v>
      </c>
      <c r="D21" s="207" t="str">
        <f>Input!B21</f>
        <v>NGOC-HOI-161-20-HMI_HNI</v>
      </c>
      <c r="E21" s="317" t="str">
        <f>Input!C21</f>
        <v>Số 6A, ngách 20, ngõ 161, đường Ngọc Hồi, phường Hoàng Liệt, quận Hoàng Mai, thành phố Hà Nội</v>
      </c>
      <c r="F21" s="207" t="str">
        <f>Input!D21</f>
        <v>Hà Nội</v>
      </c>
      <c r="G21" s="207">
        <f>Input!E21</f>
        <v>105.844472</v>
      </c>
      <c r="H21" s="207">
        <f>Input!F21</f>
        <v>20.955057</v>
      </c>
      <c r="I21" s="207">
        <f>Input!G21</f>
        <v>1</v>
      </c>
      <c r="J21" s="207">
        <f>Input!H21</f>
        <v>2</v>
      </c>
      <c r="K21" s="207" t="str">
        <f t="shared" si="0"/>
        <v>TỔNG CÔNG TY HẠ TẦNG MẠNG;TỔNG CÔNG TY HẠ TẦNG MẠNG</v>
      </c>
      <c r="L21" s="207" t="str">
        <f>Input!J21</f>
        <v>NGOC-HOI-161-20-HMI_HNI;NGOC-HOI-161-20-HMI_HNI</v>
      </c>
      <c r="M21" s="207" t="str">
        <f>Input!K21</f>
        <v>NOKIA FLEXI MULTIRADIO BTS RADIO MODULE AND REMOTE RADIO (FRGY);NOKIA FLEXI MULTIRADIO BTS RADIO MODULE AND REMOTE RADIO (FHEL)</v>
      </c>
      <c r="N21" s="207" t="str">
        <f>Input!L21</f>
        <v>3;3</v>
      </c>
      <c r="O21" s="207" t="str">
        <f>Input!M21</f>
        <v>2/2/2;1/1/1</v>
      </c>
      <c r="P21" s="207" t="str">
        <f>Input!N21</f>
        <v>60/60/60;60/60/60</v>
      </c>
      <c r="Q21" s="207" t="str">
        <f>Input!O21</f>
        <v>2100;1800</v>
      </c>
      <c r="R21" s="207" t="str">
        <f>Input!P21</f>
        <v>24/24/24;24/24/24</v>
      </c>
      <c r="S21" s="364" t="b">
        <f>Input!Q21</f>
        <v>1</v>
      </c>
      <c r="T21" s="207" t="str">
        <f>Input!R21</f>
        <v>A04001181019TG05</v>
      </c>
      <c r="U21" s="207">
        <f>Input!S21</f>
        <v>0</v>
      </c>
      <c r="V21" s="207" t="str">
        <f>Input!T21</f>
        <v>VCC1</v>
      </c>
      <c r="W21" s="207" t="str">
        <f>Input!U21</f>
        <v>1902972/19/TG/TT1</v>
      </c>
      <c r="X21" s="209" t="str">
        <f>TEXT(Input!V21,"dd/mm/yyyy")</f>
        <v>18/10/2019</v>
      </c>
      <c r="Y21" s="207" t="b">
        <f>Input!W21</f>
        <v>0</v>
      </c>
      <c r="Z21" s="364" t="b">
        <f>Input!X21</f>
        <v>0</v>
      </c>
      <c r="AA21" s="207">
        <f t="shared" si="1"/>
        <v>24</v>
      </c>
      <c r="AB21" s="364" t="b">
        <f>Input!Y21</f>
        <v>1</v>
      </c>
      <c r="AC21" s="207">
        <f>VALUE(Input!Z21)</f>
        <v>20</v>
      </c>
      <c r="AD21" s="207" t="b">
        <f>Input!AA21</f>
        <v>0</v>
      </c>
      <c r="AE21" s="207" t="str">
        <f>Input!AB21</f>
        <v>Vũ Văn Giáp</v>
      </c>
      <c r="AF21" s="207" t="str">
        <f>Input!AC21</f>
        <v>Lê Tiến Cường</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Tổng Công ty Hạ tầng mạng</v>
      </c>
      <c r="AN21" s="208" t="str">
        <f>INDEX(OperatorNameList,MATCH(C21,OperatorIDList,0))</f>
        <v>TỔNG CÔNG TY HẠ TẦNG MẠNG</v>
      </c>
      <c r="AO21" s="207">
        <f t="shared" si="2"/>
        <v>6</v>
      </c>
      <c r="AP21" s="287" t="str">
        <f t="shared" si="3"/>
        <v>thành phố Hà Nội</v>
      </c>
      <c r="AQ21" s="448" t="str">
        <f t="shared" si="4"/>
        <v>quận Hoàng Mai</v>
      </c>
      <c r="AR21" s="448" t="str">
        <f t="shared" si="5"/>
        <v>phường Hoàng Liệt</v>
      </c>
      <c r="AS21" s="449" t="str">
        <f>INDEX(CityIDList,MATCH(F21,CityNameList,0))</f>
        <v>HNI</v>
      </c>
      <c r="AT21" s="208" t="str">
        <f>IF(J21&gt;=1,INDEX(OperatorNameList,MATCH(AZ21,OperatorIDList,0)),"")</f>
        <v>TỔNG CÔNG TY HẠ TẦNG MẠNG</v>
      </c>
      <c r="AU21" s="208" t="str">
        <f>IF(J21&gt;=2,INDEX(OperatorNameList,MATCH(BA21,OperatorIDList,0)),"")</f>
        <v>TỔNG CÔNG TY HẠ TẦNG MẠNG</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VINAPHONE</v>
      </c>
      <c r="BA21" s="208" t="str">
        <f t="shared" si="7"/>
        <v>VINAPHONE</v>
      </c>
      <c r="BB21" s="208" t="str">
        <f t="shared" si="8"/>
      </c>
      <c r="BC21" s="208" t="str">
        <f t="shared" si="9"/>
      </c>
      <c r="BD21" s="208" t="str">
        <f t="shared" si="10"/>
      </c>
      <c r="BE21" s="208" t="str">
        <f t="shared" si="11"/>
      </c>
      <c r="BF21" s="208" t="str">
        <f>Input!I21</f>
        <v>VINAPHONE;VINAPHONE</v>
      </c>
      <c r="BG21" s="208" t="str">
        <f t="shared" si="12"/>
        <v>NGOC-HOI-161-20-HMI_HNI</v>
      </c>
      <c r="BH21" s="208" t="str">
        <f t="shared" si="13"/>
        <v>NGOC-HOI-161-20-HMI_HNI</v>
      </c>
      <c r="BI21" s="208" t="str">
        <f t="shared" si="14"/>
      </c>
      <c r="BJ21" s="208" t="str">
        <f t="shared" si="15"/>
      </c>
      <c r="BK21" s="208" t="str">
        <f t="shared" si="16"/>
      </c>
      <c r="BL21" s="208" t="str">
        <f t="shared" si="17"/>
      </c>
      <c r="BM21" s="208" t="str">
        <f t="shared" si="18"/>
        <v>NOKIA FLEXI MULTIRADIO BTS RADIO MODULE AND REMOTE RADIO (FRGY)</v>
      </c>
      <c r="BN21" s="208" t="str">
        <f t="shared" si="19"/>
        <v>NOKIA FLEXI MULTIRADIO BTS RADIO MODULE AND REMOTE RADIO (FHEL)</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2/2/2</v>
      </c>
      <c r="BZ21" s="208">
        <f t="shared" si="31"/>
        <v>2</v>
      </c>
      <c r="CA21" s="208">
        <f t="shared" si="32"/>
        <v>2</v>
      </c>
      <c r="CB21" s="208">
        <f t="shared" si="33"/>
        <v>2</v>
      </c>
      <c r="CC21" s="208">
        <f t="shared" si="34"/>
        <v>0</v>
      </c>
      <c r="CD21" s="208">
        <f t="shared" si="35"/>
        <v>0</v>
      </c>
      <c r="CE21" s="208">
        <f t="shared" si="36"/>
        <v>0</v>
      </c>
      <c r="CF21" s="208" t="str">
        <f t="shared" si="37"/>
        <v>1/1/1</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60/60/60</v>
      </c>
      <c r="DP21" s="208">
        <f t="shared" si="73"/>
        <v>60</v>
      </c>
      <c r="DQ21" s="208">
        <f t="shared" si="74"/>
        <v>60</v>
      </c>
      <c r="DR21" s="208">
        <f t="shared" si="75"/>
        <v>60</v>
      </c>
      <c r="DS21" s="208">
        <f t="shared" si="76"/>
        <v>0</v>
      </c>
      <c r="DT21" s="208">
        <f t="shared" si="77"/>
        <v>0</v>
      </c>
      <c r="DU21" s="208">
        <f t="shared" si="78"/>
        <v>0</v>
      </c>
      <c r="DV21" s="208" t="str">
        <f t="shared" si="79"/>
        <v>60W/ 60W/ 60W</v>
      </c>
      <c r="DW21" s="208">
        <f t="shared" si="80"/>
        <v>60</v>
      </c>
      <c r="DX21" s="208" t="str">
        <f t="shared" si="81"/>
        <v>60/60/60</v>
      </c>
      <c r="DY21" s="208">
        <f t="shared" si="82"/>
        <v>60</v>
      </c>
      <c r="DZ21" s="208">
        <f t="shared" si="83"/>
        <v>60</v>
      </c>
      <c r="EA21" s="208">
        <f t="shared" si="84"/>
        <v>60</v>
      </c>
      <c r="EB21" s="208">
        <f t="shared" si="85"/>
        <v>0</v>
      </c>
      <c r="EC21" s="208">
        <f t="shared" si="86"/>
        <v>0</v>
      </c>
      <c r="ED21" s="208">
        <f t="shared" si="87"/>
        <v>0</v>
      </c>
      <c r="EE21" s="208" t="str">
        <f t="shared" si="88"/>
        <v>60W/ 60W/ 60W</v>
      </c>
      <c r="EF21" s="208">
        <f t="shared" si="89"/>
        <v>60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60</v>
      </c>
      <c r="FR21" s="208" t="str">
        <f t="shared" si="127"/>
        <v>2100</v>
      </c>
      <c r="FS21" s="208" t="str">
        <f t="shared" si="128"/>
        <v>1800</v>
      </c>
      <c r="FT21" s="208" t="str">
        <f t="shared" si="129"/>
      </c>
      <c r="FU21" s="208" t="str">
        <f t="shared" si="130"/>
      </c>
      <c r="FV21" s="208" t="str">
        <f t="shared" si="131"/>
      </c>
      <c r="FW21" s="208" t="str">
        <f t="shared" si="132"/>
      </c>
      <c r="FX21" s="208" t="str">
        <f t="shared" si="133"/>
        <v>24/24/24</v>
      </c>
      <c r="FY21" s="208">
        <f t="shared" si="134"/>
        <v>24</v>
      </c>
      <c r="FZ21" s="208">
        <f t="shared" si="135"/>
        <v>24</v>
      </c>
      <c r="GA21" s="208">
        <f t="shared" si="136"/>
        <v>24</v>
      </c>
      <c r="GB21" s="208">
        <f t="shared" si="137"/>
        <v>0</v>
      </c>
      <c r="GC21" s="208">
        <f t="shared" si="138"/>
        <v>0</v>
      </c>
      <c r="GD21" s="208">
        <f t="shared" si="139"/>
        <v>0</v>
      </c>
      <c r="GE21" s="208" t="str">
        <f t="shared" si="140"/>
        <v>24m/ 24m/ 24m</v>
      </c>
      <c r="GF21" s="208" t="str">
        <f t="shared" si="141"/>
        <v>24/24/24</v>
      </c>
      <c r="GG21" s="208">
        <f t="shared" si="142"/>
        <v>24</v>
      </c>
      <c r="GH21" s="208">
        <f t="shared" si="143"/>
        <v>24</v>
      </c>
      <c r="GI21" s="208">
        <f t="shared" si="144"/>
        <v>24</v>
      </c>
      <c r="GJ21" s="208">
        <f t="shared" si="145"/>
        <v>0</v>
      </c>
      <c r="GK21" s="208">
        <f t="shared" si="146"/>
        <v>0</v>
      </c>
      <c r="GL21" s="208">
        <f t="shared" si="147"/>
        <v>0</v>
      </c>
      <c r="GM21" s="208" t="str">
        <f t="shared" si="148"/>
        <v>24m/ 24m/ 24m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24</v>
      </c>
      <c r="HV21" s="208">
        <f t="shared" si="182"/>
        <v>24</v>
      </c>
      <c r="HW21" s="208">
        <f t="shared" si="183"/>
        <v>0</v>
      </c>
      <c r="HX21" s="208">
        <f t="shared" si="184"/>
        <v>0</v>
      </c>
      <c r="HY21" s="208">
        <f t="shared" si="185"/>
        <v>0</v>
      </c>
      <c r="HZ21" s="208">
        <f t="shared" si="186"/>
        <v>0</v>
      </c>
      <c r="IA21" s="207">
        <f t="shared" si="187"/>
        <v>24</v>
      </c>
      <c r="IB21" s="207">
        <f t="shared" si="188"/>
        <v>4</v>
      </c>
      <c r="IC21" s="343" t="str">
        <f t="shared" si="189"/>
        <v>A</v>
      </c>
      <c r="ID21" s="343" t="str">
        <f t="shared" si="190"/>
        <v>04001</v>
      </c>
      <c r="IE21" s="343" t="str">
        <f t="shared" si="191"/>
        <v>181019</v>
      </c>
      <c r="IF21" s="343" t="str">
        <f t="shared" si="192"/>
        <v>TG05</v>
      </c>
      <c r="IG21" s="383">
        <f t="shared" si="193"/>
        <v>43756</v>
      </c>
      <c r="IH21" s="383">
        <f t="shared" si="194"/>
        <v>45583</v>
      </c>
      <c r="II21" s="208">
        <v>37</v>
      </c>
    </row>
    <row r="22" ht="63.75">
      <c r="A22" s="207">
        <f>Input!A22</f>
        <v>20</v>
      </c>
      <c r="B22" s="343" t="str">
        <f> Profile!$A$3</f>
        <v>VINAPHONE</v>
      </c>
      <c r="C22" s="343" t="str">
        <f> Profile!$L$3</f>
        <v>VINAPHONE</v>
      </c>
      <c r="D22" s="207" t="str">
        <f>Input!B22</f>
        <v>TU-HIEP-CO-KHI-Z179-TTI_HNI</v>
      </c>
      <c r="E22" s="317" t="str">
        <f>Input!C22</f>
        <v>Công ty Cơ khí Z179, Km12, Quốc Lộ 1A, xã Tứ Hiệp, huyện Thanh Trì, thành phố Hà Nội</v>
      </c>
      <c r="F22" s="207" t="str">
        <f>Input!D22</f>
        <v>Hà Nội</v>
      </c>
      <c r="G22" s="207">
        <f>Input!E22</f>
        <v>105.845611</v>
      </c>
      <c r="H22" s="207">
        <f>Input!F22</f>
        <v>20.936085</v>
      </c>
      <c r="I22" s="207">
        <f>Input!G22</f>
        <v>1</v>
      </c>
      <c r="J22" s="207">
        <f>Input!H22</f>
        <v>2</v>
      </c>
      <c r="K22" s="207" t="str">
        <f t="shared" si="0"/>
        <v>TỔNG CÔNG TY HẠ TẦNG MẠNG;TỔNG CÔNG TY HẠ TẦNG MẠNG</v>
      </c>
      <c r="L22" s="207" t="str">
        <f>Input!J22</f>
        <v>TU-HIEP-CO-KHI-Z179-TTI_HNI;TU-HIEP-CO-KHI-Z179-TTI_HNI</v>
      </c>
      <c r="M22" s="207" t="str">
        <f>Input!K22</f>
        <v>HUAWEI BTS3900;HUAWEI DBS3900 WCDMA</v>
      </c>
      <c r="N22" s="207" t="str">
        <f>Input!L22</f>
        <v>3;3</v>
      </c>
      <c r="O22" s="207" t="str">
        <f>Input!M22</f>
        <v>2/2/2;2/2/2</v>
      </c>
      <c r="P22" s="207" t="str">
        <f>Input!N22</f>
        <v>80/80/80;60/60/60</v>
      </c>
      <c r="Q22" s="207" t="str">
        <f>Input!O22</f>
        <v>900;2100</v>
      </c>
      <c r="R22" s="207" t="str">
        <f>Input!P22</f>
        <v>27/27/27;27/27/27</v>
      </c>
      <c r="S22" s="364" t="b">
        <f>Input!Q22</f>
        <v>1</v>
      </c>
      <c r="T22" s="207" t="str">
        <f>Input!R22</f>
        <v>A04002181019TG05</v>
      </c>
      <c r="U22" s="207">
        <f>Input!S22</f>
        <v>0</v>
      </c>
      <c r="V22" s="207" t="str">
        <f>Input!T22</f>
        <v>VCC1</v>
      </c>
      <c r="W22" s="207" t="str">
        <f>Input!U22</f>
        <v>1903240/19/TG/TT1</v>
      </c>
      <c r="X22" s="209" t="str">
        <f>TEXT(Input!V22,"dd/mm/yyyy")</f>
        <v>18/10/2019</v>
      </c>
      <c r="Y22" s="207" t="b">
        <f>Input!W22</f>
        <v>0</v>
      </c>
      <c r="Z22" s="364" t="b">
        <f>Input!X22</f>
        <v>0</v>
      </c>
      <c r="AA22" s="207">
        <f t="shared" si="1"/>
        <v>27</v>
      </c>
      <c r="AB22" s="364" t="b">
        <f>Input!Y22</f>
        <v>1</v>
      </c>
      <c r="AC22" s="207">
        <f>VALUE(Input!Z22)</f>
        <v>12</v>
      </c>
      <c r="AD22" s="207" t="b">
        <f>Input!AA22</f>
        <v>0</v>
      </c>
      <c r="AE22" s="207" t="str">
        <f>Input!AB22</f>
        <v>Vũ Văn Giáp</v>
      </c>
      <c r="AF22" s="207" t="str">
        <f>Input!AC22</f>
        <v>Lê Tiến Cường</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Tổng Công ty Hạ tầng mạng</v>
      </c>
      <c r="AN22" s="208" t="str">
        <f>INDEX(OperatorNameList,MATCH(C22,OperatorIDList,0))</f>
        <v>TỔNG CÔNG TY HẠ TẦNG MẠNG</v>
      </c>
      <c r="AO22" s="207">
        <f t="shared" si="2"/>
        <v>5</v>
      </c>
      <c r="AP22" s="287" t="str">
        <f t="shared" si="3"/>
        <v>thành phố Hà Nội</v>
      </c>
      <c r="AQ22" s="448" t="str">
        <f t="shared" si="4"/>
        <v>huyện Thanh Trì</v>
      </c>
      <c r="AR22" s="448" t="str">
        <f t="shared" si="5"/>
        <v>xã Tứ Hiệp</v>
      </c>
      <c r="AS22" s="449" t="str">
        <f>INDEX(CityIDList,MATCH(F22,CityNameList,0))</f>
        <v>HNI</v>
      </c>
      <c r="AT22" s="208" t="str">
        <f>IF(J22&gt;=1,INDEX(OperatorNameList,MATCH(AZ22,OperatorIDList,0)),"")</f>
        <v>TỔNG CÔNG TY HẠ TẦNG MẠNG</v>
      </c>
      <c r="AU22" s="208" t="str">
        <f>IF(J22&gt;=2,INDEX(OperatorNameList,MATCH(BA22,OperatorIDList,0)),"")</f>
        <v>TỔNG CÔNG TY HẠ TẦNG MẠNG</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VINAPHONE</v>
      </c>
      <c r="BA22" s="208" t="str">
        <f t="shared" si="7"/>
        <v>VINAPHONE</v>
      </c>
      <c r="BB22" s="208" t="str">
        <f t="shared" si="8"/>
      </c>
      <c r="BC22" s="208" t="str">
        <f t="shared" si="9"/>
      </c>
      <c r="BD22" s="208" t="str">
        <f t="shared" si="10"/>
      </c>
      <c r="BE22" s="208" t="str">
        <f t="shared" si="11"/>
      </c>
      <c r="BF22" s="208" t="str">
        <f>Input!I22</f>
        <v>VINAPHONE;VINAPHONE</v>
      </c>
      <c r="BG22" s="208" t="str">
        <f t="shared" si="12"/>
        <v>TU-HIEP-CO-KHI-Z179-TTI_HNI</v>
      </c>
      <c r="BH22" s="208" t="str">
        <f t="shared" si="13"/>
        <v>TU-HIEP-CO-KHI-Z179-TTI_HNI</v>
      </c>
      <c r="BI22" s="208" t="str">
        <f t="shared" si="14"/>
      </c>
      <c r="BJ22" s="208" t="str">
        <f t="shared" si="15"/>
      </c>
      <c r="BK22" s="208" t="str">
        <f t="shared" si="16"/>
      </c>
      <c r="BL22" s="208" t="str">
        <f t="shared" si="17"/>
      </c>
      <c r="BM22" s="208" t="str">
        <f t="shared" si="18"/>
        <v>HUAWEI BTS3900</v>
      </c>
      <c r="BN22" s="208" t="str">
        <f t="shared" si="19"/>
        <v>HUAWEI DBS3900 WCDMA</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2/2/2</v>
      </c>
      <c r="BZ22" s="208">
        <f t="shared" si="31"/>
        <v>2</v>
      </c>
      <c r="CA22" s="208">
        <f t="shared" si="32"/>
        <v>2</v>
      </c>
      <c r="CB22" s="208">
        <f t="shared" si="33"/>
        <v>2</v>
      </c>
      <c r="CC22" s="208">
        <f t="shared" si="34"/>
        <v>0</v>
      </c>
      <c r="CD22" s="208">
        <f t="shared" si="35"/>
        <v>0</v>
      </c>
      <c r="CE22" s="208">
        <f t="shared" si="36"/>
        <v>0</v>
      </c>
      <c r="CF22" s="208" t="str">
        <f t="shared" si="37"/>
        <v>2/2/2</v>
      </c>
      <c r="CG22" s="208">
        <f t="shared" si="38"/>
        <v>2</v>
      </c>
      <c r="CH22" s="208">
        <f t="shared" si="39"/>
        <v>2</v>
      </c>
      <c r="CI22" s="208">
        <f t="shared" si="40"/>
        <v>2</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60/60/60</v>
      </c>
      <c r="DY22" s="208">
        <f t="shared" si="82"/>
        <v>60</v>
      </c>
      <c r="DZ22" s="208">
        <f t="shared" si="83"/>
        <v>60</v>
      </c>
      <c r="EA22" s="208">
        <f t="shared" si="84"/>
        <v>60</v>
      </c>
      <c r="EB22" s="208">
        <f t="shared" si="85"/>
        <v>0</v>
      </c>
      <c r="EC22" s="208">
        <f t="shared" si="86"/>
        <v>0</v>
      </c>
      <c r="ED22" s="208">
        <f t="shared" si="87"/>
        <v>0</v>
      </c>
      <c r="EE22" s="208" t="str">
        <f t="shared" si="88"/>
        <v>60W/ 60W/ 60W</v>
      </c>
      <c r="EF22" s="208">
        <f t="shared" si="89"/>
        <v>60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900</v>
      </c>
      <c r="FS22" s="208" t="str">
        <f t="shared" si="128"/>
        <v>2100</v>
      </c>
      <c r="FT22" s="208" t="str">
        <f t="shared" si="129"/>
      </c>
      <c r="FU22" s="208" t="str">
        <f t="shared" si="130"/>
      </c>
      <c r="FV22" s="208" t="str">
        <f t="shared" si="131"/>
      </c>
      <c r="FW22" s="208" t="str">
        <f t="shared" si="132"/>
      </c>
      <c r="FX22" s="208" t="str">
        <f t="shared" si="133"/>
        <v>27/27/27</v>
      </c>
      <c r="FY22" s="208">
        <f t="shared" si="134"/>
        <v>27</v>
      </c>
      <c r="FZ22" s="208">
        <f t="shared" si="135"/>
        <v>27</v>
      </c>
      <c r="GA22" s="208">
        <f t="shared" si="136"/>
        <v>27</v>
      </c>
      <c r="GB22" s="208">
        <f t="shared" si="137"/>
        <v>0</v>
      </c>
      <c r="GC22" s="208">
        <f t="shared" si="138"/>
        <v>0</v>
      </c>
      <c r="GD22" s="208">
        <f t="shared" si="139"/>
        <v>0</v>
      </c>
      <c r="GE22" s="208" t="str">
        <f t="shared" si="140"/>
        <v>27m/ 27m/ 27m</v>
      </c>
      <c r="GF22" s="208" t="str">
        <f t="shared" si="141"/>
        <v>27/27/27</v>
      </c>
      <c r="GG22" s="208">
        <f t="shared" si="142"/>
        <v>27</v>
      </c>
      <c r="GH22" s="208">
        <f t="shared" si="143"/>
        <v>27</v>
      </c>
      <c r="GI22" s="208">
        <f t="shared" si="144"/>
        <v>27</v>
      </c>
      <c r="GJ22" s="208">
        <f t="shared" si="145"/>
        <v>0</v>
      </c>
      <c r="GK22" s="208">
        <f t="shared" si="146"/>
        <v>0</v>
      </c>
      <c r="GL22" s="208">
        <f t="shared" si="147"/>
        <v>0</v>
      </c>
      <c r="GM22" s="208" t="str">
        <f t="shared" si="148"/>
        <v>27m/ 27m/ 27m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27</v>
      </c>
      <c r="HV22" s="208">
        <f t="shared" si="182"/>
        <v>27</v>
      </c>
      <c r="HW22" s="208">
        <f t="shared" si="183"/>
        <v>0</v>
      </c>
      <c r="HX22" s="208">
        <f t="shared" si="184"/>
        <v>0</v>
      </c>
      <c r="HY22" s="208">
        <f t="shared" si="185"/>
        <v>0</v>
      </c>
      <c r="HZ22" s="208">
        <f t="shared" si="186"/>
        <v>0</v>
      </c>
      <c r="IA22" s="207">
        <f t="shared" si="187"/>
        <v>27</v>
      </c>
      <c r="IB22" s="207">
        <f t="shared" si="188"/>
        <v>15</v>
      </c>
      <c r="IC22" s="343" t="str">
        <f t="shared" si="189"/>
        <v>A</v>
      </c>
      <c r="ID22" s="343" t="str">
        <f t="shared" si="190"/>
        <v>04002</v>
      </c>
      <c r="IE22" s="343" t="str">
        <f t="shared" si="191"/>
        <v>181019</v>
      </c>
      <c r="IF22" s="343" t="str">
        <f t="shared" si="192"/>
        <v>TG05</v>
      </c>
      <c r="IG22" s="383">
        <f t="shared" si="193"/>
        <v>43756</v>
      </c>
      <c r="IH22" s="383">
        <f t="shared" si="194"/>
        <v>45583</v>
      </c>
      <c r="II22" s="208">
        <v>37</v>
      </c>
    </row>
    <row r="23" ht="127.5">
      <c r="A23" s="207">
        <f>Input!A23</f>
        <v>21</v>
      </c>
      <c r="B23" s="343" t="str">
        <f> Profile!$A$3</f>
        <v>VINAPHONE</v>
      </c>
      <c r="C23" s="343" t="str">
        <f> Profile!$L$3</f>
        <v>VINAPHONE</v>
      </c>
      <c r="D23" s="207" t="str">
        <f>Input!B23</f>
        <v>TU-HIEP-TD8-TTI_HNI</v>
      </c>
      <c r="E23" s="317" t="str">
        <f>Input!C23</f>
        <v>Khu D8, xã Tứ Hiệp, huyện Thanh Trì, thành phố Hà Nội</v>
      </c>
      <c r="F23" s="207" t="str">
        <f>Input!D23</f>
        <v>Hà Nội</v>
      </c>
      <c r="G23" s="207">
        <f>Input!E23</f>
        <v>105.84544</v>
      </c>
      <c r="H23" s="207">
        <f>Input!F23</f>
        <v>20.94065</v>
      </c>
      <c r="I23" s="207">
        <f>Input!G23</f>
        <v>1</v>
      </c>
      <c r="J23" s="207">
        <f>Input!H23</f>
        <v>3</v>
      </c>
      <c r="K23" s="207" t="str">
        <f t="shared" si="0"/>
        <v>TỔNG CÔNG TY HẠ TẦNG MẠNG;TỔNG CÔNG TY HẠ TẦNG MẠNG;TỔNG CÔNG TY HẠ TẦNG MẠNG</v>
      </c>
      <c r="L23" s="207" t="str">
        <f>Input!J23</f>
        <v>TU-HIEP-TD8-TTI_HNI;TU-HIEP-TD8-TTI_HNI;TU-HIEP-TD8-TTI_HNI</v>
      </c>
      <c r="M23" s="207" t="str">
        <f>Input!K23</f>
        <v>HUAWEI BTS3900;HUAWEI DBS3900 WCDMA;NOKIA FLEXI MULTIRADIO BTS RADIO MODULE AND REMOTE RADIO (FHEL)</v>
      </c>
      <c r="N23" s="207" t="str">
        <f>Input!L23</f>
        <v>3;3;3</v>
      </c>
      <c r="O23" s="207" t="str">
        <f>Input!M23</f>
        <v>2/2/2;2/2/2;1/1/1</v>
      </c>
      <c r="P23" s="207" t="str">
        <f>Input!N23</f>
        <v>80/80/80;60/60/60;60/60/60</v>
      </c>
      <c r="Q23" s="207" t="str">
        <f>Input!O23</f>
        <v>900;2100;1800</v>
      </c>
      <c r="R23" s="207" t="str">
        <f>Input!P23</f>
        <v>21/21/21;19/19/19;21/21/21</v>
      </c>
      <c r="S23" s="364" t="b">
        <f>Input!Q23</f>
        <v>1</v>
      </c>
      <c r="T23" s="207" t="str">
        <f>Input!R23</f>
        <v>A04003181019TG05</v>
      </c>
      <c r="U23" s="207">
        <f>Input!S23</f>
        <v>0</v>
      </c>
      <c r="V23" s="207" t="str">
        <f>Input!T23</f>
        <v>VCC1</v>
      </c>
      <c r="W23" s="207" t="str">
        <f>Input!U23</f>
        <v>1902979/19/TG/TT1</v>
      </c>
      <c r="X23" s="209" t="str">
        <f>TEXT(Input!V23,"dd/mm/yyyy")</f>
        <v>18/10/2019</v>
      </c>
      <c r="Y23" s="207" t="b">
        <f>Input!W23</f>
        <v>0</v>
      </c>
      <c r="Z23" s="364" t="b">
        <f>Input!X23</f>
        <v>0</v>
      </c>
      <c r="AA23" s="207">
        <f t="shared" si="1"/>
        <v>19</v>
      </c>
      <c r="AB23" s="364" t="b">
        <f>Input!Y23</f>
        <v>1</v>
      </c>
      <c r="AC23" s="207">
        <f>VALUE(Input!Z23)</f>
        <v>12</v>
      </c>
      <c r="AD23" s="207" t="b">
        <f>Input!AA23</f>
        <v>0</v>
      </c>
      <c r="AE23" s="207" t="str">
        <f>Input!AB23</f>
        <v>Vũ Văn Giáp</v>
      </c>
      <c r="AF23" s="207" t="str">
        <f>Input!AC23</f>
        <v>Lê Tiến Cường</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Tổng Công ty Hạ tầng mạng</v>
      </c>
      <c r="AN23" s="208" t="str">
        <f>INDEX(OperatorNameList,MATCH(C23,OperatorIDList,0))</f>
        <v>TỔNG CÔNG TY HẠ TẦNG MẠNG</v>
      </c>
      <c r="AO23" s="207">
        <f t="shared" si="2"/>
        <v>3</v>
      </c>
      <c r="AP23" s="287" t="str">
        <f t="shared" si="3"/>
        <v>thành phố Hà Nội</v>
      </c>
      <c r="AQ23" s="448" t="str">
        <f t="shared" si="4"/>
        <v>huyện Thanh Trì</v>
      </c>
      <c r="AR23" s="448" t="str">
        <f t="shared" si="5"/>
        <v>xã Tứ Hiệp</v>
      </c>
      <c r="AS23" s="449" t="str">
        <f>INDEX(CityIDList,MATCH(F23,CityNameList,0))</f>
        <v>HNI</v>
      </c>
      <c r="AT23" s="208" t="str">
        <f>IF(J23&gt;=1,INDEX(OperatorNameList,MATCH(AZ23,OperatorIDList,0)),"")</f>
        <v>TỔNG CÔNG TY HẠ TẦNG MẠNG</v>
      </c>
      <c r="AU23" s="208" t="str">
        <f>IF(J23&gt;=2,INDEX(OperatorNameList,MATCH(BA23,OperatorIDList,0)),"")</f>
        <v>TỔNG CÔNG TY HẠ TẦNG MẠNG</v>
      </c>
      <c r="AV23" s="208" t="str">
        <f>IF(J23&gt;=3,INDEX(OperatorNameList,MATCH(BB23,OperatorIDList,0)),"")</f>
        <v>TỔNG CÔNG TY HẠ TẦNG MẠNG</v>
      </c>
      <c r="AW23" s="208" t="str">
        <f>IF(J23&gt;=4,INDEX(OperatorNameList,MATCH(BC23,OperatorIDList,0)),"")</f>
      </c>
      <c r="AX23" s="208" t="str">
        <f>IF(J23&gt;=5,INDEX(OperatorNameList,MATCH(BD23,OperatorIDList,0)),"")</f>
      </c>
      <c r="AY23" s="208" t="str">
        <f>IF(J23&gt;=6,INDEX(OperatorNameList,MATCH(BE23,OperatorIDList,0)),"")</f>
      </c>
      <c r="AZ23" s="208" t="str">
        <f t="shared" si="6"/>
        <v>VINAPHONE</v>
      </c>
      <c r="BA23" s="208" t="str">
        <f t="shared" si="7"/>
        <v>VINAPHONE</v>
      </c>
      <c r="BB23" s="208" t="str">
        <f t="shared" si="8"/>
        <v>VINAPHONE</v>
      </c>
      <c r="BC23" s="208" t="str">
        <f t="shared" si="9"/>
      </c>
      <c r="BD23" s="208" t="str">
        <f t="shared" si="10"/>
      </c>
      <c r="BE23" s="208" t="str">
        <f t="shared" si="11"/>
      </c>
      <c r="BF23" s="208" t="str">
        <f>Input!I23</f>
        <v>VINAPHONE;VINAPHONE;VINAPHONE</v>
      </c>
      <c r="BG23" s="208" t="str">
        <f t="shared" si="12"/>
        <v>TU-HIEP-TD8-TTI_HNI</v>
      </c>
      <c r="BH23" s="208" t="str">
        <f t="shared" si="13"/>
        <v>TU-HIEP-TD8-TTI_HNI</v>
      </c>
      <c r="BI23" s="208" t="str">
        <f t="shared" si="14"/>
        <v>TU-HIEP-TD8-TTI_HNI</v>
      </c>
      <c r="BJ23" s="208" t="str">
        <f t="shared" si="15"/>
      </c>
      <c r="BK23" s="208" t="str">
        <f t="shared" si="16"/>
      </c>
      <c r="BL23" s="208" t="str">
        <f t="shared" si="17"/>
      </c>
      <c r="BM23" s="208" t="str">
        <f t="shared" si="18"/>
        <v>HUAWEI BTS3900</v>
      </c>
      <c r="BN23" s="208" t="str">
        <f t="shared" si="19"/>
        <v>HUAWEI DBS3900 WCDMA</v>
      </c>
      <c r="BO23" s="208" t="str">
        <f t="shared" si="20"/>
        <v>NOKIA FLEXI MULTIRADIO BTS RADIO MODULE AND REMOTE RADIO (FHEL)</v>
      </c>
      <c r="BP23" s="208" t="str">
        <f t="shared" si="21"/>
      </c>
      <c r="BQ23" s="208" t="str">
        <f t="shared" si="22"/>
      </c>
      <c r="BR23" s="208" t="str">
        <f t="shared" si="23"/>
      </c>
      <c r="BS23" s="208">
        <f t="shared" si="24"/>
        <v>3</v>
      </c>
      <c r="BT23" s="208">
        <f t="shared" si="25"/>
        <v>3</v>
      </c>
      <c r="BU23" s="208">
        <f t="shared" si="26"/>
        <v>3</v>
      </c>
      <c r="BV23" s="208">
        <f t="shared" si="27"/>
        <v>0</v>
      </c>
      <c r="BW23" s="208">
        <f t="shared" si="28"/>
        <v>0</v>
      </c>
      <c r="BX23" s="208">
        <f t="shared" si="29"/>
        <v>0</v>
      </c>
      <c r="BY23" s="208" t="str">
        <f t="shared" si="30"/>
        <v>2/2/2</v>
      </c>
      <c r="BZ23" s="208">
        <f t="shared" si="31"/>
        <v>2</v>
      </c>
      <c r="CA23" s="208">
        <f t="shared" si="32"/>
        <v>2</v>
      </c>
      <c r="CB23" s="208">
        <f t="shared" si="33"/>
        <v>2</v>
      </c>
      <c r="CC23" s="208">
        <f t="shared" si="34"/>
        <v>0</v>
      </c>
      <c r="CD23" s="208">
        <f t="shared" si="35"/>
        <v>0</v>
      </c>
      <c r="CE23" s="208">
        <f t="shared" si="36"/>
        <v>0</v>
      </c>
      <c r="CF23" s="208" t="str">
        <f t="shared" si="37"/>
        <v>2/2/2</v>
      </c>
      <c r="CG23" s="208">
        <f t="shared" si="38"/>
        <v>2</v>
      </c>
      <c r="CH23" s="208">
        <f t="shared" si="39"/>
        <v>2</v>
      </c>
      <c r="CI23" s="208">
        <f t="shared" si="40"/>
        <v>2</v>
      </c>
      <c r="CJ23" s="208">
        <f t="shared" si="41"/>
        <v>0</v>
      </c>
      <c r="CK23" s="208">
        <f t="shared" si="42"/>
        <v>0</v>
      </c>
      <c r="CL23" s="208">
        <f t="shared" si="43"/>
        <v>0</v>
      </c>
      <c r="CM23" s="208" t="str">
        <f t="shared" si="44"/>
        <v>1/1/1</v>
      </c>
      <c r="CN23" s="208">
        <f t="shared" si="45"/>
        <v>1</v>
      </c>
      <c r="CO23" s="208">
        <f t="shared" si="46"/>
        <v>1</v>
      </c>
      <c r="CP23" s="208">
        <f t="shared" si="47"/>
        <v>1</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60/60/60</v>
      </c>
      <c r="DY23" s="208">
        <f t="shared" si="82"/>
        <v>60</v>
      </c>
      <c r="DZ23" s="208">
        <f t="shared" si="83"/>
        <v>60</v>
      </c>
      <c r="EA23" s="208">
        <f t="shared" si="84"/>
        <v>60</v>
      </c>
      <c r="EB23" s="208">
        <f t="shared" si="85"/>
        <v>0</v>
      </c>
      <c r="EC23" s="208">
        <f t="shared" si="86"/>
        <v>0</v>
      </c>
      <c r="ED23" s="208">
        <f t="shared" si="87"/>
        <v>0</v>
      </c>
      <c r="EE23" s="208" t="str">
        <f t="shared" si="88"/>
        <v>60W/ 60W/ 60W</v>
      </c>
      <c r="EF23" s="208">
        <f t="shared" si="89"/>
        <v>60</v>
      </c>
      <c r="EG23" s="208" t="str">
        <f t="shared" si="90"/>
        <v>60/60/60</v>
      </c>
      <c r="EH23" s="208">
        <f t="shared" si="91"/>
        <v>60</v>
      </c>
      <c r="EI23" s="208">
        <f t="shared" si="92"/>
        <v>60</v>
      </c>
      <c r="EJ23" s="208">
        <f t="shared" si="93"/>
        <v>60</v>
      </c>
      <c r="EK23" s="208">
        <f t="shared" si="94"/>
        <v>0</v>
      </c>
      <c r="EL23" s="208">
        <f t="shared" si="95"/>
        <v>0</v>
      </c>
      <c r="EM23" s="208">
        <f t="shared" si="96"/>
        <v>0</v>
      </c>
      <c r="EN23" s="208" t="str">
        <f t="shared" si="97"/>
        <v>60W/ 60W/ 60W</v>
      </c>
      <c r="EO23" s="208">
        <f t="shared" si="98"/>
        <v>60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900</v>
      </c>
      <c r="FS23" s="208" t="str">
        <f t="shared" si="128"/>
        <v>2100</v>
      </c>
      <c r="FT23" s="208" t="str">
        <f t="shared" si="129"/>
        <v>1800</v>
      </c>
      <c r="FU23" s="208" t="str">
        <f t="shared" si="130"/>
      </c>
      <c r="FV23" s="208" t="str">
        <f t="shared" si="131"/>
      </c>
      <c r="FW23" s="208" t="str">
        <f t="shared" si="132"/>
      </c>
      <c r="FX23" s="208" t="str">
        <f t="shared" si="133"/>
        <v>21/21/21</v>
      </c>
      <c r="FY23" s="208">
        <f t="shared" si="134"/>
        <v>21</v>
      </c>
      <c r="FZ23" s="208">
        <f t="shared" si="135"/>
        <v>21</v>
      </c>
      <c r="GA23" s="208">
        <f t="shared" si="136"/>
        <v>21</v>
      </c>
      <c r="GB23" s="208">
        <f t="shared" si="137"/>
        <v>0</v>
      </c>
      <c r="GC23" s="208">
        <f t="shared" si="138"/>
        <v>0</v>
      </c>
      <c r="GD23" s="208">
        <f t="shared" si="139"/>
        <v>0</v>
      </c>
      <c r="GE23" s="208" t="str">
        <f t="shared" si="140"/>
        <v>21m/ 21m/ 21m</v>
      </c>
      <c r="GF23" s="208" t="str">
        <f t="shared" si="141"/>
        <v>19/19/19</v>
      </c>
      <c r="GG23" s="208">
        <f t="shared" si="142"/>
        <v>19</v>
      </c>
      <c r="GH23" s="208">
        <f t="shared" si="143"/>
        <v>19</v>
      </c>
      <c r="GI23" s="208">
        <f t="shared" si="144"/>
        <v>19</v>
      </c>
      <c r="GJ23" s="208">
        <f t="shared" si="145"/>
        <v>0</v>
      </c>
      <c r="GK23" s="208">
        <f t="shared" si="146"/>
        <v>0</v>
      </c>
      <c r="GL23" s="208">
        <f t="shared" si="147"/>
        <v>0</v>
      </c>
      <c r="GM23" s="208" t="str">
        <f t="shared" si="148"/>
        <v>19m/ 19m/ 19m</v>
      </c>
      <c r="GN23" s="208" t="str">
        <f t="shared" si="149"/>
        <v>21/21/21</v>
      </c>
      <c r="GO23" s="208">
        <f t="shared" si="150"/>
        <v>21</v>
      </c>
      <c r="GP23" s="208">
        <f t="shared" si="151"/>
        <v>21</v>
      </c>
      <c r="GQ23" s="208">
        <f t="shared" si="152"/>
        <v>21</v>
      </c>
      <c r="GR23" s="208">
        <f t="shared" si="153"/>
        <v>0</v>
      </c>
      <c r="GS23" s="208">
        <f t="shared" si="154"/>
        <v>0</v>
      </c>
      <c r="GT23" s="208">
        <f t="shared" si="155"/>
        <v>0</v>
      </c>
      <c r="GU23" s="208" t="str">
        <f t="shared" si="156"/>
        <v>21m/ 21m/ 21m</v>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21</v>
      </c>
      <c r="HV23" s="208">
        <f t="shared" si="182"/>
        <v>19</v>
      </c>
      <c r="HW23" s="208">
        <f t="shared" si="183"/>
        <v>21</v>
      </c>
      <c r="HX23" s="208">
        <f t="shared" si="184"/>
        <v>0</v>
      </c>
      <c r="HY23" s="208">
        <f t="shared" si="185"/>
        <v>0</v>
      </c>
      <c r="HZ23" s="208">
        <f t="shared" si="186"/>
        <v>0</v>
      </c>
      <c r="IA23" s="207">
        <f t="shared" si="187"/>
        <v>19</v>
      </c>
      <c r="IB23" s="207">
        <f t="shared" si="188"/>
        <v>7</v>
      </c>
      <c r="IC23" s="343" t="str">
        <f t="shared" si="189"/>
        <v>A</v>
      </c>
      <c r="ID23" s="343" t="str">
        <f t="shared" si="190"/>
        <v>04003</v>
      </c>
      <c r="IE23" s="343" t="str">
        <f t="shared" si="191"/>
        <v>181019</v>
      </c>
      <c r="IF23" s="343" t="str">
        <f t="shared" si="192"/>
        <v>TG05</v>
      </c>
      <c r="IG23" s="383">
        <f t="shared" si="193"/>
        <v>43756</v>
      </c>
      <c r="IH23" s="383">
        <f t="shared" si="194"/>
        <v>45583</v>
      </c>
      <c r="II23" s="208">
        <v>37</v>
      </c>
    </row>
    <row r="24" ht="153">
      <c r="A24" s="207">
        <f>Input!A24</f>
        <v>22</v>
      </c>
      <c r="B24" s="343" t="str">
        <f> Profile!$A$3</f>
        <v>VINAPHONE</v>
      </c>
      <c r="C24" s="343" t="str">
        <f> Profile!$L$3</f>
        <v>VINAPHONE</v>
      </c>
      <c r="D24" s="207" t="str">
        <f>Input!B24</f>
        <v>VINH-QUYNH-TTI_HNI</v>
      </c>
      <c r="E24" s="317" t="str">
        <f>Input!C24</f>
        <v>Ủy ban nhân dân xã Vĩnh Quỳnh, xã Vĩnh Quỳnh, huyện Thanh Trì, thành phố Hà Nội</v>
      </c>
      <c r="F24" s="207" t="str">
        <f>Input!D24</f>
        <v>Hà Nội</v>
      </c>
      <c r="G24" s="207">
        <f>Input!E24</f>
        <v>105.830701</v>
      </c>
      <c r="H24" s="207">
        <f>Input!F24</f>
        <v>20.93644</v>
      </c>
      <c r="I24" s="207">
        <f>Input!G24</f>
        <v>1</v>
      </c>
      <c r="J24" s="207">
        <f>Input!H24</f>
        <v>4</v>
      </c>
      <c r="K24" s="207" t="str">
        <f t="shared" si="0"/>
        <v>TỔNG CÔNG TY HẠ TẦNG MẠNG;TỔNG CÔNG TY HẠ TẦNG MẠNG;TỔNG CÔNG TY HẠ TẦNG MẠNG;TỔNG CÔNG TY HẠ TẦNG MẠNG</v>
      </c>
      <c r="L24" s="207" t="str">
        <f>Input!J24</f>
        <v>VINH-QUYNH-TTI_HNI;VINH-QUYNH-TTI_HNI;VINH-QUYNH-TTI_HNI;VINH-QUYNH-TTI_HNI</v>
      </c>
      <c r="M24" s="207" t="str">
        <f>Input!K24</f>
        <v>HUAWEI BTS3900;HUAWEI BTS3900;HUAWEI DBS3900 WCDMA;NOKIA FLEXI MULTIRADIO BTS RADIO MODULE AND REMOTE RADIO (FHEL)</v>
      </c>
      <c r="N24" s="207" t="str">
        <f>Input!L24</f>
        <v>3;3;3;3</v>
      </c>
      <c r="O24" s="207" t="str">
        <f>Input!M24</f>
        <v>2/2/2;2/2/2;2/2/2;1/1/1</v>
      </c>
      <c r="P24" s="207" t="str">
        <f>Input!N24</f>
        <v>80/80/80;80/80/80;60/60/60;60/60/60</v>
      </c>
      <c r="Q24" s="207" t="str">
        <f>Input!O24</f>
        <v>900;1800;2100;1800</v>
      </c>
      <c r="R24" s="207" t="str">
        <f>Input!P24</f>
        <v>26/26/26;26/26/26;26/26/26;26/26/26</v>
      </c>
      <c r="S24" s="364" t="b">
        <f>Input!Q24</f>
        <v>1</v>
      </c>
      <c r="T24" s="207" t="str">
        <f>Input!R24</f>
        <v>A04004181019TG05</v>
      </c>
      <c r="U24" s="207">
        <f>Input!S24</f>
        <v>0</v>
      </c>
      <c r="V24" s="207" t="str">
        <f>Input!T24</f>
        <v>VCC1</v>
      </c>
      <c r="W24" s="207" t="str">
        <f>Input!U24</f>
        <v>1903244/19/TG/TT1</v>
      </c>
      <c r="X24" s="209" t="str">
        <f>TEXT(Input!V24,"dd/mm/yyyy")</f>
        <v>18/10/2019</v>
      </c>
      <c r="Y24" s="207" t="b">
        <f>Input!W24</f>
        <v>0</v>
      </c>
      <c r="Z24" s="364" t="b">
        <f>Input!X24</f>
        <v>0</v>
      </c>
      <c r="AA24" s="207">
        <f t="shared" si="1"/>
        <v>26</v>
      </c>
      <c r="AB24" s="364" t="b">
        <f>Input!Y24</f>
        <v>1</v>
      </c>
      <c r="AC24" s="207">
        <f>VALUE(Input!Z24)</f>
        <v>8</v>
      </c>
      <c r="AD24" s="207" t="b">
        <f>Input!AA24</f>
        <v>0</v>
      </c>
      <c r="AE24" s="207" t="str">
        <f>Input!AB24</f>
        <v>Vũ Văn Giáp</v>
      </c>
      <c r="AF24" s="207" t="str">
        <f>Input!AC24</f>
        <v>Lê Tiến Cường</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Tổng Công ty Hạ tầng mạng</v>
      </c>
      <c r="AN24" s="208" t="str">
        <f>INDEX(OperatorNameList,MATCH(C24,OperatorIDList,0))</f>
        <v>TỔNG CÔNG TY HẠ TẦNG MẠNG</v>
      </c>
      <c r="AO24" s="207">
        <f t="shared" si="2"/>
        <v>3</v>
      </c>
      <c r="AP24" s="287" t="str">
        <f t="shared" si="3"/>
        <v>thành phố Hà Nội</v>
      </c>
      <c r="AQ24" s="448" t="str">
        <f t="shared" si="4"/>
        <v>huyện Thanh Trì</v>
      </c>
      <c r="AR24" s="448" t="str">
        <f t="shared" si="5"/>
        <v>xã Vĩnh Quỳnh</v>
      </c>
      <c r="AS24" s="449" t="str">
        <f>INDEX(CityIDList,MATCH(F24,CityNameList,0))</f>
        <v>HNI</v>
      </c>
      <c r="AT24" s="208" t="str">
        <f>IF(J24&gt;=1,INDEX(OperatorNameList,MATCH(AZ24,OperatorIDList,0)),"")</f>
        <v>TỔNG CÔNG TY HẠ TẦNG MẠNG</v>
      </c>
      <c r="AU24" s="208" t="str">
        <f>IF(J24&gt;=2,INDEX(OperatorNameList,MATCH(BA24,OperatorIDList,0)),"")</f>
        <v>TỔNG CÔNG TY HẠ TẦNG MẠNG</v>
      </c>
      <c r="AV24" s="208" t="str">
        <f>IF(J24&gt;=3,INDEX(OperatorNameList,MATCH(BB24,OperatorIDList,0)),"")</f>
        <v>TỔNG CÔNG TY HẠ TẦNG MẠNG</v>
      </c>
      <c r="AW24" s="208" t="str">
        <f>IF(J24&gt;=4,INDEX(OperatorNameList,MATCH(BC24,OperatorIDList,0)),"")</f>
        <v>TỔNG CÔNG TY HẠ TẦNG MẠNG</v>
      </c>
      <c r="AX24" s="208" t="str">
        <f>IF(J24&gt;=5,INDEX(OperatorNameList,MATCH(BD24,OperatorIDList,0)),"")</f>
      </c>
      <c r="AY24" s="208" t="str">
        <f>IF(J24&gt;=6,INDEX(OperatorNameList,MATCH(BE24,OperatorIDList,0)),"")</f>
      </c>
      <c r="AZ24" s="208" t="str">
        <f t="shared" si="6"/>
        <v>VINAPHONE</v>
      </c>
      <c r="BA24" s="208" t="str">
        <f t="shared" si="7"/>
        <v>VINAPHONE</v>
      </c>
      <c r="BB24" s="208" t="str">
        <f t="shared" si="8"/>
        <v>VINAPHONE</v>
      </c>
      <c r="BC24" s="208" t="str">
        <f t="shared" si="9"/>
        <v>VINAPHONE</v>
      </c>
      <c r="BD24" s="208" t="str">
        <f t="shared" si="10"/>
      </c>
      <c r="BE24" s="208" t="str">
        <f t="shared" si="11"/>
      </c>
      <c r="BF24" s="208" t="str">
        <f>Input!I24</f>
        <v>VINAPHONE;VINAPHONE;VINAPHONE;VINAPHONE</v>
      </c>
      <c r="BG24" s="208" t="str">
        <f t="shared" si="12"/>
        <v>VINH-QUYNH-TTI_HNI</v>
      </c>
      <c r="BH24" s="208" t="str">
        <f t="shared" si="13"/>
        <v>VINH-QUYNH-TTI_HNI</v>
      </c>
      <c r="BI24" s="208" t="str">
        <f t="shared" si="14"/>
        <v>VINH-QUYNH-TTI_HNI</v>
      </c>
      <c r="BJ24" s="208" t="str">
        <f t="shared" si="15"/>
        <v>VINH-QUYNH-TTI_HNI</v>
      </c>
      <c r="BK24" s="208" t="str">
        <f t="shared" si="16"/>
      </c>
      <c r="BL24" s="208" t="str">
        <f t="shared" si="17"/>
      </c>
      <c r="BM24" s="208" t="str">
        <f t="shared" si="18"/>
        <v>HUAWEI BTS3900</v>
      </c>
      <c r="BN24" s="208" t="str">
        <f t="shared" si="19"/>
        <v>HUAWEI BTS3900</v>
      </c>
      <c r="BO24" s="208" t="str">
        <f t="shared" si="20"/>
        <v>HUAWEI DBS3900 WCDMA</v>
      </c>
      <c r="BP24" s="208" t="str">
        <f t="shared" si="21"/>
        <v>NOKIA FLEXI MULTIRADIO BTS RADIO MODULE AND REMOTE RADIO (FHEL)</v>
      </c>
      <c r="BQ24" s="208" t="str">
        <f t="shared" si="22"/>
      </c>
      <c r="BR24" s="208" t="str">
        <f t="shared" si="23"/>
      </c>
      <c r="BS24" s="208">
        <f t="shared" si="24"/>
        <v>3</v>
      </c>
      <c r="BT24" s="208">
        <f t="shared" si="25"/>
        <v>3</v>
      </c>
      <c r="BU24" s="208">
        <f t="shared" si="26"/>
        <v>3</v>
      </c>
      <c r="BV24" s="208">
        <f t="shared" si="27"/>
        <v>3</v>
      </c>
      <c r="BW24" s="208">
        <f t="shared" si="28"/>
        <v>0</v>
      </c>
      <c r="BX24" s="208">
        <f t="shared" si="29"/>
        <v>0</v>
      </c>
      <c r="BY24" s="208" t="str">
        <f t="shared" si="30"/>
        <v>2/2/2</v>
      </c>
      <c r="BZ24" s="208">
        <f t="shared" si="31"/>
        <v>2</v>
      </c>
      <c r="CA24" s="208">
        <f t="shared" si="32"/>
        <v>2</v>
      </c>
      <c r="CB24" s="208">
        <f t="shared" si="33"/>
        <v>2</v>
      </c>
      <c r="CC24" s="208">
        <f t="shared" si="34"/>
        <v>0</v>
      </c>
      <c r="CD24" s="208">
        <f t="shared" si="35"/>
        <v>0</v>
      </c>
      <c r="CE24" s="208">
        <f t="shared" si="36"/>
        <v>0</v>
      </c>
      <c r="CF24" s="208" t="str">
        <f t="shared" si="37"/>
        <v>2/2/2</v>
      </c>
      <c r="CG24" s="208">
        <f t="shared" si="38"/>
        <v>2</v>
      </c>
      <c r="CH24" s="208">
        <f t="shared" si="39"/>
        <v>2</v>
      </c>
      <c r="CI24" s="208">
        <f t="shared" si="40"/>
        <v>2</v>
      </c>
      <c r="CJ24" s="208">
        <f t="shared" si="41"/>
        <v>0</v>
      </c>
      <c r="CK24" s="208">
        <f t="shared" si="42"/>
        <v>0</v>
      </c>
      <c r="CL24" s="208">
        <f t="shared" si="43"/>
        <v>0</v>
      </c>
      <c r="CM24" s="208" t="str">
        <f t="shared" si="44"/>
        <v>2/2/2</v>
      </c>
      <c r="CN24" s="208">
        <f t="shared" si="45"/>
        <v>2</v>
      </c>
      <c r="CO24" s="208">
        <f t="shared" si="46"/>
        <v>2</v>
      </c>
      <c r="CP24" s="208">
        <f t="shared" si="47"/>
        <v>2</v>
      </c>
      <c r="CQ24" s="208">
        <f t="shared" si="48"/>
        <v>0</v>
      </c>
      <c r="CR24" s="208">
        <f t="shared" si="49"/>
        <v>0</v>
      </c>
      <c r="CS24" s="208">
        <f t="shared" si="50"/>
        <v>0</v>
      </c>
      <c r="CT24" s="208" t="str">
        <f t="shared" si="51"/>
        <v>1/1/1</v>
      </c>
      <c r="CU24" s="208">
        <f t="shared" si="52"/>
        <v>1</v>
      </c>
      <c r="CV24" s="208">
        <f t="shared" si="53"/>
        <v>1</v>
      </c>
      <c r="CW24" s="208">
        <f t="shared" si="54"/>
        <v>1</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v>60/60/60</v>
      </c>
      <c r="EH24" s="208">
        <f t="shared" si="91"/>
        <v>60</v>
      </c>
      <c r="EI24" s="208">
        <f t="shared" si="92"/>
        <v>60</v>
      </c>
      <c r="EJ24" s="208">
        <f t="shared" si="93"/>
        <v>60</v>
      </c>
      <c r="EK24" s="208">
        <f t="shared" si="94"/>
        <v>0</v>
      </c>
      <c r="EL24" s="208">
        <f t="shared" si="95"/>
        <v>0</v>
      </c>
      <c r="EM24" s="208">
        <f t="shared" si="96"/>
        <v>0</v>
      </c>
      <c r="EN24" s="208" t="str">
        <f t="shared" si="97"/>
        <v>60W/ 60W/ 60W</v>
      </c>
      <c r="EO24" s="208">
        <f t="shared" si="98"/>
        <v>60</v>
      </c>
      <c r="EP24" s="208" t="str">
        <f t="shared" si="99"/>
        <v>60/60/60</v>
      </c>
      <c r="EQ24" s="208">
        <f t="shared" si="100"/>
        <v>60</v>
      </c>
      <c r="ER24" s="208">
        <f t="shared" si="101"/>
        <v>60</v>
      </c>
      <c r="ES24" s="208">
        <f t="shared" si="102"/>
        <v>60</v>
      </c>
      <c r="ET24" s="208">
        <f t="shared" si="103"/>
        <v>0</v>
      </c>
      <c r="EU24" s="208">
        <f t="shared" si="104"/>
        <v>0</v>
      </c>
      <c r="EV24" s="208">
        <f t="shared" si="105"/>
        <v>0</v>
      </c>
      <c r="EW24" s="208" t="str">
        <f t="shared" si="106"/>
        <v>60W/ 60W/ 60W</v>
      </c>
      <c r="EX24" s="208">
        <f t="shared" si="107"/>
        <v>60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900</v>
      </c>
      <c r="FS24" s="208" t="str">
        <f t="shared" si="128"/>
        <v>1800</v>
      </c>
      <c r="FT24" s="208" t="str">
        <f t="shared" si="129"/>
        <v>2100</v>
      </c>
      <c r="FU24" s="208" t="str">
        <f t="shared" si="130"/>
        <v>1800</v>
      </c>
      <c r="FV24" s="208" t="str">
        <f t="shared" si="131"/>
      </c>
      <c r="FW24" s="208" t="str">
        <f t="shared" si="132"/>
      </c>
      <c r="FX24" s="208" t="str">
        <f t="shared" si="133"/>
        <v>26/26/26</v>
      </c>
      <c r="FY24" s="208">
        <f t="shared" si="134"/>
        <v>26</v>
      </c>
      <c r="FZ24" s="208">
        <f t="shared" si="135"/>
        <v>26</v>
      </c>
      <c r="GA24" s="208">
        <f t="shared" si="136"/>
        <v>26</v>
      </c>
      <c r="GB24" s="208">
        <f t="shared" si="137"/>
        <v>0</v>
      </c>
      <c r="GC24" s="208">
        <f t="shared" si="138"/>
        <v>0</v>
      </c>
      <c r="GD24" s="208">
        <f t="shared" si="139"/>
        <v>0</v>
      </c>
      <c r="GE24" s="208" t="str">
        <f t="shared" si="140"/>
        <v>26m/ 26m/ 26m</v>
      </c>
      <c r="GF24" s="208" t="str">
        <f t="shared" si="141"/>
        <v>26/26/26</v>
      </c>
      <c r="GG24" s="208">
        <f t="shared" si="142"/>
        <v>26</v>
      </c>
      <c r="GH24" s="208">
        <f t="shared" si="143"/>
        <v>26</v>
      </c>
      <c r="GI24" s="208">
        <f t="shared" si="144"/>
        <v>26</v>
      </c>
      <c r="GJ24" s="208">
        <f t="shared" si="145"/>
        <v>0</v>
      </c>
      <c r="GK24" s="208">
        <f t="shared" si="146"/>
        <v>0</v>
      </c>
      <c r="GL24" s="208">
        <f t="shared" si="147"/>
        <v>0</v>
      </c>
      <c r="GM24" s="208" t="str">
        <f t="shared" si="148"/>
        <v>26m/ 26m/ 26m</v>
      </c>
      <c r="GN24" s="208" t="str">
        <f t="shared" si="149"/>
        <v>26/26/26</v>
      </c>
      <c r="GO24" s="208">
        <f t="shared" si="150"/>
        <v>26</v>
      </c>
      <c r="GP24" s="208">
        <f t="shared" si="151"/>
        <v>26</v>
      </c>
      <c r="GQ24" s="208">
        <f t="shared" si="152"/>
        <v>26</v>
      </c>
      <c r="GR24" s="208">
        <f t="shared" si="153"/>
        <v>0</v>
      </c>
      <c r="GS24" s="208">
        <f t="shared" si="154"/>
        <v>0</v>
      </c>
      <c r="GT24" s="208">
        <f t="shared" si="155"/>
        <v>0</v>
      </c>
      <c r="GU24" s="208" t="str">
        <f t="shared" si="156"/>
        <v>26m/ 26m/ 26m</v>
      </c>
      <c r="GV24" s="208" t="str">
        <f t="shared" si="157"/>
        <v>26/26/26</v>
      </c>
      <c r="GW24" s="208">
        <f t="shared" si="158"/>
        <v>26</v>
      </c>
      <c r="GX24" s="208">
        <f t="shared" si="159"/>
        <v>26</v>
      </c>
      <c r="GY24" s="208">
        <f t="shared" si="160"/>
        <v>26</v>
      </c>
      <c r="GZ24" s="208">
        <f t="shared" si="161"/>
        <v>0</v>
      </c>
      <c r="HA24" s="208">
        <f t="shared" si="162"/>
        <v>0</v>
      </c>
      <c r="HB24" s="208">
        <f t="shared" si="163"/>
        <v>0</v>
      </c>
      <c r="HC24" s="208" t="str">
        <f t="shared" si="164"/>
        <v>26m/ 26m/ 26m</v>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26</v>
      </c>
      <c r="HV24" s="208">
        <f t="shared" si="182"/>
        <v>26</v>
      </c>
      <c r="HW24" s="208">
        <f t="shared" si="183"/>
        <v>26</v>
      </c>
      <c r="HX24" s="208">
        <f t="shared" si="184"/>
        <v>26</v>
      </c>
      <c r="HY24" s="208">
        <f t="shared" si="185"/>
        <v>0</v>
      </c>
      <c r="HZ24" s="208">
        <f t="shared" si="186"/>
        <v>0</v>
      </c>
      <c r="IA24" s="207">
        <f t="shared" si="187"/>
        <v>26</v>
      </c>
      <c r="IB24" s="207">
        <f t="shared" si="188"/>
        <v>18</v>
      </c>
      <c r="IC24" s="343" t="str">
        <f t="shared" si="189"/>
        <v>A</v>
      </c>
      <c r="ID24" s="343" t="str">
        <f t="shared" si="190"/>
        <v>04004</v>
      </c>
      <c r="IE24" s="343" t="str">
        <f t="shared" si="191"/>
        <v>181019</v>
      </c>
      <c r="IF24" s="343" t="str">
        <f t="shared" si="192"/>
        <v>TG05</v>
      </c>
      <c r="IG24" s="383">
        <f t="shared" si="193"/>
        <v>43756</v>
      </c>
      <c r="IH24" s="383">
        <f t="shared" si="194"/>
        <v>45583</v>
      </c>
      <c r="II24" s="208">
        <v>37</v>
      </c>
    </row>
    <row r="25" ht="165.75">
      <c r="A25" s="207">
        <f>Input!A25</f>
        <v>23</v>
      </c>
      <c r="B25" s="343" t="str">
        <f> Profile!$A$3</f>
        <v>VINAPHONE</v>
      </c>
      <c r="C25" s="343" t="str">
        <f> Profile!$L$3</f>
        <v>VINAPHONE</v>
      </c>
      <c r="D25" s="207" t="str">
        <f>Input!B25</f>
        <v>DONG-LA-LA-TINH-HDC_HNI</v>
      </c>
      <c r="E25" s="317" t="str">
        <f>Input!C25</f>
        <v>Thôn La Tinh, xã Đông La, huyện Hoài Đức, thành phố Hà Nội</v>
      </c>
      <c r="F25" s="207" t="str">
        <f>Input!D25</f>
        <v>Hà Nội</v>
      </c>
      <c r="G25" s="207">
        <f>Input!E25</f>
        <v>105.735023</v>
      </c>
      <c r="H25" s="207">
        <f>Input!F25</f>
        <v>20.964811</v>
      </c>
      <c r="I25" s="207">
        <f>Input!G25</f>
        <v>1</v>
      </c>
      <c r="J25" s="207">
        <f>Input!H25</f>
        <v>2</v>
      </c>
      <c r="K25" s="207" t="str">
        <f t="shared" si="0"/>
        <v>TỔNG CÔNG TY HẠ TẦNG MẠNG;TỔNG CÔNG TY HẠ TẦNG MẠNG</v>
      </c>
      <c r="L25" s="207" t="str">
        <f>Input!J25</f>
        <v>DONG-LA-LA-TINH-HDC_HNI;DONG-LA-LA-TINH-HDC_HNI</v>
      </c>
      <c r="M25" s="207" t="str">
        <f>Input!K25</f>
        <v>NOKIA FLEXI MULTIRADIO BTS RADIO MODULE AND REMOTE RADIO (FRGY);NOKIA FLEXI MULTIRADIO BTS RADIO MODULE AND REMOTE RADIO (FHEL)</v>
      </c>
      <c r="N25" s="207" t="str">
        <f>Input!L25</f>
        <v>3;3</v>
      </c>
      <c r="O25" s="207" t="str">
        <f>Input!M25</f>
        <v>2/2/2;1/1/1</v>
      </c>
      <c r="P25" s="207" t="str">
        <f>Input!N25</f>
        <v>60/60/60;60/60/60</v>
      </c>
      <c r="Q25" s="207" t="str">
        <f>Input!O25</f>
        <v>2100;1800</v>
      </c>
      <c r="R25" s="207" t="str">
        <f>Input!P25</f>
        <v>43/43/43;43/43/43</v>
      </c>
      <c r="S25" s="364" t="b">
        <f>Input!Q25</f>
        <v>1</v>
      </c>
      <c r="T25" s="207" t="str">
        <f>Input!R25</f>
        <v>A04005181019TG05</v>
      </c>
      <c r="U25" s="207">
        <f>Input!S25</f>
        <v>0</v>
      </c>
      <c r="V25" s="207" t="str">
        <f>Input!T25</f>
        <v>VCC1</v>
      </c>
      <c r="W25" s="207" t="str">
        <f>Input!U25</f>
        <v>1902953/19/TG/TT1</v>
      </c>
      <c r="X25" s="209" t="str">
        <f>TEXT(Input!V25,"dd/mm/yyyy")</f>
        <v>18/10/2019</v>
      </c>
      <c r="Y25" s="207" t="b">
        <f>Input!W25</f>
        <v>1</v>
      </c>
      <c r="Z25" s="364" t="b">
        <f>Input!X25</f>
        <v>1</v>
      </c>
      <c r="AA25" s="207">
        <f t="shared" si="1"/>
        <v>43</v>
      </c>
      <c r="AB25" s="364" t="b">
        <f>Input!Y25</f>
        <v>1</v>
      </c>
      <c r="AC25" s="207">
        <f>VALUE(Input!Z25)</f>
        <v>5</v>
      </c>
      <c r="AD25" s="207" t="b">
        <f>Input!AA25</f>
        <v>0</v>
      </c>
      <c r="AE25" s="207" t="str">
        <f>Input!AB25</f>
        <v>Vũ Văn Giáp</v>
      </c>
      <c r="AF25" s="207" t="str">
        <f>Input!AC25</f>
        <v>Lê Tiến Cường</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Tổng Công ty Hạ tầng mạng</v>
      </c>
      <c r="AN25" s="208" t="str">
        <f>INDEX(OperatorNameList,MATCH(C25,OperatorIDList,0))</f>
        <v>TỔNG CÔNG TY HẠ TẦNG MẠNG</v>
      </c>
      <c r="AO25" s="207">
        <f t="shared" si="2"/>
        <v>3</v>
      </c>
      <c r="AP25" s="287" t="str">
        <f t="shared" si="3"/>
        <v>thành phố Hà Nội</v>
      </c>
      <c r="AQ25" s="448" t="str">
        <f t="shared" si="4"/>
        <v>huyện Hoài Đức</v>
      </c>
      <c r="AR25" s="448" t="str">
        <f t="shared" si="5"/>
        <v>xã Đông La</v>
      </c>
      <c r="AS25" s="449" t="str">
        <f>INDEX(CityIDList,MATCH(F25,CityNameList,0))</f>
        <v>HNI</v>
      </c>
      <c r="AT25" s="208" t="str">
        <f>IF(J25&gt;=1,INDEX(OperatorNameList,MATCH(AZ25,OperatorIDList,0)),"")</f>
        <v>TỔNG CÔNG TY HẠ TẦNG MẠNG</v>
      </c>
      <c r="AU25" s="208" t="str">
        <f>IF(J25&gt;=2,INDEX(OperatorNameList,MATCH(BA25,OperatorIDList,0)),"")</f>
        <v>TỔNG CÔNG TY HẠ TẦNG MẠNG</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VINAPHONE</v>
      </c>
      <c r="BA25" s="208" t="str">
        <f t="shared" si="7"/>
        <v>VINAPHONE</v>
      </c>
      <c r="BB25" s="208" t="str">
        <f t="shared" si="8"/>
      </c>
      <c r="BC25" s="208" t="str">
        <f t="shared" si="9"/>
      </c>
      <c r="BD25" s="208" t="str">
        <f t="shared" si="10"/>
      </c>
      <c r="BE25" s="208" t="str">
        <f t="shared" si="11"/>
      </c>
      <c r="BF25" s="208" t="str">
        <f>Input!I25</f>
        <v>VINAPHONE;VINAPHONE</v>
      </c>
      <c r="BG25" s="208" t="str">
        <f t="shared" si="12"/>
        <v>DONG-LA-LA-TINH-HDC_HNI</v>
      </c>
      <c r="BH25" s="208" t="str">
        <f t="shared" si="13"/>
        <v>DONG-LA-LA-TINH-HDC_HNI</v>
      </c>
      <c r="BI25" s="208" t="str">
        <f t="shared" si="14"/>
      </c>
      <c r="BJ25" s="208" t="str">
        <f t="shared" si="15"/>
      </c>
      <c r="BK25" s="208" t="str">
        <f t="shared" si="16"/>
      </c>
      <c r="BL25" s="208" t="str">
        <f t="shared" si="17"/>
      </c>
      <c r="BM25" s="208" t="str">
        <f t="shared" si="18"/>
        <v>NOKIA FLEXI MULTIRADIO BTS RADIO MODULE AND REMOTE RADIO (FRGY)</v>
      </c>
      <c r="BN25" s="208" t="str">
        <f t="shared" si="19"/>
        <v>NOKIA FLEXI MULTIRADIO BTS RADIO MODULE AND REMOTE RADIO (FHEL)</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2/2/2</v>
      </c>
      <c r="BZ25" s="208">
        <f t="shared" si="31"/>
        <v>2</v>
      </c>
      <c r="CA25" s="208">
        <f t="shared" si="32"/>
        <v>2</v>
      </c>
      <c r="CB25" s="208">
        <f t="shared" si="33"/>
        <v>2</v>
      </c>
      <c r="CC25" s="208">
        <f t="shared" si="34"/>
        <v>0</v>
      </c>
      <c r="CD25" s="208">
        <f t="shared" si="35"/>
        <v>0</v>
      </c>
      <c r="CE25" s="208">
        <f t="shared" si="36"/>
        <v>0</v>
      </c>
      <c r="CF25" s="208" t="str">
        <f t="shared" si="37"/>
        <v>1/1/1</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60/60/60</v>
      </c>
      <c r="DP25" s="208">
        <f t="shared" si="73"/>
        <v>60</v>
      </c>
      <c r="DQ25" s="208">
        <f t="shared" si="74"/>
        <v>60</v>
      </c>
      <c r="DR25" s="208">
        <f t="shared" si="75"/>
        <v>60</v>
      </c>
      <c r="DS25" s="208">
        <f t="shared" si="76"/>
        <v>0</v>
      </c>
      <c r="DT25" s="208">
        <f t="shared" si="77"/>
        <v>0</v>
      </c>
      <c r="DU25" s="208">
        <f t="shared" si="78"/>
        <v>0</v>
      </c>
      <c r="DV25" s="208" t="str">
        <f t="shared" si="79"/>
        <v>60W/ 60W/ 60W</v>
      </c>
      <c r="DW25" s="208">
        <f t="shared" si="80"/>
        <v>60</v>
      </c>
      <c r="DX25" s="208" t="str">
        <f t="shared" si="81"/>
        <v>60/60/60</v>
      </c>
      <c r="DY25" s="208">
        <f t="shared" si="82"/>
        <v>60</v>
      </c>
      <c r="DZ25" s="208">
        <f t="shared" si="83"/>
        <v>60</v>
      </c>
      <c r="EA25" s="208">
        <f t="shared" si="84"/>
        <v>60</v>
      </c>
      <c r="EB25" s="208">
        <f t="shared" si="85"/>
        <v>0</v>
      </c>
      <c r="EC25" s="208">
        <f t="shared" si="86"/>
        <v>0</v>
      </c>
      <c r="ED25" s="208">
        <f t="shared" si="87"/>
        <v>0</v>
      </c>
      <c r="EE25" s="208" t="str">
        <f t="shared" si="88"/>
        <v>60W/ 60W/ 60W</v>
      </c>
      <c r="EF25" s="208">
        <f t="shared" si="89"/>
        <v>60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60</v>
      </c>
      <c r="FR25" s="208" t="str">
        <f t="shared" si="127"/>
        <v>2100</v>
      </c>
      <c r="FS25" s="208" t="str">
        <f t="shared" si="128"/>
        <v>1800</v>
      </c>
      <c r="FT25" s="208" t="str">
        <f t="shared" si="129"/>
      </c>
      <c r="FU25" s="208" t="str">
        <f t="shared" si="130"/>
      </c>
      <c r="FV25" s="208" t="str">
        <f t="shared" si="131"/>
      </c>
      <c r="FW25" s="208" t="str">
        <f t="shared" si="132"/>
      </c>
      <c r="FX25" s="208" t="str">
        <f t="shared" si="133"/>
        <v>43/43/43</v>
      </c>
      <c r="FY25" s="208">
        <f t="shared" si="134"/>
        <v>43</v>
      </c>
      <c r="FZ25" s="208">
        <f t="shared" si="135"/>
        <v>43</v>
      </c>
      <c r="GA25" s="208">
        <f t="shared" si="136"/>
        <v>43</v>
      </c>
      <c r="GB25" s="208">
        <f t="shared" si="137"/>
        <v>0</v>
      </c>
      <c r="GC25" s="208">
        <f t="shared" si="138"/>
        <v>0</v>
      </c>
      <c r="GD25" s="208">
        <f t="shared" si="139"/>
        <v>0</v>
      </c>
      <c r="GE25" s="208" t="str">
        <f t="shared" si="140"/>
        <v>43m/ 43m/ 43m</v>
      </c>
      <c r="GF25" s="208" t="str">
        <f t="shared" si="141"/>
        <v>43/43/43</v>
      </c>
      <c r="GG25" s="208">
        <f t="shared" si="142"/>
        <v>43</v>
      </c>
      <c r="GH25" s="208">
        <f t="shared" si="143"/>
        <v>43</v>
      </c>
      <c r="GI25" s="208">
        <f t="shared" si="144"/>
        <v>43</v>
      </c>
      <c r="GJ25" s="208">
        <f t="shared" si="145"/>
        <v>0</v>
      </c>
      <c r="GK25" s="208">
        <f t="shared" si="146"/>
        <v>0</v>
      </c>
      <c r="GL25" s="208">
        <f t="shared" si="147"/>
        <v>0</v>
      </c>
      <c r="GM25" s="208" t="str">
        <f t="shared" si="148"/>
        <v>43m/ 43m/ 43m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43</v>
      </c>
      <c r="HV25" s="208">
        <f t="shared" si="182"/>
        <v>43</v>
      </c>
      <c r="HW25" s="208">
        <f t="shared" si="183"/>
        <v>0</v>
      </c>
      <c r="HX25" s="208">
        <f t="shared" si="184"/>
        <v>0</v>
      </c>
      <c r="HY25" s="208">
        <f t="shared" si="185"/>
        <v>0</v>
      </c>
      <c r="HZ25" s="208">
        <f t="shared" si="186"/>
        <v>0</v>
      </c>
      <c r="IA25" s="207">
        <f t="shared" si="187"/>
        <v>43</v>
      </c>
      <c r="IB25" s="207">
        <f t="shared" si="188"/>
        <v>38</v>
      </c>
      <c r="IC25" s="343" t="str">
        <f t="shared" si="189"/>
        <v>A</v>
      </c>
      <c r="ID25" s="343" t="str">
        <f t="shared" si="190"/>
        <v>04005</v>
      </c>
      <c r="IE25" s="343" t="str">
        <f t="shared" si="191"/>
        <v>181019</v>
      </c>
      <c r="IF25" s="343" t="str">
        <f t="shared" si="192"/>
        <v>TG05</v>
      </c>
      <c r="IG25" s="383">
        <f t="shared" si="193"/>
        <v>43756</v>
      </c>
      <c r="IH25" s="383">
        <f t="shared" si="194"/>
        <v>45583</v>
      </c>
      <c r="II25" s="208">
        <v>37</v>
      </c>
    </row>
    <row r="26" ht="165.75">
      <c r="A26" s="207">
        <f>Input!A26</f>
        <v>24</v>
      </c>
      <c r="B26" s="343" t="str">
        <f> Profile!$A$3</f>
        <v>VINAPHONE</v>
      </c>
      <c r="C26" s="343" t="str">
        <f> Profile!$L$3</f>
        <v>VINAPHONE</v>
      </c>
      <c r="D26" s="207" t="str">
        <f>Input!B26</f>
        <v>KDT-NAM-AN-KHANH-CX100-HDC_HNI</v>
      </c>
      <c r="E26" s="317" t="str">
        <f>Input!C26</f>
        <v>Khu cây xanh CX19, đô thị Nam An Khánh, xã An Khánh, huyện Hoài Đức, thành phố Hà Nội</v>
      </c>
      <c r="F26" s="207" t="str">
        <f>Input!D26</f>
        <v>Hà Nội</v>
      </c>
      <c r="G26" s="207">
        <f>Input!E26</f>
        <v>105.713595</v>
      </c>
      <c r="H26" s="207">
        <f>Input!F26</f>
        <v>20.997391</v>
      </c>
      <c r="I26" s="207">
        <f>Input!G26</f>
        <v>1</v>
      </c>
      <c r="J26" s="207">
        <f>Input!H26</f>
        <v>2</v>
      </c>
      <c r="K26" s="207" t="str">
        <f t="shared" si="0"/>
        <v>TỔNG CÔNG TY HẠ TẦNG MẠNG;TỔNG CÔNG TY HẠ TẦNG MẠNG</v>
      </c>
      <c r="L26" s="207" t="str">
        <f>Input!J26</f>
        <v>KDT-NAM-AN-KHANH-CX100-HDC_HNI;KDT-NAM-AN-KHANH-CX100-HDC_HNI</v>
      </c>
      <c r="M26" s="207" t="str">
        <f>Input!K26</f>
        <v>NOKIA FLEXI MULTIRADIO BTS RADIO MODULE AND REMOTE RADIO (FRGY);NOKIA FLEXI MULTIRADIO BTS RADIO MODULE AND REMOTE RADIO (FHEL)</v>
      </c>
      <c r="N26" s="207" t="str">
        <f>Input!L26</f>
        <v>3;3</v>
      </c>
      <c r="O26" s="207" t="str">
        <f>Input!M26</f>
        <v>2/2/2;1/1/1</v>
      </c>
      <c r="P26" s="207" t="str">
        <f>Input!N26</f>
        <v>60/60/60;60/60/60</v>
      </c>
      <c r="Q26" s="207" t="str">
        <f>Input!O26</f>
        <v>2100;1800</v>
      </c>
      <c r="R26" s="207" t="str">
        <f>Input!P26</f>
        <v>28/28/28;28/28/28</v>
      </c>
      <c r="S26" s="364" t="b">
        <f>Input!Q26</f>
        <v>1</v>
      </c>
      <c r="T26" s="207" t="str">
        <f>Input!R26</f>
        <v>A04006181019TG05</v>
      </c>
      <c r="U26" s="207">
        <f>Input!S26</f>
        <v>0</v>
      </c>
      <c r="V26" s="207" t="str">
        <f>Input!T26</f>
        <v>VCC1</v>
      </c>
      <c r="W26" s="207" t="str">
        <f>Input!U26</f>
        <v>1902954/19/TG/TT1</v>
      </c>
      <c r="X26" s="209" t="str">
        <f>TEXT(Input!V26,"dd/mm/yyyy")</f>
        <v>18/10/2019</v>
      </c>
      <c r="Y26" s="207" t="b">
        <f>Input!W26</f>
        <v>1</v>
      </c>
      <c r="Z26" s="364" t="b">
        <f>Input!X26</f>
        <v>0</v>
      </c>
      <c r="AA26" s="207">
        <f t="shared" si="1"/>
        <v>28</v>
      </c>
      <c r="AB26" s="364" t="b">
        <f>Input!Y26</f>
        <v>0</v>
      </c>
      <c r="AC26" s="207">
        <f>VALUE(Input!Z26)</f>
        <v>0</v>
      </c>
      <c r="AD26" s="207" t="b">
        <f>Input!AA26</f>
        <v>0</v>
      </c>
      <c r="AE26" s="207" t="str">
        <f>Input!AB26</f>
        <v>Vũ Văn Giáp</v>
      </c>
      <c r="AF26" s="207" t="str">
        <f>Input!AC26</f>
        <v>Lê Tiến Cường</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Tổng Công ty Hạ tầng mạng</v>
      </c>
      <c r="AN26" s="208" t="str">
        <f>INDEX(OperatorNameList,MATCH(C26,OperatorIDList,0))</f>
        <v>TỔNG CÔNG TY HẠ TẦNG MẠNG</v>
      </c>
      <c r="AO26" s="207">
        <f t="shared" si="2"/>
        <v>4</v>
      </c>
      <c r="AP26" s="287" t="str">
        <f t="shared" si="3"/>
        <v>thành phố Hà Nội</v>
      </c>
      <c r="AQ26" s="448" t="str">
        <f t="shared" si="4"/>
        <v>huyện Hoài Đức</v>
      </c>
      <c r="AR26" s="448" t="str">
        <f t="shared" si="5"/>
        <v>xã An Khánh</v>
      </c>
      <c r="AS26" s="449" t="str">
        <f>INDEX(CityIDList,MATCH(F26,CityNameList,0))</f>
        <v>HNI</v>
      </c>
      <c r="AT26" s="208" t="str">
        <f>IF(J26&gt;=1,INDEX(OperatorNameList,MATCH(AZ26,OperatorIDList,0)),"")</f>
        <v>TỔNG CÔNG TY HẠ TẦNG MẠNG</v>
      </c>
      <c r="AU26" s="208" t="str">
        <f>IF(J26&gt;=2,INDEX(OperatorNameList,MATCH(BA26,OperatorIDList,0)),"")</f>
        <v>TỔNG CÔNG TY HẠ TẦNG MẠNG</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VINAPHONE</v>
      </c>
      <c r="BA26" s="208" t="str">
        <f t="shared" si="7"/>
        <v>VINAPHONE</v>
      </c>
      <c r="BB26" s="208" t="str">
        <f t="shared" si="8"/>
      </c>
      <c r="BC26" s="208" t="str">
        <f t="shared" si="9"/>
      </c>
      <c r="BD26" s="208" t="str">
        <f t="shared" si="10"/>
      </c>
      <c r="BE26" s="208" t="str">
        <f t="shared" si="11"/>
      </c>
      <c r="BF26" s="208" t="str">
        <f>Input!I26</f>
        <v>VINAPHONE;VINAPHONE</v>
      </c>
      <c r="BG26" s="208" t="str">
        <f t="shared" si="12"/>
        <v>KDT-NAM-AN-KHANH-CX100-HDC_HNI</v>
      </c>
      <c r="BH26" s="208" t="str">
        <f t="shared" si="13"/>
        <v>KDT-NAM-AN-KHANH-CX100-HDC_HNI</v>
      </c>
      <c r="BI26" s="208" t="str">
        <f t="shared" si="14"/>
      </c>
      <c r="BJ26" s="208" t="str">
        <f t="shared" si="15"/>
      </c>
      <c r="BK26" s="208" t="str">
        <f t="shared" si="16"/>
      </c>
      <c r="BL26" s="208" t="str">
        <f t="shared" si="17"/>
      </c>
      <c r="BM26" s="208" t="str">
        <f t="shared" si="18"/>
        <v>NOKIA FLEXI MULTIRADIO BTS RADIO MODULE AND REMOTE RADIO (FRGY)</v>
      </c>
      <c r="BN26" s="208" t="str">
        <f t="shared" si="19"/>
        <v>NOKIA FLEXI MULTIRADIO BTS RADIO MODULE AND REMOTE RADIO (FHEL)</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2/2/2</v>
      </c>
      <c r="BZ26" s="208">
        <f t="shared" si="31"/>
        <v>2</v>
      </c>
      <c r="CA26" s="208">
        <f t="shared" si="32"/>
        <v>2</v>
      </c>
      <c r="CB26" s="208">
        <f t="shared" si="33"/>
        <v>2</v>
      </c>
      <c r="CC26" s="208">
        <f t="shared" si="34"/>
        <v>0</v>
      </c>
      <c r="CD26" s="208">
        <f t="shared" si="35"/>
        <v>0</v>
      </c>
      <c r="CE26" s="208">
        <f t="shared" si="36"/>
        <v>0</v>
      </c>
      <c r="CF26" s="208" t="str">
        <f t="shared" si="37"/>
        <v>1/1/1</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60/60/60</v>
      </c>
      <c r="DP26" s="208">
        <f t="shared" si="73"/>
        <v>60</v>
      </c>
      <c r="DQ26" s="208">
        <f t="shared" si="74"/>
        <v>60</v>
      </c>
      <c r="DR26" s="208">
        <f t="shared" si="75"/>
        <v>60</v>
      </c>
      <c r="DS26" s="208">
        <f t="shared" si="76"/>
        <v>0</v>
      </c>
      <c r="DT26" s="208">
        <f t="shared" si="77"/>
        <v>0</v>
      </c>
      <c r="DU26" s="208">
        <f t="shared" si="78"/>
        <v>0</v>
      </c>
      <c r="DV26" s="208" t="str">
        <f t="shared" si="79"/>
        <v>60W/ 60W/ 60W</v>
      </c>
      <c r="DW26" s="208">
        <f t="shared" si="80"/>
        <v>60</v>
      </c>
      <c r="DX26" s="208" t="str">
        <f t="shared" si="81"/>
        <v>60/60/60</v>
      </c>
      <c r="DY26" s="208">
        <f t="shared" si="82"/>
        <v>60</v>
      </c>
      <c r="DZ26" s="208">
        <f t="shared" si="83"/>
        <v>60</v>
      </c>
      <c r="EA26" s="208">
        <f t="shared" si="84"/>
        <v>60</v>
      </c>
      <c r="EB26" s="208">
        <f t="shared" si="85"/>
        <v>0</v>
      </c>
      <c r="EC26" s="208">
        <f t="shared" si="86"/>
        <v>0</v>
      </c>
      <c r="ED26" s="208">
        <f t="shared" si="87"/>
        <v>0</v>
      </c>
      <c r="EE26" s="208" t="str">
        <f t="shared" si="88"/>
        <v>60W/ 60W/ 60W</v>
      </c>
      <c r="EF26" s="208">
        <f t="shared" si="89"/>
        <v>60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60</v>
      </c>
      <c r="FR26" s="208" t="str">
        <f t="shared" si="127"/>
        <v>2100</v>
      </c>
      <c r="FS26" s="208" t="str">
        <f t="shared" si="128"/>
        <v>1800</v>
      </c>
      <c r="FT26" s="208" t="str">
        <f t="shared" si="129"/>
      </c>
      <c r="FU26" s="208" t="str">
        <f t="shared" si="130"/>
      </c>
      <c r="FV26" s="208" t="str">
        <f t="shared" si="131"/>
      </c>
      <c r="FW26" s="208" t="str">
        <f t="shared" si="132"/>
      </c>
      <c r="FX26" s="208" t="str">
        <f t="shared" si="133"/>
        <v>28/28/28</v>
      </c>
      <c r="FY26" s="208">
        <f t="shared" si="134"/>
        <v>28</v>
      </c>
      <c r="FZ26" s="208">
        <f t="shared" si="135"/>
        <v>28</v>
      </c>
      <c r="GA26" s="208">
        <f t="shared" si="136"/>
        <v>28</v>
      </c>
      <c r="GB26" s="208">
        <f t="shared" si="137"/>
        <v>0</v>
      </c>
      <c r="GC26" s="208">
        <f t="shared" si="138"/>
        <v>0</v>
      </c>
      <c r="GD26" s="208">
        <f t="shared" si="139"/>
        <v>0</v>
      </c>
      <c r="GE26" s="208" t="str">
        <f t="shared" si="140"/>
        <v>28m/ 28m/ 28m</v>
      </c>
      <c r="GF26" s="208" t="str">
        <f t="shared" si="141"/>
        <v>28/28/28</v>
      </c>
      <c r="GG26" s="208">
        <f t="shared" si="142"/>
        <v>28</v>
      </c>
      <c r="GH26" s="208">
        <f t="shared" si="143"/>
        <v>28</v>
      </c>
      <c r="GI26" s="208">
        <f t="shared" si="144"/>
        <v>28</v>
      </c>
      <c r="GJ26" s="208">
        <f t="shared" si="145"/>
        <v>0</v>
      </c>
      <c r="GK26" s="208">
        <f t="shared" si="146"/>
        <v>0</v>
      </c>
      <c r="GL26" s="208">
        <f t="shared" si="147"/>
        <v>0</v>
      </c>
      <c r="GM26" s="208" t="str">
        <f t="shared" si="148"/>
        <v>28m/ 28m/ 28m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28</v>
      </c>
      <c r="HV26" s="208">
        <f t="shared" si="182"/>
        <v>28</v>
      </c>
      <c r="HW26" s="208">
        <f t="shared" si="183"/>
        <v>0</v>
      </c>
      <c r="HX26" s="208">
        <f t="shared" si="184"/>
        <v>0</v>
      </c>
      <c r="HY26" s="208">
        <f t="shared" si="185"/>
        <v>0</v>
      </c>
      <c r="HZ26" s="208">
        <f t="shared" si="186"/>
        <v>0</v>
      </c>
      <c r="IA26" s="207">
        <f t="shared" si="187"/>
        <v>28</v>
      </c>
      <c r="IB26" s="207">
        <f t="shared" si="188"/>
        <v>28</v>
      </c>
      <c r="IC26" s="343" t="str">
        <f t="shared" si="189"/>
        <v>A</v>
      </c>
      <c r="ID26" s="343" t="str">
        <f t="shared" si="190"/>
        <v>04006</v>
      </c>
      <c r="IE26" s="343" t="str">
        <f t="shared" si="191"/>
        <v>181019</v>
      </c>
      <c r="IF26" s="343" t="str">
        <f t="shared" si="192"/>
        <v>TG05</v>
      </c>
      <c r="IG26" s="383">
        <f t="shared" si="193"/>
        <v>43756</v>
      </c>
      <c r="IH26" s="383">
        <f t="shared" si="194"/>
        <v>45583</v>
      </c>
      <c r="II26" s="208">
        <v>37</v>
      </c>
    </row>
    <row r="27" ht="242.25">
      <c r="A27" s="207">
        <f>Input!A27</f>
        <v>25</v>
      </c>
      <c r="B27" s="343" t="str">
        <f> Profile!$A$3</f>
        <v>VINAPHONE</v>
      </c>
      <c r="C27" s="343" t="str">
        <f> Profile!$L$3</f>
        <v>VINAPHONE</v>
      </c>
      <c r="D27" s="207" t="str">
        <f>Input!B27</f>
        <v>LICOGI13-DN-B-164-KHUAT-DUY-TIEN-TXN_HNI</v>
      </c>
      <c r="E27" s="317" t="str">
        <f>Input!C27</f>
        <v>Số 164, đường Khuất Duy Tiến, phường Nhân Chính, quận Thanh Xuân, thành phố Hà Nội</v>
      </c>
      <c r="F27" s="207" t="str">
        <f>Input!D27</f>
        <v>Hà Nội</v>
      </c>
      <c r="G27" s="207">
        <f>Input!E27</f>
        <v>105.798988</v>
      </c>
      <c r="H27" s="207">
        <f>Input!F27</f>
        <v>20.999661</v>
      </c>
      <c r="I27" s="207">
        <f>Input!G27</f>
        <v>1</v>
      </c>
      <c r="J27" s="207">
        <f>Input!H27</f>
        <v>3</v>
      </c>
      <c r="K27" s="207" t="str">
        <f t="shared" si="0"/>
        <v>TỔNG CÔNG TY HẠ TẦNG MẠNG;TỔNG CÔNG TY HẠ TẦNG MẠNG;TỔNG CÔNG TY HẠ TẦNG MẠNG</v>
      </c>
      <c r="L27" s="207" t="str">
        <f>Input!J27</f>
        <v>LICOGI13-DN-B-164-KHUAT-DUY-TIEN-TXN_HNI;LICOGI13-DN-B-164-KHUAT-DUY-TIEN-TXN_HNI;LICOGI13-DN-B-164-KHUAT-DUY-TIEN-TXN_HNI</v>
      </c>
      <c r="M27" s="207" t="str">
        <f>Input!K27</f>
        <v>NOKIA FLEXI MULTIRADIO BTS RADIO MODULE AND REMOTE RADIO;NOKIA FLEXI MULTIRADIO BTS RADIO MODULE AND REMOTE RADIO (FRGY);NOKIA FLEXI MULTIRADIO BTS RADIO MODULE AND REMOTE RADIO (FHEL)</v>
      </c>
      <c r="N27" s="207" t="str">
        <f>Input!L27</f>
        <v>3;3;3</v>
      </c>
      <c r="O27" s="207" t="str">
        <f>Input!M27</f>
        <v>2/2/2;2/2/2;1/1/1</v>
      </c>
      <c r="P27" s="207" t="str">
        <f>Input!N27</f>
        <v>80/80/80;60/60/60;60/60/60</v>
      </c>
      <c r="Q27" s="207" t="str">
        <f>Input!O27</f>
        <v>900;2100;1800</v>
      </c>
      <c r="R27" s="207" t="str">
        <f>Input!P27</f>
        <v>51/51/51;51/51/51;51/51/51</v>
      </c>
      <c r="S27" s="364" t="b">
        <f>Input!Q27</f>
        <v>1</v>
      </c>
      <c r="T27" s="207" t="str">
        <f>Input!R27</f>
        <v>A04007181019TG05</v>
      </c>
      <c r="U27" s="207">
        <f>Input!S27</f>
        <v>0</v>
      </c>
      <c r="V27" s="207" t="str">
        <f>Input!T27</f>
        <v>VCC1</v>
      </c>
      <c r="W27" s="207" t="str">
        <f>Input!U27</f>
        <v>1903239/19/TG/TT1</v>
      </c>
      <c r="X27" s="209" t="str">
        <f>TEXT(Input!V27,"dd/mm/yyyy")</f>
        <v>18/10/2019</v>
      </c>
      <c r="Y27" s="207" t="b">
        <f>Input!W27</f>
        <v>0</v>
      </c>
      <c r="Z27" s="364" t="b">
        <f>Input!X27</f>
        <v>0</v>
      </c>
      <c r="AA27" s="207">
        <f t="shared" si="1"/>
        <v>51</v>
      </c>
      <c r="AB27" s="364" t="b">
        <f>Input!Y27</f>
        <v>1</v>
      </c>
      <c r="AC27" s="207">
        <f>VALUE(Input!Z27)</f>
        <v>50</v>
      </c>
      <c r="AD27" s="207" t="b">
        <f>Input!AA27</f>
        <v>0</v>
      </c>
      <c r="AE27" s="207" t="str">
        <f>Input!AB27</f>
        <v>Vũ Văn Giáp</v>
      </c>
      <c r="AF27" s="207" t="str">
        <f>Input!AC27</f>
        <v>Lê Tiến Cường</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Tổng Công ty Hạ tầng mạng</v>
      </c>
      <c r="AN27" s="208" t="str">
        <f>INDEX(OperatorNameList,MATCH(C27,OperatorIDList,0))</f>
        <v>TỔNG CÔNG TY HẠ TẦNG MẠNG</v>
      </c>
      <c r="AO27" s="207">
        <f t="shared" si="2"/>
        <v>4</v>
      </c>
      <c r="AP27" s="287" t="str">
        <f t="shared" si="3"/>
        <v>thành phố Hà Nội</v>
      </c>
      <c r="AQ27" s="448" t="str">
        <f t="shared" si="4"/>
        <v>quận Thanh Xuân</v>
      </c>
      <c r="AR27" s="448" t="str">
        <f t="shared" si="5"/>
        <v>phường Nhân Chính</v>
      </c>
      <c r="AS27" s="449" t="str">
        <f>INDEX(CityIDList,MATCH(F27,CityNameList,0))</f>
        <v>HNI</v>
      </c>
      <c r="AT27" s="208" t="str">
        <f>IF(J27&gt;=1,INDEX(OperatorNameList,MATCH(AZ27,OperatorIDList,0)),"")</f>
        <v>TỔNG CÔNG TY HẠ TẦNG MẠNG</v>
      </c>
      <c r="AU27" s="208" t="str">
        <f>IF(J27&gt;=2,INDEX(OperatorNameList,MATCH(BA27,OperatorIDList,0)),"")</f>
        <v>TỔNG CÔNG TY HẠ TẦNG MẠNG</v>
      </c>
      <c r="AV27" s="208" t="str">
        <f>IF(J27&gt;=3,INDEX(OperatorNameList,MATCH(BB27,OperatorIDList,0)),"")</f>
        <v>TỔNG CÔNG TY HẠ TẦNG MẠNG</v>
      </c>
      <c r="AW27" s="208" t="str">
        <f>IF(J27&gt;=4,INDEX(OperatorNameList,MATCH(BC27,OperatorIDList,0)),"")</f>
      </c>
      <c r="AX27" s="208" t="str">
        <f>IF(J27&gt;=5,INDEX(OperatorNameList,MATCH(BD27,OperatorIDList,0)),"")</f>
      </c>
      <c r="AY27" s="208" t="str">
        <f>IF(J27&gt;=6,INDEX(OperatorNameList,MATCH(BE27,OperatorIDList,0)),"")</f>
      </c>
      <c r="AZ27" s="208" t="str">
        <f t="shared" si="6"/>
        <v>VINAPHONE</v>
      </c>
      <c r="BA27" s="208" t="str">
        <f t="shared" si="7"/>
        <v>VINAPHONE</v>
      </c>
      <c r="BB27" s="208" t="str">
        <f t="shared" si="8"/>
        <v>VINAPHONE</v>
      </c>
      <c r="BC27" s="208" t="str">
        <f t="shared" si="9"/>
      </c>
      <c r="BD27" s="208" t="str">
        <f t="shared" si="10"/>
      </c>
      <c r="BE27" s="208" t="str">
        <f t="shared" si="11"/>
      </c>
      <c r="BF27" s="208" t="str">
        <f>Input!I27</f>
        <v>VINAPHONE;VINAPHONE;VINAPHONE</v>
      </c>
      <c r="BG27" s="208" t="str">
        <f t="shared" si="12"/>
        <v>LICOGI13-DN-B-164-KHUAT-DUY-TIEN-TXN_HNI</v>
      </c>
      <c r="BH27" s="208" t="str">
        <f t="shared" si="13"/>
        <v>LICOGI13-DN-B-164-KHUAT-DUY-TIEN-TXN_HNI</v>
      </c>
      <c r="BI27" s="208" t="str">
        <f t="shared" si="14"/>
        <v>LICOGI13-DN-B-164-KHUAT-DUY-TIEN-TXN_HNI</v>
      </c>
      <c r="BJ27" s="208" t="str">
        <f t="shared" si="15"/>
      </c>
      <c r="BK27" s="208" t="str">
        <f t="shared" si="16"/>
      </c>
      <c r="BL27" s="208" t="str">
        <f t="shared" si="17"/>
      </c>
      <c r="BM27" s="208" t="str">
        <f t="shared" si="18"/>
        <v>NOKIA FLEXI MULTIRADIO BTS RADIO MODULE AND REMOTE RADIO</v>
      </c>
      <c r="BN27" s="208" t="str">
        <f t="shared" si="19"/>
        <v>NOKIA FLEXI MULTIRADIO BTS RADIO MODULE AND REMOTE RADIO (FRGY)</v>
      </c>
      <c r="BO27" s="208" t="str">
        <f t="shared" si="20"/>
        <v>NOKIA FLEXI MULTIRADIO BTS RADIO MODULE AND REMOTE RADIO (FHEL)</v>
      </c>
      <c r="BP27" s="208" t="str">
        <f t="shared" si="21"/>
      </c>
      <c r="BQ27" s="208" t="str">
        <f t="shared" si="22"/>
      </c>
      <c r="BR27" s="208" t="str">
        <f t="shared" si="23"/>
      </c>
      <c r="BS27" s="208">
        <f t="shared" si="24"/>
        <v>3</v>
      </c>
      <c r="BT27" s="208">
        <f t="shared" si="25"/>
        <v>3</v>
      </c>
      <c r="BU27" s="208">
        <f t="shared" si="26"/>
        <v>3</v>
      </c>
      <c r="BV27" s="208">
        <f t="shared" si="27"/>
        <v>0</v>
      </c>
      <c r="BW27" s="208">
        <f t="shared" si="28"/>
        <v>0</v>
      </c>
      <c r="BX27" s="208">
        <f t="shared" si="29"/>
        <v>0</v>
      </c>
      <c r="BY27" s="208" t="str">
        <f t="shared" si="30"/>
        <v>2/2/2</v>
      </c>
      <c r="BZ27" s="208">
        <f t="shared" si="31"/>
        <v>2</v>
      </c>
      <c r="CA27" s="208">
        <f t="shared" si="32"/>
        <v>2</v>
      </c>
      <c r="CB27" s="208">
        <f t="shared" si="33"/>
        <v>2</v>
      </c>
      <c r="CC27" s="208">
        <f t="shared" si="34"/>
        <v>0</v>
      </c>
      <c r="CD27" s="208">
        <f t="shared" si="35"/>
        <v>0</v>
      </c>
      <c r="CE27" s="208">
        <f t="shared" si="36"/>
        <v>0</v>
      </c>
      <c r="CF27" s="208" t="str">
        <f t="shared" si="37"/>
        <v>2/2/2</v>
      </c>
      <c r="CG27" s="208">
        <f t="shared" si="38"/>
        <v>2</v>
      </c>
      <c r="CH27" s="208">
        <f t="shared" si="39"/>
        <v>2</v>
      </c>
      <c r="CI27" s="208">
        <f t="shared" si="40"/>
        <v>2</v>
      </c>
      <c r="CJ27" s="208">
        <f t="shared" si="41"/>
        <v>0</v>
      </c>
      <c r="CK27" s="208">
        <f t="shared" si="42"/>
        <v>0</v>
      </c>
      <c r="CL27" s="208">
        <f t="shared" si="43"/>
        <v>0</v>
      </c>
      <c r="CM27" s="208" t="str">
        <f t="shared" si="44"/>
        <v>1/1/1</v>
      </c>
      <c r="CN27" s="208">
        <f t="shared" si="45"/>
        <v>1</v>
      </c>
      <c r="CO27" s="208">
        <f t="shared" si="46"/>
        <v>1</v>
      </c>
      <c r="CP27" s="208">
        <f t="shared" si="47"/>
        <v>1</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60/60/60</v>
      </c>
      <c r="DY27" s="208">
        <f t="shared" si="82"/>
        <v>60</v>
      </c>
      <c r="DZ27" s="208">
        <f t="shared" si="83"/>
        <v>60</v>
      </c>
      <c r="EA27" s="208">
        <f t="shared" si="84"/>
        <v>60</v>
      </c>
      <c r="EB27" s="208">
        <f t="shared" si="85"/>
        <v>0</v>
      </c>
      <c r="EC27" s="208">
        <f t="shared" si="86"/>
        <v>0</v>
      </c>
      <c r="ED27" s="208">
        <f t="shared" si="87"/>
        <v>0</v>
      </c>
      <c r="EE27" s="208" t="str">
        <f t="shared" si="88"/>
        <v>60W/ 60W/ 60W</v>
      </c>
      <c r="EF27" s="208">
        <f t="shared" si="89"/>
        <v>60</v>
      </c>
      <c r="EG27" s="208" t="str">
        <f t="shared" si="90"/>
        <v>60/60/60</v>
      </c>
      <c r="EH27" s="208">
        <f t="shared" si="91"/>
        <v>60</v>
      </c>
      <c r="EI27" s="208">
        <f t="shared" si="92"/>
        <v>60</v>
      </c>
      <c r="EJ27" s="208">
        <f t="shared" si="93"/>
        <v>60</v>
      </c>
      <c r="EK27" s="208">
        <f t="shared" si="94"/>
        <v>0</v>
      </c>
      <c r="EL27" s="208">
        <f t="shared" si="95"/>
        <v>0</v>
      </c>
      <c r="EM27" s="208">
        <f t="shared" si="96"/>
        <v>0</v>
      </c>
      <c r="EN27" s="208" t="str">
        <f t="shared" si="97"/>
        <v>60W/ 60W/ 60W</v>
      </c>
      <c r="EO27" s="208">
        <f t="shared" si="98"/>
        <v>60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900</v>
      </c>
      <c r="FS27" s="208" t="str">
        <f t="shared" si="128"/>
        <v>2100</v>
      </c>
      <c r="FT27" s="208" t="str">
        <f t="shared" si="129"/>
        <v>1800</v>
      </c>
      <c r="FU27" s="208" t="str">
        <f t="shared" si="130"/>
      </c>
      <c r="FV27" s="208" t="str">
        <f t="shared" si="131"/>
      </c>
      <c r="FW27" s="208" t="str">
        <f t="shared" si="132"/>
      </c>
      <c r="FX27" s="208" t="str">
        <f t="shared" si="133"/>
        <v>51/51/51</v>
      </c>
      <c r="FY27" s="208">
        <f t="shared" si="134"/>
        <v>51</v>
      </c>
      <c r="FZ27" s="208">
        <f t="shared" si="135"/>
        <v>51</v>
      </c>
      <c r="GA27" s="208">
        <f t="shared" si="136"/>
        <v>51</v>
      </c>
      <c r="GB27" s="208">
        <f t="shared" si="137"/>
        <v>0</v>
      </c>
      <c r="GC27" s="208">
        <f t="shared" si="138"/>
        <v>0</v>
      </c>
      <c r="GD27" s="208">
        <f t="shared" si="139"/>
        <v>0</v>
      </c>
      <c r="GE27" s="208" t="str">
        <f t="shared" si="140"/>
        <v>51m/ 51m/ 51m</v>
      </c>
      <c r="GF27" s="208" t="str">
        <f t="shared" si="141"/>
        <v>51/51/51</v>
      </c>
      <c r="GG27" s="208">
        <f t="shared" si="142"/>
        <v>51</v>
      </c>
      <c r="GH27" s="208">
        <f t="shared" si="143"/>
        <v>51</v>
      </c>
      <c r="GI27" s="208">
        <f t="shared" si="144"/>
        <v>51</v>
      </c>
      <c r="GJ27" s="208">
        <f t="shared" si="145"/>
        <v>0</v>
      </c>
      <c r="GK27" s="208">
        <f t="shared" si="146"/>
        <v>0</v>
      </c>
      <c r="GL27" s="208">
        <f t="shared" si="147"/>
        <v>0</v>
      </c>
      <c r="GM27" s="208" t="str">
        <f t="shared" si="148"/>
        <v>51m/ 51m/ 51m</v>
      </c>
      <c r="GN27" s="208" t="str">
        <f t="shared" si="149"/>
        <v>51/51/51</v>
      </c>
      <c r="GO27" s="208">
        <f t="shared" si="150"/>
        <v>51</v>
      </c>
      <c r="GP27" s="208">
        <f t="shared" si="151"/>
        <v>51</v>
      </c>
      <c r="GQ27" s="208">
        <f t="shared" si="152"/>
        <v>51</v>
      </c>
      <c r="GR27" s="208">
        <f t="shared" si="153"/>
        <v>0</v>
      </c>
      <c r="GS27" s="208">
        <f t="shared" si="154"/>
        <v>0</v>
      </c>
      <c r="GT27" s="208">
        <f t="shared" si="155"/>
        <v>0</v>
      </c>
      <c r="GU27" s="208" t="str">
        <f t="shared" si="156"/>
        <v>51m/ 51m/ 51m</v>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51</v>
      </c>
      <c r="HV27" s="208">
        <f t="shared" si="182"/>
        <v>51</v>
      </c>
      <c r="HW27" s="208">
        <f t="shared" si="183"/>
        <v>51</v>
      </c>
      <c r="HX27" s="208">
        <f t="shared" si="184"/>
        <v>0</v>
      </c>
      <c r="HY27" s="208">
        <f t="shared" si="185"/>
        <v>0</v>
      </c>
      <c r="HZ27" s="208">
        <f t="shared" si="186"/>
        <v>0</v>
      </c>
      <c r="IA27" s="207">
        <f t="shared" si="187"/>
        <v>51</v>
      </c>
      <c r="IB27" s="207">
        <f t="shared" si="188"/>
        <v>1</v>
      </c>
      <c r="IC27" s="343" t="str">
        <f t="shared" si="189"/>
        <v>A</v>
      </c>
      <c r="ID27" s="343" t="str">
        <f t="shared" si="190"/>
        <v>04007</v>
      </c>
      <c r="IE27" s="343" t="str">
        <f t="shared" si="191"/>
        <v>181019</v>
      </c>
      <c r="IF27" s="343" t="str">
        <f t="shared" si="192"/>
        <v>TG05</v>
      </c>
      <c r="IG27" s="383">
        <f t="shared" si="193"/>
        <v>43756</v>
      </c>
      <c r="IH27" s="383">
        <f t="shared" si="194"/>
        <v>45583</v>
      </c>
      <c r="II27" s="208">
        <v>37</v>
      </c>
    </row>
    <row r="28" ht="165.75">
      <c r="A28" s="207">
        <f>Input!A28</f>
        <v>26</v>
      </c>
      <c r="B28" s="343" t="str">
        <f> Profile!$A$3</f>
        <v>VINAPHONE</v>
      </c>
      <c r="C28" s="343" t="str">
        <f> Profile!$L$3</f>
        <v>VINAPHONE</v>
      </c>
      <c r="D28" s="207" t="str">
        <f>Input!B28</f>
        <v>KHUONG-DINH-65-12-TXN_HNI</v>
      </c>
      <c r="E28" s="317" t="str">
        <f>Input!C28</f>
        <v>Số 12, ngõ 65, đường Khương Đình, phường Thượng Đình, quận Thanh Xuân, thành phố Hà Nội</v>
      </c>
      <c r="F28" s="207" t="str">
        <f>Input!D28</f>
        <v>Hà Nội</v>
      </c>
      <c r="G28" s="207">
        <f>Input!E28</f>
        <v>105.813943</v>
      </c>
      <c r="H28" s="207">
        <f>Input!F28</f>
        <v>20.996429</v>
      </c>
      <c r="I28" s="207">
        <f>Input!G28</f>
        <v>1</v>
      </c>
      <c r="J28" s="207">
        <f>Input!H28</f>
        <v>2</v>
      </c>
      <c r="K28" s="207" t="str">
        <f t="shared" si="0"/>
        <v>TỔNG CÔNG TY HẠ TẦNG MẠNG;TỔNG CÔNG TY HẠ TẦNG MẠNG</v>
      </c>
      <c r="L28" s="207" t="str">
        <f>Input!J28</f>
        <v>KHUONG-DINH-65-12-TXN_HNI;KHUONG-DINH-65-12-TXN_HNI</v>
      </c>
      <c r="M28" s="207" t="str">
        <f>Input!K28</f>
        <v>NOKIA FLEXI MULTIRADIO BTS RADIO MODULE AND REMOTE RADIO (FRGY);NOKIA FLEXI MULTIRADIO BTS RADIO MODULE AND REMOTE RADIO (FHEL)</v>
      </c>
      <c r="N28" s="207" t="str">
        <f>Input!L28</f>
        <v>3;3</v>
      </c>
      <c r="O28" s="207" t="str">
        <f>Input!M28</f>
        <v>2/2/2;1/1/1</v>
      </c>
      <c r="P28" s="207" t="str">
        <f>Input!N28</f>
        <v>60/60/60;60/60/60</v>
      </c>
      <c r="Q28" s="207" t="str">
        <f>Input!O28</f>
        <v>2100;1800</v>
      </c>
      <c r="R28" s="207" t="str">
        <f>Input!P28</f>
        <v>22/22/22;22/22/22</v>
      </c>
      <c r="S28" s="364" t="b">
        <f>Input!Q28</f>
        <v>1</v>
      </c>
      <c r="T28" s="207" t="str">
        <f>Input!R28</f>
        <v>A04008181019TG05</v>
      </c>
      <c r="U28" s="207">
        <f>Input!S28</f>
        <v>0</v>
      </c>
      <c r="V28" s="207" t="str">
        <f>Input!T28</f>
        <v>VCC1</v>
      </c>
      <c r="W28" s="207" t="str">
        <f>Input!U28</f>
        <v>1903237/19/TG/TT1</v>
      </c>
      <c r="X28" s="209" t="str">
        <f>TEXT(Input!V28,"dd/mm/yyyy")</f>
        <v>18/10/2019</v>
      </c>
      <c r="Y28" s="207" t="b">
        <f>Input!W28</f>
        <v>0</v>
      </c>
      <c r="Z28" s="364" t="b">
        <f>Input!X28</f>
        <v>0</v>
      </c>
      <c r="AA28" s="207">
        <f t="shared" si="1"/>
        <v>22</v>
      </c>
      <c r="AB28" s="364" t="b">
        <f>Input!Y28</f>
        <v>1</v>
      </c>
      <c r="AC28" s="207">
        <f>VALUE(Input!Z28)</f>
        <v>20</v>
      </c>
      <c r="AD28" s="207" t="b">
        <f>Input!AA28</f>
        <v>0</v>
      </c>
      <c r="AE28" s="207" t="str">
        <f>Input!AB28</f>
        <v>Vũ Văn Giáp</v>
      </c>
      <c r="AF28" s="207" t="str">
        <f>Input!AC28</f>
        <v>Lê Tiến Cường</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Tổng Công ty Hạ tầng mạng</v>
      </c>
      <c r="AN28" s="208" t="str">
        <f>INDEX(OperatorNameList,MATCH(C28,OperatorIDList,0))</f>
        <v>TỔNG CÔNG TY HẠ TẦNG MẠNG</v>
      </c>
      <c r="AO28" s="207">
        <f t="shared" si="2"/>
        <v>5</v>
      </c>
      <c r="AP28" s="287" t="str">
        <f t="shared" si="3"/>
        <v>thành phố Hà Nội</v>
      </c>
      <c r="AQ28" s="448" t="str">
        <f t="shared" si="4"/>
        <v>quận Thanh Xuân</v>
      </c>
      <c r="AR28" s="448" t="str">
        <f t="shared" si="5"/>
        <v>phường Thượng Đình</v>
      </c>
      <c r="AS28" s="449" t="str">
        <f>INDEX(CityIDList,MATCH(F28,CityNameList,0))</f>
        <v>HNI</v>
      </c>
      <c r="AT28" s="208" t="str">
        <f>IF(J28&gt;=1,INDEX(OperatorNameList,MATCH(AZ28,OperatorIDList,0)),"")</f>
        <v>TỔNG CÔNG TY HẠ TẦNG MẠNG</v>
      </c>
      <c r="AU28" s="208" t="str">
        <f>IF(J28&gt;=2,INDEX(OperatorNameList,MATCH(BA28,OperatorIDList,0)),"")</f>
        <v>TỔNG CÔNG TY HẠ TẦNG MẠNG</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VINAPHONE</v>
      </c>
      <c r="BA28" s="208" t="str">
        <f t="shared" si="7"/>
        <v>VINAPHONE</v>
      </c>
      <c r="BB28" s="208" t="str">
        <f t="shared" si="8"/>
      </c>
      <c r="BC28" s="208" t="str">
        <f t="shared" si="9"/>
      </c>
      <c r="BD28" s="208" t="str">
        <f t="shared" si="10"/>
      </c>
      <c r="BE28" s="208" t="str">
        <f t="shared" si="11"/>
      </c>
      <c r="BF28" s="208" t="str">
        <f>Input!I28</f>
        <v>VINAPHONE;VINAPHONE</v>
      </c>
      <c r="BG28" s="208" t="str">
        <f t="shared" si="12"/>
        <v>KHUONG-DINH-65-12-TXN_HNI</v>
      </c>
      <c r="BH28" s="208" t="str">
        <f t="shared" si="13"/>
        <v>KHUONG-DINH-65-12-TXN_HNI</v>
      </c>
      <c r="BI28" s="208" t="str">
        <f t="shared" si="14"/>
      </c>
      <c r="BJ28" s="208" t="str">
        <f t="shared" si="15"/>
      </c>
      <c r="BK28" s="208" t="str">
        <f t="shared" si="16"/>
      </c>
      <c r="BL28" s="208" t="str">
        <f t="shared" si="17"/>
      </c>
      <c r="BM28" s="208" t="str">
        <f t="shared" si="18"/>
        <v>NOKIA FLEXI MULTIRADIO BTS RADIO MODULE AND REMOTE RADIO (FRGY)</v>
      </c>
      <c r="BN28" s="208" t="str">
        <f t="shared" si="19"/>
        <v>NOKIA FLEXI MULTIRADIO BTS RADIO MODULE AND REMOTE RADIO (FHEL)</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2/2/2</v>
      </c>
      <c r="BZ28" s="208">
        <f t="shared" si="31"/>
        <v>2</v>
      </c>
      <c r="CA28" s="208">
        <f t="shared" si="32"/>
        <v>2</v>
      </c>
      <c r="CB28" s="208">
        <f t="shared" si="33"/>
        <v>2</v>
      </c>
      <c r="CC28" s="208">
        <f t="shared" si="34"/>
        <v>0</v>
      </c>
      <c r="CD28" s="208">
        <f t="shared" si="35"/>
        <v>0</v>
      </c>
      <c r="CE28" s="208">
        <f t="shared" si="36"/>
        <v>0</v>
      </c>
      <c r="CF28" s="208" t="str">
        <f t="shared" si="37"/>
        <v>1/1/1</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60/60/60</v>
      </c>
      <c r="DP28" s="208">
        <f t="shared" si="73"/>
        <v>60</v>
      </c>
      <c r="DQ28" s="208">
        <f t="shared" si="74"/>
        <v>60</v>
      </c>
      <c r="DR28" s="208">
        <f t="shared" si="75"/>
        <v>60</v>
      </c>
      <c r="DS28" s="208">
        <f t="shared" si="76"/>
        <v>0</v>
      </c>
      <c r="DT28" s="208">
        <f t="shared" si="77"/>
        <v>0</v>
      </c>
      <c r="DU28" s="208">
        <f t="shared" si="78"/>
        <v>0</v>
      </c>
      <c r="DV28" s="208" t="str">
        <f t="shared" si="79"/>
        <v>60W/ 60W/ 60W</v>
      </c>
      <c r="DW28" s="208">
        <f t="shared" si="80"/>
        <v>60</v>
      </c>
      <c r="DX28" s="208" t="str">
        <f t="shared" si="81"/>
        <v>60/60/60</v>
      </c>
      <c r="DY28" s="208">
        <f t="shared" si="82"/>
        <v>60</v>
      </c>
      <c r="DZ28" s="208">
        <f t="shared" si="83"/>
        <v>60</v>
      </c>
      <c r="EA28" s="208">
        <f t="shared" si="84"/>
        <v>60</v>
      </c>
      <c r="EB28" s="208">
        <f t="shared" si="85"/>
        <v>0</v>
      </c>
      <c r="EC28" s="208">
        <f t="shared" si="86"/>
        <v>0</v>
      </c>
      <c r="ED28" s="208">
        <f t="shared" si="87"/>
        <v>0</v>
      </c>
      <c r="EE28" s="208" t="str">
        <f t="shared" si="88"/>
        <v>60W/ 60W/ 60W</v>
      </c>
      <c r="EF28" s="208">
        <f t="shared" si="89"/>
        <v>60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60</v>
      </c>
      <c r="FR28" s="208" t="str">
        <f t="shared" si="127"/>
        <v>2100</v>
      </c>
      <c r="FS28" s="208" t="str">
        <f t="shared" si="128"/>
        <v>1800</v>
      </c>
      <c r="FT28" s="208" t="str">
        <f t="shared" si="129"/>
      </c>
      <c r="FU28" s="208" t="str">
        <f t="shared" si="130"/>
      </c>
      <c r="FV28" s="208" t="str">
        <f t="shared" si="131"/>
      </c>
      <c r="FW28" s="208" t="str">
        <f t="shared" si="132"/>
      </c>
      <c r="FX28" s="208" t="str">
        <f t="shared" si="133"/>
        <v>22/22/22</v>
      </c>
      <c r="FY28" s="208">
        <f t="shared" si="134"/>
        <v>22</v>
      </c>
      <c r="FZ28" s="208">
        <f t="shared" si="135"/>
        <v>22</v>
      </c>
      <c r="GA28" s="208">
        <f t="shared" si="136"/>
        <v>22</v>
      </c>
      <c r="GB28" s="208">
        <f t="shared" si="137"/>
        <v>0</v>
      </c>
      <c r="GC28" s="208">
        <f t="shared" si="138"/>
        <v>0</v>
      </c>
      <c r="GD28" s="208">
        <f t="shared" si="139"/>
        <v>0</v>
      </c>
      <c r="GE28" s="208" t="str">
        <f t="shared" si="140"/>
        <v>22m/ 22m/ 22m</v>
      </c>
      <c r="GF28" s="208" t="str">
        <f t="shared" si="141"/>
        <v>22/22/22</v>
      </c>
      <c r="GG28" s="208">
        <f t="shared" si="142"/>
        <v>22</v>
      </c>
      <c r="GH28" s="208">
        <f t="shared" si="143"/>
        <v>22</v>
      </c>
      <c r="GI28" s="208">
        <f t="shared" si="144"/>
        <v>22</v>
      </c>
      <c r="GJ28" s="208">
        <f t="shared" si="145"/>
        <v>0</v>
      </c>
      <c r="GK28" s="208">
        <f t="shared" si="146"/>
        <v>0</v>
      </c>
      <c r="GL28" s="208">
        <f t="shared" si="147"/>
        <v>0</v>
      </c>
      <c r="GM28" s="208" t="str">
        <f t="shared" si="148"/>
        <v>22m/ 22m/ 22m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22</v>
      </c>
      <c r="HV28" s="208">
        <f t="shared" si="182"/>
        <v>22</v>
      </c>
      <c r="HW28" s="208">
        <f t="shared" si="183"/>
        <v>0</v>
      </c>
      <c r="HX28" s="208">
        <f t="shared" si="184"/>
        <v>0</v>
      </c>
      <c r="HY28" s="208">
        <f t="shared" si="185"/>
        <v>0</v>
      </c>
      <c r="HZ28" s="208">
        <f t="shared" si="186"/>
        <v>0</v>
      </c>
      <c r="IA28" s="207">
        <f t="shared" si="187"/>
        <v>22</v>
      </c>
      <c r="IB28" s="207">
        <f t="shared" si="188"/>
        <v>2</v>
      </c>
      <c r="IC28" s="343" t="str">
        <f t="shared" si="189"/>
        <v>A</v>
      </c>
      <c r="ID28" s="343" t="str">
        <f t="shared" si="190"/>
        <v>04008</v>
      </c>
      <c r="IE28" s="343" t="str">
        <f t="shared" si="191"/>
        <v>181019</v>
      </c>
      <c r="IF28" s="343" t="str">
        <f t="shared" si="192"/>
        <v>TG05</v>
      </c>
      <c r="IG28" s="383">
        <f t="shared" si="193"/>
        <v>43756</v>
      </c>
      <c r="IH28" s="383">
        <f t="shared" si="194"/>
        <v>45583</v>
      </c>
      <c r="II28" s="208">
        <v>37</v>
      </c>
    </row>
    <row r="29" ht="165.75">
      <c r="A29" s="207">
        <f>Input!A29</f>
        <v>27</v>
      </c>
      <c r="B29" s="343" t="str">
        <f> Profile!$A$3</f>
        <v>VINAPHONE</v>
      </c>
      <c r="C29" s="343" t="str">
        <f> Profile!$L$3</f>
        <v>VINAPHONE</v>
      </c>
      <c r="D29" s="207" t="str">
        <f>Input!B29</f>
        <v>LE-TRONG-TAN-198-24-TXN_HNI</v>
      </c>
      <c r="E29" s="317" t="str">
        <f>Input!C29</f>
        <v>Số 24, ngõ 198, phố Lê Trọng Tấn, phường Khương Mai, quận Thanh Xuân, thành phố Hà Nội</v>
      </c>
      <c r="F29" s="207" t="str">
        <f>Input!D29</f>
        <v>Hà Nội</v>
      </c>
      <c r="G29" s="207">
        <f>Input!E29</f>
        <v>105.830771</v>
      </c>
      <c r="H29" s="207">
        <f>Input!F29</f>
        <v>20.993583</v>
      </c>
      <c r="I29" s="207">
        <f>Input!G29</f>
        <v>1</v>
      </c>
      <c r="J29" s="207">
        <f>Input!H29</f>
        <v>2</v>
      </c>
      <c r="K29" s="207" t="str">
        <f t="shared" si="0"/>
        <v>TỔNG CÔNG TY HẠ TẦNG MẠNG;TỔNG CÔNG TY HẠ TẦNG MẠNG</v>
      </c>
      <c r="L29" s="207" t="str">
        <f>Input!J29</f>
        <v>LE-TRONG-TAN-198-24-TXN_HNI;LE-TRONG-TAN-198-24-TXN_HNI</v>
      </c>
      <c r="M29" s="207" t="str">
        <f>Input!K29</f>
        <v>NOKIA FLEXI MULTIRADIO BTS RADIO MODULE AND REMOTE RADIO (FRGY);NOKIA FLEXI MULTIRADIO BTS RADIO MODULE AND REMOTE RADIO (FHEL)</v>
      </c>
      <c r="N29" s="207" t="str">
        <f>Input!L29</f>
        <v>3;3</v>
      </c>
      <c r="O29" s="207" t="str">
        <f>Input!M29</f>
        <v>2/2/2;1/1/1</v>
      </c>
      <c r="P29" s="207" t="str">
        <f>Input!N29</f>
        <v>60/60/60;60/60/60</v>
      </c>
      <c r="Q29" s="207" t="str">
        <f>Input!O29</f>
        <v>2100;1800</v>
      </c>
      <c r="R29" s="207" t="str">
        <f>Input!P29</f>
        <v>19/19/19;19/19/19</v>
      </c>
      <c r="S29" s="364" t="b">
        <f>Input!Q29</f>
        <v>1</v>
      </c>
      <c r="T29" s="207" t="str">
        <f>Input!R29</f>
        <v>A04009181019TG05</v>
      </c>
      <c r="U29" s="207">
        <f>Input!S29</f>
        <v>0</v>
      </c>
      <c r="V29" s="207" t="str">
        <f>Input!T29</f>
        <v>VCC1</v>
      </c>
      <c r="W29" s="207" t="str">
        <f>Input!U29</f>
        <v>1903238/19/TG/TT1</v>
      </c>
      <c r="X29" s="209" t="str">
        <f>TEXT(Input!V29,"dd/mm/yyyy")</f>
        <v>18/10/2019</v>
      </c>
      <c r="Y29" s="207" t="b">
        <f>Input!W29</f>
        <v>0</v>
      </c>
      <c r="Z29" s="364" t="b">
        <f>Input!X29</f>
        <v>0</v>
      </c>
      <c r="AA29" s="207">
        <f t="shared" si="1"/>
        <v>19</v>
      </c>
      <c r="AB29" s="364" t="b">
        <f>Input!Y29</f>
        <v>1</v>
      </c>
      <c r="AC29" s="207">
        <f>VALUE(Input!Z29)</f>
        <v>16</v>
      </c>
      <c r="AD29" s="207" t="b">
        <f>Input!AA29</f>
        <v>0</v>
      </c>
      <c r="AE29" s="207" t="str">
        <f>Input!AB29</f>
        <v>Vũ Văn Giáp</v>
      </c>
      <c r="AF29" s="207" t="str">
        <f>Input!AC29</f>
        <v>Lê Tiến Cường</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Tổng Công ty Hạ tầng mạng</v>
      </c>
      <c r="AN29" s="208" t="str">
        <f>INDEX(OperatorNameList,MATCH(C29,OperatorIDList,0))</f>
        <v>TỔNG CÔNG TY HẠ TẦNG MẠNG</v>
      </c>
      <c r="AO29" s="207">
        <f t="shared" si="2"/>
        <v>5</v>
      </c>
      <c r="AP29" s="287" t="str">
        <f t="shared" si="3"/>
        <v>thành phố Hà Nội</v>
      </c>
      <c r="AQ29" s="448" t="str">
        <f t="shared" si="4"/>
        <v>quận Thanh Xuân</v>
      </c>
      <c r="AR29" s="448" t="str">
        <f t="shared" si="5"/>
        <v>phường Khương Mai</v>
      </c>
      <c r="AS29" s="449" t="str">
        <f>INDEX(CityIDList,MATCH(F29,CityNameList,0))</f>
        <v>HNI</v>
      </c>
      <c r="AT29" s="208" t="str">
        <f>IF(J29&gt;=1,INDEX(OperatorNameList,MATCH(AZ29,OperatorIDList,0)),"")</f>
        <v>TỔNG CÔNG TY HẠ TẦNG MẠNG</v>
      </c>
      <c r="AU29" s="208" t="str">
        <f>IF(J29&gt;=2,INDEX(OperatorNameList,MATCH(BA29,OperatorIDList,0)),"")</f>
        <v>TỔNG CÔNG TY HẠ TẦNG MẠNG</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VINAPHONE</v>
      </c>
      <c r="BA29" s="208" t="str">
        <f t="shared" si="7"/>
        <v>VINAPHONE</v>
      </c>
      <c r="BB29" s="208" t="str">
        <f t="shared" si="8"/>
      </c>
      <c r="BC29" s="208" t="str">
        <f t="shared" si="9"/>
      </c>
      <c r="BD29" s="208" t="str">
        <f t="shared" si="10"/>
      </c>
      <c r="BE29" s="208" t="str">
        <f t="shared" si="11"/>
      </c>
      <c r="BF29" s="208" t="str">
        <f>Input!I29</f>
        <v>VINAPHONE;VINAPHONE</v>
      </c>
      <c r="BG29" s="208" t="str">
        <f t="shared" si="12"/>
        <v>LE-TRONG-TAN-198-24-TXN_HNI</v>
      </c>
      <c r="BH29" s="208" t="str">
        <f t="shared" si="13"/>
        <v>LE-TRONG-TAN-198-24-TXN_HNI</v>
      </c>
      <c r="BI29" s="208" t="str">
        <f t="shared" si="14"/>
      </c>
      <c r="BJ29" s="208" t="str">
        <f t="shared" si="15"/>
      </c>
      <c r="BK29" s="208" t="str">
        <f t="shared" si="16"/>
      </c>
      <c r="BL29" s="208" t="str">
        <f t="shared" si="17"/>
      </c>
      <c r="BM29" s="208" t="str">
        <f t="shared" si="18"/>
        <v>NOKIA FLEXI MULTIRADIO BTS RADIO MODULE AND REMOTE RADIO (FRGY)</v>
      </c>
      <c r="BN29" s="208" t="str">
        <f t="shared" si="19"/>
        <v>NOKIA FLEXI MULTIRADIO BTS RADIO MODULE AND REMOTE RADIO (FHEL)</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2/2/2</v>
      </c>
      <c r="BZ29" s="208">
        <f t="shared" si="31"/>
        <v>2</v>
      </c>
      <c r="CA29" s="208">
        <f t="shared" si="32"/>
        <v>2</v>
      </c>
      <c r="CB29" s="208">
        <f t="shared" si="33"/>
        <v>2</v>
      </c>
      <c r="CC29" s="208">
        <f t="shared" si="34"/>
        <v>0</v>
      </c>
      <c r="CD29" s="208">
        <f t="shared" si="35"/>
        <v>0</v>
      </c>
      <c r="CE29" s="208">
        <f t="shared" si="36"/>
        <v>0</v>
      </c>
      <c r="CF29" s="208" t="str">
        <f t="shared" si="37"/>
        <v>1/1/1</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60/60/60</v>
      </c>
      <c r="DP29" s="208">
        <f t="shared" si="73"/>
        <v>60</v>
      </c>
      <c r="DQ29" s="208">
        <f t="shared" si="74"/>
        <v>60</v>
      </c>
      <c r="DR29" s="208">
        <f t="shared" si="75"/>
        <v>60</v>
      </c>
      <c r="DS29" s="208">
        <f t="shared" si="76"/>
        <v>0</v>
      </c>
      <c r="DT29" s="208">
        <f t="shared" si="77"/>
        <v>0</v>
      </c>
      <c r="DU29" s="208">
        <f t="shared" si="78"/>
        <v>0</v>
      </c>
      <c r="DV29" s="208" t="str">
        <f t="shared" si="79"/>
        <v>60W/ 60W/ 60W</v>
      </c>
      <c r="DW29" s="208">
        <f t="shared" si="80"/>
        <v>60</v>
      </c>
      <c r="DX29" s="208" t="str">
        <f t="shared" si="81"/>
        <v>60/60/60</v>
      </c>
      <c r="DY29" s="208">
        <f t="shared" si="82"/>
        <v>60</v>
      </c>
      <c r="DZ29" s="208">
        <f t="shared" si="83"/>
        <v>60</v>
      </c>
      <c r="EA29" s="208">
        <f t="shared" si="84"/>
        <v>60</v>
      </c>
      <c r="EB29" s="208">
        <f t="shared" si="85"/>
        <v>0</v>
      </c>
      <c r="EC29" s="208">
        <f t="shared" si="86"/>
        <v>0</v>
      </c>
      <c r="ED29" s="208">
        <f t="shared" si="87"/>
        <v>0</v>
      </c>
      <c r="EE29" s="208" t="str">
        <f t="shared" si="88"/>
        <v>60W/ 60W/ 60W</v>
      </c>
      <c r="EF29" s="208">
        <f t="shared" si="89"/>
        <v>60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60</v>
      </c>
      <c r="FR29" s="208" t="str">
        <f t="shared" si="127"/>
        <v>2100</v>
      </c>
      <c r="FS29" s="208" t="str">
        <f t="shared" si="128"/>
        <v>1800</v>
      </c>
      <c r="FT29" s="208" t="str">
        <f t="shared" si="129"/>
      </c>
      <c r="FU29" s="208" t="str">
        <f t="shared" si="130"/>
      </c>
      <c r="FV29" s="208" t="str">
        <f t="shared" si="131"/>
      </c>
      <c r="FW29" s="208" t="str">
        <f t="shared" si="132"/>
      </c>
      <c r="FX29" s="208" t="str">
        <f t="shared" si="133"/>
        <v>19/19/19</v>
      </c>
      <c r="FY29" s="208">
        <f t="shared" si="134"/>
        <v>19</v>
      </c>
      <c r="FZ29" s="208">
        <f t="shared" si="135"/>
        <v>19</v>
      </c>
      <c r="GA29" s="208">
        <f t="shared" si="136"/>
        <v>19</v>
      </c>
      <c r="GB29" s="208">
        <f t="shared" si="137"/>
        <v>0</v>
      </c>
      <c r="GC29" s="208">
        <f t="shared" si="138"/>
        <v>0</v>
      </c>
      <c r="GD29" s="208">
        <f t="shared" si="139"/>
        <v>0</v>
      </c>
      <c r="GE29" s="208" t="str">
        <f t="shared" si="140"/>
        <v>19m/ 19m/ 19m</v>
      </c>
      <c r="GF29" s="208" t="str">
        <f t="shared" si="141"/>
        <v>19/19/19</v>
      </c>
      <c r="GG29" s="208">
        <f t="shared" si="142"/>
        <v>19</v>
      </c>
      <c r="GH29" s="208">
        <f t="shared" si="143"/>
        <v>19</v>
      </c>
      <c r="GI29" s="208">
        <f t="shared" si="144"/>
        <v>19</v>
      </c>
      <c r="GJ29" s="208">
        <f t="shared" si="145"/>
        <v>0</v>
      </c>
      <c r="GK29" s="208">
        <f t="shared" si="146"/>
        <v>0</v>
      </c>
      <c r="GL29" s="208">
        <f t="shared" si="147"/>
        <v>0</v>
      </c>
      <c r="GM29" s="208" t="str">
        <f t="shared" si="148"/>
        <v>19m/ 19m/ 19m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19</v>
      </c>
      <c r="HV29" s="208">
        <f t="shared" si="182"/>
        <v>19</v>
      </c>
      <c r="HW29" s="208">
        <f t="shared" si="183"/>
        <v>0</v>
      </c>
      <c r="HX29" s="208">
        <f t="shared" si="184"/>
        <v>0</v>
      </c>
      <c r="HY29" s="208">
        <f t="shared" si="185"/>
        <v>0</v>
      </c>
      <c r="HZ29" s="208">
        <f t="shared" si="186"/>
        <v>0</v>
      </c>
      <c r="IA29" s="207">
        <f t="shared" si="187"/>
        <v>19</v>
      </c>
      <c r="IB29" s="207">
        <f t="shared" si="188"/>
        <v>3</v>
      </c>
      <c r="IC29" s="343" t="str">
        <f t="shared" si="189"/>
        <v>A</v>
      </c>
      <c r="ID29" s="343" t="str">
        <f t="shared" si="190"/>
        <v>04009</v>
      </c>
      <c r="IE29" s="343" t="str">
        <f t="shared" si="191"/>
        <v>181019</v>
      </c>
      <c r="IF29" s="343" t="str">
        <f t="shared" si="192"/>
        <v>TG05</v>
      </c>
      <c r="IG29" s="383">
        <f t="shared" si="193"/>
        <v>43756</v>
      </c>
      <c r="IH29" s="383">
        <f t="shared" si="194"/>
        <v>45583</v>
      </c>
      <c r="II29" s="208">
        <v>37</v>
      </c>
    </row>
    <row r="30" ht="165.75">
      <c r="A30" s="207">
        <f>Input!A30</f>
        <v>28</v>
      </c>
      <c r="B30" s="343" t="str">
        <f> Profile!$A$3</f>
        <v>VINAPHONE</v>
      </c>
      <c r="C30" s="343" t="str">
        <f> Profile!$L$3</f>
        <v>VINAPHONE</v>
      </c>
      <c r="D30" s="207" t="str">
        <f>Input!B30</f>
        <v>THUY-KHUE-424-17-THO_HNI</v>
      </c>
      <c r="E30" s="317" t="str">
        <f>Input!C30</f>
        <v>Số 17, ngõ 424, phố Thụy Khuê, phường Bưởi, quận Tây Hồ, thành phố Hà Nội</v>
      </c>
      <c r="F30" s="207" t="str">
        <f>Input!D30</f>
        <v>Hà Nội</v>
      </c>
      <c r="G30" s="207">
        <f>Input!E30</f>
        <v>105.811422</v>
      </c>
      <c r="H30" s="207">
        <f>Input!F30</f>
        <v>21.047256</v>
      </c>
      <c r="I30" s="207">
        <f>Input!G30</f>
        <v>1</v>
      </c>
      <c r="J30" s="207">
        <f>Input!H30</f>
        <v>2</v>
      </c>
      <c r="K30" s="207" t="str">
        <f t="shared" si="0"/>
        <v>TỔNG CÔNG TY HẠ TẦNG MẠNG;TỔNG CÔNG TY HẠ TẦNG MẠNG</v>
      </c>
      <c r="L30" s="207" t="str">
        <f>Input!J30</f>
        <v>THUY-KHUE-424-17-THO_HNI;THUY-KHUE-424-17-THO_HNI</v>
      </c>
      <c r="M30" s="207" t="str">
        <f>Input!K30</f>
        <v>NOKIA FLEXI MULTIRADIO BTS RADIO MODULE AND REMOTE RADIO (FRGY);NOKIA FLEXI MULTIRADIO BTS RADIO MODULE AND REMOTE RADIO (FHEL)</v>
      </c>
      <c r="N30" s="207" t="str">
        <f>Input!L30</f>
        <v>3;3</v>
      </c>
      <c r="O30" s="207" t="str">
        <f>Input!M30</f>
        <v>2/2/2;1/1/1</v>
      </c>
      <c r="P30" s="207" t="str">
        <f>Input!N30</f>
        <v>60/60/60;60/60/60</v>
      </c>
      <c r="Q30" s="207" t="str">
        <f>Input!O30</f>
        <v>2100;1800</v>
      </c>
      <c r="R30" s="207" t="str">
        <f>Input!P30</f>
        <v>27/27/27;27/27/27</v>
      </c>
      <c r="S30" s="364" t="b">
        <f>Input!Q30</f>
        <v>1</v>
      </c>
      <c r="T30" s="207" t="str">
        <f>Input!R30</f>
        <v>A04010181019TG05</v>
      </c>
      <c r="U30" s="207">
        <f>Input!S30</f>
        <v>0</v>
      </c>
      <c r="V30" s="207" t="str">
        <f>Input!T30</f>
        <v>VCC1</v>
      </c>
      <c r="W30" s="207" t="str">
        <f>Input!U30</f>
        <v>1902992/19/TG/TT1</v>
      </c>
      <c r="X30" s="209" t="str">
        <f>TEXT(Input!V30,"dd/mm/yyyy")</f>
        <v>18/10/2019</v>
      </c>
      <c r="Y30" s="207" t="b">
        <f>Input!W30</f>
        <v>0</v>
      </c>
      <c r="Z30" s="364" t="b">
        <f>Input!X30</f>
        <v>0</v>
      </c>
      <c r="AA30" s="207">
        <f t="shared" si="1"/>
        <v>27</v>
      </c>
      <c r="AB30" s="364" t="b">
        <f>Input!Y30</f>
        <v>1</v>
      </c>
      <c r="AC30" s="207">
        <f>VALUE(Input!Z30)</f>
        <v>25</v>
      </c>
      <c r="AD30" s="207" t="b">
        <f>Input!AA30</f>
        <v>0</v>
      </c>
      <c r="AE30" s="207" t="str">
        <f>Input!AB30</f>
        <v>Vũ Văn Giáp</v>
      </c>
      <c r="AF30" s="207" t="str">
        <f>Input!AC30</f>
        <v>Lê Tiến Cường</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Tổng Công ty Hạ tầng mạng</v>
      </c>
      <c r="AN30" s="208" t="str">
        <f>INDEX(OperatorNameList,MATCH(C30,OperatorIDList,0))</f>
        <v>TỔNG CÔNG TY HẠ TẦNG MẠNG</v>
      </c>
      <c r="AO30" s="207">
        <f t="shared" si="2"/>
        <v>5</v>
      </c>
      <c r="AP30" s="287" t="str">
        <f t="shared" si="3"/>
        <v>thành phố Hà Nội</v>
      </c>
      <c r="AQ30" s="448" t="str">
        <f t="shared" si="4"/>
        <v>quận Tây Hồ</v>
      </c>
      <c r="AR30" s="448" t="str">
        <f t="shared" si="5"/>
        <v>phường Bưởi</v>
      </c>
      <c r="AS30" s="449" t="str">
        <f>INDEX(CityIDList,MATCH(F30,CityNameList,0))</f>
        <v>HNI</v>
      </c>
      <c r="AT30" s="208" t="str">
        <f>IF(J30&gt;=1,INDEX(OperatorNameList,MATCH(AZ30,OperatorIDList,0)),"")</f>
        <v>TỔNG CÔNG TY HẠ TẦNG MẠNG</v>
      </c>
      <c r="AU30" s="208" t="str">
        <f>IF(J30&gt;=2,INDEX(OperatorNameList,MATCH(BA30,OperatorIDList,0)),"")</f>
        <v>TỔNG CÔNG TY HẠ TẦNG MẠNG</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VINAPHONE</v>
      </c>
      <c r="BA30" s="208" t="str">
        <f t="shared" si="7"/>
        <v>VINAPHONE</v>
      </c>
      <c r="BB30" s="208" t="str">
        <f t="shared" si="8"/>
      </c>
      <c r="BC30" s="208" t="str">
        <f t="shared" si="9"/>
      </c>
      <c r="BD30" s="208" t="str">
        <f t="shared" si="10"/>
      </c>
      <c r="BE30" s="208" t="str">
        <f t="shared" si="11"/>
      </c>
      <c r="BF30" s="208" t="str">
        <f>Input!I30</f>
        <v>VINAPHONE;VINAPHONE</v>
      </c>
      <c r="BG30" s="208" t="str">
        <f t="shared" si="12"/>
        <v>THUY-KHUE-424-17-THO_HNI</v>
      </c>
      <c r="BH30" s="208" t="str">
        <f t="shared" si="13"/>
        <v>THUY-KHUE-424-17-THO_HNI</v>
      </c>
      <c r="BI30" s="208" t="str">
        <f t="shared" si="14"/>
      </c>
      <c r="BJ30" s="208" t="str">
        <f t="shared" si="15"/>
      </c>
      <c r="BK30" s="208" t="str">
        <f t="shared" si="16"/>
      </c>
      <c r="BL30" s="208" t="str">
        <f t="shared" si="17"/>
      </c>
      <c r="BM30" s="208" t="str">
        <f t="shared" si="18"/>
        <v>NOKIA FLEXI MULTIRADIO BTS RADIO MODULE AND REMOTE RADIO (FRGY)</v>
      </c>
      <c r="BN30" s="208" t="str">
        <f t="shared" si="19"/>
        <v>NOKIA FLEXI MULTIRADIO BTS RADIO MODULE AND REMOTE RADIO (FHEL)</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2/2/2</v>
      </c>
      <c r="BZ30" s="208">
        <f t="shared" si="31"/>
        <v>2</v>
      </c>
      <c r="CA30" s="208">
        <f t="shared" si="32"/>
        <v>2</v>
      </c>
      <c r="CB30" s="208">
        <f t="shared" si="33"/>
        <v>2</v>
      </c>
      <c r="CC30" s="208">
        <f t="shared" si="34"/>
        <v>0</v>
      </c>
      <c r="CD30" s="208">
        <f t="shared" si="35"/>
        <v>0</v>
      </c>
      <c r="CE30" s="208">
        <f t="shared" si="36"/>
        <v>0</v>
      </c>
      <c r="CF30" s="208" t="str">
        <f t="shared" si="37"/>
        <v>1/1/1</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60/60/60</v>
      </c>
      <c r="DP30" s="208">
        <f t="shared" si="73"/>
        <v>60</v>
      </c>
      <c r="DQ30" s="208">
        <f t="shared" si="74"/>
        <v>60</v>
      </c>
      <c r="DR30" s="208">
        <f t="shared" si="75"/>
        <v>60</v>
      </c>
      <c r="DS30" s="208">
        <f t="shared" si="76"/>
        <v>0</v>
      </c>
      <c r="DT30" s="208">
        <f t="shared" si="77"/>
        <v>0</v>
      </c>
      <c r="DU30" s="208">
        <f t="shared" si="78"/>
        <v>0</v>
      </c>
      <c r="DV30" s="208" t="str">
        <f t="shared" si="79"/>
        <v>60W/ 60W/ 60W</v>
      </c>
      <c r="DW30" s="208">
        <f t="shared" si="80"/>
        <v>60</v>
      </c>
      <c r="DX30" s="208" t="str">
        <f t="shared" si="81"/>
        <v>60/60/60</v>
      </c>
      <c r="DY30" s="208">
        <f t="shared" si="82"/>
        <v>60</v>
      </c>
      <c r="DZ30" s="208">
        <f t="shared" si="83"/>
        <v>60</v>
      </c>
      <c r="EA30" s="208">
        <f t="shared" si="84"/>
        <v>60</v>
      </c>
      <c r="EB30" s="208">
        <f t="shared" si="85"/>
        <v>0</v>
      </c>
      <c r="EC30" s="208">
        <f t="shared" si="86"/>
        <v>0</v>
      </c>
      <c r="ED30" s="208">
        <f t="shared" si="87"/>
        <v>0</v>
      </c>
      <c r="EE30" s="208" t="str">
        <f t="shared" si="88"/>
        <v>60W/ 60W/ 60W</v>
      </c>
      <c r="EF30" s="208">
        <f t="shared" si="89"/>
        <v>60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60</v>
      </c>
      <c r="FR30" s="208" t="str">
        <f t="shared" si="127"/>
        <v>2100</v>
      </c>
      <c r="FS30" s="208" t="str">
        <f t="shared" si="128"/>
        <v>1800</v>
      </c>
      <c r="FT30" s="208" t="str">
        <f t="shared" si="129"/>
      </c>
      <c r="FU30" s="208" t="str">
        <f t="shared" si="130"/>
      </c>
      <c r="FV30" s="208" t="str">
        <f t="shared" si="131"/>
      </c>
      <c r="FW30" s="208" t="str">
        <f t="shared" si="132"/>
      </c>
      <c r="FX30" s="208" t="str">
        <f t="shared" si="133"/>
        <v>27/27/27</v>
      </c>
      <c r="FY30" s="208">
        <f t="shared" si="134"/>
        <v>27</v>
      </c>
      <c r="FZ30" s="208">
        <f t="shared" si="135"/>
        <v>27</v>
      </c>
      <c r="GA30" s="208">
        <f t="shared" si="136"/>
        <v>27</v>
      </c>
      <c r="GB30" s="208">
        <f t="shared" si="137"/>
        <v>0</v>
      </c>
      <c r="GC30" s="208">
        <f t="shared" si="138"/>
        <v>0</v>
      </c>
      <c r="GD30" s="208">
        <f t="shared" si="139"/>
        <v>0</v>
      </c>
      <c r="GE30" s="208" t="str">
        <f t="shared" si="140"/>
        <v>27m/ 27m/ 27m</v>
      </c>
      <c r="GF30" s="208" t="str">
        <f t="shared" si="141"/>
        <v>27/27/27</v>
      </c>
      <c r="GG30" s="208">
        <f t="shared" si="142"/>
        <v>27</v>
      </c>
      <c r="GH30" s="208">
        <f t="shared" si="143"/>
        <v>27</v>
      </c>
      <c r="GI30" s="208">
        <f t="shared" si="144"/>
        <v>27</v>
      </c>
      <c r="GJ30" s="208">
        <f t="shared" si="145"/>
        <v>0</v>
      </c>
      <c r="GK30" s="208">
        <f t="shared" si="146"/>
        <v>0</v>
      </c>
      <c r="GL30" s="208">
        <f t="shared" si="147"/>
        <v>0</v>
      </c>
      <c r="GM30" s="208" t="str">
        <f t="shared" si="148"/>
        <v>27m/ 27m/ 27m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27</v>
      </c>
      <c r="HV30" s="208">
        <f t="shared" si="182"/>
        <v>27</v>
      </c>
      <c r="HW30" s="208">
        <f t="shared" si="183"/>
        <v>0</v>
      </c>
      <c r="HX30" s="208">
        <f t="shared" si="184"/>
        <v>0</v>
      </c>
      <c r="HY30" s="208">
        <f t="shared" si="185"/>
        <v>0</v>
      </c>
      <c r="HZ30" s="208">
        <f t="shared" si="186"/>
        <v>0</v>
      </c>
      <c r="IA30" s="207">
        <f t="shared" si="187"/>
        <v>27</v>
      </c>
      <c r="IB30" s="207">
        <f t="shared" si="188"/>
        <v>2</v>
      </c>
      <c r="IC30" s="343" t="str">
        <f t="shared" si="189"/>
        <v>A</v>
      </c>
      <c r="ID30" s="343" t="str">
        <f t="shared" si="190"/>
        <v>04010</v>
      </c>
      <c r="IE30" s="343" t="str">
        <f t="shared" si="191"/>
        <v>181019</v>
      </c>
      <c r="IF30" s="343" t="str">
        <f t="shared" si="192"/>
        <v>TG05</v>
      </c>
      <c r="IG30" s="383">
        <f t="shared" si="193"/>
        <v>43756</v>
      </c>
      <c r="IH30" s="383">
        <f t="shared" si="194"/>
        <v>45583</v>
      </c>
      <c r="II30" s="208">
        <v>37</v>
      </c>
    </row>
    <row r="31" ht="165.75">
      <c r="A31" s="207">
        <f>Input!A31</f>
        <v>29</v>
      </c>
      <c r="B31" s="343" t="str">
        <f> Profile!$A$3</f>
        <v>VINAPHONE</v>
      </c>
      <c r="C31" s="343" t="str">
        <f> Profile!$L$3</f>
        <v>VINAPHONE</v>
      </c>
      <c r="D31" s="207" t="str">
        <f>Input!B31</f>
        <v>VINHOMES-GREENBAY-ME-TRI-NTM_HNI</v>
      </c>
      <c r="E31" s="317" t="str">
        <f>Input!C31</f>
        <v>Dự án Vinhomes Green Bay Mễ Trì, phường Mễ Trì, quận Nam Từ Liêm, thành phố Hà Nội</v>
      </c>
      <c r="F31" s="207" t="str">
        <f>Input!D31</f>
        <v>Hà Nội</v>
      </c>
      <c r="G31" s="207">
        <f>Input!E31</f>
        <v>105.787131</v>
      </c>
      <c r="H31" s="207">
        <f>Input!F31</f>
        <v>21.001691</v>
      </c>
      <c r="I31" s="207">
        <f>Input!G31</f>
        <v>1</v>
      </c>
      <c r="J31" s="207">
        <f>Input!H31</f>
        <v>2</v>
      </c>
      <c r="K31" s="207" t="str">
        <f t="shared" si="0"/>
        <v>TỔNG CÔNG TY HẠ TẦNG MẠNG;TỔNG CÔNG TY HẠ TẦNG MẠNG</v>
      </c>
      <c r="L31" s="207" t="str">
        <f>Input!J31</f>
        <v>VINHOMES-GREENBAY-ME-TRI-NTM_HNI;VINHOMES-GREENBAY-ME-TRI-NTM_HNI</v>
      </c>
      <c r="M31" s="207" t="str">
        <f>Input!K31</f>
        <v>NOKIA FLEXI MULTIRADIO BTS RADIO MODULE AND REMOTE RADIO (FRGY);NOKIA FLEXI MULTIRADIO BTS RADIO MODULE AND REMOTE RADIO (FHEL)</v>
      </c>
      <c r="N31" s="207" t="str">
        <f>Input!L31</f>
        <v>3;3</v>
      </c>
      <c r="O31" s="207" t="str">
        <f>Input!M31</f>
        <v>2/2/2;1/1/1</v>
      </c>
      <c r="P31" s="207" t="str">
        <f>Input!N31</f>
        <v>60/60/60;60/60/60</v>
      </c>
      <c r="Q31" s="207" t="str">
        <f>Input!O31</f>
        <v>2100;1800</v>
      </c>
      <c r="R31" s="207" t="str">
        <f>Input!P31</f>
        <v>28/28/28;28/28/28</v>
      </c>
      <c r="S31" s="364" t="b">
        <f>Input!Q31</f>
        <v>1</v>
      </c>
      <c r="T31" s="207" t="str">
        <f>Input!R31</f>
        <v>A04011181019TG05</v>
      </c>
      <c r="U31" s="207">
        <f>Input!S31</f>
        <v>0</v>
      </c>
      <c r="V31" s="207" t="str">
        <f>Input!T31</f>
        <v>VCC1</v>
      </c>
      <c r="W31" s="207" t="str">
        <f>Input!U31</f>
        <v>1903228/19/TG/TT1</v>
      </c>
      <c r="X31" s="209" t="str">
        <f>TEXT(Input!V31,"dd/mm/yyyy")</f>
        <v>18/10/2019</v>
      </c>
      <c r="Y31" s="207" t="b">
        <f>Input!W31</f>
        <v>1</v>
      </c>
      <c r="Z31" s="364" t="b">
        <f>Input!X31</f>
        <v>0</v>
      </c>
      <c r="AA31" s="207">
        <f t="shared" si="1"/>
        <v>28</v>
      </c>
      <c r="AB31" s="364" t="b">
        <f>Input!Y31</f>
        <v>0</v>
      </c>
      <c r="AC31" s="207">
        <f>VALUE(Input!Z31)</f>
        <v>0</v>
      </c>
      <c r="AD31" s="207" t="b">
        <f>Input!AA31</f>
        <v>0</v>
      </c>
      <c r="AE31" s="207" t="str">
        <f>Input!AB31</f>
        <v>Vũ Văn Giáp</v>
      </c>
      <c r="AF31" s="207" t="str">
        <f>Input!AC31</f>
        <v>Lê Tiến Cường</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Tổng Công ty Hạ tầng mạng</v>
      </c>
      <c r="AN31" s="208" t="str">
        <f>INDEX(OperatorNameList,MATCH(C31,OperatorIDList,0))</f>
        <v>TỔNG CÔNG TY HẠ TẦNG MẠNG</v>
      </c>
      <c r="AO31" s="207">
        <f t="shared" si="2"/>
        <v>3</v>
      </c>
      <c r="AP31" s="287" t="str">
        <f t="shared" si="3"/>
        <v>thành phố Hà Nội</v>
      </c>
      <c r="AQ31" s="448" t="str">
        <f t="shared" si="4"/>
        <v>quận Nam Từ Liêm</v>
      </c>
      <c r="AR31" s="448" t="str">
        <f t="shared" si="5"/>
        <v>phường Mễ Trì</v>
      </c>
      <c r="AS31" s="449" t="str">
        <f>INDEX(CityIDList,MATCH(F31,CityNameList,0))</f>
        <v>HNI</v>
      </c>
      <c r="AT31" s="208" t="str">
        <f>IF(J31&gt;=1,INDEX(OperatorNameList,MATCH(AZ31,OperatorIDList,0)),"")</f>
        <v>TỔNG CÔNG TY HẠ TẦNG MẠNG</v>
      </c>
      <c r="AU31" s="208" t="str">
        <f>IF(J31&gt;=2,INDEX(OperatorNameList,MATCH(BA31,OperatorIDList,0)),"")</f>
        <v>TỔNG CÔNG TY HẠ TẦNG MẠNG</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VINAPHONE</v>
      </c>
      <c r="BA31" s="208" t="str">
        <f t="shared" si="7"/>
        <v>VINAPHONE</v>
      </c>
      <c r="BB31" s="208" t="str">
        <f t="shared" si="8"/>
      </c>
      <c r="BC31" s="208" t="str">
        <f t="shared" si="9"/>
      </c>
      <c r="BD31" s="208" t="str">
        <f t="shared" si="10"/>
      </c>
      <c r="BE31" s="208" t="str">
        <f t="shared" si="11"/>
      </c>
      <c r="BF31" s="208" t="str">
        <f>Input!I31</f>
        <v>VINAPHONE;VINAPHONE</v>
      </c>
      <c r="BG31" s="208" t="str">
        <f t="shared" si="12"/>
        <v>VINHOMES-GREENBAY-ME-TRI-NTM_HNI</v>
      </c>
      <c r="BH31" s="208" t="str">
        <f t="shared" si="13"/>
        <v>VINHOMES-GREENBAY-ME-TRI-NTM_HNI</v>
      </c>
      <c r="BI31" s="208" t="str">
        <f t="shared" si="14"/>
      </c>
      <c r="BJ31" s="208" t="str">
        <f t="shared" si="15"/>
      </c>
      <c r="BK31" s="208" t="str">
        <f t="shared" si="16"/>
      </c>
      <c r="BL31" s="208" t="str">
        <f t="shared" si="17"/>
      </c>
      <c r="BM31" s="208" t="str">
        <f t="shared" si="18"/>
        <v>NOKIA FLEXI MULTIRADIO BTS RADIO MODULE AND REMOTE RADIO (FRGY)</v>
      </c>
      <c r="BN31" s="208" t="str">
        <f t="shared" si="19"/>
        <v>NOKIA FLEXI MULTIRADIO BTS RADIO MODULE AND REMOTE RADIO (FHEL)</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2/2/2</v>
      </c>
      <c r="BZ31" s="208">
        <f t="shared" si="31"/>
        <v>2</v>
      </c>
      <c r="CA31" s="208">
        <f t="shared" si="32"/>
        <v>2</v>
      </c>
      <c r="CB31" s="208">
        <f t="shared" si="33"/>
        <v>2</v>
      </c>
      <c r="CC31" s="208">
        <f t="shared" si="34"/>
        <v>0</v>
      </c>
      <c r="CD31" s="208">
        <f t="shared" si="35"/>
        <v>0</v>
      </c>
      <c r="CE31" s="208">
        <f t="shared" si="36"/>
        <v>0</v>
      </c>
      <c r="CF31" s="208" t="str">
        <f t="shared" si="37"/>
        <v>1/1/1</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60/60/60</v>
      </c>
      <c r="DP31" s="208">
        <f t="shared" si="73"/>
        <v>60</v>
      </c>
      <c r="DQ31" s="208">
        <f t="shared" si="74"/>
        <v>60</v>
      </c>
      <c r="DR31" s="208">
        <f t="shared" si="75"/>
        <v>60</v>
      </c>
      <c r="DS31" s="208">
        <f t="shared" si="76"/>
        <v>0</v>
      </c>
      <c r="DT31" s="208">
        <f t="shared" si="77"/>
        <v>0</v>
      </c>
      <c r="DU31" s="208">
        <f t="shared" si="78"/>
        <v>0</v>
      </c>
      <c r="DV31" s="208" t="str">
        <f t="shared" si="79"/>
        <v>60W/ 60W/ 60W</v>
      </c>
      <c r="DW31" s="208">
        <f t="shared" si="80"/>
        <v>60</v>
      </c>
      <c r="DX31" s="208" t="str">
        <f t="shared" si="81"/>
        <v>60/60/60</v>
      </c>
      <c r="DY31" s="208">
        <f t="shared" si="82"/>
        <v>60</v>
      </c>
      <c r="DZ31" s="208">
        <f t="shared" si="83"/>
        <v>60</v>
      </c>
      <c r="EA31" s="208">
        <f t="shared" si="84"/>
        <v>60</v>
      </c>
      <c r="EB31" s="208">
        <f t="shared" si="85"/>
        <v>0</v>
      </c>
      <c r="EC31" s="208">
        <f t="shared" si="86"/>
        <v>0</v>
      </c>
      <c r="ED31" s="208">
        <f t="shared" si="87"/>
        <v>0</v>
      </c>
      <c r="EE31" s="208" t="str">
        <f t="shared" si="88"/>
        <v>60W/ 60W/ 60W</v>
      </c>
      <c r="EF31" s="208">
        <f t="shared" si="89"/>
        <v>60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60</v>
      </c>
      <c r="FR31" s="208" t="str">
        <f t="shared" si="127"/>
        <v>2100</v>
      </c>
      <c r="FS31" s="208" t="str">
        <f t="shared" si="128"/>
        <v>1800</v>
      </c>
      <c r="FT31" s="208" t="str">
        <f t="shared" si="129"/>
      </c>
      <c r="FU31" s="208" t="str">
        <f t="shared" si="130"/>
      </c>
      <c r="FV31" s="208" t="str">
        <f t="shared" si="131"/>
      </c>
      <c r="FW31" s="208" t="str">
        <f t="shared" si="132"/>
      </c>
      <c r="FX31" s="208" t="str">
        <f t="shared" si="133"/>
        <v>28/28/28</v>
      </c>
      <c r="FY31" s="208">
        <f t="shared" si="134"/>
        <v>28</v>
      </c>
      <c r="FZ31" s="208">
        <f t="shared" si="135"/>
        <v>28</v>
      </c>
      <c r="GA31" s="208">
        <f t="shared" si="136"/>
        <v>28</v>
      </c>
      <c r="GB31" s="208">
        <f t="shared" si="137"/>
        <v>0</v>
      </c>
      <c r="GC31" s="208">
        <f t="shared" si="138"/>
        <v>0</v>
      </c>
      <c r="GD31" s="208">
        <f t="shared" si="139"/>
        <v>0</v>
      </c>
      <c r="GE31" s="208" t="str">
        <f t="shared" si="140"/>
        <v>28m/ 28m/ 28m</v>
      </c>
      <c r="GF31" s="208" t="str">
        <f t="shared" si="141"/>
        <v>28/28/28</v>
      </c>
      <c r="GG31" s="208">
        <f t="shared" si="142"/>
        <v>28</v>
      </c>
      <c r="GH31" s="208">
        <f t="shared" si="143"/>
        <v>28</v>
      </c>
      <c r="GI31" s="208">
        <f t="shared" si="144"/>
        <v>28</v>
      </c>
      <c r="GJ31" s="208">
        <f t="shared" si="145"/>
        <v>0</v>
      </c>
      <c r="GK31" s="208">
        <f t="shared" si="146"/>
        <v>0</v>
      </c>
      <c r="GL31" s="208">
        <f t="shared" si="147"/>
        <v>0</v>
      </c>
      <c r="GM31" s="208" t="str">
        <f t="shared" si="148"/>
        <v>28m/ 28m/ 28m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28</v>
      </c>
      <c r="HV31" s="208">
        <f t="shared" si="182"/>
        <v>28</v>
      </c>
      <c r="HW31" s="208">
        <f t="shared" si="183"/>
        <v>0</v>
      </c>
      <c r="HX31" s="208">
        <f t="shared" si="184"/>
        <v>0</v>
      </c>
      <c r="HY31" s="208">
        <f t="shared" si="185"/>
        <v>0</v>
      </c>
      <c r="HZ31" s="208">
        <f t="shared" si="186"/>
        <v>0</v>
      </c>
      <c r="IA31" s="207">
        <f t="shared" si="187"/>
        <v>28</v>
      </c>
      <c r="IB31" s="207">
        <f t="shared" si="188"/>
        <v>28</v>
      </c>
      <c r="IC31" s="343" t="str">
        <f t="shared" si="189"/>
        <v>A</v>
      </c>
      <c r="ID31" s="343" t="str">
        <f t="shared" si="190"/>
        <v>04011</v>
      </c>
      <c r="IE31" s="343" t="str">
        <f t="shared" si="191"/>
        <v>181019</v>
      </c>
      <c r="IF31" s="343" t="str">
        <f t="shared" si="192"/>
        <v>TG05</v>
      </c>
      <c r="IG31" s="383">
        <f t="shared" si="193"/>
        <v>43756</v>
      </c>
      <c r="IH31" s="383">
        <f t="shared" si="194"/>
        <v>45583</v>
      </c>
      <c r="II31" s="208">
        <v>37</v>
      </c>
    </row>
    <row r="32" ht="165.75">
      <c r="A32" s="207">
        <f>Input!A32</f>
        <v>30</v>
      </c>
      <c r="B32" s="343" t="str">
        <f> Profile!$A$3</f>
        <v>VINAPHONE</v>
      </c>
      <c r="C32" s="343" t="str">
        <f> Profile!$L$3</f>
        <v>VINAPHONE</v>
      </c>
      <c r="D32" s="207" t="str">
        <f>Input!B32</f>
        <v>DUC-GIANG-117-LBN_HNI</v>
      </c>
      <c r="E32" s="317" t="str">
        <f>Input!C32</f>
        <v>Số 117, phố Đức Giang, phường Thượng Thanh, quận Long Biên, thành phố Hà Nội</v>
      </c>
      <c r="F32" s="207" t="str">
        <f>Input!D32</f>
        <v>Hà Nội</v>
      </c>
      <c r="G32" s="207">
        <f>Input!E32</f>
        <v>105.853985</v>
      </c>
      <c r="H32" s="207">
        <f>Input!F32</f>
        <v>21.026803</v>
      </c>
      <c r="I32" s="207">
        <f>Input!G32</f>
        <v>1</v>
      </c>
      <c r="J32" s="207">
        <f>Input!H32</f>
        <v>2</v>
      </c>
      <c r="K32" s="207" t="str">
        <f t="shared" si="0"/>
        <v>TỔNG CÔNG TY HẠ TẦNG MẠNG;TỔNG CÔNG TY HẠ TẦNG MẠNG</v>
      </c>
      <c r="L32" s="207" t="str">
        <f>Input!J32</f>
        <v>DUC-GIANG-117-LBN_HNI;DUC-GIANG-117-LBN_HNI</v>
      </c>
      <c r="M32" s="207" t="str">
        <f>Input!K32</f>
        <v>NOKIA FLEXI MULTIRADIO BTS RADIO MODULE AND REMOTE RADIO (FRGY);NOKIA FLEXI MULTIRADIO BTS RADIO MODULE AND REMOTE RADIO (FHEL)</v>
      </c>
      <c r="N32" s="207" t="str">
        <f>Input!L32</f>
        <v>3;3</v>
      </c>
      <c r="O32" s="207" t="str">
        <f>Input!M32</f>
        <v>2/2/2;1/1/1</v>
      </c>
      <c r="P32" s="207" t="str">
        <f>Input!N32</f>
        <v>60/60/60;60/60/60</v>
      </c>
      <c r="Q32" s="207" t="str">
        <f>Input!O32</f>
        <v>2100;1800</v>
      </c>
      <c r="R32" s="207" t="str">
        <f>Input!P32</f>
        <v>27/27/27;27/27/27</v>
      </c>
      <c r="S32" s="364" t="b">
        <f>Input!Q32</f>
        <v>1</v>
      </c>
      <c r="T32" s="207" t="str">
        <f>Input!R32</f>
        <v>A04012181019TG05</v>
      </c>
      <c r="U32" s="207">
        <f>Input!S32</f>
        <v>0</v>
      </c>
      <c r="V32" s="207" t="str">
        <f>Input!T32</f>
        <v>VCC1</v>
      </c>
      <c r="W32" s="207" t="str">
        <f>Input!U32</f>
        <v>1902968/19/TG/TT1</v>
      </c>
      <c r="X32" s="209" t="str">
        <f>TEXT(Input!V32,"dd/mm/yyyy")</f>
        <v>18/10/2019</v>
      </c>
      <c r="Y32" s="207" t="b">
        <f>Input!W32</f>
        <v>0</v>
      </c>
      <c r="Z32" s="364" t="b">
        <f>Input!X32</f>
        <v>0</v>
      </c>
      <c r="AA32" s="207">
        <f t="shared" si="1"/>
        <v>27</v>
      </c>
      <c r="AB32" s="364" t="b">
        <f>Input!Y32</f>
        <v>1</v>
      </c>
      <c r="AC32" s="207">
        <f>VALUE(Input!Z32)</f>
        <v>24</v>
      </c>
      <c r="AD32" s="207" t="b">
        <f>Input!AA32</f>
        <v>0</v>
      </c>
      <c r="AE32" s="207" t="str">
        <f>Input!AB32</f>
        <v>Vũ Văn Giáp</v>
      </c>
      <c r="AF32" s="207" t="str">
        <f>Input!AC32</f>
        <v>Lê Tiến Cường</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Tổng Công ty Hạ tầng mạng</v>
      </c>
      <c r="AN32" s="208" t="str">
        <f>INDEX(OperatorNameList,MATCH(C32,OperatorIDList,0))</f>
        <v>TỔNG CÔNG TY HẠ TẦNG MẠNG</v>
      </c>
      <c r="AO32" s="207">
        <f t="shared" si="2"/>
        <v>4</v>
      </c>
      <c r="AP32" s="287" t="str">
        <f t="shared" si="3"/>
        <v>thành phố Hà Nội</v>
      </c>
      <c r="AQ32" s="448" t="str">
        <f t="shared" si="4"/>
        <v>quận Long Biên</v>
      </c>
      <c r="AR32" s="448" t="str">
        <f t="shared" si="5"/>
        <v>phường Thượng Thanh</v>
      </c>
      <c r="AS32" s="449" t="str">
        <f>INDEX(CityIDList,MATCH(F32,CityNameList,0))</f>
        <v>HNI</v>
      </c>
      <c r="AT32" s="208" t="str">
        <f>IF(J32&gt;=1,INDEX(OperatorNameList,MATCH(AZ32,OperatorIDList,0)),"")</f>
        <v>TỔNG CÔNG TY HẠ TẦNG MẠNG</v>
      </c>
      <c r="AU32" s="208" t="str">
        <f>IF(J32&gt;=2,INDEX(OperatorNameList,MATCH(BA32,OperatorIDList,0)),"")</f>
        <v>TỔNG CÔNG TY HẠ TẦNG MẠNG</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VINAPHONE</v>
      </c>
      <c r="BA32" s="208" t="str">
        <f t="shared" si="7"/>
        <v>VINAPHONE</v>
      </c>
      <c r="BB32" s="208" t="str">
        <f t="shared" si="8"/>
      </c>
      <c r="BC32" s="208" t="str">
        <f t="shared" si="9"/>
      </c>
      <c r="BD32" s="208" t="str">
        <f t="shared" si="10"/>
      </c>
      <c r="BE32" s="208" t="str">
        <f t="shared" si="11"/>
      </c>
      <c r="BF32" s="208" t="str">
        <f>Input!I32</f>
        <v>VINAPHONE;VINAPHONE</v>
      </c>
      <c r="BG32" s="208" t="str">
        <f t="shared" si="12"/>
        <v>DUC-GIANG-117-LBN_HNI</v>
      </c>
      <c r="BH32" s="208" t="str">
        <f t="shared" si="13"/>
        <v>DUC-GIANG-117-LBN_HNI</v>
      </c>
      <c r="BI32" s="208" t="str">
        <f t="shared" si="14"/>
      </c>
      <c r="BJ32" s="208" t="str">
        <f t="shared" si="15"/>
      </c>
      <c r="BK32" s="208" t="str">
        <f t="shared" si="16"/>
      </c>
      <c r="BL32" s="208" t="str">
        <f t="shared" si="17"/>
      </c>
      <c r="BM32" s="208" t="str">
        <f t="shared" si="18"/>
        <v>NOKIA FLEXI MULTIRADIO BTS RADIO MODULE AND REMOTE RADIO (FRGY)</v>
      </c>
      <c r="BN32" s="208" t="str">
        <f t="shared" si="19"/>
        <v>NOKIA FLEXI MULTIRADIO BTS RADIO MODULE AND REMOTE RADIO (FHEL)</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2/2/2</v>
      </c>
      <c r="BZ32" s="208">
        <f t="shared" si="31"/>
        <v>2</v>
      </c>
      <c r="CA32" s="208">
        <f t="shared" si="32"/>
        <v>2</v>
      </c>
      <c r="CB32" s="208">
        <f t="shared" si="33"/>
        <v>2</v>
      </c>
      <c r="CC32" s="208">
        <f t="shared" si="34"/>
        <v>0</v>
      </c>
      <c r="CD32" s="208">
        <f t="shared" si="35"/>
        <v>0</v>
      </c>
      <c r="CE32" s="208">
        <f t="shared" si="36"/>
        <v>0</v>
      </c>
      <c r="CF32" s="208" t="str">
        <f t="shared" si="37"/>
        <v>1/1/1</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60/60/60</v>
      </c>
      <c r="DP32" s="208">
        <f t="shared" si="73"/>
        <v>60</v>
      </c>
      <c r="DQ32" s="208">
        <f t="shared" si="74"/>
        <v>60</v>
      </c>
      <c r="DR32" s="208">
        <f t="shared" si="75"/>
        <v>60</v>
      </c>
      <c r="DS32" s="208">
        <f t="shared" si="76"/>
        <v>0</v>
      </c>
      <c r="DT32" s="208">
        <f t="shared" si="77"/>
        <v>0</v>
      </c>
      <c r="DU32" s="208">
        <f t="shared" si="78"/>
        <v>0</v>
      </c>
      <c r="DV32" s="208" t="str">
        <f t="shared" si="79"/>
        <v>60W/ 60W/ 60W</v>
      </c>
      <c r="DW32" s="208">
        <f t="shared" si="80"/>
        <v>60</v>
      </c>
      <c r="DX32" s="208" t="str">
        <f t="shared" si="81"/>
        <v>60/60/60</v>
      </c>
      <c r="DY32" s="208">
        <f t="shared" si="82"/>
        <v>60</v>
      </c>
      <c r="DZ32" s="208">
        <f t="shared" si="83"/>
        <v>60</v>
      </c>
      <c r="EA32" s="208">
        <f t="shared" si="84"/>
        <v>60</v>
      </c>
      <c r="EB32" s="208">
        <f t="shared" si="85"/>
        <v>0</v>
      </c>
      <c r="EC32" s="208">
        <f t="shared" si="86"/>
        <v>0</v>
      </c>
      <c r="ED32" s="208">
        <f t="shared" si="87"/>
        <v>0</v>
      </c>
      <c r="EE32" s="208" t="str">
        <f t="shared" si="88"/>
        <v>60W/ 60W/ 60W</v>
      </c>
      <c r="EF32" s="208">
        <f t="shared" si="89"/>
        <v>60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60</v>
      </c>
      <c r="FR32" s="208" t="str">
        <f t="shared" si="127"/>
        <v>2100</v>
      </c>
      <c r="FS32" s="208" t="str">
        <f t="shared" si="128"/>
        <v>1800</v>
      </c>
      <c r="FT32" s="208" t="str">
        <f t="shared" si="129"/>
      </c>
      <c r="FU32" s="208" t="str">
        <f t="shared" si="130"/>
      </c>
      <c r="FV32" s="208" t="str">
        <f t="shared" si="131"/>
      </c>
      <c r="FW32" s="208" t="str">
        <f t="shared" si="132"/>
      </c>
      <c r="FX32" s="208" t="str">
        <f t="shared" si="133"/>
        <v>27/27/27</v>
      </c>
      <c r="FY32" s="208">
        <f t="shared" si="134"/>
        <v>27</v>
      </c>
      <c r="FZ32" s="208">
        <f t="shared" si="135"/>
        <v>27</v>
      </c>
      <c r="GA32" s="208">
        <f t="shared" si="136"/>
        <v>27</v>
      </c>
      <c r="GB32" s="208">
        <f t="shared" si="137"/>
        <v>0</v>
      </c>
      <c r="GC32" s="208">
        <f t="shared" si="138"/>
        <v>0</v>
      </c>
      <c r="GD32" s="208">
        <f t="shared" si="139"/>
        <v>0</v>
      </c>
      <c r="GE32" s="208" t="str">
        <f t="shared" si="140"/>
        <v>27m/ 27m/ 27m</v>
      </c>
      <c r="GF32" s="208" t="str">
        <f t="shared" si="141"/>
        <v>27/27/27</v>
      </c>
      <c r="GG32" s="208">
        <f t="shared" si="142"/>
        <v>27</v>
      </c>
      <c r="GH32" s="208">
        <f t="shared" si="143"/>
        <v>27</v>
      </c>
      <c r="GI32" s="208">
        <f t="shared" si="144"/>
        <v>27</v>
      </c>
      <c r="GJ32" s="208">
        <f t="shared" si="145"/>
        <v>0</v>
      </c>
      <c r="GK32" s="208">
        <f t="shared" si="146"/>
        <v>0</v>
      </c>
      <c r="GL32" s="208">
        <f t="shared" si="147"/>
        <v>0</v>
      </c>
      <c r="GM32" s="208" t="str">
        <f t="shared" si="148"/>
        <v>27m/ 27m/ 27m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27</v>
      </c>
      <c r="HV32" s="208">
        <f t="shared" si="182"/>
        <v>27</v>
      </c>
      <c r="HW32" s="208">
        <f t="shared" si="183"/>
        <v>0</v>
      </c>
      <c r="HX32" s="208">
        <f t="shared" si="184"/>
        <v>0</v>
      </c>
      <c r="HY32" s="208">
        <f t="shared" si="185"/>
        <v>0</v>
      </c>
      <c r="HZ32" s="208">
        <f t="shared" si="186"/>
        <v>0</v>
      </c>
      <c r="IA32" s="207">
        <f t="shared" si="187"/>
        <v>27</v>
      </c>
      <c r="IB32" s="207">
        <f t="shared" si="188"/>
        <v>3</v>
      </c>
      <c r="IC32" s="343" t="str">
        <f t="shared" si="189"/>
        <v>A</v>
      </c>
      <c r="ID32" s="343" t="str">
        <f t="shared" si="190"/>
        <v>04012</v>
      </c>
      <c r="IE32" s="343" t="str">
        <f t="shared" si="191"/>
        <v>181019</v>
      </c>
      <c r="IF32" s="343" t="str">
        <f t="shared" si="192"/>
        <v>TG05</v>
      </c>
      <c r="IG32" s="383">
        <f t="shared" si="193"/>
        <v>43756</v>
      </c>
      <c r="IH32" s="383">
        <f t="shared" si="194"/>
        <v>45583</v>
      </c>
      <c r="II32" s="208">
        <v>37</v>
      </c>
    </row>
    <row r="33" ht="165.75">
      <c r="A33" s="207">
        <f>Input!A33</f>
        <v>31</v>
      </c>
      <c r="B33" s="343" t="str">
        <f> Profile!$A$3</f>
        <v>VINAPHONE</v>
      </c>
      <c r="C33" s="343" t="str">
        <f> Profile!$L$3</f>
        <v>VINAPHONE</v>
      </c>
      <c r="D33" s="207" t="str">
        <f>Input!B33</f>
        <v>NGOC-LAM-475-LBN_HNI</v>
      </c>
      <c r="E33" s="317" t="str">
        <f>Input!C33</f>
        <v>Số 475, đường Ngọc Lâm, phường Ngọc Lâm, quận Long Biên, thành phố Hà Nội</v>
      </c>
      <c r="F33" s="207" t="str">
        <f>Input!D33</f>
        <v>Hà Nội</v>
      </c>
      <c r="G33" s="207">
        <f>Input!E33</f>
        <v>105.876561</v>
      </c>
      <c r="H33" s="207">
        <f>Input!F33</f>
        <v>21.049645</v>
      </c>
      <c r="I33" s="207">
        <f>Input!G33</f>
        <v>1</v>
      </c>
      <c r="J33" s="207">
        <f>Input!H33</f>
        <v>2</v>
      </c>
      <c r="K33" s="207" t="str">
        <f t="shared" si="0"/>
        <v>TỔNG CÔNG TY HẠ TẦNG MẠNG;TỔNG CÔNG TY HẠ TẦNG MẠNG</v>
      </c>
      <c r="L33" s="207" t="str">
        <f>Input!J33</f>
        <v>NGOC-LAM-475-LBN_HNI;NGOC-LAM-475-LBN_HNI</v>
      </c>
      <c r="M33" s="207" t="str">
        <f>Input!K33</f>
        <v>NOKIA FLEXI MULTIRADIO BTS RADIO MODULE AND REMOTE RADIO (FRGY);NOKIA FLEXI MULTIRADIO BTS RADIO MODULE AND REMOTE RADIO (FHEL)</v>
      </c>
      <c r="N33" s="207" t="str">
        <f>Input!L33</f>
        <v>3;3</v>
      </c>
      <c r="O33" s="207" t="str">
        <f>Input!M33</f>
        <v>2/2/2;1/1/1</v>
      </c>
      <c r="P33" s="207" t="str">
        <f>Input!N33</f>
        <v>60/60/60;60/60/60</v>
      </c>
      <c r="Q33" s="207" t="str">
        <f>Input!O33</f>
        <v>2100;1800</v>
      </c>
      <c r="R33" s="207" t="str">
        <f>Input!P33</f>
        <v>27/27/27;27/27/27</v>
      </c>
      <c r="S33" s="364" t="b">
        <f>Input!Q33</f>
        <v>1</v>
      </c>
      <c r="T33" s="207" t="str">
        <f>Input!R33</f>
        <v>A04013181019TG05</v>
      </c>
      <c r="U33" s="207">
        <f>Input!S33</f>
        <v>0</v>
      </c>
      <c r="V33" s="207" t="str">
        <f>Input!T33</f>
        <v>VCC1</v>
      </c>
      <c r="W33" s="207" t="str">
        <f>Input!U33</f>
        <v>1902962/19/TG/TT1</v>
      </c>
      <c r="X33" s="209" t="str">
        <f>TEXT(Input!V33,"dd/mm/yyyy")</f>
        <v>18/10/2019</v>
      </c>
      <c r="Y33" s="207" t="b">
        <f>Input!W33</f>
        <v>0</v>
      </c>
      <c r="Z33" s="364" t="b">
        <f>Input!X33</f>
        <v>0</v>
      </c>
      <c r="AA33" s="207">
        <f t="shared" si="1"/>
        <v>27</v>
      </c>
      <c r="AB33" s="364" t="b">
        <f>Input!Y33</f>
        <v>1</v>
      </c>
      <c r="AC33" s="207">
        <f>VALUE(Input!Z33)</f>
        <v>20</v>
      </c>
      <c r="AD33" s="207" t="b">
        <f>Input!AA33</f>
        <v>0</v>
      </c>
      <c r="AE33" s="207" t="str">
        <f>Input!AB33</f>
        <v>Vũ Văn Giáp</v>
      </c>
      <c r="AF33" s="207" t="str">
        <f>Input!AC33</f>
        <v>Lê Tiến Cường</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Tổng Công ty Hạ tầng mạng</v>
      </c>
      <c r="AN33" s="208" t="str">
        <f>INDEX(OperatorNameList,MATCH(C33,OperatorIDList,0))</f>
        <v>TỔNG CÔNG TY HẠ TẦNG MẠNG</v>
      </c>
      <c r="AO33" s="207">
        <f t="shared" si="2"/>
        <v>4</v>
      </c>
      <c r="AP33" s="287" t="str">
        <f t="shared" si="3"/>
        <v>thành phố Hà Nội</v>
      </c>
      <c r="AQ33" s="448" t="str">
        <f t="shared" si="4"/>
        <v>quận Long Biên</v>
      </c>
      <c r="AR33" s="448" t="str">
        <f t="shared" si="5"/>
        <v>phường Ngọc Lâm</v>
      </c>
      <c r="AS33" s="449" t="str">
        <f>INDEX(CityIDList,MATCH(F33,CityNameList,0))</f>
        <v>HNI</v>
      </c>
      <c r="AT33" s="208" t="str">
        <f>IF(J33&gt;=1,INDEX(OperatorNameList,MATCH(AZ33,OperatorIDList,0)),"")</f>
        <v>TỔNG CÔNG TY HẠ TẦNG MẠNG</v>
      </c>
      <c r="AU33" s="208" t="str">
        <f>IF(J33&gt;=2,INDEX(OperatorNameList,MATCH(BA33,OperatorIDList,0)),"")</f>
        <v>TỔNG CÔNG TY HẠ TẦNG MẠNG</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VINAPHONE</v>
      </c>
      <c r="BA33" s="208" t="str">
        <f t="shared" si="7"/>
        <v>VINAPHONE</v>
      </c>
      <c r="BB33" s="208" t="str">
        <f t="shared" si="8"/>
      </c>
      <c r="BC33" s="208" t="str">
        <f t="shared" si="9"/>
      </c>
      <c r="BD33" s="208" t="str">
        <f t="shared" si="10"/>
      </c>
      <c r="BE33" s="208" t="str">
        <f t="shared" si="11"/>
      </c>
      <c r="BF33" s="208" t="str">
        <f>Input!I33</f>
        <v>VINAPHONE;VINAPHONE</v>
      </c>
      <c r="BG33" s="208" t="str">
        <f t="shared" si="12"/>
        <v>NGOC-LAM-475-LBN_HNI</v>
      </c>
      <c r="BH33" s="208" t="str">
        <f t="shared" si="13"/>
        <v>NGOC-LAM-475-LBN_HNI</v>
      </c>
      <c r="BI33" s="208" t="str">
        <f t="shared" si="14"/>
      </c>
      <c r="BJ33" s="208" t="str">
        <f t="shared" si="15"/>
      </c>
      <c r="BK33" s="208" t="str">
        <f t="shared" si="16"/>
      </c>
      <c r="BL33" s="208" t="str">
        <f t="shared" si="17"/>
      </c>
      <c r="BM33" s="208" t="str">
        <f t="shared" si="18"/>
        <v>NOKIA FLEXI MULTIRADIO BTS RADIO MODULE AND REMOTE RADIO (FRGY)</v>
      </c>
      <c r="BN33" s="208" t="str">
        <f t="shared" si="19"/>
        <v>NOKIA FLEXI MULTIRADIO BTS RADIO MODULE AND REMOTE RADIO (FHEL)</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2/2/2</v>
      </c>
      <c r="BZ33" s="208">
        <f t="shared" si="31"/>
        <v>2</v>
      </c>
      <c r="CA33" s="208">
        <f t="shared" si="32"/>
        <v>2</v>
      </c>
      <c r="CB33" s="208">
        <f t="shared" si="33"/>
        <v>2</v>
      </c>
      <c r="CC33" s="208">
        <f t="shared" si="34"/>
        <v>0</v>
      </c>
      <c r="CD33" s="208">
        <f t="shared" si="35"/>
        <v>0</v>
      </c>
      <c r="CE33" s="208">
        <f t="shared" si="36"/>
        <v>0</v>
      </c>
      <c r="CF33" s="208" t="str">
        <f t="shared" si="37"/>
        <v>1/1/1</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60/60/60</v>
      </c>
      <c r="DP33" s="208">
        <f t="shared" si="73"/>
        <v>60</v>
      </c>
      <c r="DQ33" s="208">
        <f t="shared" si="74"/>
        <v>60</v>
      </c>
      <c r="DR33" s="208">
        <f t="shared" si="75"/>
        <v>60</v>
      </c>
      <c r="DS33" s="208">
        <f t="shared" si="76"/>
        <v>0</v>
      </c>
      <c r="DT33" s="208">
        <f t="shared" si="77"/>
        <v>0</v>
      </c>
      <c r="DU33" s="208">
        <f t="shared" si="78"/>
        <v>0</v>
      </c>
      <c r="DV33" s="208" t="str">
        <f t="shared" si="79"/>
        <v>60W/ 60W/ 60W</v>
      </c>
      <c r="DW33" s="208">
        <f t="shared" si="80"/>
        <v>60</v>
      </c>
      <c r="DX33" s="208" t="str">
        <f t="shared" si="81"/>
        <v>60/60/60</v>
      </c>
      <c r="DY33" s="208">
        <f t="shared" si="82"/>
        <v>60</v>
      </c>
      <c r="DZ33" s="208">
        <f t="shared" si="83"/>
        <v>60</v>
      </c>
      <c r="EA33" s="208">
        <f t="shared" si="84"/>
        <v>60</v>
      </c>
      <c r="EB33" s="208">
        <f t="shared" si="85"/>
        <v>0</v>
      </c>
      <c r="EC33" s="208">
        <f t="shared" si="86"/>
        <v>0</v>
      </c>
      <c r="ED33" s="208">
        <f t="shared" si="87"/>
        <v>0</v>
      </c>
      <c r="EE33" s="208" t="str">
        <f t="shared" si="88"/>
        <v>60W/ 60W/ 60W</v>
      </c>
      <c r="EF33" s="208">
        <f t="shared" si="89"/>
        <v>60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60</v>
      </c>
      <c r="FR33" s="208" t="str">
        <f t="shared" si="127"/>
        <v>2100</v>
      </c>
      <c r="FS33" s="208" t="str">
        <f t="shared" si="128"/>
        <v>1800</v>
      </c>
      <c r="FT33" s="208" t="str">
        <f t="shared" si="129"/>
      </c>
      <c r="FU33" s="208" t="str">
        <f t="shared" si="130"/>
      </c>
      <c r="FV33" s="208" t="str">
        <f t="shared" si="131"/>
      </c>
      <c r="FW33" s="208" t="str">
        <f t="shared" si="132"/>
      </c>
      <c r="FX33" s="208" t="str">
        <f t="shared" si="133"/>
        <v>27/27/27</v>
      </c>
      <c r="FY33" s="208">
        <f t="shared" si="134"/>
        <v>27</v>
      </c>
      <c r="FZ33" s="208">
        <f t="shared" si="135"/>
        <v>27</v>
      </c>
      <c r="GA33" s="208">
        <f t="shared" si="136"/>
        <v>27</v>
      </c>
      <c r="GB33" s="208">
        <f t="shared" si="137"/>
        <v>0</v>
      </c>
      <c r="GC33" s="208">
        <f t="shared" si="138"/>
        <v>0</v>
      </c>
      <c r="GD33" s="208">
        <f t="shared" si="139"/>
        <v>0</v>
      </c>
      <c r="GE33" s="208" t="str">
        <f t="shared" si="140"/>
        <v>27m/ 27m/ 27m</v>
      </c>
      <c r="GF33" s="208" t="str">
        <f t="shared" si="141"/>
        <v>27/27/27</v>
      </c>
      <c r="GG33" s="208">
        <f t="shared" si="142"/>
        <v>27</v>
      </c>
      <c r="GH33" s="208">
        <f t="shared" si="143"/>
        <v>27</v>
      </c>
      <c r="GI33" s="208">
        <f t="shared" si="144"/>
        <v>27</v>
      </c>
      <c r="GJ33" s="208">
        <f t="shared" si="145"/>
        <v>0</v>
      </c>
      <c r="GK33" s="208">
        <f t="shared" si="146"/>
        <v>0</v>
      </c>
      <c r="GL33" s="208">
        <f t="shared" si="147"/>
        <v>0</v>
      </c>
      <c r="GM33" s="208" t="str">
        <f t="shared" si="148"/>
        <v>27m/ 27m/ 27m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27</v>
      </c>
      <c r="HV33" s="208">
        <f t="shared" si="182"/>
        <v>27</v>
      </c>
      <c r="HW33" s="208">
        <f t="shared" si="183"/>
        <v>0</v>
      </c>
      <c r="HX33" s="208">
        <f t="shared" si="184"/>
        <v>0</v>
      </c>
      <c r="HY33" s="208">
        <f t="shared" si="185"/>
        <v>0</v>
      </c>
      <c r="HZ33" s="208">
        <f t="shared" si="186"/>
        <v>0</v>
      </c>
      <c r="IA33" s="207">
        <f t="shared" si="187"/>
        <v>27</v>
      </c>
      <c r="IB33" s="207">
        <f t="shared" si="188"/>
        <v>7</v>
      </c>
      <c r="IC33" s="343" t="str">
        <f t="shared" si="189"/>
        <v>A</v>
      </c>
      <c r="ID33" s="343" t="str">
        <f t="shared" si="190"/>
        <v>04013</v>
      </c>
      <c r="IE33" s="343" t="str">
        <f t="shared" si="191"/>
        <v>181019</v>
      </c>
      <c r="IF33" s="343" t="str">
        <f t="shared" si="192"/>
        <v>TG05</v>
      </c>
      <c r="IG33" s="383">
        <f t="shared" si="193"/>
        <v>43756</v>
      </c>
      <c r="IH33" s="383">
        <f t="shared" si="194"/>
        <v>45583</v>
      </c>
      <c r="II33" s="208">
        <v>37</v>
      </c>
    </row>
    <row r="34" ht="165.75">
      <c r="A34" s="207">
        <f>Input!A34</f>
        <v>32</v>
      </c>
      <c r="B34" s="343" t="str">
        <f> Profile!$A$3</f>
        <v>VINAPHONE</v>
      </c>
      <c r="C34" s="343" t="str">
        <f> Profile!$L$3</f>
        <v>VINAPHONE</v>
      </c>
      <c r="D34" s="207" t="str">
        <f>Input!B34</f>
        <v>NGUYEN-DUC-THUAN-197-GLM_HNI</v>
      </c>
      <c r="E34" s="317" t="str">
        <f>Input!C34</f>
        <v>Số 189, đường Nguyễn Đức Thuận, thị trấn Trâu Quỳ, huyện Gia Lâm, thành phố Hà Nội</v>
      </c>
      <c r="F34" s="207" t="str">
        <f>Input!D34</f>
        <v>Hà Nội</v>
      </c>
      <c r="G34" s="207">
        <f>Input!E34</f>
        <v>105.937558</v>
      </c>
      <c r="H34" s="207">
        <f>Input!F34</f>
        <v>21.021868</v>
      </c>
      <c r="I34" s="207">
        <f>Input!G34</f>
        <v>1</v>
      </c>
      <c r="J34" s="207">
        <f>Input!H34</f>
        <v>2</v>
      </c>
      <c r="K34" s="207" t="str">
        <f t="shared" si="0"/>
        <v>TỔNG CÔNG TY HẠ TẦNG MẠNG;TỔNG CÔNG TY HẠ TẦNG MẠNG</v>
      </c>
      <c r="L34" s="207" t="str">
        <f>Input!J34</f>
        <v>NGUYEN-DUC-THUAN-197-GLM_HNI;NGUYEN-DUC-THUAN-197-GLM_HNI</v>
      </c>
      <c r="M34" s="207" t="str">
        <f>Input!K34</f>
        <v>NOKIA FLEXI MULTIRADIO BTS RADIO MODULE AND REMOTE RADIO (FRGY);NOKIA FLEXI MULTIRADIO BTS RADIO MODULE AND REMOTE RADIO (FHEL)</v>
      </c>
      <c r="N34" s="207" t="str">
        <f>Input!L34</f>
        <v>3;3</v>
      </c>
      <c r="O34" s="207" t="str">
        <f>Input!M34</f>
        <v>2/2/2;1/1/1</v>
      </c>
      <c r="P34" s="207" t="str">
        <f>Input!N34</f>
        <v>60/60/60;60/60/60</v>
      </c>
      <c r="Q34" s="207" t="str">
        <f>Input!O34</f>
        <v>2100;1800</v>
      </c>
      <c r="R34" s="207" t="str">
        <f>Input!P34</f>
        <v>25/25/25;25/25/25</v>
      </c>
      <c r="S34" s="364" t="b">
        <f>Input!Q34</f>
        <v>1</v>
      </c>
      <c r="T34" s="207" t="str">
        <f>Input!R34</f>
        <v>A04014181019TG05</v>
      </c>
      <c r="U34" s="207">
        <f>Input!S34</f>
        <v>0</v>
      </c>
      <c r="V34" s="207" t="str">
        <f>Input!T34</f>
        <v>VCC1</v>
      </c>
      <c r="W34" s="207" t="str">
        <f>Input!U34</f>
        <v>1902959/19/TG/TT1</v>
      </c>
      <c r="X34" s="209" t="str">
        <f>TEXT(Input!V34,"dd/mm/yyyy")</f>
        <v>18/10/2019</v>
      </c>
      <c r="Y34" s="207" t="b">
        <f>Input!W34</f>
        <v>0</v>
      </c>
      <c r="Z34" s="364" t="b">
        <f>Input!X34</f>
        <v>0</v>
      </c>
      <c r="AA34" s="207">
        <f t="shared" si="1"/>
        <v>25</v>
      </c>
      <c r="AB34" s="364" t="b">
        <f>Input!Y34</f>
        <v>1</v>
      </c>
      <c r="AC34" s="207">
        <f>VALUE(Input!Z34)</f>
        <v>12</v>
      </c>
      <c r="AD34" s="207" t="b">
        <f>Input!AA34</f>
        <v>0</v>
      </c>
      <c r="AE34" s="207" t="str">
        <f>Input!AB34</f>
        <v>Vũ Văn Giáp</v>
      </c>
      <c r="AF34" s="207" t="str">
        <f>Input!AC34</f>
        <v>Lê Tiến Cường</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Tổng Công ty Hạ tầng mạng</v>
      </c>
      <c r="AN34" s="208" t="str">
        <f>INDEX(OperatorNameList,MATCH(C34,OperatorIDList,0))</f>
        <v>TỔNG CÔNG TY HẠ TẦNG MẠNG</v>
      </c>
      <c r="AO34" s="207">
        <f t="shared" si="2"/>
        <v>4</v>
      </c>
      <c r="AP34" s="287" t="str">
        <f t="shared" si="3"/>
        <v>thành phố Hà Nội</v>
      </c>
      <c r="AQ34" s="448" t="str">
        <f t="shared" si="4"/>
        <v>huyện Gia Lâm</v>
      </c>
      <c r="AR34" s="448" t="str">
        <f t="shared" si="5"/>
        <v>thị trấn Trâu Quỳ</v>
      </c>
      <c r="AS34" s="449" t="str">
        <f>INDEX(CityIDList,MATCH(F34,CityNameList,0))</f>
        <v>HNI</v>
      </c>
      <c r="AT34" s="208" t="str">
        <f>IF(J34&gt;=1,INDEX(OperatorNameList,MATCH(AZ34,OperatorIDList,0)),"")</f>
        <v>TỔNG CÔNG TY HẠ TẦNG MẠNG</v>
      </c>
      <c r="AU34" s="208" t="str">
        <f>IF(J34&gt;=2,INDEX(OperatorNameList,MATCH(BA34,OperatorIDList,0)),"")</f>
        <v>TỔNG CÔNG TY HẠ TẦNG MẠNG</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VINAPHONE</v>
      </c>
      <c r="BA34" s="208" t="str">
        <f t="shared" si="7"/>
        <v>VINAPHONE</v>
      </c>
      <c r="BB34" s="208" t="str">
        <f t="shared" si="8"/>
      </c>
      <c r="BC34" s="208" t="str">
        <f t="shared" si="9"/>
      </c>
      <c r="BD34" s="208" t="str">
        <f t="shared" si="10"/>
      </c>
      <c r="BE34" s="208" t="str">
        <f t="shared" si="11"/>
      </c>
      <c r="BF34" s="208" t="str">
        <f>Input!I34</f>
        <v>VINAPHONE;VINAPHONE</v>
      </c>
      <c r="BG34" s="208" t="str">
        <f t="shared" si="12"/>
        <v>NGUYEN-DUC-THUAN-197-GLM_HNI</v>
      </c>
      <c r="BH34" s="208" t="str">
        <f t="shared" si="13"/>
        <v>NGUYEN-DUC-THUAN-197-GLM_HNI</v>
      </c>
      <c r="BI34" s="208" t="str">
        <f t="shared" si="14"/>
      </c>
      <c r="BJ34" s="208" t="str">
        <f t="shared" si="15"/>
      </c>
      <c r="BK34" s="208" t="str">
        <f t="shared" si="16"/>
      </c>
      <c r="BL34" s="208" t="str">
        <f t="shared" si="17"/>
      </c>
      <c r="BM34" s="208" t="str">
        <f t="shared" si="18"/>
        <v>NOKIA FLEXI MULTIRADIO BTS RADIO MODULE AND REMOTE RADIO (FRGY)</v>
      </c>
      <c r="BN34" s="208" t="str">
        <f t="shared" si="19"/>
        <v>NOKIA FLEXI MULTIRADIO BTS RADIO MODULE AND REMOTE RADIO (FHEL)</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2/2/2</v>
      </c>
      <c r="BZ34" s="208">
        <f t="shared" si="31"/>
        <v>2</v>
      </c>
      <c r="CA34" s="208">
        <f t="shared" si="32"/>
        <v>2</v>
      </c>
      <c r="CB34" s="208">
        <f t="shared" si="33"/>
        <v>2</v>
      </c>
      <c r="CC34" s="208">
        <f t="shared" si="34"/>
        <v>0</v>
      </c>
      <c r="CD34" s="208">
        <f t="shared" si="35"/>
        <v>0</v>
      </c>
      <c r="CE34" s="208">
        <f t="shared" si="36"/>
        <v>0</v>
      </c>
      <c r="CF34" s="208" t="str">
        <f t="shared" si="37"/>
        <v>1/1/1</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60/60/60</v>
      </c>
      <c r="DP34" s="208">
        <f t="shared" si="73"/>
        <v>60</v>
      </c>
      <c r="DQ34" s="208">
        <f t="shared" si="74"/>
        <v>60</v>
      </c>
      <c r="DR34" s="208">
        <f t="shared" si="75"/>
        <v>60</v>
      </c>
      <c r="DS34" s="208">
        <f t="shared" si="76"/>
        <v>0</v>
      </c>
      <c r="DT34" s="208">
        <f t="shared" si="77"/>
        <v>0</v>
      </c>
      <c r="DU34" s="208">
        <f t="shared" si="78"/>
        <v>0</v>
      </c>
      <c r="DV34" s="208" t="str">
        <f t="shared" si="79"/>
        <v>60W/ 60W/ 60W</v>
      </c>
      <c r="DW34" s="208">
        <f t="shared" si="80"/>
        <v>60</v>
      </c>
      <c r="DX34" s="208" t="str">
        <f t="shared" si="81"/>
        <v>60/60/60</v>
      </c>
      <c r="DY34" s="208">
        <f t="shared" si="82"/>
        <v>60</v>
      </c>
      <c r="DZ34" s="208">
        <f t="shared" si="83"/>
        <v>60</v>
      </c>
      <c r="EA34" s="208">
        <f t="shared" si="84"/>
        <v>60</v>
      </c>
      <c r="EB34" s="208">
        <f t="shared" si="85"/>
        <v>0</v>
      </c>
      <c r="EC34" s="208">
        <f t="shared" si="86"/>
        <v>0</v>
      </c>
      <c r="ED34" s="208">
        <f t="shared" si="87"/>
        <v>0</v>
      </c>
      <c r="EE34" s="208" t="str">
        <f t="shared" si="88"/>
        <v>60W/ 60W/ 60W</v>
      </c>
      <c r="EF34" s="208">
        <f t="shared" si="89"/>
        <v>60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60</v>
      </c>
      <c r="FR34" s="208" t="str">
        <f t="shared" si="127"/>
        <v>2100</v>
      </c>
      <c r="FS34" s="208" t="str">
        <f t="shared" si="128"/>
        <v>1800</v>
      </c>
      <c r="FT34" s="208" t="str">
        <f t="shared" si="129"/>
      </c>
      <c r="FU34" s="208" t="str">
        <f t="shared" si="130"/>
      </c>
      <c r="FV34" s="208" t="str">
        <f t="shared" si="131"/>
      </c>
      <c r="FW34" s="208" t="str">
        <f t="shared" si="132"/>
      </c>
      <c r="FX34" s="208" t="str">
        <f t="shared" si="133"/>
        <v>25/25/25</v>
      </c>
      <c r="FY34" s="208">
        <f t="shared" si="134"/>
        <v>25</v>
      </c>
      <c r="FZ34" s="208">
        <f t="shared" si="135"/>
        <v>25</v>
      </c>
      <c r="GA34" s="208">
        <f t="shared" si="136"/>
        <v>25</v>
      </c>
      <c r="GB34" s="208">
        <f t="shared" si="137"/>
        <v>0</v>
      </c>
      <c r="GC34" s="208">
        <f t="shared" si="138"/>
        <v>0</v>
      </c>
      <c r="GD34" s="208">
        <f t="shared" si="139"/>
        <v>0</v>
      </c>
      <c r="GE34" s="208" t="str">
        <f t="shared" si="140"/>
        <v>25m/ 25m/ 25m</v>
      </c>
      <c r="GF34" s="208" t="str">
        <f t="shared" si="141"/>
        <v>25/25/25</v>
      </c>
      <c r="GG34" s="208">
        <f t="shared" si="142"/>
        <v>25</v>
      </c>
      <c r="GH34" s="208">
        <f t="shared" si="143"/>
        <v>25</v>
      </c>
      <c r="GI34" s="208">
        <f t="shared" si="144"/>
        <v>25</v>
      </c>
      <c r="GJ34" s="208">
        <f t="shared" si="145"/>
        <v>0</v>
      </c>
      <c r="GK34" s="208">
        <f t="shared" si="146"/>
        <v>0</v>
      </c>
      <c r="GL34" s="208">
        <f t="shared" si="147"/>
        <v>0</v>
      </c>
      <c r="GM34" s="208" t="str">
        <f t="shared" si="148"/>
        <v>25m/ 25m/ 25m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25</v>
      </c>
      <c r="HV34" s="208">
        <f t="shared" si="182"/>
        <v>25</v>
      </c>
      <c r="HW34" s="208">
        <f t="shared" si="183"/>
        <v>0</v>
      </c>
      <c r="HX34" s="208">
        <f t="shared" si="184"/>
        <v>0</v>
      </c>
      <c r="HY34" s="208">
        <f t="shared" si="185"/>
        <v>0</v>
      </c>
      <c r="HZ34" s="208">
        <f t="shared" si="186"/>
        <v>0</v>
      </c>
      <c r="IA34" s="207">
        <f t="shared" si="187"/>
        <v>25</v>
      </c>
      <c r="IB34" s="207">
        <f t="shared" si="188"/>
        <v>13</v>
      </c>
      <c r="IC34" s="343" t="str">
        <f t="shared" si="189"/>
        <v>A</v>
      </c>
      <c r="ID34" s="343" t="str">
        <f t="shared" si="190"/>
        <v>04014</v>
      </c>
      <c r="IE34" s="343" t="str">
        <f t="shared" si="191"/>
        <v>181019</v>
      </c>
      <c r="IF34" s="343" t="str">
        <f t="shared" si="192"/>
        <v>TG05</v>
      </c>
      <c r="IG34" s="383">
        <f t="shared" si="193"/>
        <v>43756</v>
      </c>
      <c r="IH34" s="383">
        <f t="shared" si="194"/>
        <v>45583</v>
      </c>
      <c r="II34" s="208">
        <v>37</v>
      </c>
    </row>
    <row r="35" ht="165.75">
      <c r="A35" s="207">
        <f>Input!A35</f>
        <v>33</v>
      </c>
      <c r="B35" s="343" t="str">
        <f> Profile!$A$3</f>
        <v>VINAPHONE</v>
      </c>
      <c r="C35" s="343" t="str">
        <f> Profile!$L$3</f>
        <v>VINAPHONE</v>
      </c>
      <c r="D35" s="207" t="str">
        <f>Input!B35</f>
        <v>PHUC-LOI-TO2-NGO187-LBN_HNI</v>
      </c>
      <c r="E35" s="317" t="str">
        <f>Input!C35</f>
        <v>Ngõ 87, đường Phúc Lợi, phường Phúc Lợi, quận Long Biên, thành phố Hà Nội</v>
      </c>
      <c r="F35" s="207" t="str">
        <f>Input!D35</f>
        <v>Hà Nội</v>
      </c>
      <c r="G35" s="207">
        <f>Input!E35</f>
        <v>105.916195</v>
      </c>
      <c r="H35" s="207">
        <f>Input!F35</f>
        <v>21.057921</v>
      </c>
      <c r="I35" s="207">
        <f>Input!G35</f>
        <v>1</v>
      </c>
      <c r="J35" s="207">
        <f>Input!H35</f>
        <v>2</v>
      </c>
      <c r="K35" s="207" t="str">
        <f t="shared" si="0"/>
        <v>TỔNG CÔNG TY HẠ TẦNG MẠNG;TỔNG CÔNG TY HẠ TẦNG MẠNG</v>
      </c>
      <c r="L35" s="207" t="str">
        <f>Input!J35</f>
        <v>PHUC-LOI-TO2-NGO187-LBN_HNI;PHUC-LOI-TO2-NGO187-LBN_HNI</v>
      </c>
      <c r="M35" s="207" t="str">
        <f>Input!K35</f>
        <v>NOKIA FLEXI MULTIRADIO BTS RADIO MODULE AND REMOTE RADIO (FRGY);NOKIA FLEXI MULTIRADIO BTS RADIO MODULE AND REMOTE RADIO (FHEL)</v>
      </c>
      <c r="N35" s="207" t="str">
        <f>Input!L35</f>
        <v>3;3</v>
      </c>
      <c r="O35" s="207" t="str">
        <f>Input!M35</f>
        <v>2/2/2;1/1/1</v>
      </c>
      <c r="P35" s="207" t="str">
        <f>Input!N35</f>
        <v>60/60/60;60/60/60</v>
      </c>
      <c r="Q35" s="207" t="str">
        <f>Input!O35</f>
        <v>2100;1800</v>
      </c>
      <c r="R35" s="207" t="str">
        <f>Input!P35</f>
        <v>16,5/16,5/16,5;16,5/16,5/16,5</v>
      </c>
      <c r="S35" s="364" t="b">
        <f>Input!Q35</f>
        <v>1</v>
      </c>
      <c r="T35" s="207" t="str">
        <f>Input!R35</f>
        <v>A04015181019TG05</v>
      </c>
      <c r="U35" s="207">
        <f>Input!S35</f>
        <v>0</v>
      </c>
      <c r="V35" s="207" t="str">
        <f>Input!T35</f>
        <v>VCC1</v>
      </c>
      <c r="W35" s="207" t="str">
        <f>Input!U35</f>
        <v>1902963/19/TG/TT1</v>
      </c>
      <c r="X35" s="209" t="str">
        <f>TEXT(Input!V35,"dd/mm/yyyy")</f>
        <v>18/10/2019</v>
      </c>
      <c r="Y35" s="207" t="b">
        <f>Input!W35</f>
        <v>0</v>
      </c>
      <c r="Z35" s="364" t="b">
        <f>Input!X35</f>
        <v>0</v>
      </c>
      <c r="AA35" s="207">
        <f t="shared" si="1"/>
        <v>16.5</v>
      </c>
      <c r="AB35" s="364" t="b">
        <f>Input!Y35</f>
        <v>1</v>
      </c>
      <c r="AC35" s="207">
        <f>VALUE(Input!Z35)</f>
        <v>12</v>
      </c>
      <c r="AD35" s="207" t="b">
        <f>Input!AA35</f>
        <v>0</v>
      </c>
      <c r="AE35" s="207" t="str">
        <f>Input!AB35</f>
        <v>Vũ Văn Giáp</v>
      </c>
      <c r="AF35" s="207" t="str">
        <f>Input!AC35</f>
        <v>Lê Tiến Cường</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Tổng Công ty Hạ tầng mạng</v>
      </c>
      <c r="AN35" s="208" t="str">
        <f>INDEX(OperatorNameList,MATCH(C35,OperatorIDList,0))</f>
        <v>TỔNG CÔNG TY HẠ TẦNG MẠNG</v>
      </c>
      <c r="AO35" s="207">
        <f t="shared" si="2"/>
        <v>4</v>
      </c>
      <c r="AP35" s="287" t="str">
        <f t="shared" si="3"/>
        <v>thành phố Hà Nội</v>
      </c>
      <c r="AQ35" s="448" t="str">
        <f t="shared" si="4"/>
        <v>quận Long Biên</v>
      </c>
      <c r="AR35" s="448" t="str">
        <f t="shared" si="5"/>
        <v>phường Phúc Lợi</v>
      </c>
      <c r="AS35" s="449" t="str">
        <f>INDEX(CityIDList,MATCH(F35,CityNameList,0))</f>
        <v>HNI</v>
      </c>
      <c r="AT35" s="208" t="str">
        <f>IF(J35&gt;=1,INDEX(OperatorNameList,MATCH(AZ35,OperatorIDList,0)),"")</f>
        <v>TỔNG CÔNG TY HẠ TẦNG MẠNG</v>
      </c>
      <c r="AU35" s="208" t="str">
        <f>IF(J35&gt;=2,INDEX(OperatorNameList,MATCH(BA35,OperatorIDList,0)),"")</f>
        <v>TỔNG CÔNG TY HẠ TẦNG MẠNG</v>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VINAPHONE</v>
      </c>
      <c r="BA35" s="208" t="str">
        <f t="shared" si="7"/>
        <v>VINAPHONE</v>
      </c>
      <c r="BB35" s="208" t="str">
        <f t="shared" si="8"/>
      </c>
      <c r="BC35" s="208" t="str">
        <f t="shared" si="9"/>
      </c>
      <c r="BD35" s="208" t="str">
        <f t="shared" si="10"/>
      </c>
      <c r="BE35" s="208" t="str">
        <f t="shared" si="11"/>
      </c>
      <c r="BF35" s="208" t="str">
        <f>Input!I35</f>
        <v>VINAPHONE;VINAPHONE</v>
      </c>
      <c r="BG35" s="208" t="str">
        <f t="shared" si="12"/>
        <v>PHUC-LOI-TO2-NGO187-LBN_HNI</v>
      </c>
      <c r="BH35" s="208" t="str">
        <f t="shared" si="13"/>
        <v>PHUC-LOI-TO2-NGO187-LBN_HNI</v>
      </c>
      <c r="BI35" s="208" t="str">
        <f t="shared" si="14"/>
      </c>
      <c r="BJ35" s="208" t="str">
        <f t="shared" si="15"/>
      </c>
      <c r="BK35" s="208" t="str">
        <f t="shared" si="16"/>
      </c>
      <c r="BL35" s="208" t="str">
        <f t="shared" si="17"/>
      </c>
      <c r="BM35" s="208" t="str">
        <f t="shared" si="18"/>
        <v>NOKIA FLEXI MULTIRADIO BTS RADIO MODULE AND REMOTE RADIO (FRGY)</v>
      </c>
      <c r="BN35" s="208" t="str">
        <f t="shared" si="19"/>
        <v>NOKIA FLEXI MULTIRADIO BTS RADIO MODULE AND REMOTE RADIO (FHEL)</v>
      </c>
      <c r="BO35" s="208" t="str">
        <f t="shared" si="20"/>
      </c>
      <c r="BP35" s="208" t="str">
        <f t="shared" si="21"/>
      </c>
      <c r="BQ35" s="208" t="str">
        <f t="shared" si="22"/>
      </c>
      <c r="BR35" s="208" t="str">
        <f t="shared" si="23"/>
      </c>
      <c r="BS35" s="208">
        <f t="shared" si="24"/>
        <v>3</v>
      </c>
      <c r="BT35" s="208">
        <f t="shared" si="25"/>
        <v>3</v>
      </c>
      <c r="BU35" s="208">
        <f t="shared" si="26"/>
        <v>0</v>
      </c>
      <c r="BV35" s="208">
        <f t="shared" si="27"/>
        <v>0</v>
      </c>
      <c r="BW35" s="208">
        <f t="shared" si="28"/>
        <v>0</v>
      </c>
      <c r="BX35" s="208">
        <f t="shared" si="29"/>
        <v>0</v>
      </c>
      <c r="BY35" s="208" t="str">
        <f t="shared" si="30"/>
        <v>2/2/2</v>
      </c>
      <c r="BZ35" s="208">
        <f t="shared" si="31"/>
        <v>2</v>
      </c>
      <c r="CA35" s="208">
        <f t="shared" si="32"/>
        <v>2</v>
      </c>
      <c r="CB35" s="208">
        <f t="shared" si="33"/>
        <v>2</v>
      </c>
      <c r="CC35" s="208">
        <f t="shared" si="34"/>
        <v>0</v>
      </c>
      <c r="CD35" s="208">
        <f t="shared" si="35"/>
        <v>0</v>
      </c>
      <c r="CE35" s="208">
        <f t="shared" si="36"/>
        <v>0</v>
      </c>
      <c r="CF35" s="208" t="str">
        <f t="shared" si="37"/>
        <v>1/1/1</v>
      </c>
      <c r="CG35" s="208">
        <f t="shared" si="38"/>
        <v>1</v>
      </c>
      <c r="CH35" s="208">
        <f t="shared" si="39"/>
        <v>1</v>
      </c>
      <c r="CI35" s="208">
        <f t="shared" si="40"/>
        <v>1</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60/60/60</v>
      </c>
      <c r="DP35" s="208">
        <f t="shared" si="73"/>
        <v>60</v>
      </c>
      <c r="DQ35" s="208">
        <f t="shared" si="74"/>
        <v>60</v>
      </c>
      <c r="DR35" s="208">
        <f t="shared" si="75"/>
        <v>60</v>
      </c>
      <c r="DS35" s="208">
        <f t="shared" si="76"/>
        <v>0</v>
      </c>
      <c r="DT35" s="208">
        <f t="shared" si="77"/>
        <v>0</v>
      </c>
      <c r="DU35" s="208">
        <f t="shared" si="78"/>
        <v>0</v>
      </c>
      <c r="DV35" s="208" t="str">
        <f t="shared" si="79"/>
        <v>60W/ 60W/ 60W</v>
      </c>
      <c r="DW35" s="208">
        <f t="shared" si="80"/>
        <v>60</v>
      </c>
      <c r="DX35" s="208" t="str">
        <f t="shared" si="81"/>
        <v>60/60/60</v>
      </c>
      <c r="DY35" s="208">
        <f t="shared" si="82"/>
        <v>60</v>
      </c>
      <c r="DZ35" s="208">
        <f t="shared" si="83"/>
        <v>60</v>
      </c>
      <c r="EA35" s="208">
        <f t="shared" si="84"/>
        <v>60</v>
      </c>
      <c r="EB35" s="208">
        <f t="shared" si="85"/>
        <v>0</v>
      </c>
      <c r="EC35" s="208">
        <f t="shared" si="86"/>
        <v>0</v>
      </c>
      <c r="ED35" s="208">
        <f t="shared" si="87"/>
        <v>0</v>
      </c>
      <c r="EE35" s="208" t="str">
        <f t="shared" si="88"/>
        <v>60W/ 60W/ 60W</v>
      </c>
      <c r="EF35" s="208">
        <f t="shared" si="89"/>
        <v>60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60</v>
      </c>
      <c r="FR35" s="208" t="str">
        <f t="shared" si="127"/>
        <v>2100</v>
      </c>
      <c r="FS35" s="208" t="str">
        <f t="shared" si="128"/>
        <v>1800</v>
      </c>
      <c r="FT35" s="208" t="str">
        <f t="shared" si="129"/>
      </c>
      <c r="FU35" s="208" t="str">
        <f t="shared" si="130"/>
      </c>
      <c r="FV35" s="208" t="str">
        <f t="shared" si="131"/>
      </c>
      <c r="FW35" s="208" t="str">
        <f t="shared" si="132"/>
      </c>
      <c r="FX35" s="208" t="str">
        <f t="shared" si="133"/>
        <v>16,5/16,5/16,5</v>
      </c>
      <c r="FY35" s="208">
        <f t="shared" si="134"/>
        <v>16.5</v>
      </c>
      <c r="FZ35" s="208">
        <f t="shared" si="135"/>
        <v>16.5</v>
      </c>
      <c r="GA35" s="208">
        <f t="shared" si="136"/>
        <v>16.5</v>
      </c>
      <c r="GB35" s="208">
        <f t="shared" si="137"/>
        <v>0</v>
      </c>
      <c r="GC35" s="208">
        <f t="shared" si="138"/>
        <v>0</v>
      </c>
      <c r="GD35" s="208">
        <f t="shared" si="139"/>
        <v>0</v>
      </c>
      <c r="GE35" s="208" t="str">
        <f t="shared" si="140"/>
        <v>16,5m/ 16,5m/ 16,5m</v>
      </c>
      <c r="GF35" s="208" t="str">
        <f t="shared" si="141"/>
        <v>16,5/16,5/16,5</v>
      </c>
      <c r="GG35" s="208">
        <f t="shared" si="142"/>
        <v>16.5</v>
      </c>
      <c r="GH35" s="208">
        <f t="shared" si="143"/>
        <v>16.5</v>
      </c>
      <c r="GI35" s="208">
        <f t="shared" si="144"/>
        <v>16.5</v>
      </c>
      <c r="GJ35" s="208">
        <f t="shared" si="145"/>
        <v>0</v>
      </c>
      <c r="GK35" s="208">
        <f t="shared" si="146"/>
        <v>0</v>
      </c>
      <c r="GL35" s="208">
        <f t="shared" si="147"/>
        <v>0</v>
      </c>
      <c r="GM35" s="208" t="str">
        <f t="shared" si="148"/>
        <v>16,5m/ 16,5m/ 16,5m</v>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16.5</v>
      </c>
      <c r="HV35" s="208">
        <f t="shared" si="182"/>
        <v>16.5</v>
      </c>
      <c r="HW35" s="208">
        <f t="shared" si="183"/>
        <v>0</v>
      </c>
      <c r="HX35" s="208">
        <f t="shared" si="184"/>
        <v>0</v>
      </c>
      <c r="HY35" s="208">
        <f t="shared" si="185"/>
        <v>0</v>
      </c>
      <c r="HZ35" s="208">
        <f t="shared" si="186"/>
        <v>0</v>
      </c>
      <c r="IA35" s="207">
        <f t="shared" si="187"/>
        <v>16.5</v>
      </c>
      <c r="IB35" s="207">
        <f t="shared" si="188"/>
        <v>4.5</v>
      </c>
      <c r="IC35" s="343" t="str">
        <f t="shared" si="189"/>
        <v>A</v>
      </c>
      <c r="ID35" s="343" t="str">
        <f t="shared" si="190"/>
        <v>04015</v>
      </c>
      <c r="IE35" s="343" t="str">
        <f t="shared" si="191"/>
        <v>181019</v>
      </c>
      <c r="IF35" s="343" t="str">
        <f t="shared" si="192"/>
        <v>TG05</v>
      </c>
      <c r="IG35" s="383">
        <f t="shared" si="193"/>
        <v>43756</v>
      </c>
      <c r="IH35" s="383">
        <f t="shared" si="194"/>
        <v>45583</v>
      </c>
      <c r="II35" s="208">
        <v>37</v>
      </c>
    </row>
    <row r="36" ht="165.75">
      <c r="A36" s="207">
        <f>Input!A36</f>
        <v>34</v>
      </c>
      <c r="B36" s="343" t="str">
        <f> Profile!$A$3</f>
        <v>VINAPHONE</v>
      </c>
      <c r="C36" s="343" t="str">
        <f> Profile!$L$3</f>
        <v>VINAPHONE</v>
      </c>
      <c r="D36" s="207" t="str">
        <f>Input!B36</f>
        <v>TONG-DAI-KCN-BAC-THANG-LONG-DAH_HNI</v>
      </c>
      <c r="E36" s="317" t="str">
        <f>Input!C36</f>
        <v>Tổng đài khu công nghiệp Bắc Thăng Long, xã Võng La, huyện Đông Anh, thành phố Hà Nội</v>
      </c>
      <c r="F36" s="207" t="str">
        <f>Input!D36</f>
        <v>Hà Nội</v>
      </c>
      <c r="G36" s="207">
        <f>Input!E36</f>
        <v>105.776841</v>
      </c>
      <c r="H36" s="207">
        <f>Input!F36</f>
        <v>21.110002</v>
      </c>
      <c r="I36" s="207">
        <f>Input!G36</f>
        <v>1</v>
      </c>
      <c r="J36" s="207">
        <f>Input!H36</f>
        <v>2</v>
      </c>
      <c r="K36" s="207" t="str">
        <f t="shared" si="0"/>
        <v>TỔNG CÔNG TY HẠ TẦNG MẠNG;TỔNG CÔNG TY HẠ TẦNG MẠNG</v>
      </c>
      <c r="L36" s="207" t="str">
        <f>Input!J36</f>
        <v>TONG-DAI-KCN-BAC-THANG-LONG-DAH_HNI;TONG-DAI-KCN-BAC-THANG-LONG-DAH_HNI</v>
      </c>
      <c r="M36" s="207" t="str">
        <f>Input!K36</f>
        <v>NOKIA FLEXI MULTIRADIO BTS RADIO MODULE AND REMOTE RADIO (FRGY);NOKIA FLEXI MULTIRADIO BTS RADIO MODULE AND REMOTE RADIO (FHEL)</v>
      </c>
      <c r="N36" s="207" t="str">
        <f>Input!L36</f>
        <v>3;3</v>
      </c>
      <c r="O36" s="207" t="str">
        <f>Input!M36</f>
        <v>2/2/2;1/1/1</v>
      </c>
      <c r="P36" s="207" t="str">
        <f>Input!N36</f>
        <v>60/60/60;60/60/60</v>
      </c>
      <c r="Q36" s="207" t="str">
        <f>Input!O36</f>
        <v>2100;1800</v>
      </c>
      <c r="R36" s="207" t="str">
        <f>Input!P36</f>
        <v>25/25/25;25/25/25</v>
      </c>
      <c r="S36" s="364" t="b">
        <f>Input!Q36</f>
        <v>1</v>
      </c>
      <c r="T36" s="207" t="str">
        <f>Input!R36</f>
        <v>A04016181019TG05</v>
      </c>
      <c r="U36" s="207">
        <f>Input!S36</f>
        <v>0</v>
      </c>
      <c r="V36" s="207" t="str">
        <f>Input!T36</f>
        <v>VCC1</v>
      </c>
      <c r="W36" s="207" t="str">
        <f>Input!U36</f>
        <v>1902960/19/TG/TT1</v>
      </c>
      <c r="X36" s="209" t="str">
        <f>TEXT(Input!V36,"dd/mm/yyyy")</f>
        <v>18/10/2019</v>
      </c>
      <c r="Y36" s="207" t="b">
        <f>Input!W36</f>
        <v>0</v>
      </c>
      <c r="Z36" s="364" t="b">
        <f>Input!X36</f>
        <v>0</v>
      </c>
      <c r="AA36" s="207">
        <f t="shared" si="1"/>
        <v>25</v>
      </c>
      <c r="AB36" s="364" t="b">
        <f>Input!Y36</f>
        <v>1</v>
      </c>
      <c r="AC36" s="207">
        <f>VALUE(Input!Z36)</f>
        <v>12</v>
      </c>
      <c r="AD36" s="207" t="b">
        <f>Input!AA36</f>
        <v>0</v>
      </c>
      <c r="AE36" s="207" t="str">
        <f>Input!AB36</f>
        <v>Vũ Văn Giáp</v>
      </c>
      <c r="AF36" s="207" t="str">
        <f>Input!AC36</f>
        <v>Lê Tiến Cường</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Tổng Công ty Hạ tầng mạng</v>
      </c>
      <c r="AN36" s="208" t="str">
        <f>INDEX(OperatorNameList,MATCH(C36,OperatorIDList,0))</f>
        <v>TỔNG CÔNG TY HẠ TẦNG MẠNG</v>
      </c>
      <c r="AO36" s="207">
        <f t="shared" si="2"/>
        <v>3</v>
      </c>
      <c r="AP36" s="287" t="str">
        <f t="shared" si="3"/>
        <v>thành phố Hà Nội</v>
      </c>
      <c r="AQ36" s="448" t="str">
        <f t="shared" si="4"/>
        <v>huyện Đông Anh</v>
      </c>
      <c r="AR36" s="448" t="str">
        <f t="shared" si="5"/>
        <v>xã Võng La</v>
      </c>
      <c r="AS36" s="449" t="str">
        <f>INDEX(CityIDList,MATCH(F36,CityNameList,0))</f>
        <v>HNI</v>
      </c>
      <c r="AT36" s="208" t="str">
        <f>IF(J36&gt;=1,INDEX(OperatorNameList,MATCH(AZ36,OperatorIDList,0)),"")</f>
        <v>TỔNG CÔNG TY HẠ TẦNG MẠNG</v>
      </c>
      <c r="AU36" s="208" t="str">
        <f>IF(J36&gt;=2,INDEX(OperatorNameList,MATCH(BA36,OperatorIDList,0)),"")</f>
        <v>TỔNG CÔNG TY HẠ TẦNG MẠNG</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VINAPHONE</v>
      </c>
      <c r="BA36" s="208" t="str">
        <f t="shared" si="7"/>
        <v>VINAPHONE</v>
      </c>
      <c r="BB36" s="208" t="str">
        <f t="shared" si="8"/>
      </c>
      <c r="BC36" s="208" t="str">
        <f t="shared" si="9"/>
      </c>
      <c r="BD36" s="208" t="str">
        <f t="shared" si="10"/>
      </c>
      <c r="BE36" s="208" t="str">
        <f t="shared" si="11"/>
      </c>
      <c r="BF36" s="208" t="str">
        <f>Input!I36</f>
        <v>VINAPHONE;VINAPHONE</v>
      </c>
      <c r="BG36" s="208" t="str">
        <f t="shared" si="12"/>
        <v>TONG-DAI-KCN-BAC-THANG-LONG-DAH_HNI</v>
      </c>
      <c r="BH36" s="208" t="str">
        <f t="shared" si="13"/>
        <v>TONG-DAI-KCN-BAC-THANG-LONG-DAH_HNI</v>
      </c>
      <c r="BI36" s="208" t="str">
        <f t="shared" si="14"/>
      </c>
      <c r="BJ36" s="208" t="str">
        <f t="shared" si="15"/>
      </c>
      <c r="BK36" s="208" t="str">
        <f t="shared" si="16"/>
      </c>
      <c r="BL36" s="208" t="str">
        <f t="shared" si="17"/>
      </c>
      <c r="BM36" s="208" t="str">
        <f t="shared" si="18"/>
        <v>NOKIA FLEXI MULTIRADIO BTS RADIO MODULE AND REMOTE RADIO (FRGY)</v>
      </c>
      <c r="BN36" s="208" t="str">
        <f t="shared" si="19"/>
        <v>NOKIA FLEXI MULTIRADIO BTS RADIO MODULE AND REMOTE RADIO (FHEL)</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2/2/2</v>
      </c>
      <c r="BZ36" s="208">
        <f t="shared" si="31"/>
        <v>2</v>
      </c>
      <c r="CA36" s="208">
        <f t="shared" si="32"/>
        <v>2</v>
      </c>
      <c r="CB36" s="208">
        <f t="shared" si="33"/>
        <v>2</v>
      </c>
      <c r="CC36" s="208">
        <f t="shared" si="34"/>
        <v>0</v>
      </c>
      <c r="CD36" s="208">
        <f t="shared" si="35"/>
        <v>0</v>
      </c>
      <c r="CE36" s="208">
        <f t="shared" si="36"/>
        <v>0</v>
      </c>
      <c r="CF36" s="208" t="str">
        <f t="shared" si="37"/>
        <v>1/1/1</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60/60/60</v>
      </c>
      <c r="DP36" s="208">
        <f t="shared" si="73"/>
        <v>60</v>
      </c>
      <c r="DQ36" s="208">
        <f t="shared" si="74"/>
        <v>60</v>
      </c>
      <c r="DR36" s="208">
        <f t="shared" si="75"/>
        <v>60</v>
      </c>
      <c r="DS36" s="208">
        <f t="shared" si="76"/>
        <v>0</v>
      </c>
      <c r="DT36" s="208">
        <f t="shared" si="77"/>
        <v>0</v>
      </c>
      <c r="DU36" s="208">
        <f t="shared" si="78"/>
        <v>0</v>
      </c>
      <c r="DV36" s="208" t="str">
        <f t="shared" si="79"/>
        <v>60W/ 60W/ 60W</v>
      </c>
      <c r="DW36" s="208">
        <f t="shared" si="80"/>
        <v>60</v>
      </c>
      <c r="DX36" s="208" t="str">
        <f t="shared" si="81"/>
        <v>60/60/60</v>
      </c>
      <c r="DY36" s="208">
        <f t="shared" si="82"/>
        <v>60</v>
      </c>
      <c r="DZ36" s="208">
        <f t="shared" si="83"/>
        <v>60</v>
      </c>
      <c r="EA36" s="208">
        <f t="shared" si="84"/>
        <v>60</v>
      </c>
      <c r="EB36" s="208">
        <f t="shared" si="85"/>
        <v>0</v>
      </c>
      <c r="EC36" s="208">
        <f t="shared" si="86"/>
        <v>0</v>
      </c>
      <c r="ED36" s="208">
        <f t="shared" si="87"/>
        <v>0</v>
      </c>
      <c r="EE36" s="208" t="str">
        <f t="shared" si="88"/>
        <v>60W/ 60W/ 60W</v>
      </c>
      <c r="EF36" s="208">
        <f t="shared" si="89"/>
        <v>60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60</v>
      </c>
      <c r="FR36" s="208" t="str">
        <f t="shared" si="127"/>
        <v>2100</v>
      </c>
      <c r="FS36" s="208" t="str">
        <f t="shared" si="128"/>
        <v>1800</v>
      </c>
      <c r="FT36" s="208" t="str">
        <f t="shared" si="129"/>
      </c>
      <c r="FU36" s="208" t="str">
        <f t="shared" si="130"/>
      </c>
      <c r="FV36" s="208" t="str">
        <f t="shared" si="131"/>
      </c>
      <c r="FW36" s="208" t="str">
        <f t="shared" si="132"/>
      </c>
      <c r="FX36" s="208" t="str">
        <f t="shared" si="133"/>
        <v>25/25/25</v>
      </c>
      <c r="FY36" s="208">
        <f t="shared" si="134"/>
        <v>25</v>
      </c>
      <c r="FZ36" s="208">
        <f t="shared" si="135"/>
        <v>25</v>
      </c>
      <c r="GA36" s="208">
        <f t="shared" si="136"/>
        <v>25</v>
      </c>
      <c r="GB36" s="208">
        <f t="shared" si="137"/>
        <v>0</v>
      </c>
      <c r="GC36" s="208">
        <f t="shared" si="138"/>
        <v>0</v>
      </c>
      <c r="GD36" s="208">
        <f t="shared" si="139"/>
        <v>0</v>
      </c>
      <c r="GE36" s="208" t="str">
        <f t="shared" si="140"/>
        <v>25m/ 25m/ 25m</v>
      </c>
      <c r="GF36" s="208" t="str">
        <f t="shared" si="141"/>
        <v>25/25/25</v>
      </c>
      <c r="GG36" s="208">
        <f t="shared" si="142"/>
        <v>25</v>
      </c>
      <c r="GH36" s="208">
        <f t="shared" si="143"/>
        <v>25</v>
      </c>
      <c r="GI36" s="208">
        <f t="shared" si="144"/>
        <v>25</v>
      </c>
      <c r="GJ36" s="208">
        <f t="shared" si="145"/>
        <v>0</v>
      </c>
      <c r="GK36" s="208">
        <f t="shared" si="146"/>
        <v>0</v>
      </c>
      <c r="GL36" s="208">
        <f t="shared" si="147"/>
        <v>0</v>
      </c>
      <c r="GM36" s="208" t="str">
        <f t="shared" si="148"/>
        <v>25m/ 25m/ 25m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25</v>
      </c>
      <c r="HV36" s="208">
        <f t="shared" si="182"/>
        <v>25</v>
      </c>
      <c r="HW36" s="208">
        <f t="shared" si="183"/>
        <v>0</v>
      </c>
      <c r="HX36" s="208">
        <f t="shared" si="184"/>
        <v>0</v>
      </c>
      <c r="HY36" s="208">
        <f t="shared" si="185"/>
        <v>0</v>
      </c>
      <c r="HZ36" s="208">
        <f t="shared" si="186"/>
        <v>0</v>
      </c>
      <c r="IA36" s="207">
        <f t="shared" si="187"/>
        <v>25</v>
      </c>
      <c r="IB36" s="207">
        <f t="shared" si="188"/>
        <v>13</v>
      </c>
      <c r="IC36" s="343" t="str">
        <f t="shared" si="189"/>
        <v>A</v>
      </c>
      <c r="ID36" s="343" t="str">
        <f t="shared" si="190"/>
        <v>04016</v>
      </c>
      <c r="IE36" s="343" t="str">
        <f t="shared" si="191"/>
        <v>181019</v>
      </c>
      <c r="IF36" s="343" t="str">
        <f t="shared" si="192"/>
        <v>TG05</v>
      </c>
      <c r="IG36" s="383">
        <f t="shared" si="193"/>
        <v>43756</v>
      </c>
      <c r="IH36" s="383">
        <f t="shared" si="194"/>
        <v>45583</v>
      </c>
      <c r="II36" s="208">
        <v>37</v>
      </c>
    </row>
    <row r="37" ht="165.75">
      <c r="A37" s="207">
        <f>Input!A37</f>
        <v>35</v>
      </c>
      <c r="B37" s="343" t="str">
        <f> Profile!$A$3</f>
        <v>VINAPHONE</v>
      </c>
      <c r="C37" s="343" t="str">
        <f> Profile!$L$3</f>
        <v>VINAPHONE</v>
      </c>
      <c r="D37" s="207" t="str">
        <f>Input!B37</f>
        <v>VONG-LA-SAP-MAI2-DAH_HNI</v>
      </c>
      <c r="E37" s="317" t="str">
        <f>Input!C37</f>
        <v>Thôn Sáp Mai, xã Võng La, huyện Đông Anh, thành phố Hà Nội</v>
      </c>
      <c r="F37" s="207" t="str">
        <f>Input!D37</f>
        <v>Hà Nội</v>
      </c>
      <c r="G37" s="207">
        <f>Input!E37</f>
        <v>105.755618</v>
      </c>
      <c r="H37" s="207">
        <f>Input!F37</f>
        <v>21.110651</v>
      </c>
      <c r="I37" s="207">
        <f>Input!G37</f>
        <v>1</v>
      </c>
      <c r="J37" s="207">
        <f>Input!H37</f>
        <v>2</v>
      </c>
      <c r="K37" s="207" t="str">
        <f t="shared" si="0"/>
        <v>TỔNG CÔNG TY HẠ TẦNG MẠNG;TỔNG CÔNG TY HẠ TẦNG MẠNG</v>
      </c>
      <c r="L37" s="207" t="str">
        <f>Input!J37</f>
        <v>VONG-LA-SAP-MAI2-DAH_HNI;VONG-LA-SAP-MAI2-DAH_HNI</v>
      </c>
      <c r="M37" s="207" t="str">
        <f>Input!K37</f>
        <v>NOKIA FLEXI MULTIRADIO BTS RADIO MODULE AND REMOTE RADIO (FRGY);NOKIA FLEXI MULTIRADIO BTS RADIO MODULE AND REMOTE RADIO (FHEL)</v>
      </c>
      <c r="N37" s="207" t="str">
        <f>Input!L37</f>
        <v>3;3</v>
      </c>
      <c r="O37" s="207" t="str">
        <f>Input!M37</f>
        <v>2/2/2;1/1/1</v>
      </c>
      <c r="P37" s="207" t="str">
        <f>Input!N37</f>
        <v>60/60/60;60/60/60</v>
      </c>
      <c r="Q37" s="207" t="str">
        <f>Input!O37</f>
        <v>2100;1800</v>
      </c>
      <c r="R37" s="207" t="str">
        <f>Input!P37</f>
        <v>37/37/37;37/37/37</v>
      </c>
      <c r="S37" s="364" t="b">
        <f>Input!Q37</f>
        <v>1</v>
      </c>
      <c r="T37" s="207" t="str">
        <f>Input!R37</f>
        <v>A04017181019TG05</v>
      </c>
      <c r="U37" s="207">
        <f>Input!S37</f>
        <v>0</v>
      </c>
      <c r="V37" s="207" t="str">
        <f>Input!T37</f>
        <v>VCC1</v>
      </c>
      <c r="W37" s="207" t="str">
        <f>Input!U37</f>
        <v>1902961/19/TG/TT1</v>
      </c>
      <c r="X37" s="209" t="str">
        <f>TEXT(Input!V37,"dd/mm/yyyy")</f>
        <v>18/10/2019</v>
      </c>
      <c r="Y37" s="207" t="b">
        <f>Input!W37</f>
        <v>1</v>
      </c>
      <c r="Z37" s="364" t="b">
        <f>Input!X37</f>
        <v>1</v>
      </c>
      <c r="AA37" s="207">
        <f t="shared" si="1"/>
        <v>37</v>
      </c>
      <c r="AB37" s="364" t="b">
        <f>Input!Y37</f>
        <v>0</v>
      </c>
      <c r="AC37" s="207">
        <f>VALUE(Input!Z37)</f>
        <v>0</v>
      </c>
      <c r="AD37" s="207" t="b">
        <f>Input!AA37</f>
        <v>0</v>
      </c>
      <c r="AE37" s="207" t="str">
        <f>Input!AB37</f>
        <v>Vũ Văn Giáp</v>
      </c>
      <c r="AF37" s="207" t="str">
        <f>Input!AC37</f>
        <v>Lê Tiến Cường</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Tổng Công ty Hạ tầng mạng</v>
      </c>
      <c r="AN37" s="208" t="str">
        <f>INDEX(OperatorNameList,MATCH(C37,OperatorIDList,0))</f>
        <v>TỔNG CÔNG TY HẠ TẦNG MẠNG</v>
      </c>
      <c r="AO37" s="207">
        <f t="shared" si="2"/>
        <v>3</v>
      </c>
      <c r="AP37" s="287" t="str">
        <f t="shared" si="3"/>
        <v>thành phố Hà Nội</v>
      </c>
      <c r="AQ37" s="448" t="str">
        <f t="shared" si="4"/>
        <v>huyện Đông Anh</v>
      </c>
      <c r="AR37" s="448" t="str">
        <f t="shared" si="5"/>
        <v>xã Võng La</v>
      </c>
      <c r="AS37" s="449" t="str">
        <f>INDEX(CityIDList,MATCH(F37,CityNameList,0))</f>
        <v>HNI</v>
      </c>
      <c r="AT37" s="208" t="str">
        <f>IF(J37&gt;=1,INDEX(OperatorNameList,MATCH(AZ37,OperatorIDList,0)),"")</f>
        <v>TỔNG CÔNG TY HẠ TẦNG MẠNG</v>
      </c>
      <c r="AU37" s="208" t="str">
        <f>IF(J37&gt;=2,INDEX(OperatorNameList,MATCH(BA37,OperatorIDList,0)),"")</f>
        <v>TỔNG CÔNG TY HẠ TẦNG MẠNG</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VINAPHONE</v>
      </c>
      <c r="BA37" s="208" t="str">
        <f t="shared" si="7"/>
        <v>VINAPHONE</v>
      </c>
      <c r="BB37" s="208" t="str">
        <f t="shared" si="8"/>
      </c>
      <c r="BC37" s="208" t="str">
        <f t="shared" si="9"/>
      </c>
      <c r="BD37" s="208" t="str">
        <f t="shared" si="10"/>
      </c>
      <c r="BE37" s="208" t="str">
        <f t="shared" si="11"/>
      </c>
      <c r="BF37" s="208" t="str">
        <f>Input!I37</f>
        <v>VINAPHONE;VINAPHONE</v>
      </c>
      <c r="BG37" s="208" t="str">
        <f t="shared" si="12"/>
        <v>VONG-LA-SAP-MAI2-DAH_HNI</v>
      </c>
      <c r="BH37" s="208" t="str">
        <f t="shared" si="13"/>
        <v>VONG-LA-SAP-MAI2-DAH_HNI</v>
      </c>
      <c r="BI37" s="208" t="str">
        <f t="shared" si="14"/>
      </c>
      <c r="BJ37" s="208" t="str">
        <f t="shared" si="15"/>
      </c>
      <c r="BK37" s="208" t="str">
        <f t="shared" si="16"/>
      </c>
      <c r="BL37" s="208" t="str">
        <f t="shared" si="17"/>
      </c>
      <c r="BM37" s="208" t="str">
        <f t="shared" si="18"/>
        <v>NOKIA FLEXI MULTIRADIO BTS RADIO MODULE AND REMOTE RADIO (FRGY)</v>
      </c>
      <c r="BN37" s="208" t="str">
        <f t="shared" si="19"/>
        <v>NOKIA FLEXI MULTIRADIO BTS RADIO MODULE AND REMOTE RADIO (FHEL)</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2/2/2</v>
      </c>
      <c r="BZ37" s="208">
        <f t="shared" si="31"/>
        <v>2</v>
      </c>
      <c r="CA37" s="208">
        <f t="shared" si="32"/>
        <v>2</v>
      </c>
      <c r="CB37" s="208">
        <f t="shared" si="33"/>
        <v>2</v>
      </c>
      <c r="CC37" s="208">
        <f t="shared" si="34"/>
        <v>0</v>
      </c>
      <c r="CD37" s="208">
        <f t="shared" si="35"/>
        <v>0</v>
      </c>
      <c r="CE37" s="208">
        <f t="shared" si="36"/>
        <v>0</v>
      </c>
      <c r="CF37" s="208" t="str">
        <f t="shared" si="37"/>
        <v>1/1/1</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60/60/60</v>
      </c>
      <c r="DP37" s="208">
        <f t="shared" si="73"/>
        <v>60</v>
      </c>
      <c r="DQ37" s="208">
        <f t="shared" si="74"/>
        <v>60</v>
      </c>
      <c r="DR37" s="208">
        <f t="shared" si="75"/>
        <v>60</v>
      </c>
      <c r="DS37" s="208">
        <f t="shared" si="76"/>
        <v>0</v>
      </c>
      <c r="DT37" s="208">
        <f t="shared" si="77"/>
        <v>0</v>
      </c>
      <c r="DU37" s="208">
        <f t="shared" si="78"/>
        <v>0</v>
      </c>
      <c r="DV37" s="208" t="str">
        <f t="shared" si="79"/>
        <v>60W/ 60W/ 60W</v>
      </c>
      <c r="DW37" s="208">
        <f t="shared" si="80"/>
        <v>60</v>
      </c>
      <c r="DX37" s="208" t="str">
        <f t="shared" si="81"/>
        <v>60/60/60</v>
      </c>
      <c r="DY37" s="208">
        <f t="shared" si="82"/>
        <v>60</v>
      </c>
      <c r="DZ37" s="208">
        <f t="shared" si="83"/>
        <v>60</v>
      </c>
      <c r="EA37" s="208">
        <f t="shared" si="84"/>
        <v>60</v>
      </c>
      <c r="EB37" s="208">
        <f t="shared" si="85"/>
        <v>0</v>
      </c>
      <c r="EC37" s="208">
        <f t="shared" si="86"/>
        <v>0</v>
      </c>
      <c r="ED37" s="208">
        <f t="shared" si="87"/>
        <v>0</v>
      </c>
      <c r="EE37" s="208" t="str">
        <f t="shared" si="88"/>
        <v>60W/ 60W/ 60W</v>
      </c>
      <c r="EF37" s="208">
        <f t="shared" si="89"/>
        <v>60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60</v>
      </c>
      <c r="FR37" s="208" t="str">
        <f t="shared" si="127"/>
        <v>2100</v>
      </c>
      <c r="FS37" s="208" t="str">
        <f t="shared" si="128"/>
        <v>1800</v>
      </c>
      <c r="FT37" s="208" t="str">
        <f t="shared" si="129"/>
      </c>
      <c r="FU37" s="208" t="str">
        <f t="shared" si="130"/>
      </c>
      <c r="FV37" s="208" t="str">
        <f t="shared" si="131"/>
      </c>
      <c r="FW37" s="208" t="str">
        <f t="shared" si="132"/>
      </c>
      <c r="FX37" s="208" t="str">
        <f t="shared" si="133"/>
        <v>37/37/37</v>
      </c>
      <c r="FY37" s="208">
        <f t="shared" si="134"/>
        <v>37</v>
      </c>
      <c r="FZ37" s="208">
        <f t="shared" si="135"/>
        <v>37</v>
      </c>
      <c r="GA37" s="208">
        <f t="shared" si="136"/>
        <v>37</v>
      </c>
      <c r="GB37" s="208">
        <f t="shared" si="137"/>
        <v>0</v>
      </c>
      <c r="GC37" s="208">
        <f t="shared" si="138"/>
        <v>0</v>
      </c>
      <c r="GD37" s="208">
        <f t="shared" si="139"/>
        <v>0</v>
      </c>
      <c r="GE37" s="208" t="str">
        <f t="shared" si="140"/>
        <v>37m/ 37m/ 37m</v>
      </c>
      <c r="GF37" s="208" t="str">
        <f t="shared" si="141"/>
        <v>37/37/37</v>
      </c>
      <c r="GG37" s="208">
        <f t="shared" si="142"/>
        <v>37</v>
      </c>
      <c r="GH37" s="208">
        <f t="shared" si="143"/>
        <v>37</v>
      </c>
      <c r="GI37" s="208">
        <f t="shared" si="144"/>
        <v>37</v>
      </c>
      <c r="GJ37" s="208">
        <f t="shared" si="145"/>
        <v>0</v>
      </c>
      <c r="GK37" s="208">
        <f t="shared" si="146"/>
        <v>0</v>
      </c>
      <c r="GL37" s="208">
        <f t="shared" si="147"/>
        <v>0</v>
      </c>
      <c r="GM37" s="208" t="str">
        <f t="shared" si="148"/>
        <v>37m/ 37m/ 37m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37</v>
      </c>
      <c r="HV37" s="208">
        <f t="shared" si="182"/>
        <v>37</v>
      </c>
      <c r="HW37" s="208">
        <f t="shared" si="183"/>
        <v>0</v>
      </c>
      <c r="HX37" s="208">
        <f t="shared" si="184"/>
        <v>0</v>
      </c>
      <c r="HY37" s="208">
        <f t="shared" si="185"/>
        <v>0</v>
      </c>
      <c r="HZ37" s="208">
        <f t="shared" si="186"/>
        <v>0</v>
      </c>
      <c r="IA37" s="207">
        <f t="shared" si="187"/>
        <v>37</v>
      </c>
      <c r="IB37" s="207">
        <f t="shared" si="188"/>
        <v>37</v>
      </c>
      <c r="IC37" s="343" t="str">
        <f t="shared" si="189"/>
        <v>A</v>
      </c>
      <c r="ID37" s="343" t="str">
        <f t="shared" si="190"/>
        <v>04017</v>
      </c>
      <c r="IE37" s="343" t="str">
        <f t="shared" si="191"/>
        <v>181019</v>
      </c>
      <c r="IF37" s="343" t="str">
        <f t="shared" si="192"/>
        <v>TG05</v>
      </c>
      <c r="IG37" s="383">
        <f t="shared" si="193"/>
        <v>43756</v>
      </c>
      <c r="IH37" s="383">
        <f t="shared" si="194"/>
        <v>45583</v>
      </c>
      <c r="II37" s="208">
        <v>37</v>
      </c>
    </row>
    <row r="38" ht="165.75">
      <c r="A38" s="207">
        <f>Input!A38</f>
        <v>36</v>
      </c>
      <c r="B38" s="343" t="str">
        <f> Profile!$A$3</f>
        <v>VINAPHONE</v>
      </c>
      <c r="C38" s="343" t="str">
        <f> Profile!$L$3</f>
        <v>VINAPHONE</v>
      </c>
      <c r="D38" s="207" t="str">
        <f>Input!B38</f>
        <v>QUANG-MINH-TO5-MLH_HNI</v>
      </c>
      <c r="E38" s="317" t="str">
        <f>Input!C38</f>
        <v>Tổ 5, thị trấn Quang Minh, huyện Mê Linh, thành phố Hà Nội</v>
      </c>
      <c r="F38" s="207" t="str">
        <f>Input!D38</f>
        <v>Hà Nội</v>
      </c>
      <c r="G38" s="207">
        <f>Input!E38</f>
        <v>105.768676</v>
      </c>
      <c r="H38" s="207">
        <f>Input!F38</f>
        <v>21.195116</v>
      </c>
      <c r="I38" s="207">
        <f>Input!G38</f>
        <v>1</v>
      </c>
      <c r="J38" s="207">
        <f>Input!H38</f>
        <v>2</v>
      </c>
      <c r="K38" s="207" t="str">
        <f t="shared" si="0"/>
        <v>TỔNG CÔNG TY HẠ TẦNG MẠNG;TỔNG CÔNG TY HẠ TẦNG MẠNG</v>
      </c>
      <c r="L38" s="207" t="str">
        <f>Input!J38</f>
        <v>QUANG-MINH-TO5-MLH_HNI;QUANG-MINH-TO5-MLH_HNI</v>
      </c>
      <c r="M38" s="207" t="str">
        <f>Input!K38</f>
        <v>NOKIA FLEXI MULTIRADIO BTS RADIO MODULE AND REMOTE RADIO (FRGY);NOKIA FLEXI MULTIRADIO BTS RADIO MODULE AND REMOTE RADIO (FHEL)</v>
      </c>
      <c r="N38" s="207" t="str">
        <f>Input!L38</f>
        <v>3;3</v>
      </c>
      <c r="O38" s="207" t="str">
        <f>Input!M38</f>
        <v>2/2/2;1/1/1</v>
      </c>
      <c r="P38" s="207" t="str">
        <f>Input!N38</f>
        <v>60/60/60;60/60/60</v>
      </c>
      <c r="Q38" s="207" t="str">
        <f>Input!O38</f>
        <v>2100;1800</v>
      </c>
      <c r="R38" s="207" t="str">
        <f>Input!P38</f>
        <v>26/26/26;26/26/26</v>
      </c>
      <c r="S38" s="364" t="b">
        <f>Input!Q38</f>
        <v>1</v>
      </c>
      <c r="T38" s="207" t="str">
        <f>Input!R38</f>
        <v>A04018181019TG05</v>
      </c>
      <c r="U38" s="207">
        <f>Input!S38</f>
        <v>0</v>
      </c>
      <c r="V38" s="207" t="str">
        <f>Input!T38</f>
        <v>VCC1</v>
      </c>
      <c r="W38" s="207" t="str">
        <f>Input!U38</f>
        <v>1902965/19/TG/TT1</v>
      </c>
      <c r="X38" s="209" t="str">
        <f>TEXT(Input!V38,"dd/mm/yyyy")</f>
        <v>18/10/2019</v>
      </c>
      <c r="Y38" s="207" t="b">
        <f>Input!W38</f>
        <v>0</v>
      </c>
      <c r="Z38" s="364" t="b">
        <f>Input!X38</f>
        <v>0</v>
      </c>
      <c r="AA38" s="207">
        <f t="shared" si="1"/>
        <v>26</v>
      </c>
      <c r="AB38" s="364" t="b">
        <f>Input!Y38</f>
        <v>1</v>
      </c>
      <c r="AC38" s="207">
        <f>VALUE(Input!Z38)</f>
        <v>16</v>
      </c>
      <c r="AD38" s="207" t="b">
        <f>Input!AA38</f>
        <v>0</v>
      </c>
      <c r="AE38" s="207" t="str">
        <f>Input!AB38</f>
        <v>Vũ Văn Giáp</v>
      </c>
      <c r="AF38" s="207" t="str">
        <f>Input!AC38</f>
        <v>Lê Tiến Cường</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Tổng Công ty Hạ tầng mạng</v>
      </c>
      <c r="AN38" s="208" t="str">
        <f>INDEX(OperatorNameList,MATCH(C38,OperatorIDList,0))</f>
        <v>TỔNG CÔNG TY HẠ TẦNG MẠNG</v>
      </c>
      <c r="AO38" s="207">
        <f t="shared" si="2"/>
        <v>3</v>
      </c>
      <c r="AP38" s="287" t="str">
        <f t="shared" si="3"/>
        <v>thành phố Hà Nội</v>
      </c>
      <c r="AQ38" s="448" t="str">
        <f t="shared" si="4"/>
        <v>huyện Mê Linh</v>
      </c>
      <c r="AR38" s="448" t="str">
        <f t="shared" si="5"/>
        <v>thị trấn Quang Minh</v>
      </c>
      <c r="AS38" s="449" t="str">
        <f>INDEX(CityIDList,MATCH(F38,CityNameList,0))</f>
        <v>HNI</v>
      </c>
      <c r="AT38" s="208" t="str">
        <f>IF(J38&gt;=1,INDEX(OperatorNameList,MATCH(AZ38,OperatorIDList,0)),"")</f>
        <v>TỔNG CÔNG TY HẠ TẦNG MẠNG</v>
      </c>
      <c r="AU38" s="208" t="str">
        <f>IF(J38&gt;=2,INDEX(OperatorNameList,MATCH(BA38,OperatorIDList,0)),"")</f>
        <v>TỔNG CÔNG TY HẠ TẦNG MẠNG</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VINAPHONE</v>
      </c>
      <c r="BA38" s="208" t="str">
        <f t="shared" si="7"/>
        <v>VINAPHONE</v>
      </c>
      <c r="BB38" s="208" t="str">
        <f t="shared" si="8"/>
      </c>
      <c r="BC38" s="208" t="str">
        <f t="shared" si="9"/>
      </c>
      <c r="BD38" s="208" t="str">
        <f t="shared" si="10"/>
      </c>
      <c r="BE38" s="208" t="str">
        <f t="shared" si="11"/>
      </c>
      <c r="BF38" s="208" t="str">
        <f>Input!I38</f>
        <v>VINAPHONE;VINAPHONE</v>
      </c>
      <c r="BG38" s="208" t="str">
        <f t="shared" si="12"/>
        <v>QUANG-MINH-TO5-MLH_HNI</v>
      </c>
      <c r="BH38" s="208" t="str">
        <f t="shared" si="13"/>
        <v>QUANG-MINH-TO5-MLH_HNI</v>
      </c>
      <c r="BI38" s="208" t="str">
        <f t="shared" si="14"/>
      </c>
      <c r="BJ38" s="208" t="str">
        <f t="shared" si="15"/>
      </c>
      <c r="BK38" s="208" t="str">
        <f t="shared" si="16"/>
      </c>
      <c r="BL38" s="208" t="str">
        <f t="shared" si="17"/>
      </c>
      <c r="BM38" s="208" t="str">
        <f t="shared" si="18"/>
        <v>NOKIA FLEXI MULTIRADIO BTS RADIO MODULE AND REMOTE RADIO (FRGY)</v>
      </c>
      <c r="BN38" s="208" t="str">
        <f t="shared" si="19"/>
        <v>NOKIA FLEXI MULTIRADIO BTS RADIO MODULE AND REMOTE RADIO (FHEL)</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2/2/2</v>
      </c>
      <c r="BZ38" s="208">
        <f t="shared" si="31"/>
        <v>2</v>
      </c>
      <c r="CA38" s="208">
        <f t="shared" si="32"/>
        <v>2</v>
      </c>
      <c r="CB38" s="208">
        <f t="shared" si="33"/>
        <v>2</v>
      </c>
      <c r="CC38" s="208">
        <f t="shared" si="34"/>
        <v>0</v>
      </c>
      <c r="CD38" s="208">
        <f t="shared" si="35"/>
        <v>0</v>
      </c>
      <c r="CE38" s="208">
        <f t="shared" si="36"/>
        <v>0</v>
      </c>
      <c r="CF38" s="208" t="str">
        <f t="shared" si="37"/>
        <v>1/1/1</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60/60/60</v>
      </c>
      <c r="DP38" s="208">
        <f t="shared" si="73"/>
        <v>60</v>
      </c>
      <c r="DQ38" s="208">
        <f t="shared" si="74"/>
        <v>60</v>
      </c>
      <c r="DR38" s="208">
        <f t="shared" si="75"/>
        <v>60</v>
      </c>
      <c r="DS38" s="208">
        <f t="shared" si="76"/>
        <v>0</v>
      </c>
      <c r="DT38" s="208">
        <f t="shared" si="77"/>
        <v>0</v>
      </c>
      <c r="DU38" s="208">
        <f t="shared" si="78"/>
        <v>0</v>
      </c>
      <c r="DV38" s="208" t="str">
        <f t="shared" si="79"/>
        <v>60W/ 60W/ 60W</v>
      </c>
      <c r="DW38" s="208">
        <f t="shared" si="80"/>
        <v>60</v>
      </c>
      <c r="DX38" s="208" t="str">
        <f t="shared" si="81"/>
        <v>60/60/60</v>
      </c>
      <c r="DY38" s="208">
        <f t="shared" si="82"/>
        <v>60</v>
      </c>
      <c r="DZ38" s="208">
        <f t="shared" si="83"/>
        <v>60</v>
      </c>
      <c r="EA38" s="208">
        <f t="shared" si="84"/>
        <v>60</v>
      </c>
      <c r="EB38" s="208">
        <f t="shared" si="85"/>
        <v>0</v>
      </c>
      <c r="EC38" s="208">
        <f t="shared" si="86"/>
        <v>0</v>
      </c>
      <c r="ED38" s="208">
        <f t="shared" si="87"/>
        <v>0</v>
      </c>
      <c r="EE38" s="208" t="str">
        <f t="shared" si="88"/>
        <v>60W/ 60W/ 60W</v>
      </c>
      <c r="EF38" s="208">
        <f t="shared" si="89"/>
        <v>60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60</v>
      </c>
      <c r="FR38" s="208" t="str">
        <f t="shared" si="127"/>
        <v>2100</v>
      </c>
      <c r="FS38" s="208" t="str">
        <f t="shared" si="128"/>
        <v>1800</v>
      </c>
      <c r="FT38" s="208" t="str">
        <f t="shared" si="129"/>
      </c>
      <c r="FU38" s="208" t="str">
        <f t="shared" si="130"/>
      </c>
      <c r="FV38" s="208" t="str">
        <f t="shared" si="131"/>
      </c>
      <c r="FW38" s="208" t="str">
        <f t="shared" si="132"/>
      </c>
      <c r="FX38" s="208" t="str">
        <f t="shared" si="133"/>
        <v>26/26/26</v>
      </c>
      <c r="FY38" s="208">
        <f t="shared" si="134"/>
        <v>26</v>
      </c>
      <c r="FZ38" s="208">
        <f t="shared" si="135"/>
        <v>26</v>
      </c>
      <c r="GA38" s="208">
        <f t="shared" si="136"/>
        <v>26</v>
      </c>
      <c r="GB38" s="208">
        <f t="shared" si="137"/>
        <v>0</v>
      </c>
      <c r="GC38" s="208">
        <f t="shared" si="138"/>
        <v>0</v>
      </c>
      <c r="GD38" s="208">
        <f t="shared" si="139"/>
        <v>0</v>
      </c>
      <c r="GE38" s="208" t="str">
        <f t="shared" si="140"/>
        <v>26m/ 26m/ 26m</v>
      </c>
      <c r="GF38" s="208" t="str">
        <f t="shared" si="141"/>
        <v>26/26/26</v>
      </c>
      <c r="GG38" s="208">
        <f t="shared" si="142"/>
        <v>26</v>
      </c>
      <c r="GH38" s="208">
        <f t="shared" si="143"/>
        <v>26</v>
      </c>
      <c r="GI38" s="208">
        <f t="shared" si="144"/>
        <v>26</v>
      </c>
      <c r="GJ38" s="208">
        <f t="shared" si="145"/>
        <v>0</v>
      </c>
      <c r="GK38" s="208">
        <f t="shared" si="146"/>
        <v>0</v>
      </c>
      <c r="GL38" s="208">
        <f t="shared" si="147"/>
        <v>0</v>
      </c>
      <c r="GM38" s="208" t="str">
        <f t="shared" si="148"/>
        <v>26m/ 26m/ 26m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26</v>
      </c>
      <c r="HV38" s="208">
        <f t="shared" si="182"/>
        <v>26</v>
      </c>
      <c r="HW38" s="208">
        <f t="shared" si="183"/>
        <v>0</v>
      </c>
      <c r="HX38" s="208">
        <f t="shared" si="184"/>
        <v>0</v>
      </c>
      <c r="HY38" s="208">
        <f t="shared" si="185"/>
        <v>0</v>
      </c>
      <c r="HZ38" s="208">
        <f t="shared" si="186"/>
        <v>0</v>
      </c>
      <c r="IA38" s="207">
        <f t="shared" si="187"/>
        <v>26</v>
      </c>
      <c r="IB38" s="207">
        <f t="shared" si="188"/>
        <v>10</v>
      </c>
      <c r="IC38" s="343" t="str">
        <f t="shared" si="189"/>
        <v>A</v>
      </c>
      <c r="ID38" s="343" t="str">
        <f t="shared" si="190"/>
        <v>04018</v>
      </c>
      <c r="IE38" s="343" t="str">
        <f t="shared" si="191"/>
        <v>181019</v>
      </c>
      <c r="IF38" s="343" t="str">
        <f t="shared" si="192"/>
        <v>TG05</v>
      </c>
      <c r="IG38" s="383">
        <f t="shared" si="193"/>
        <v>43756</v>
      </c>
      <c r="IH38" s="383">
        <f t="shared" si="194"/>
        <v>45583</v>
      </c>
      <c r="II38" s="208">
        <v>37</v>
      </c>
    </row>
    <row r="39" ht="409.5">
      <c r="A39" s="207">
        <f>Input!A39</f>
        <v>37</v>
      </c>
      <c r="B39" s="343" t="str">
        <f> Profile!$A$3</f>
        <v>VINAPHONE</v>
      </c>
      <c r="C39" s="343" t="str">
        <f> Profile!$L$3</f>
        <v>VINAPHONE</v>
      </c>
      <c r="D39" s="207" t="str">
        <f>Input!B39</f>
        <v>DTT-ME-LINH-MLH_HNI</v>
      </c>
      <c r="E39" s="317" t="str">
        <f>Input!C39</f>
        <v>Khu hành chính, xã Đại Thịnh, huyện Mê Linh, thành phố Hà Nội</v>
      </c>
      <c r="F39" s="207" t="str">
        <f>Input!D39</f>
        <v>Hà Nội</v>
      </c>
      <c r="G39" s="207">
        <f>Input!E39</f>
        <v>105.723142</v>
      </c>
      <c r="H39" s="207">
        <f>Input!F39</f>
        <v>21.184451</v>
      </c>
      <c r="I39" s="207">
        <f>Input!G39</f>
        <v>1</v>
      </c>
      <c r="J39" s="207">
        <f>Input!H39</f>
        <v>3</v>
      </c>
      <c r="K39" s="207" t="str">
        <f t="shared" si="0"/>
        <v>TỔNG CÔNG TY HẠ TẦNG MẠNG;TỔNG CÔNG TY HẠ TẦNG MẠNG;TỔNG CÔNG TY HẠ TẦNG MẠNG</v>
      </c>
      <c r="L39" s="207" t="str">
        <f>Input!J39</f>
        <v>DTT-ME-LINH-MLH_HNI;DTT-ME-LINH-MLH_HNI;DTT-ME-LINH-MLH_HNI;TT-TAY-MO-79-NTL_HNI;TT-TAY-MO-79-NTL_HNI;TT-DUONG-SAT-LUU-PHAI-NGU-HIEP-TTI_HNI;TT-DUONG-SAT-LUU-PHAI-NGU-HIEP-TTI_HNI;TOA-NHA-VINAPHONE-XUAN-LA-THO_HNI;TOA-NHA-VINAPHONE-XUAN-LA-THO_HNI</v>
      </c>
      <c r="M39" s="207" t="str">
        <f>Input!K39</f>
        <v>HUAWEI BTS3900;HUAWEI DBS3900 WCDMA;NOKIA FLEXI MULTIRADIO BTS RADIO MODULE AND REMOTE RADIO (FHEL);HUAWEI DBS3900 WCDMA;NOKIA FLEXI MULTIRADIO BTS RADIO MODULE AND REMOTE RADIO (FHEL);HUAWEI DBS3900 WCDMA;NOKIA FLEXI MULTIRADIO BTS RADIO MODULE AND REMOTE RADIO (FHEL);NOKIA FLEXI MULTIRADIO BTS RADIO MODULE AND REMOTE RADIO (FRGY);NOKIA FLEXI MULTIRADIO BTS RADIO MODULE AND REMOTE RADIO (FHEL)</v>
      </c>
      <c r="N39" s="207" t="str">
        <f>Input!L39</f>
        <v>3;3;3;3;3;3;3;3;3</v>
      </c>
      <c r="O39" s="207" t="str">
        <f>Input!M39</f>
        <v>2/2/2;2/2/2;1/1/1;2/2/2;1/1/1;2/2/2;1/1/1;2/2/2;1/1/1</v>
      </c>
      <c r="P39" s="207" t="str">
        <f>Input!N39</f>
        <v>80/80/80;60/60/60;60/60/60;60/60/60;60/60/60;60/60/60;60/60/60;60/60/60;60/60/60</v>
      </c>
      <c r="Q39" s="207" t="str">
        <f>Input!O39</f>
        <v>900;2100;1800;2100;1800;2100;1800;2100;1800</v>
      </c>
      <c r="R39" s="207" t="str">
        <f>Input!P39</f>
        <v>42/42/42;42/42/42;42/42/42;20/20/20;20/20/20;14,5/14,5/14,5;14,5/14,5/14,5;6,5/6,5/6,5;6,5/6,5/6,5</v>
      </c>
      <c r="S39" s="364" t="b">
        <f>Input!Q39</f>
        <v>1</v>
      </c>
      <c r="T39" s="207" t="str">
        <f>Input!R39</f>
        <v>A04019181019TG05</v>
      </c>
      <c r="U39" s="207">
        <f>Input!S39</f>
        <v>0</v>
      </c>
      <c r="V39" s="207" t="str">
        <f>Input!T39</f>
        <v>VCC1</v>
      </c>
      <c r="W39" s="207" t="str">
        <f>Input!U39</f>
        <v>1902966/19/TG/TT1</v>
      </c>
      <c r="X39" s="209" t="str">
        <f>TEXT(Input!V39,"dd/mm/yyyy")</f>
        <v>18/10/2019</v>
      </c>
      <c r="Y39" s="207" t="b">
        <f>Input!W39</f>
        <v>1</v>
      </c>
      <c r="Z39" s="364" t="b">
        <f>Input!X39</f>
        <v>0</v>
      </c>
      <c r="AA39" s="207">
        <f t="shared" si="1"/>
        <v>42</v>
      </c>
      <c r="AB39" s="364" t="b">
        <f>Input!Y39</f>
        <v>1</v>
      </c>
      <c r="AC39" s="207">
        <f>VALUE(Input!Z39)</f>
        <v>20</v>
      </c>
      <c r="AD39" s="207" t="b">
        <f>Input!AA39</f>
        <v>0</v>
      </c>
      <c r="AE39" s="207" t="str">
        <f>Input!AB39</f>
        <v>Vũ Văn Giáp</v>
      </c>
      <c r="AF39" s="207" t="str">
        <f>Input!AC39</f>
        <v>Lê Tiến Cường</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Tổng Công ty Hạ tầng mạng</v>
      </c>
      <c r="AN39" s="208" t="str">
        <f>INDEX(OperatorNameList,MATCH(C39,OperatorIDList,0))</f>
        <v>TỔNG CÔNG TY HẠ TẦNG MẠNG</v>
      </c>
      <c r="AO39" s="207">
        <f t="shared" si="2"/>
        <v>3</v>
      </c>
      <c r="AP39" s="287" t="str">
        <f t="shared" si="3"/>
        <v>thành phố Hà Nội</v>
      </c>
      <c r="AQ39" s="448" t="str">
        <f t="shared" si="4"/>
        <v>huyện Mê Linh</v>
      </c>
      <c r="AR39" s="448" t="str">
        <f t="shared" si="5"/>
        <v>xã Đại Thịnh</v>
      </c>
      <c r="AS39" s="449" t="str">
        <f>INDEX(CityIDList,MATCH(F39,CityNameList,0))</f>
        <v>HNI</v>
      </c>
      <c r="AT39" s="208" t="str">
        <f>IF(J39&gt;=1,INDEX(OperatorNameList,MATCH(AZ39,OperatorIDList,0)),"")</f>
        <v>TỔNG CÔNG TY HẠ TẦNG MẠNG</v>
      </c>
      <c r="AU39" s="208" t="str">
        <f>IF(J39&gt;=2,INDEX(OperatorNameList,MATCH(BA39,OperatorIDList,0)),"")</f>
        <v>TỔNG CÔNG TY HẠ TẦNG MẠNG</v>
      </c>
      <c r="AV39" s="208" t="str">
        <f>IF(J39&gt;=3,INDEX(OperatorNameList,MATCH(BB39,OperatorIDList,0)),"")</f>
        <v>TỔNG CÔNG TY HẠ TẦNG MẠNG</v>
      </c>
      <c r="AW39" s="208" t="str">
        <f>IF(J39&gt;=4,INDEX(OperatorNameList,MATCH(BC39,OperatorIDList,0)),"")</f>
      </c>
      <c r="AX39" s="208" t="str">
        <f>IF(J39&gt;=5,INDEX(OperatorNameList,MATCH(BD39,OperatorIDList,0)),"")</f>
      </c>
      <c r="AY39" s="208" t="str">
        <f>IF(J39&gt;=6,INDEX(OperatorNameList,MATCH(BE39,OperatorIDList,0)),"")</f>
      </c>
      <c r="AZ39" s="208" t="str">
        <f t="shared" si="6"/>
        <v>VINAPHONE</v>
      </c>
      <c r="BA39" s="208" t="str">
        <f t="shared" si="7"/>
        <v>VINAPHONE</v>
      </c>
      <c r="BB39" s="208" t="str">
        <f t="shared" si="8"/>
        <v>VINAPHONE</v>
      </c>
      <c r="BC39" s="208" t="str">
        <f t="shared" si="9"/>
      </c>
      <c r="BD39" s="208" t="str">
        <f t="shared" si="10"/>
      </c>
      <c r="BE39" s="208" t="str">
        <f t="shared" si="11"/>
      </c>
      <c r="BF39" s="208" t="str">
        <f>Input!I39</f>
        <v>VINAPHONE;VINAPHONE;VINAPHONE;VINAPHONE;VINAPHONE;VINAPHONE;VINAPHONE;VINAPHONE;VINAPHONE</v>
      </c>
      <c r="BG39" s="208" t="str">
        <f t="shared" si="12"/>
        <v>DTT-ME-LINH-MLH_HNI</v>
      </c>
      <c r="BH39" s="208" t="str">
        <f t="shared" si="13"/>
        <v>DTT-ME-LINH-MLH_HNI</v>
      </c>
      <c r="BI39" s="208" t="str">
        <f t="shared" si="14"/>
        <v>DTT-ME-LINH-MLH_HNI</v>
      </c>
      <c r="BJ39" s="208" t="str">
        <f t="shared" si="15"/>
      </c>
      <c r="BK39" s="208" t="str">
        <f t="shared" si="16"/>
      </c>
      <c r="BL39" s="208" t="str">
        <f t="shared" si="17"/>
      </c>
      <c r="BM39" s="208" t="str">
        <f t="shared" si="18"/>
        <v>HUAWEI BTS3900</v>
      </c>
      <c r="BN39" s="208" t="str">
        <f t="shared" si="19"/>
        <v>HUAWEI DBS3900 WCDMA</v>
      </c>
      <c r="BO39" s="208" t="str">
        <f t="shared" si="20"/>
        <v>NOKIA FLEXI MULTIRADIO BTS RADIO MODULE AND REMOTE RADIO (FHEL)</v>
      </c>
      <c r="BP39" s="208" t="str">
        <f t="shared" si="21"/>
      </c>
      <c r="BQ39" s="208" t="str">
        <f t="shared" si="22"/>
      </c>
      <c r="BR39" s="208" t="str">
        <f t="shared" si="23"/>
      </c>
      <c r="BS39" s="208">
        <f t="shared" si="24"/>
        <v>3</v>
      </c>
      <c r="BT39" s="208">
        <f t="shared" si="25"/>
        <v>3</v>
      </c>
      <c r="BU39" s="208">
        <f t="shared" si="26"/>
        <v>3</v>
      </c>
      <c r="BV39" s="208">
        <f t="shared" si="27"/>
        <v>0</v>
      </c>
      <c r="BW39" s="208">
        <f t="shared" si="28"/>
        <v>0</v>
      </c>
      <c r="BX39" s="208">
        <f t="shared" si="29"/>
        <v>0</v>
      </c>
      <c r="BY39" s="208" t="str">
        <f t="shared" si="30"/>
        <v>2/2/2</v>
      </c>
      <c r="BZ39" s="208">
        <f t="shared" si="31"/>
        <v>2</v>
      </c>
      <c r="CA39" s="208">
        <f t="shared" si="32"/>
        <v>2</v>
      </c>
      <c r="CB39" s="208">
        <f t="shared" si="33"/>
        <v>2</v>
      </c>
      <c r="CC39" s="208">
        <f t="shared" si="34"/>
        <v>0</v>
      </c>
      <c r="CD39" s="208">
        <f t="shared" si="35"/>
        <v>0</v>
      </c>
      <c r="CE39" s="208">
        <f t="shared" si="36"/>
        <v>0</v>
      </c>
      <c r="CF39" s="208" t="str">
        <f t="shared" si="37"/>
        <v>2/2/2</v>
      </c>
      <c r="CG39" s="208">
        <f t="shared" si="38"/>
        <v>2</v>
      </c>
      <c r="CH39" s="208">
        <f t="shared" si="39"/>
        <v>2</v>
      </c>
      <c r="CI39" s="208">
        <f t="shared" si="40"/>
        <v>2</v>
      </c>
      <c r="CJ39" s="208">
        <f t="shared" si="41"/>
        <v>0</v>
      </c>
      <c r="CK39" s="208">
        <f t="shared" si="42"/>
        <v>0</v>
      </c>
      <c r="CL39" s="208">
        <f t="shared" si="43"/>
        <v>0</v>
      </c>
      <c r="CM39" s="208" t="str">
        <f t="shared" si="44"/>
        <v>1/1/1</v>
      </c>
      <c r="CN39" s="208">
        <f t="shared" si="45"/>
        <v>1</v>
      </c>
      <c r="CO39" s="208">
        <f t="shared" si="46"/>
        <v>1</v>
      </c>
      <c r="CP39" s="208">
        <f t="shared" si="47"/>
        <v>1</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60/60/60</v>
      </c>
      <c r="DY39" s="208">
        <f t="shared" si="82"/>
        <v>60</v>
      </c>
      <c r="DZ39" s="208">
        <f t="shared" si="83"/>
        <v>60</v>
      </c>
      <c r="EA39" s="208">
        <f t="shared" si="84"/>
        <v>60</v>
      </c>
      <c r="EB39" s="208">
        <f t="shared" si="85"/>
        <v>0</v>
      </c>
      <c r="EC39" s="208">
        <f t="shared" si="86"/>
        <v>0</v>
      </c>
      <c r="ED39" s="208">
        <f t="shared" si="87"/>
        <v>0</v>
      </c>
      <c r="EE39" s="208" t="str">
        <f t="shared" si="88"/>
        <v>60W/ 60W/ 60W</v>
      </c>
      <c r="EF39" s="208">
        <f t="shared" si="89"/>
        <v>60</v>
      </c>
      <c r="EG39" s="208" t="str">
        <f t="shared" si="90"/>
        <v>60/60/60</v>
      </c>
      <c r="EH39" s="208">
        <f t="shared" si="91"/>
        <v>60</v>
      </c>
      <c r="EI39" s="208">
        <f t="shared" si="92"/>
        <v>60</v>
      </c>
      <c r="EJ39" s="208">
        <f t="shared" si="93"/>
        <v>60</v>
      </c>
      <c r="EK39" s="208">
        <f t="shared" si="94"/>
        <v>0</v>
      </c>
      <c r="EL39" s="208">
        <f t="shared" si="95"/>
        <v>0</v>
      </c>
      <c r="EM39" s="208">
        <f t="shared" si="96"/>
        <v>0</v>
      </c>
      <c r="EN39" s="208" t="str">
        <f t="shared" si="97"/>
        <v>60W/ 60W/ 60W</v>
      </c>
      <c r="EO39" s="208">
        <f t="shared" si="98"/>
        <v>60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900</v>
      </c>
      <c r="FS39" s="208" t="str">
        <f t="shared" si="128"/>
        <v>2100</v>
      </c>
      <c r="FT39" s="208" t="str">
        <f t="shared" si="129"/>
        <v>1800</v>
      </c>
      <c r="FU39" s="208" t="str">
        <f t="shared" si="130"/>
      </c>
      <c r="FV39" s="208" t="str">
        <f t="shared" si="131"/>
      </c>
      <c r="FW39" s="208" t="str">
        <f t="shared" si="132"/>
      </c>
      <c r="FX39" s="208" t="str">
        <f t="shared" si="133"/>
        <v>42/42/42</v>
      </c>
      <c r="FY39" s="208">
        <f t="shared" si="134"/>
        <v>42</v>
      </c>
      <c r="FZ39" s="208">
        <f t="shared" si="135"/>
        <v>42</v>
      </c>
      <c r="GA39" s="208">
        <f t="shared" si="136"/>
        <v>42</v>
      </c>
      <c r="GB39" s="208">
        <f t="shared" si="137"/>
        <v>0</v>
      </c>
      <c r="GC39" s="208">
        <f t="shared" si="138"/>
        <v>0</v>
      </c>
      <c r="GD39" s="208">
        <f t="shared" si="139"/>
        <v>0</v>
      </c>
      <c r="GE39" s="208" t="str">
        <f t="shared" si="140"/>
        <v>42m/ 42m/ 42m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v>42/42/42</v>
      </c>
      <c r="GO39" s="208">
        <f t="shared" si="150"/>
        <v>42</v>
      </c>
      <c r="GP39" s="208">
        <f t="shared" si="151"/>
        <v>42</v>
      </c>
      <c r="GQ39" s="208">
        <f t="shared" si="152"/>
        <v>42</v>
      </c>
      <c r="GR39" s="208">
        <f t="shared" si="153"/>
        <v>0</v>
      </c>
      <c r="GS39" s="208">
        <f t="shared" si="154"/>
        <v>0</v>
      </c>
      <c r="GT39" s="208">
        <f t="shared" si="155"/>
        <v>0</v>
      </c>
      <c r="GU39" s="208" t="str">
        <f t="shared" si="156"/>
        <v>42m/ 42m/ 42m</v>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42</v>
      </c>
      <c r="HV39" s="208">
        <f t="shared" si="182"/>
        <v>42</v>
      </c>
      <c r="HW39" s="208">
        <f t="shared" si="183"/>
        <v>42</v>
      </c>
      <c r="HX39" s="208">
        <f t="shared" si="184"/>
        <v>0</v>
      </c>
      <c r="HY39" s="208">
        <f t="shared" si="185"/>
        <v>0</v>
      </c>
      <c r="HZ39" s="208">
        <f t="shared" si="186"/>
        <v>0</v>
      </c>
      <c r="IA39" s="207">
        <f t="shared" si="187"/>
        <v>42</v>
      </c>
      <c r="IB39" s="207">
        <f t="shared" si="188"/>
        <v>22</v>
      </c>
      <c r="IC39" s="343" t="str">
        <f t="shared" si="189"/>
        <v>A</v>
      </c>
      <c r="ID39" s="343" t="str">
        <f t="shared" si="190"/>
        <v>04019</v>
      </c>
      <c r="IE39" s="343" t="str">
        <f t="shared" si="191"/>
        <v>181019</v>
      </c>
      <c r="IF39" s="343" t="str">
        <f t="shared" si="192"/>
        <v>TG05</v>
      </c>
      <c r="IG39" s="383">
        <f t="shared" si="193"/>
        <v>43756</v>
      </c>
      <c r="IH39" s="383">
        <f t="shared" si="194"/>
        <v>45583</v>
      </c>
      <c r="II39" s="208">
        <v>37</v>
      </c>
    </row>
  </sheetData>
  <sheetProtection sheet="1" objects="1" scenarios="1" formatCells="0" formatColumns="0" formatRows="0" sort="0" autoFilter="0" pivotTables="0"/>
  <autoFilter ref="A1:II2"/>
  <conditionalFormatting sqref="F3">
    <cfRule type="expression" dxfId="72" priority="14434">
      <formula>F3&lt;&gt;RIGHT(SUBSTITUTE(TRIM(E3),".",""),LEN(F3))</formula>
    </cfRule>
  </conditionalFormatting>
  <conditionalFormatting sqref="BS3">
    <cfRule type="expression" dxfId="72" priority="14260">
      <formula>AND(J3&gt;=1,BS3&lt;1)</formula>
    </cfRule>
  </conditionalFormatting>
  <conditionalFormatting sqref="BT3">
    <cfRule type="expression" dxfId="72" priority="10617">
      <formula>AND(J3&gt;=2,BT3&lt;1)</formula>
    </cfRule>
  </conditionalFormatting>
  <conditionalFormatting sqref="BU3">
    <cfRule type="expression" dxfId="72" priority="10615">
      <formula>AND(J3&gt;=3,BU3&lt;1)</formula>
    </cfRule>
  </conditionalFormatting>
  <conditionalFormatting sqref="BV3">
    <cfRule type="expression" dxfId="72" priority="10614">
      <formula>AND(J3&gt;=4,BV3&lt;1)</formula>
    </cfRule>
  </conditionalFormatting>
  <conditionalFormatting sqref="BW3">
    <cfRule type="expression" dxfId="72" priority="10616">
      <formula>AND(J3&gt;=5,BW3&lt;1)</formula>
    </cfRule>
  </conditionalFormatting>
  <conditionalFormatting sqref="BX3">
    <cfRule type="expression" dxfId="72" priority="10612">
      <formula>AND(J3&gt;=6,BX3&lt;1)</formula>
    </cfRule>
  </conditionalFormatting>
  <conditionalFormatting sqref="IC3">
    <cfRule type="expression" dxfId="72" priority="14827">
      <formula>AND($S3 = TRUE, $IC3&lt;&gt;OptionsUnitCode)</formula>
    </cfRule>
  </conditionalFormatting>
  <conditionalFormatting sqref="A3:II3">
    <cfRule type="containsErrors" dxfId="72" priority="4943">
      <formula>ISERROR(A3)</formula>
    </cfRule>
  </conditionalFormatting>
  <conditionalFormatting sqref="DP3">
    <cfRule type="expression" dxfId="1" priority="14744">
      <formula>AND(BS3&gt;=1,DP3&lt;&gt;0, GetEquPower(AZ3,BM3, BZ3, FR3)=0)</formula>
    </cfRule>
    <cfRule type="expression" dxfId="0" priority="14745">
      <formula>AND(BS3&gt;=1,DP3&lt;&gt;GetEquPower(AZ3,BM3, BZ3, FR3))</formula>
    </cfRule>
  </conditionalFormatting>
  <conditionalFormatting sqref="DQ3">
    <cfRule type="expression" dxfId="1" priority="14746">
      <formula>AND(BS3&gt;=2,DQ3&lt;&gt;0, GetEquPower(AZ3,BM3, CA3, FR3)=0)</formula>
    </cfRule>
    <cfRule type="expression" dxfId="0" priority="14747">
      <formula>AND(BS3&gt;=2,DQ3&lt;&gt;GetEquPower(AZ3,BM3, CA3, FR3))</formula>
    </cfRule>
  </conditionalFormatting>
  <conditionalFormatting sqref="DR3">
    <cfRule type="expression" dxfId="1" priority="14748">
      <formula>AND(BS3&gt;=3,DR3&lt;&gt;0, GetEquPower(AZ3,BM3, CB3, FR3)=0)</formula>
    </cfRule>
    <cfRule type="expression" dxfId="0" priority="14749">
      <formula>AND(BS3&gt;=3,DR3&lt;&gt;GetEquPower(AZ3,BM3, CB3, FR3))</formula>
    </cfRule>
  </conditionalFormatting>
  <conditionalFormatting sqref="DS3">
    <cfRule type="expression" dxfId="1" priority="14780">
      <formula>AND(BS3&gt;=4,DS3&lt;&gt;0, GetEquPower(AZ3,BM3, CC3, FR3)=0)</formula>
    </cfRule>
    <cfRule type="expression" dxfId="0" priority="14781">
      <formula>AND(BS3&gt;=4, DS3&lt;&gt;GetEquPower(AZ3,BM3, CC3, FR3))</formula>
    </cfRule>
  </conditionalFormatting>
  <conditionalFormatting sqref="DT3">
    <cfRule type="expression" dxfId="1" priority="14792">
      <formula>AND(BS3&gt;=5,DT3&lt;&gt;0, GetEquPower(AZ3,BM3, CD3, FR3)=0)</formula>
    </cfRule>
    <cfRule type="expression" dxfId="0" priority="14793">
      <formula>AND(BS3&gt;=5, DT3&lt;&gt;GetEquPower(AZ3,BM3, CD3, FR3))</formula>
    </cfRule>
  </conditionalFormatting>
  <conditionalFormatting sqref="DU3">
    <cfRule type="expression" dxfId="1" priority="14794">
      <formula>AND(BS3&gt;=6,DU3&lt;&gt;0, GetEquPower(AZ3,BM3, CE3, FR3)=0)</formula>
    </cfRule>
    <cfRule type="expression" dxfId="0" priority="14795">
      <formula>AND(BS3&gt;=6, DU3&lt;&gt;GetEquPower(AZ3,BM3, CE3, FR3))</formula>
    </cfRule>
  </conditionalFormatting>
  <conditionalFormatting sqref="DY3">
    <cfRule type="expression" dxfId="1" priority="14750">
      <formula>AND(BT3&gt;=1,DY3&lt;&gt;0, GetEquPower(BA3,BN3, CG3, FS3)=0)</formula>
    </cfRule>
    <cfRule type="expression" dxfId="0" priority="14751">
      <formula>AND(BT3&gt;=1,DY3&lt;&gt;GetEquPower(BA3,BN3, CG3, FS3))</formula>
    </cfRule>
  </conditionalFormatting>
  <conditionalFormatting sqref="DZ3">
    <cfRule type="expression" dxfId="1" priority="14752">
      <formula>AND(BT3&gt;=2,DZ3&lt;&gt;0, GetEquPower(BA3,BN3, CH3, FS3)=0)</formula>
    </cfRule>
    <cfRule type="expression" dxfId="0" priority="14753">
      <formula>AND(BT3&gt;=2,DZ3&lt;&gt;GetEquPower(BA3,BN3, CH3, FS3))</formula>
    </cfRule>
  </conditionalFormatting>
  <conditionalFormatting sqref="EA3">
    <cfRule type="expression" dxfId="1" priority="14754">
      <formula>AND(BT3&gt;=3,EA3&lt;&gt;0, GetEquPower(BA3,BN3, CI3, FS3)=0)</formula>
    </cfRule>
    <cfRule type="expression" dxfId="0" priority="14755">
      <formula>AND(BT3&gt;=3,EA3&lt;&gt;GetEquPower(BA3,BN3, CI3, FS3))</formula>
    </cfRule>
  </conditionalFormatting>
  <conditionalFormatting sqref="EB3">
    <cfRule type="expression" dxfId="1" priority="14782">
      <formula>AND(BT3&gt;=4,EB3&lt;&gt;0, GetEquPower(BA3,BN3, CJ3, FS3)=0)</formula>
    </cfRule>
    <cfRule type="expression" dxfId="0" priority="14783">
      <formula>AND(BT3&gt;=4,EB3&lt;&gt;GetEquPower(BA3,BN3, CJ3, FS3))</formula>
    </cfRule>
  </conditionalFormatting>
  <conditionalFormatting sqref="EC3">
    <cfRule type="expression" dxfId="1" priority="14796">
      <formula>AND(BT3&gt;=5,EC3&lt;&gt;0, GetEquPower(BA3,BN3, CK3, FS3)=0)</formula>
    </cfRule>
    <cfRule type="expression" dxfId="0" priority="14797">
      <formula>AND(BT3&gt;=5,EC3&lt;&gt;GetEquPower(BA3,BN3, CK3, FS3))</formula>
    </cfRule>
  </conditionalFormatting>
  <conditionalFormatting sqref="ED3">
    <cfRule type="expression" dxfId="1" priority="14798">
      <formula>AND(BT3&gt;=6,ED3&lt;&gt;0, GetEquPower(BA3,BN3, CL3, FS3)=0)</formula>
    </cfRule>
    <cfRule type="expression" dxfId="0" priority="14799">
      <formula>AND(BT3&gt;=6,ED3&lt;&gt;GetEquPower(BA3,BN3, CL3, FS3))</formula>
    </cfRule>
  </conditionalFormatting>
  <conditionalFormatting sqref="EH3">
    <cfRule type="expression" dxfId="1" priority="14756">
      <formula>AND(BU3&gt;=1,EH3&lt;&gt;0, GetEquPower(BB3,BO3, CN3, FT3)=0)</formula>
    </cfRule>
    <cfRule type="expression" dxfId="0" priority="14757">
      <formula>AND(BU3&gt;=1,EH3&lt;&gt;GetEquPower(BB3,BO3, CN3, FT3))</formula>
    </cfRule>
  </conditionalFormatting>
  <conditionalFormatting sqref="EI3">
    <cfRule type="expression" dxfId="1" priority="14758">
      <formula>AND(BU3&gt;=2,EI3&lt;&gt;0, GetEquPower(BB3,BO3, CO3, FT3)=0)</formula>
    </cfRule>
    <cfRule type="expression" dxfId="0" priority="14759">
      <formula xml:space="preserve"> AND(BU3&gt;=2,EI3&lt;&gt;GetEquPower(BB3,BO3, CO3, FT3))</formula>
    </cfRule>
  </conditionalFormatting>
  <conditionalFormatting sqref="EJ3">
    <cfRule type="expression" dxfId="1" priority="14760">
      <formula>AND(BU3&gt;=3,EJ3&lt;&gt;0, GetEquPower(BB3,BO3, CP3, FT3)=0)</formula>
    </cfRule>
    <cfRule type="expression" dxfId="0" priority="14761">
      <formula xml:space="preserve"> AND(BU3&gt;=3,EJ3&lt;&gt;GetEquPower(BB3,BO3, CP3, FT3))</formula>
    </cfRule>
  </conditionalFormatting>
  <conditionalFormatting sqref="EK3">
    <cfRule type="expression" dxfId="1" priority="14784">
      <formula>AND(BU3&gt;=4,EK3&lt;&gt;0, GetEquPower(BB3,BO3, CQ3, FT3)=0)</formula>
    </cfRule>
    <cfRule type="expression" dxfId="0" priority="14785">
      <formula xml:space="preserve"> AND(BU3&gt;=4,EK3&lt;&gt;GetEquPower(BB3,BO3, CQ3, FT3))</formula>
    </cfRule>
  </conditionalFormatting>
  <conditionalFormatting sqref="EL3">
    <cfRule type="expression" dxfId="1" priority="14800">
      <formula>AND(BU3&gt;=5,EL3&lt;&gt;0, GetEquPower(BB3,BO3, CR3, FT3)=0)</formula>
    </cfRule>
    <cfRule type="expression" dxfId="0" priority="14801">
      <formula xml:space="preserve"> AND(BU3&gt;=5,EL3&lt;&gt;GetEquPower(BB3,BO3, CR3, FT3))</formula>
    </cfRule>
  </conditionalFormatting>
  <conditionalFormatting sqref="EM3">
    <cfRule type="expression" dxfId="1" priority="14802">
      <formula>AND(BU3&gt;=6,EM3&lt;&gt;0, GetEquPower(BB3,BO3, CS3, FT3)=0)</formula>
    </cfRule>
    <cfRule type="expression" dxfId="0" priority="14803">
      <formula xml:space="preserve"> AND(BU3&gt;=6,EM3&lt;&gt;GetEquPower(BB3,BO3, CS3, FT3))</formula>
    </cfRule>
  </conditionalFormatting>
  <conditionalFormatting sqref="EQ3">
    <cfRule type="expression" dxfId="1" priority="14762">
      <formula>AND(BV3&gt;=1,EQ3&lt;&gt;0, GetEquPower(BC3,BP3, CU3, FU3)=0)</formula>
    </cfRule>
    <cfRule type="expression" dxfId="0" priority="14763">
      <formula>AND(BV3&gt;=1,EQ3&lt;&gt;GetEquPower(BC3,BP3, CU3, FU3))</formula>
    </cfRule>
  </conditionalFormatting>
  <conditionalFormatting sqref="ER3">
    <cfRule type="expression" dxfId="1" priority="14764">
      <formula>AND(BV3&gt;=2,ER3&lt;&gt;0, GetEquPower(BC3,BP3, CV3, FU3)=0)</formula>
    </cfRule>
    <cfRule type="expression" dxfId="0" priority="14765">
      <formula>AND(BV3&gt;=2,ER3&lt;&gt;GetEquPower(BC3,BP3, CV3, FU3))</formula>
    </cfRule>
  </conditionalFormatting>
  <conditionalFormatting sqref="ES3">
    <cfRule type="expression" dxfId="1" priority="14766">
      <formula>AND(BV3&gt;=3,ES3&lt;&gt;0, GetEquPower(BC3,BP3, CW3, FU3)=0)</formula>
    </cfRule>
    <cfRule type="expression" dxfId="0" priority="14767">
      <formula>AND(BV3&gt;=3,ES3&lt;&gt;GetEquPower(BC3,BP3, CW3, FU3))</formula>
    </cfRule>
  </conditionalFormatting>
  <conditionalFormatting sqref="ET3">
    <cfRule type="expression" dxfId="1" priority="14786">
      <formula>AND(BV3&gt;=4,ET3&lt;&gt;0, GetEquPower(BC3,BP3, CX3, FU3)=0)</formula>
    </cfRule>
    <cfRule type="expression" dxfId="0" priority="14787">
      <formula>AND(BV3&gt;=4,ET3&lt;&gt;GetEquPower(BC3,BP3, CX3, FU3))</formula>
    </cfRule>
  </conditionalFormatting>
  <conditionalFormatting sqref="EU3">
    <cfRule type="expression" dxfId="1" priority="14804">
      <formula>AND(BV3&gt;=5,EU3&lt;&gt;0, GetEquPower(BC3,BP3, CY3, FU3)=0)</formula>
    </cfRule>
    <cfRule type="expression" dxfId="0" priority="14805">
      <formula>AND(BV3&gt;=5,EU3&lt;&gt;GetEquPower(BC3,BP3, CY3, FU3))</formula>
    </cfRule>
  </conditionalFormatting>
  <conditionalFormatting sqref="EV3">
    <cfRule type="expression" dxfId="1" priority="14806">
      <formula>AND(BV3&gt;=6,EV3&lt;&gt;0, GetEquPower(BC3,BP3, CZ3, FU3)=0)</formula>
    </cfRule>
    <cfRule type="expression" dxfId="0" priority="14807">
      <formula>AND(BV3&gt;=6,EV3&lt;&gt;GetEquPower(BC3,BP3, CZ3, FU3))</formula>
    </cfRule>
  </conditionalFormatting>
  <conditionalFormatting sqref="EZ3">
    <cfRule type="expression" dxfId="1" priority="14768">
      <formula>AND(BW3&gt;=1,EZ3&lt;&gt;0, GetEquPower(BD3,BQ3, DB3, FV3)=0)</formula>
    </cfRule>
    <cfRule type="expression" dxfId="0" priority="14769">
      <formula>AND(BW3&gt;=1,EZ3&lt;&gt;GetEquPower(BD3,BQ3, DB3, FV3))</formula>
    </cfRule>
  </conditionalFormatting>
  <conditionalFormatting sqref="FA3">
    <cfRule type="expression" dxfId="1" priority="14770">
      <formula>AND(BW3&gt;=2,FA3&lt;&gt;0, GetEquPower(BD3,BQ3, DC3, FV3)=0)</formula>
    </cfRule>
    <cfRule type="expression" dxfId="0" priority="14771">
      <formula>AND(BW3&gt;=2,FA3&lt;&gt;GetEquPower(BD3,BQ3, DC3, FV3))</formula>
    </cfRule>
  </conditionalFormatting>
  <conditionalFormatting sqref="FB3">
    <cfRule type="expression" dxfId="1" priority="14772">
      <formula>AND(BW3&gt;=3,FB3&lt;&gt;0, GetEquPower(BD3,BQ3, DD3, FV3)=0)</formula>
    </cfRule>
    <cfRule type="expression" dxfId="0" priority="14773">
      <formula>AND(BW3&gt;=3,FB3&lt;&gt;GetEquPower(BD3,BQ3, DD3, FV3))</formula>
    </cfRule>
  </conditionalFormatting>
  <conditionalFormatting sqref="FC3">
    <cfRule type="expression" dxfId="1" priority="14788">
      <formula>AND(BW3&gt;=4,FC3&lt;&gt;0, GetEquPower(BD3,BQ3, DE3, FV3)=0)</formula>
    </cfRule>
    <cfRule type="expression" dxfId="0" priority="14789">
      <formula>AND(BW3&gt;=4,FC3&lt;&gt;GetEquPower(BD3,BQ3, DE3, FV3))</formula>
    </cfRule>
  </conditionalFormatting>
  <conditionalFormatting sqref="FD3">
    <cfRule type="expression" dxfId="1" priority="14808">
      <formula>AND(BW3&gt;=5,FD3&lt;&gt;0, GetEquPower(BD3,BQ3, DF3, FV3)=0)</formula>
    </cfRule>
    <cfRule type="expression" dxfId="0" priority="14809">
      <formula>AND(BW3&gt;=5,FD3&lt;&gt;GetEquPower(BD3,BQ3, DF3, FV3))</formula>
    </cfRule>
  </conditionalFormatting>
  <conditionalFormatting sqref="FE3">
    <cfRule type="expression" dxfId="1" priority="14810">
      <formula>AND(BW3&gt;=6,FE3&lt;&gt;0, GetEquPower(BD3,BQ3, DG3, FV3)=0)</formula>
    </cfRule>
    <cfRule type="expression" dxfId="0" priority="14811">
      <formula>AND(BW3&gt;=6,FE3&lt;&gt;GetEquPower(BD3,BQ3, DG3, FV3))</formula>
    </cfRule>
  </conditionalFormatting>
  <conditionalFormatting sqref="FI3">
    <cfRule type="expression" dxfId="1" priority="14774">
      <formula>AND(BX3&gt;=1,FI3&lt;&gt;0, GetEquPower(BE3,BR3, DI3, FW3)=0)</formula>
    </cfRule>
    <cfRule type="expression" dxfId="0" priority="14775">
      <formula>AND(BX3&gt;=1,FI3&lt;&gt;GetEquPower(BE3,BR3, DI3, FW3))</formula>
    </cfRule>
  </conditionalFormatting>
  <conditionalFormatting sqref="FJ3">
    <cfRule type="expression" dxfId="1" priority="14776">
      <formula>AND(BX3&gt;=2,FJ3&lt;&gt;0, GetEquPower(BE3,BR3, DJ3, FW3)=0)</formula>
    </cfRule>
    <cfRule type="expression" dxfId="0" priority="14777">
      <formula>AND(BX3&gt;=2,FJ3&lt;&gt;GetEquPower(BE3,BR3, DJ3, FW3))</formula>
    </cfRule>
  </conditionalFormatting>
  <conditionalFormatting sqref="FK3">
    <cfRule type="expression" dxfId="1" priority="14778">
      <formula>AND(BX3&gt;=3,FK3&lt;&gt;0, GetEquPower(BE3,BR3, DK3, FW3)=0)</formula>
    </cfRule>
    <cfRule type="expression" dxfId="0" priority="14779">
      <formula>AND(BX3&gt;=3,FK3&lt;&gt;GetEquPower(BE3,BR3, DK3, FW3))</formula>
    </cfRule>
  </conditionalFormatting>
  <conditionalFormatting sqref="FL3">
    <cfRule type="expression" dxfId="1" priority="14790">
      <formula>AND(BX3&gt;=4,FL3&lt;&gt;0, GetEquPower(BE3,BR3, DL3, FW3)=0)</formula>
    </cfRule>
    <cfRule type="expression" dxfId="0" priority="14791">
      <formula>AND(BX3&gt;=4,FL3&lt;&gt;GetEquPower(BE3,BR3, DL3, FW3))</formula>
    </cfRule>
  </conditionalFormatting>
  <conditionalFormatting sqref="FM3">
    <cfRule type="expression" dxfId="1" priority="14812">
      <formula>AND(BX3&gt;=5,FM3&lt;&gt;0, GetEquPower(BE3,BR3, DM3, FW3)=0)</formula>
    </cfRule>
    <cfRule type="expression" dxfId="0" priority="14813">
      <formula>AND(BX3&gt;=5,FM3&lt;&gt;GetEquPower(BE3,BR3, DM3, FW3))</formula>
    </cfRule>
  </conditionalFormatting>
  <conditionalFormatting sqref="FN3">
    <cfRule type="expression" dxfId="1" priority="14814">
      <formula>AND(BX3&gt;=6,FN3&lt;&gt;0, GetEquPower(BE3,BR3, DN3, FW3)=0)</formula>
    </cfRule>
    <cfRule type="expression" dxfId="0" priority="14815">
      <formula>AND(BX3&gt;=6,FN3&lt;&gt;GetEquPower(BE3,BR3, DN3, FW3))</formula>
    </cfRule>
  </conditionalFormatting>
  <conditionalFormatting sqref="F4:F39">
    <cfRule type="expression" dxfId="72" priority="8">
      <formula>F4&lt;&gt;RIGHT(SUBSTITUTE(TRIM(E4),".",""),LEN(F4))</formula>
    </cfRule>
  </conditionalFormatting>
  <conditionalFormatting sqref="BS4:BS39">
    <cfRule type="expression" dxfId="72" priority="7">
      <formula>AND(J4&gt;=1,BS4&lt;1)</formula>
    </cfRule>
  </conditionalFormatting>
  <conditionalFormatting sqref="BT4:BT39">
    <cfRule type="expression" dxfId="72" priority="6">
      <formula>AND(J4&gt;=2,BT4&lt;1)</formula>
    </cfRule>
  </conditionalFormatting>
  <conditionalFormatting sqref="BU4:BU39">
    <cfRule type="expression" dxfId="72" priority="4">
      <formula>AND(J4&gt;=3,BU4&lt;1)</formula>
    </cfRule>
  </conditionalFormatting>
  <conditionalFormatting sqref="BV4:BV39">
    <cfRule type="expression" dxfId="72" priority="3">
      <formula>AND(J4&gt;=4,BV4&lt;1)</formula>
    </cfRule>
  </conditionalFormatting>
  <conditionalFormatting sqref="BW4:BW39">
    <cfRule type="expression" dxfId="72" priority="5">
      <formula>AND(J4&gt;=5,BW4&lt;1)</formula>
    </cfRule>
  </conditionalFormatting>
  <conditionalFormatting sqref="BX4:BX39">
    <cfRule type="expression" dxfId="72" priority="2">
      <formula>AND(J4&gt;=6,BX4&lt;1)</formula>
    </cfRule>
  </conditionalFormatting>
  <conditionalFormatting sqref="IC4:IC39">
    <cfRule type="expression" dxfId="72" priority="81">
      <formula>AND($S4 = TRUE, $IC4&lt;&gt;OptionsUnitCode)</formula>
    </cfRule>
  </conditionalFormatting>
  <conditionalFormatting sqref="A4:II39">
    <cfRule type="containsErrors" dxfId="72" priority="1">
      <formula>ISERROR(A4)</formula>
    </cfRule>
  </conditionalFormatting>
  <conditionalFormatting sqref="DP4:DP39">
    <cfRule type="expression" dxfId="1" priority="9">
      <formula>AND(BS4&gt;=1,DP4&lt;&gt;0, GetEquPower(AZ4,BM4, BZ4, FR4)=0)</formula>
    </cfRule>
    <cfRule type="expression" dxfId="0" priority="10">
      <formula>AND(BS4&gt;=1,DP4&lt;&gt;GetEquPower(AZ4,BM4, BZ4, FR4))</formula>
    </cfRule>
  </conditionalFormatting>
  <conditionalFormatting sqref="DQ4:DQ39">
    <cfRule type="expression" dxfId="1" priority="11">
      <formula>AND(BS4&gt;=2,DQ4&lt;&gt;0, GetEquPower(AZ4,BM4, CA4, FR4)=0)</formula>
    </cfRule>
    <cfRule type="expression" dxfId="0" priority="12">
      <formula>AND(BS4&gt;=2,DQ4&lt;&gt;GetEquPower(AZ4,BM4, CA4, FR4))</formula>
    </cfRule>
  </conditionalFormatting>
  <conditionalFormatting sqref="DR4:DR39">
    <cfRule type="expression" dxfId="1" priority="13">
      <formula>AND(BS4&gt;=3,DR4&lt;&gt;0, GetEquPower(AZ4,BM4, CB4, FR4)=0)</formula>
    </cfRule>
    <cfRule type="expression" dxfId="0" priority="14">
      <formula>AND(BS4&gt;=3,DR4&lt;&gt;GetEquPower(AZ4,BM4, CB4, FR4))</formula>
    </cfRule>
  </conditionalFormatting>
  <conditionalFormatting sqref="DS4:DS39">
    <cfRule type="expression" dxfId="1" priority="45">
      <formula>AND(BS4&gt;=4,DS4&lt;&gt;0, GetEquPower(AZ4,BM4, CC4, FR4)=0)</formula>
    </cfRule>
    <cfRule type="expression" dxfId="0" priority="46">
      <formula>AND(BS4&gt;=4, DS4&lt;&gt;GetEquPower(AZ4,BM4, CC4, FR4))</formula>
    </cfRule>
  </conditionalFormatting>
  <conditionalFormatting sqref="DT4:DT39">
    <cfRule type="expression" dxfId="1" priority="57">
      <formula>AND(BS4&gt;=5,DT4&lt;&gt;0, GetEquPower(AZ4,BM4, CD4, FR4)=0)</formula>
    </cfRule>
    <cfRule type="expression" dxfId="0" priority="58">
      <formula>AND(BS4&gt;=5, DT4&lt;&gt;GetEquPower(AZ4,BM4, CD4, FR4))</formula>
    </cfRule>
  </conditionalFormatting>
  <conditionalFormatting sqref="DU4:DU39">
    <cfRule type="expression" dxfId="1" priority="59">
      <formula>AND(BS4&gt;=6,DU4&lt;&gt;0, GetEquPower(AZ4,BM4, CE4, FR4)=0)</formula>
    </cfRule>
    <cfRule type="expression" dxfId="0" priority="60">
      <formula>AND(BS4&gt;=6, DU4&lt;&gt;GetEquPower(AZ4,BM4, CE4, FR4))</formula>
    </cfRule>
  </conditionalFormatting>
  <conditionalFormatting sqref="DY4:DY39">
    <cfRule type="expression" dxfId="1" priority="15">
      <formula>AND(BT4&gt;=1,DY4&lt;&gt;0, GetEquPower(BA4,BN4, CG4, FS4)=0)</formula>
    </cfRule>
    <cfRule type="expression" dxfId="0" priority="16">
      <formula>AND(BT4&gt;=1,DY4&lt;&gt;GetEquPower(BA4,BN4, CG4, FS4))</formula>
    </cfRule>
  </conditionalFormatting>
  <conditionalFormatting sqref="DZ4:DZ39">
    <cfRule type="expression" dxfId="1" priority="17">
      <formula>AND(BT4&gt;=2,DZ4&lt;&gt;0, GetEquPower(BA4,BN4, CH4, FS4)=0)</formula>
    </cfRule>
    <cfRule type="expression" dxfId="0" priority="18">
      <formula>AND(BT4&gt;=2,DZ4&lt;&gt;GetEquPower(BA4,BN4, CH4, FS4))</formula>
    </cfRule>
  </conditionalFormatting>
  <conditionalFormatting sqref="EA4:EA39">
    <cfRule type="expression" dxfId="1" priority="19">
      <formula>AND(BT4&gt;=3,EA4&lt;&gt;0, GetEquPower(BA4,BN4, CI4, FS4)=0)</formula>
    </cfRule>
    <cfRule type="expression" dxfId="0" priority="20">
      <formula>AND(BT4&gt;=3,EA4&lt;&gt;GetEquPower(BA4,BN4, CI4, FS4))</formula>
    </cfRule>
  </conditionalFormatting>
  <conditionalFormatting sqref="EB4:EB39">
    <cfRule type="expression" dxfId="1" priority="47">
      <formula>AND(BT4&gt;=4,EB4&lt;&gt;0, GetEquPower(BA4,BN4, CJ4, FS4)=0)</formula>
    </cfRule>
    <cfRule type="expression" dxfId="0" priority="48">
      <formula>AND(BT4&gt;=4,EB4&lt;&gt;GetEquPower(BA4,BN4, CJ4, FS4))</formula>
    </cfRule>
  </conditionalFormatting>
  <conditionalFormatting sqref="EC4:EC39">
    <cfRule type="expression" dxfId="1" priority="61">
      <formula>AND(BT4&gt;=5,EC4&lt;&gt;0, GetEquPower(BA4,BN4, CK4, FS4)=0)</formula>
    </cfRule>
    <cfRule type="expression" dxfId="0" priority="62">
      <formula>AND(BT4&gt;=5,EC4&lt;&gt;GetEquPower(BA4,BN4, CK4, FS4))</formula>
    </cfRule>
  </conditionalFormatting>
  <conditionalFormatting sqref="ED4:ED39">
    <cfRule type="expression" dxfId="1" priority="63">
      <formula>AND(BT4&gt;=6,ED4&lt;&gt;0, GetEquPower(BA4,BN4, CL4, FS4)=0)</formula>
    </cfRule>
    <cfRule type="expression" dxfId="0" priority="64">
      <formula>AND(BT4&gt;=6,ED4&lt;&gt;GetEquPower(BA4,BN4, CL4, FS4))</formula>
    </cfRule>
  </conditionalFormatting>
  <conditionalFormatting sqref="EH4:EH39">
    <cfRule type="expression" dxfId="1" priority="21">
      <formula>AND(BU4&gt;=1,EH4&lt;&gt;0, GetEquPower(BB4,BO4, CN4, FT4)=0)</formula>
    </cfRule>
    <cfRule type="expression" dxfId="0" priority="22">
      <formula>AND(BU4&gt;=1,EH4&lt;&gt;GetEquPower(BB4,BO4, CN4, FT4))</formula>
    </cfRule>
  </conditionalFormatting>
  <conditionalFormatting sqref="EI4:EI39">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39">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39">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39">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39">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39">
    <cfRule type="expression" dxfId="1" priority="27">
      <formula>AND(BV4&gt;=1,EQ4&lt;&gt;0, GetEquPower(BC4,BP4, CU4, FU4)=0)</formula>
    </cfRule>
    <cfRule type="expression" dxfId="0" priority="28">
      <formula>AND(BV4&gt;=1,EQ4&lt;&gt;GetEquPower(BC4,BP4, CU4, FU4))</formula>
    </cfRule>
  </conditionalFormatting>
  <conditionalFormatting sqref="ER4:ER39">
    <cfRule type="expression" dxfId="1" priority="29">
      <formula>AND(BV4&gt;=2,ER4&lt;&gt;0, GetEquPower(BC4,BP4, CV4, FU4)=0)</formula>
    </cfRule>
    <cfRule type="expression" dxfId="0" priority="30">
      <formula>AND(BV4&gt;=2,ER4&lt;&gt;GetEquPower(BC4,BP4, CV4, FU4))</formula>
    </cfRule>
  </conditionalFormatting>
  <conditionalFormatting sqref="ES4:ES39">
    <cfRule type="expression" dxfId="1" priority="31">
      <formula>AND(BV4&gt;=3,ES4&lt;&gt;0, GetEquPower(BC4,BP4, CW4, FU4)=0)</formula>
    </cfRule>
    <cfRule type="expression" dxfId="0" priority="32">
      <formula>AND(BV4&gt;=3,ES4&lt;&gt;GetEquPower(BC4,BP4, CW4, FU4))</formula>
    </cfRule>
  </conditionalFormatting>
  <conditionalFormatting sqref="ET4:ET39">
    <cfRule type="expression" dxfId="1" priority="51">
      <formula>AND(BV4&gt;=4,ET4&lt;&gt;0, GetEquPower(BC4,BP4, CX4, FU4)=0)</formula>
    </cfRule>
    <cfRule type="expression" dxfId="0" priority="52">
      <formula>AND(BV4&gt;=4,ET4&lt;&gt;GetEquPower(BC4,BP4, CX4, FU4))</formula>
    </cfRule>
  </conditionalFormatting>
  <conditionalFormatting sqref="EU4:EU39">
    <cfRule type="expression" dxfId="1" priority="69">
      <formula>AND(BV4&gt;=5,EU4&lt;&gt;0, GetEquPower(BC4,BP4, CY4, FU4)=0)</formula>
    </cfRule>
    <cfRule type="expression" dxfId="0" priority="70">
      <formula>AND(BV4&gt;=5,EU4&lt;&gt;GetEquPower(BC4,BP4, CY4, FU4))</formula>
    </cfRule>
  </conditionalFormatting>
  <conditionalFormatting sqref="EV4:EV39">
    <cfRule type="expression" dxfId="1" priority="71">
      <formula>AND(BV4&gt;=6,EV4&lt;&gt;0, GetEquPower(BC4,BP4, CZ4, FU4)=0)</formula>
    </cfRule>
    <cfRule type="expression" dxfId="0" priority="72">
      <formula>AND(BV4&gt;=6,EV4&lt;&gt;GetEquPower(BC4,BP4, CZ4, FU4))</formula>
    </cfRule>
  </conditionalFormatting>
  <conditionalFormatting sqref="EZ4:EZ39">
    <cfRule type="expression" dxfId="1" priority="33">
      <formula>AND(BW4&gt;=1,EZ4&lt;&gt;0, GetEquPower(BD4,BQ4, DB4, FV4)=0)</formula>
    </cfRule>
    <cfRule type="expression" dxfId="0" priority="34">
      <formula>AND(BW4&gt;=1,EZ4&lt;&gt;GetEquPower(BD4,BQ4, DB4, FV4))</formula>
    </cfRule>
  </conditionalFormatting>
  <conditionalFormatting sqref="FA4:FA39">
    <cfRule type="expression" dxfId="1" priority="35">
      <formula>AND(BW4&gt;=2,FA4&lt;&gt;0, GetEquPower(BD4,BQ4, DC4, FV4)=0)</formula>
    </cfRule>
    <cfRule type="expression" dxfId="0" priority="36">
      <formula>AND(BW4&gt;=2,FA4&lt;&gt;GetEquPower(BD4,BQ4, DC4, FV4))</formula>
    </cfRule>
  </conditionalFormatting>
  <conditionalFormatting sqref="FB4:FB39">
    <cfRule type="expression" dxfId="1" priority="37">
      <formula>AND(BW4&gt;=3,FB4&lt;&gt;0, GetEquPower(BD4,BQ4, DD4, FV4)=0)</formula>
    </cfRule>
    <cfRule type="expression" dxfId="0" priority="38">
      <formula>AND(BW4&gt;=3,FB4&lt;&gt;GetEquPower(BD4,BQ4, DD4, FV4))</formula>
    </cfRule>
  </conditionalFormatting>
  <conditionalFormatting sqref="FC4:FC39">
    <cfRule type="expression" dxfId="1" priority="53">
      <formula>AND(BW4&gt;=4,FC4&lt;&gt;0, GetEquPower(BD4,BQ4, DE4, FV4)=0)</formula>
    </cfRule>
    <cfRule type="expression" dxfId="0" priority="54">
      <formula>AND(BW4&gt;=4,FC4&lt;&gt;GetEquPower(BD4,BQ4, DE4, FV4))</formula>
    </cfRule>
  </conditionalFormatting>
  <conditionalFormatting sqref="FD4:FD39">
    <cfRule type="expression" dxfId="1" priority="73">
      <formula>AND(BW4&gt;=5,FD4&lt;&gt;0, GetEquPower(BD4,BQ4, DF4, FV4)=0)</formula>
    </cfRule>
    <cfRule type="expression" dxfId="0" priority="74">
      <formula>AND(BW4&gt;=5,FD4&lt;&gt;GetEquPower(BD4,BQ4, DF4, FV4))</formula>
    </cfRule>
  </conditionalFormatting>
  <conditionalFormatting sqref="FE4:FE39">
    <cfRule type="expression" dxfId="1" priority="75">
      <formula>AND(BW4&gt;=6,FE4&lt;&gt;0, GetEquPower(BD4,BQ4, DG4, FV4)=0)</formula>
    </cfRule>
    <cfRule type="expression" dxfId="0" priority="76">
      <formula>AND(BW4&gt;=6,FE4&lt;&gt;GetEquPower(BD4,BQ4, DG4, FV4))</formula>
    </cfRule>
  </conditionalFormatting>
  <conditionalFormatting sqref="FI4:FI39">
    <cfRule type="expression" dxfId="1" priority="39">
      <formula>AND(BX4&gt;=1,FI4&lt;&gt;0, GetEquPower(BE4,BR4, DI4, FW4)=0)</formula>
    </cfRule>
    <cfRule type="expression" dxfId="0" priority="40">
      <formula>AND(BX4&gt;=1,FI4&lt;&gt;GetEquPower(BE4,BR4, DI4, FW4))</formula>
    </cfRule>
  </conditionalFormatting>
  <conditionalFormatting sqref="FJ4:FJ39">
    <cfRule type="expression" dxfId="1" priority="41">
      <formula>AND(BX4&gt;=2,FJ4&lt;&gt;0, GetEquPower(BE4,BR4, DJ4, FW4)=0)</formula>
    </cfRule>
    <cfRule type="expression" dxfId="0" priority="42">
      <formula>AND(BX4&gt;=2,FJ4&lt;&gt;GetEquPower(BE4,BR4, DJ4, FW4))</formula>
    </cfRule>
  </conditionalFormatting>
  <conditionalFormatting sqref="FK4:FK39">
    <cfRule type="expression" dxfId="1" priority="43">
      <formula>AND(BX4&gt;=3,FK4&lt;&gt;0, GetEquPower(BE4,BR4, DK4, FW4)=0)</formula>
    </cfRule>
    <cfRule type="expression" dxfId="0" priority="44">
      <formula>AND(BX4&gt;=3,FK4&lt;&gt;GetEquPower(BE4,BR4, DK4, FW4))</formula>
    </cfRule>
  </conditionalFormatting>
  <conditionalFormatting sqref="FL4:FL39">
    <cfRule type="expression" dxfId="1" priority="55">
      <formula>AND(BX4&gt;=4,FL4&lt;&gt;0, GetEquPower(BE4,BR4, DL4, FW4)=0)</formula>
    </cfRule>
    <cfRule type="expression" dxfId="0" priority="56">
      <formula>AND(BX4&gt;=4,FL4&lt;&gt;GetEquPower(BE4,BR4, DL4, FW4))</formula>
    </cfRule>
  </conditionalFormatting>
  <conditionalFormatting sqref="FM4:FM39">
    <cfRule type="expression" dxfId="1" priority="77">
      <formula>AND(BX4&gt;=5,FM4&lt;&gt;0, GetEquPower(BE4,BR4, DM4, FW4)=0)</formula>
    </cfRule>
    <cfRule type="expression" dxfId="0" priority="78">
      <formula>AND(BX4&gt;=5,FM4&lt;&gt;GetEquPower(BE4,BR4, DM4, FW4))</formula>
    </cfRule>
  </conditionalFormatting>
  <conditionalFormatting sqref="FN4:FN39">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38"/>
  <sheetViews>
    <sheetView zoomScale="85" zoomScaleNormal="85" workbookViewId="0">
      <pane xSplit="5" ySplit="1" topLeftCell="F38"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8"/>
    <col min="5" max="5" width="32.7109375" customWidth="1" style="318"/>
    <col min="6" max="6" width="16.5703125" customWidth="1" style="313"/>
    <col min="7" max="7" bestFit="1" width="9.140625" customWidth="1" style="598"/>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21293</v>
      </c>
      <c r="C1" s="344" t="s">
        <v>21294</v>
      </c>
      <c r="D1" s="599" t="str">
        <f>Check!D1</f>
        <v>BtsCode</v>
      </c>
      <c r="E1" s="378" t="str">
        <f>Check!E1</f>
        <v>Address</v>
      </c>
      <c r="F1" s="374" t="str">
        <f>Check!F1</f>
        <v>CityName</v>
      </c>
      <c r="G1" s="599" t="str">
        <f>Check!G1</f>
        <v>Longtitude</v>
      </c>
      <c r="H1" s="599"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21295</v>
      </c>
      <c r="U1" s="374" t="str">
        <f>Check!U1</f>
        <v>ReasonNoCertificate</v>
      </c>
      <c r="V1" s="374" t="str">
        <f>Check!V1</f>
        <v>LabID</v>
      </c>
      <c r="W1" s="294" t="str">
        <f>Check!W1</f>
        <v>TestReportNo</v>
      </c>
      <c r="X1" s="339" t="str">
        <f>Check!X1</f>
        <v>TestReportDate</v>
      </c>
      <c r="Y1" s="337" t="str">
        <f>Check!Y1</f>
        <v>IsPoleOnGround</v>
      </c>
      <c r="Z1" s="337" t="str">
        <f>Check!Z1</f>
        <v>IsSafeLimit</v>
      </c>
      <c r="AA1" s="601" t="str">
        <f>Check!AA1</f>
        <v>SafeLimitHeight</v>
      </c>
      <c r="AB1" s="337" t="str">
        <f>Check!AB1</f>
        <v>IsHouseIn100m</v>
      </c>
      <c r="AC1" s="601"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21297</v>
      </c>
    </row>
    <row r="2" ht="242.25">
      <c r="A2" s="207">
        <v>1</v>
      </c>
      <c r="B2" s="343" t="s">
        <v>21298</v>
      </c>
      <c r="C2" s="343" t="s">
        <v>21298</v>
      </c>
      <c r="D2" s="600" t="s">
        <v>21097</v>
      </c>
      <c r="E2" s="317" t="s">
        <v>21098</v>
      </c>
      <c r="F2" s="207" t="s">
        <v>20855</v>
      </c>
      <c r="G2" s="600">
        <v>105.76466</v>
      </c>
      <c r="H2" s="600">
        <v>21.029509</v>
      </c>
      <c r="I2" s="207">
        <v>1</v>
      </c>
      <c r="J2" s="207">
        <v>3</v>
      </c>
      <c r="K2" s="207" t="s">
        <v>21299</v>
      </c>
      <c r="L2" s="207" t="s">
        <v>21300</v>
      </c>
      <c r="M2" s="207" t="s">
        <v>21301</v>
      </c>
      <c r="N2" s="207" t="s">
        <v>21302</v>
      </c>
      <c r="O2" s="207" t="s">
        <v>21303</v>
      </c>
      <c r="P2" s="207" t="s">
        <v>21304</v>
      </c>
      <c r="Q2" s="207" t="s">
        <v>21305</v>
      </c>
      <c r="R2" s="207" t="s">
        <v>21306</v>
      </c>
      <c r="S2" s="364" t="b">
        <v>1</v>
      </c>
      <c r="T2" s="207" t="s">
        <v>21099</v>
      </c>
      <c r="U2" s="207">
        <v>0</v>
      </c>
      <c r="V2" s="207" t="s">
        <v>21307</v>
      </c>
      <c r="W2" s="207" t="s">
        <v>21100</v>
      </c>
      <c r="X2" s="209" t="s">
        <v>21308</v>
      </c>
      <c r="Y2" s="207" t="b">
        <v>0</v>
      </c>
      <c r="Z2" s="364" t="b">
        <v>0</v>
      </c>
      <c r="AA2" s="600">
        <v>52.5</v>
      </c>
      <c r="AB2" s="364" t="b">
        <v>1</v>
      </c>
      <c r="AC2" s="600">
        <v>50</v>
      </c>
      <c r="AD2" s="207" t="b">
        <v>0</v>
      </c>
      <c r="AE2" s="207" t="s">
        <v>21309</v>
      </c>
      <c r="AF2" s="207" t="s">
        <v>21310</v>
      </c>
      <c r="AG2" s="343" t="s">
        <v>21311</v>
      </c>
      <c r="AH2" s="343" t="s">
        <v>21312</v>
      </c>
      <c r="AI2" s="343" t="s">
        <v>21054</v>
      </c>
      <c r="AJ2" s="343" t="s">
        <v>21313</v>
      </c>
      <c r="AK2" s="343" t="s">
        <v>21314</v>
      </c>
      <c r="AL2" s="208"/>
      <c r="AM2" s="208" t="s">
        <v>21315</v>
      </c>
      <c r="AN2" s="208" t="s">
        <v>21316</v>
      </c>
      <c r="AO2" s="207">
        <v>5</v>
      </c>
      <c r="AP2" s="287" t="s">
        <v>21317</v>
      </c>
      <c r="AQ2" s="448" t="s">
        <v>21318</v>
      </c>
      <c r="AR2" s="448" t="s">
        <v>21319</v>
      </c>
      <c r="AS2" s="449" t="s">
        <v>10</v>
      </c>
      <c r="AT2" s="208" t="s">
        <v>21316</v>
      </c>
      <c r="AU2" s="208" t="s">
        <v>21316</v>
      </c>
      <c r="AV2" s="208" t="s">
        <v>21316</v>
      </c>
      <c r="AW2" s="208" t="s">
        <v>21313</v>
      </c>
      <c r="AX2" s="208" t="s">
        <v>21313</v>
      </c>
      <c r="AY2" s="208" t="s">
        <v>21313</v>
      </c>
      <c r="AZ2" s="208" t="s">
        <v>21298</v>
      </c>
      <c r="BA2" s="208" t="s">
        <v>21298</v>
      </c>
      <c r="BB2" s="208" t="s">
        <v>21298</v>
      </c>
      <c r="BC2" s="208" t="s">
        <v>21313</v>
      </c>
      <c r="BD2" s="208" t="s">
        <v>21313</v>
      </c>
      <c r="BE2" s="208" t="s">
        <v>21313</v>
      </c>
      <c r="BF2" s="208" t="s">
        <v>21320</v>
      </c>
      <c r="BG2" s="208" t="s">
        <v>21097</v>
      </c>
      <c r="BH2" s="208" t="s">
        <v>21097</v>
      </c>
      <c r="BI2" s="208" t="s">
        <v>21097</v>
      </c>
      <c r="BJ2" s="208" t="s">
        <v>21313</v>
      </c>
      <c r="BK2" s="208" t="s">
        <v>21313</v>
      </c>
      <c r="BL2" s="208" t="s">
        <v>21313</v>
      </c>
      <c r="BM2" s="208" t="s">
        <v>21321</v>
      </c>
      <c r="BN2" s="208" t="s">
        <v>21322</v>
      </c>
      <c r="BO2" s="208" t="s">
        <v>21323</v>
      </c>
      <c r="BP2" s="208" t="s">
        <v>21313</v>
      </c>
      <c r="BQ2" s="208" t="s">
        <v>21313</v>
      </c>
      <c r="BR2" s="208" t="s">
        <v>21313</v>
      </c>
      <c r="BS2" s="208">
        <v>3</v>
      </c>
      <c r="BT2" s="208">
        <v>3</v>
      </c>
      <c r="BU2" s="208">
        <v>3</v>
      </c>
      <c r="BV2" s="208">
        <v>0</v>
      </c>
      <c r="BW2" s="208">
        <v>0</v>
      </c>
      <c r="BX2" s="208">
        <v>0</v>
      </c>
      <c r="BY2" s="208" t="s">
        <v>21042</v>
      </c>
      <c r="BZ2" s="208">
        <v>2</v>
      </c>
      <c r="CA2" s="208">
        <v>2</v>
      </c>
      <c r="CB2" s="208">
        <v>2</v>
      </c>
      <c r="CC2" s="208">
        <v>0</v>
      </c>
      <c r="CD2" s="208">
        <v>0</v>
      </c>
      <c r="CE2" s="208">
        <v>0</v>
      </c>
      <c r="CF2" s="208" t="s">
        <v>21042</v>
      </c>
      <c r="CG2" s="208">
        <v>2</v>
      </c>
      <c r="CH2" s="208">
        <v>2</v>
      </c>
      <c r="CI2" s="208">
        <v>2</v>
      </c>
      <c r="CJ2" s="208">
        <v>0</v>
      </c>
      <c r="CK2" s="208">
        <v>0</v>
      </c>
      <c r="CL2" s="208">
        <v>0</v>
      </c>
      <c r="CM2" s="208" t="s">
        <v>21324</v>
      </c>
      <c r="CN2" s="208">
        <v>1</v>
      </c>
      <c r="CO2" s="208">
        <v>1</v>
      </c>
      <c r="CP2" s="208">
        <v>1</v>
      </c>
      <c r="CQ2" s="208">
        <v>0</v>
      </c>
      <c r="CR2" s="208">
        <v>0</v>
      </c>
      <c r="CS2" s="208">
        <v>0</v>
      </c>
      <c r="CT2" s="208" t="s">
        <v>21313</v>
      </c>
      <c r="CU2" s="208">
        <v>0</v>
      </c>
      <c r="CV2" s="208">
        <v>0</v>
      </c>
      <c r="CW2" s="208">
        <v>0</v>
      </c>
      <c r="CX2" s="208">
        <v>0</v>
      </c>
      <c r="CY2" s="208">
        <v>0</v>
      </c>
      <c r="CZ2" s="208">
        <v>0</v>
      </c>
      <c r="DA2" s="208" t="s">
        <v>21313</v>
      </c>
      <c r="DB2" s="208">
        <v>0</v>
      </c>
      <c r="DC2" s="208">
        <v>0</v>
      </c>
      <c r="DD2" s="208">
        <v>0</v>
      </c>
      <c r="DE2" s="208">
        <v>0</v>
      </c>
      <c r="DF2" s="208">
        <v>0</v>
      </c>
      <c r="DG2" s="208">
        <v>0</v>
      </c>
      <c r="DH2" s="208" t="s">
        <v>21313</v>
      </c>
      <c r="DI2" s="208">
        <v>0</v>
      </c>
      <c r="DJ2" s="208">
        <v>0</v>
      </c>
      <c r="DK2" s="208">
        <v>0</v>
      </c>
      <c r="DL2" s="208">
        <v>0</v>
      </c>
      <c r="DM2" s="208">
        <v>0</v>
      </c>
      <c r="DN2" s="208">
        <v>0</v>
      </c>
      <c r="DO2" s="208" t="s">
        <v>21325</v>
      </c>
      <c r="DP2" s="208">
        <v>80</v>
      </c>
      <c r="DQ2" s="208">
        <v>80</v>
      </c>
      <c r="DR2" s="208">
        <v>80</v>
      </c>
      <c r="DS2" s="208">
        <v>0</v>
      </c>
      <c r="DT2" s="208">
        <v>0</v>
      </c>
      <c r="DU2" s="208">
        <v>0</v>
      </c>
      <c r="DV2" s="208" t="s">
        <v>21326</v>
      </c>
      <c r="DW2" s="208">
        <v>80</v>
      </c>
      <c r="DX2" s="208" t="s">
        <v>21327</v>
      </c>
      <c r="DY2" s="208">
        <v>60</v>
      </c>
      <c r="DZ2" s="208">
        <v>60</v>
      </c>
      <c r="EA2" s="208">
        <v>60</v>
      </c>
      <c r="EB2" s="208">
        <v>0</v>
      </c>
      <c r="EC2" s="208">
        <v>0</v>
      </c>
      <c r="ED2" s="208">
        <v>0</v>
      </c>
      <c r="EE2" s="208" t="s">
        <v>21328</v>
      </c>
      <c r="EF2" s="208">
        <v>60</v>
      </c>
      <c r="EG2" s="208" t="s">
        <v>21327</v>
      </c>
      <c r="EH2" s="208">
        <v>60</v>
      </c>
      <c r="EI2" s="208">
        <v>60</v>
      </c>
      <c r="EJ2" s="208">
        <v>60</v>
      </c>
      <c r="EK2" s="208">
        <v>0</v>
      </c>
      <c r="EL2" s="208">
        <v>0</v>
      </c>
      <c r="EM2" s="208">
        <v>0</v>
      </c>
      <c r="EN2" s="208" t="s">
        <v>21328</v>
      </c>
      <c r="EO2" s="208">
        <v>60</v>
      </c>
      <c r="EP2" s="208" t="s">
        <v>21313</v>
      </c>
      <c r="EQ2" s="208">
        <v>0</v>
      </c>
      <c r="ER2" s="208">
        <v>0</v>
      </c>
      <c r="ES2" s="208">
        <v>0</v>
      </c>
      <c r="ET2" s="208">
        <v>0</v>
      </c>
      <c r="EU2" s="208">
        <v>0</v>
      </c>
      <c r="EV2" s="208">
        <v>0</v>
      </c>
      <c r="EW2" s="208" t="s">
        <v>21313</v>
      </c>
      <c r="EX2" s="208">
        <v>0</v>
      </c>
      <c r="EY2" s="208" t="s">
        <v>21313</v>
      </c>
      <c r="EZ2" s="208">
        <v>0</v>
      </c>
      <c r="FA2" s="208">
        <v>0</v>
      </c>
      <c r="FB2" s="208">
        <v>0</v>
      </c>
      <c r="FC2" s="208">
        <v>0</v>
      </c>
      <c r="FD2" s="208">
        <v>0</v>
      </c>
      <c r="FE2" s="208">
        <v>0</v>
      </c>
      <c r="FF2" s="208" t="s">
        <v>21313</v>
      </c>
      <c r="FG2" s="208">
        <v>0</v>
      </c>
      <c r="FH2" s="208" t="s">
        <v>21313</v>
      </c>
      <c r="FI2" s="208">
        <v>0</v>
      </c>
      <c r="FJ2" s="208">
        <v>0</v>
      </c>
      <c r="FK2" s="208">
        <v>0</v>
      </c>
      <c r="FL2" s="208">
        <v>0</v>
      </c>
      <c r="FM2" s="208">
        <v>0</v>
      </c>
      <c r="FN2" s="208">
        <v>0</v>
      </c>
      <c r="FO2" s="208" t="s">
        <v>21313</v>
      </c>
      <c r="FP2" s="208">
        <v>0</v>
      </c>
      <c r="FQ2" s="208">
        <v>80</v>
      </c>
      <c r="FR2" s="208" t="s">
        <v>19816</v>
      </c>
      <c r="FS2" s="208" t="s">
        <v>21329</v>
      </c>
      <c r="FT2" s="208" t="s">
        <v>21330</v>
      </c>
      <c r="FU2" s="208" t="s">
        <v>21313</v>
      </c>
      <c r="FV2" s="208" t="s">
        <v>21313</v>
      </c>
      <c r="FW2" s="208" t="s">
        <v>21313</v>
      </c>
      <c r="FX2" s="208" t="s">
        <v>21331</v>
      </c>
      <c r="FY2" s="208">
        <v>52.5</v>
      </c>
      <c r="FZ2" s="208">
        <v>52.5</v>
      </c>
      <c r="GA2" s="208">
        <v>52.5</v>
      </c>
      <c r="GB2" s="208">
        <v>0</v>
      </c>
      <c r="GC2" s="208">
        <v>0</v>
      </c>
      <c r="GD2" s="208">
        <v>0</v>
      </c>
      <c r="GE2" s="208" t="s">
        <v>21332</v>
      </c>
      <c r="GF2" s="208" t="s">
        <v>21331</v>
      </c>
      <c r="GG2" s="208">
        <v>52.5</v>
      </c>
      <c r="GH2" s="208">
        <v>52.5</v>
      </c>
      <c r="GI2" s="208">
        <v>52.5</v>
      </c>
      <c r="GJ2" s="208">
        <v>0</v>
      </c>
      <c r="GK2" s="208">
        <v>0</v>
      </c>
      <c r="GL2" s="208">
        <v>0</v>
      </c>
      <c r="GM2" s="208" t="s">
        <v>21332</v>
      </c>
      <c r="GN2" s="208" t="s">
        <v>21331</v>
      </c>
      <c r="GO2" s="208">
        <v>52.5</v>
      </c>
      <c r="GP2" s="208">
        <v>52.5</v>
      </c>
      <c r="GQ2" s="208">
        <v>52.5</v>
      </c>
      <c r="GR2" s="208">
        <v>0</v>
      </c>
      <c r="GS2" s="208">
        <v>0</v>
      </c>
      <c r="GT2" s="208">
        <v>0</v>
      </c>
      <c r="GU2" s="208" t="s">
        <v>21332</v>
      </c>
      <c r="GV2" s="208" t="s">
        <v>21313</v>
      </c>
      <c r="GW2" s="208">
        <v>0</v>
      </c>
      <c r="GX2" s="208">
        <v>0</v>
      </c>
      <c r="GY2" s="208">
        <v>0</v>
      </c>
      <c r="GZ2" s="208">
        <v>0</v>
      </c>
      <c r="HA2" s="208">
        <v>0</v>
      </c>
      <c r="HB2" s="208">
        <v>0</v>
      </c>
      <c r="HC2" s="208" t="s">
        <v>21313</v>
      </c>
      <c r="HD2" s="208" t="s">
        <v>21313</v>
      </c>
      <c r="HE2" s="208">
        <v>0</v>
      </c>
      <c r="HF2" s="208">
        <v>0</v>
      </c>
      <c r="HG2" s="208">
        <v>0</v>
      </c>
      <c r="HH2" s="208">
        <v>0</v>
      </c>
      <c r="HI2" s="208">
        <v>0</v>
      </c>
      <c r="HJ2" s="208">
        <v>0</v>
      </c>
      <c r="HK2" s="208" t="s">
        <v>21313</v>
      </c>
      <c r="HL2" s="208" t="s">
        <v>21313</v>
      </c>
      <c r="HM2" s="208">
        <v>0</v>
      </c>
      <c r="HN2" s="208">
        <v>0</v>
      </c>
      <c r="HO2" s="208">
        <v>0</v>
      </c>
      <c r="HP2" s="208">
        <v>0</v>
      </c>
      <c r="HQ2" s="208">
        <v>0</v>
      </c>
      <c r="HR2" s="208">
        <v>0</v>
      </c>
      <c r="HS2" s="208" t="s">
        <v>21313</v>
      </c>
      <c r="HT2" s="208" t="s">
        <v>21333</v>
      </c>
      <c r="HU2" s="208">
        <v>52.5</v>
      </c>
      <c r="HV2" s="208">
        <v>52.5</v>
      </c>
      <c r="HW2" s="208">
        <v>52.5</v>
      </c>
      <c r="HX2" s="208">
        <v>0</v>
      </c>
      <c r="HY2" s="208">
        <v>0</v>
      </c>
      <c r="HZ2" s="208">
        <v>0</v>
      </c>
      <c r="IA2" s="600">
        <v>52.5</v>
      </c>
      <c r="IB2" s="600">
        <v>2.5</v>
      </c>
      <c r="IC2" s="343" t="s">
        <v>21035</v>
      </c>
      <c r="ID2" s="343" t="s">
        <v>21334</v>
      </c>
      <c r="IE2" s="343" t="s">
        <v>21335</v>
      </c>
      <c r="IF2" s="343" t="s">
        <v>21336</v>
      </c>
      <c r="IG2" s="383">
        <v>43756</v>
      </c>
      <c r="IH2" s="383">
        <v>45583</v>
      </c>
      <c r="II2" s="208">
        <v>37</v>
      </c>
      <c r="IJ2" s="283">
        <v>37</v>
      </c>
    </row>
    <row r="3" ht="165.75">
      <c r="A3" s="207">
        <v>2</v>
      </c>
      <c r="B3" s="343" t="s">
        <v>21298</v>
      </c>
      <c r="C3" s="343" t="s">
        <v>21298</v>
      </c>
      <c r="D3" s="600" t="s">
        <v>21101</v>
      </c>
      <c r="E3" s="317" t="s">
        <v>21102</v>
      </c>
      <c r="F3" s="207" t="s">
        <v>20855</v>
      </c>
      <c r="G3" s="600">
        <v>105.762325</v>
      </c>
      <c r="H3" s="600">
        <v>21.03086</v>
      </c>
      <c r="I3" s="207">
        <v>1</v>
      </c>
      <c r="J3" s="207">
        <v>2</v>
      </c>
      <c r="K3" s="207" t="s">
        <v>21337</v>
      </c>
      <c r="L3" s="207" t="s">
        <v>21338</v>
      </c>
      <c r="M3" s="207" t="s">
        <v>21339</v>
      </c>
      <c r="N3" s="207" t="s">
        <v>21340</v>
      </c>
      <c r="O3" s="207" t="s">
        <v>21341</v>
      </c>
      <c r="P3" s="207" t="s">
        <v>21342</v>
      </c>
      <c r="Q3" s="207" t="s">
        <v>21343</v>
      </c>
      <c r="R3" s="207" t="s">
        <v>21344</v>
      </c>
      <c r="S3" s="364" t="b">
        <v>1</v>
      </c>
      <c r="T3" s="207" t="s">
        <v>21103</v>
      </c>
      <c r="U3" s="207">
        <v>0</v>
      </c>
      <c r="V3" s="207" t="s">
        <v>21307</v>
      </c>
      <c r="W3" s="207" t="s">
        <v>21104</v>
      </c>
      <c r="X3" s="209" t="s">
        <v>21308</v>
      </c>
      <c r="Y3" s="207" t="b">
        <v>0</v>
      </c>
      <c r="Z3" s="364" t="b">
        <v>0</v>
      </c>
      <c r="AA3" s="600">
        <v>42.5</v>
      </c>
      <c r="AB3" s="364" t="b">
        <v>1</v>
      </c>
      <c r="AC3" s="600">
        <v>36</v>
      </c>
      <c r="AD3" s="207" t="b">
        <v>0</v>
      </c>
      <c r="AE3" s="207" t="s">
        <v>21309</v>
      </c>
      <c r="AF3" s="207" t="s">
        <v>21310</v>
      </c>
      <c r="AG3" s="343" t="s">
        <v>21311</v>
      </c>
      <c r="AH3" s="343" t="s">
        <v>21312</v>
      </c>
      <c r="AI3" s="343" t="s">
        <v>21054</v>
      </c>
      <c r="AJ3" s="343" t="s">
        <v>21313</v>
      </c>
      <c r="AK3" s="343" t="s">
        <v>21314</v>
      </c>
      <c r="AL3" s="208"/>
      <c r="AM3" s="208" t="s">
        <v>21315</v>
      </c>
      <c r="AN3" s="208" t="s">
        <v>21316</v>
      </c>
      <c r="AO3" s="207">
        <v>5</v>
      </c>
      <c r="AP3" s="287" t="s">
        <v>21317</v>
      </c>
      <c r="AQ3" s="448" t="s">
        <v>21318</v>
      </c>
      <c r="AR3" s="448" t="s">
        <v>21345</v>
      </c>
      <c r="AS3" s="449" t="s">
        <v>10</v>
      </c>
      <c r="AT3" s="208" t="s">
        <v>21316</v>
      </c>
      <c r="AU3" s="208" t="s">
        <v>21316</v>
      </c>
      <c r="AV3" s="208" t="s">
        <v>21313</v>
      </c>
      <c r="AW3" s="208" t="s">
        <v>21313</v>
      </c>
      <c r="AX3" s="208" t="s">
        <v>21313</v>
      </c>
      <c r="AY3" s="208" t="s">
        <v>21313</v>
      </c>
      <c r="AZ3" s="208" t="s">
        <v>21298</v>
      </c>
      <c r="BA3" s="208" t="s">
        <v>21298</v>
      </c>
      <c r="BB3" s="208" t="s">
        <v>21313</v>
      </c>
      <c r="BC3" s="208" t="s">
        <v>21313</v>
      </c>
      <c r="BD3" s="208" t="s">
        <v>21313</v>
      </c>
      <c r="BE3" s="208" t="s">
        <v>21313</v>
      </c>
      <c r="BF3" s="208" t="s">
        <v>21346</v>
      </c>
      <c r="BG3" s="208" t="s">
        <v>21101</v>
      </c>
      <c r="BH3" s="208" t="s">
        <v>21101</v>
      </c>
      <c r="BI3" s="208" t="s">
        <v>21313</v>
      </c>
      <c r="BJ3" s="208" t="s">
        <v>21313</v>
      </c>
      <c r="BK3" s="208" t="s">
        <v>21313</v>
      </c>
      <c r="BL3" s="208" t="s">
        <v>21313</v>
      </c>
      <c r="BM3" s="208" t="s">
        <v>21322</v>
      </c>
      <c r="BN3" s="208" t="s">
        <v>21323</v>
      </c>
      <c r="BO3" s="208" t="s">
        <v>21313</v>
      </c>
      <c r="BP3" s="208" t="s">
        <v>21313</v>
      </c>
      <c r="BQ3" s="208" t="s">
        <v>21313</v>
      </c>
      <c r="BR3" s="208" t="s">
        <v>21313</v>
      </c>
      <c r="BS3" s="208">
        <v>3</v>
      </c>
      <c r="BT3" s="208">
        <v>3</v>
      </c>
      <c r="BU3" s="208">
        <v>0</v>
      </c>
      <c r="BV3" s="208">
        <v>0</v>
      </c>
      <c r="BW3" s="208">
        <v>0</v>
      </c>
      <c r="BX3" s="208">
        <v>0</v>
      </c>
      <c r="BY3" s="208" t="s">
        <v>21042</v>
      </c>
      <c r="BZ3" s="208">
        <v>2</v>
      </c>
      <c r="CA3" s="208">
        <v>2</v>
      </c>
      <c r="CB3" s="208">
        <v>2</v>
      </c>
      <c r="CC3" s="208">
        <v>0</v>
      </c>
      <c r="CD3" s="208">
        <v>0</v>
      </c>
      <c r="CE3" s="208">
        <v>0</v>
      </c>
      <c r="CF3" s="208" t="s">
        <v>21324</v>
      </c>
      <c r="CG3" s="208">
        <v>1</v>
      </c>
      <c r="CH3" s="208">
        <v>1</v>
      </c>
      <c r="CI3" s="208">
        <v>1</v>
      </c>
      <c r="CJ3" s="208">
        <v>0</v>
      </c>
      <c r="CK3" s="208">
        <v>0</v>
      </c>
      <c r="CL3" s="208">
        <v>0</v>
      </c>
      <c r="CM3" s="208" t="s">
        <v>21313</v>
      </c>
      <c r="CN3" s="208">
        <v>0</v>
      </c>
      <c r="CO3" s="208">
        <v>0</v>
      </c>
      <c r="CP3" s="208">
        <v>0</v>
      </c>
      <c r="CQ3" s="208">
        <v>0</v>
      </c>
      <c r="CR3" s="208">
        <v>0</v>
      </c>
      <c r="CS3" s="208">
        <v>0</v>
      </c>
      <c r="CT3" s="208" t="s">
        <v>21313</v>
      </c>
      <c r="CU3" s="208">
        <v>0</v>
      </c>
      <c r="CV3" s="208">
        <v>0</v>
      </c>
      <c r="CW3" s="208">
        <v>0</v>
      </c>
      <c r="CX3" s="208">
        <v>0</v>
      </c>
      <c r="CY3" s="208">
        <v>0</v>
      </c>
      <c r="CZ3" s="208">
        <v>0</v>
      </c>
      <c r="DA3" s="208" t="s">
        <v>21313</v>
      </c>
      <c r="DB3" s="208">
        <v>0</v>
      </c>
      <c r="DC3" s="208">
        <v>0</v>
      </c>
      <c r="DD3" s="208">
        <v>0</v>
      </c>
      <c r="DE3" s="208">
        <v>0</v>
      </c>
      <c r="DF3" s="208">
        <v>0</v>
      </c>
      <c r="DG3" s="208">
        <v>0</v>
      </c>
      <c r="DH3" s="208" t="s">
        <v>21313</v>
      </c>
      <c r="DI3" s="208">
        <v>0</v>
      </c>
      <c r="DJ3" s="208">
        <v>0</v>
      </c>
      <c r="DK3" s="208">
        <v>0</v>
      </c>
      <c r="DL3" s="208">
        <v>0</v>
      </c>
      <c r="DM3" s="208">
        <v>0</v>
      </c>
      <c r="DN3" s="208">
        <v>0</v>
      </c>
      <c r="DO3" s="208" t="s">
        <v>21327</v>
      </c>
      <c r="DP3" s="208">
        <v>60</v>
      </c>
      <c r="DQ3" s="208">
        <v>60</v>
      </c>
      <c r="DR3" s="208">
        <v>60</v>
      </c>
      <c r="DS3" s="208">
        <v>0</v>
      </c>
      <c r="DT3" s="208">
        <v>0</v>
      </c>
      <c r="DU3" s="208">
        <v>0</v>
      </c>
      <c r="DV3" s="208" t="s">
        <v>21328</v>
      </c>
      <c r="DW3" s="208">
        <v>60</v>
      </c>
      <c r="DX3" s="208" t="s">
        <v>21327</v>
      </c>
      <c r="DY3" s="208">
        <v>60</v>
      </c>
      <c r="DZ3" s="208">
        <v>60</v>
      </c>
      <c r="EA3" s="208">
        <v>60</v>
      </c>
      <c r="EB3" s="208">
        <v>0</v>
      </c>
      <c r="EC3" s="208">
        <v>0</v>
      </c>
      <c r="ED3" s="208">
        <v>0</v>
      </c>
      <c r="EE3" s="208" t="s">
        <v>21328</v>
      </c>
      <c r="EF3" s="208">
        <v>60</v>
      </c>
      <c r="EG3" s="208" t="s">
        <v>21313</v>
      </c>
      <c r="EH3" s="208">
        <v>0</v>
      </c>
      <c r="EI3" s="208">
        <v>0</v>
      </c>
      <c r="EJ3" s="208">
        <v>0</v>
      </c>
      <c r="EK3" s="208">
        <v>0</v>
      </c>
      <c r="EL3" s="208">
        <v>0</v>
      </c>
      <c r="EM3" s="208">
        <v>0</v>
      </c>
      <c r="EN3" s="208" t="s">
        <v>21313</v>
      </c>
      <c r="EO3" s="208">
        <v>0</v>
      </c>
      <c r="EP3" s="208" t="s">
        <v>21313</v>
      </c>
      <c r="EQ3" s="208">
        <v>0</v>
      </c>
      <c r="ER3" s="208">
        <v>0</v>
      </c>
      <c r="ES3" s="208">
        <v>0</v>
      </c>
      <c r="ET3" s="208">
        <v>0</v>
      </c>
      <c r="EU3" s="208">
        <v>0</v>
      </c>
      <c r="EV3" s="208">
        <v>0</v>
      </c>
      <c r="EW3" s="208" t="s">
        <v>21313</v>
      </c>
      <c r="EX3" s="208">
        <v>0</v>
      </c>
      <c r="EY3" s="208" t="s">
        <v>21313</v>
      </c>
      <c r="EZ3" s="208">
        <v>0</v>
      </c>
      <c r="FA3" s="208">
        <v>0</v>
      </c>
      <c r="FB3" s="208">
        <v>0</v>
      </c>
      <c r="FC3" s="208">
        <v>0</v>
      </c>
      <c r="FD3" s="208">
        <v>0</v>
      </c>
      <c r="FE3" s="208">
        <v>0</v>
      </c>
      <c r="FF3" s="208" t="s">
        <v>21313</v>
      </c>
      <c r="FG3" s="208">
        <v>0</v>
      </c>
      <c r="FH3" s="208" t="s">
        <v>21313</v>
      </c>
      <c r="FI3" s="208">
        <v>0</v>
      </c>
      <c r="FJ3" s="208">
        <v>0</v>
      </c>
      <c r="FK3" s="208">
        <v>0</v>
      </c>
      <c r="FL3" s="208">
        <v>0</v>
      </c>
      <c r="FM3" s="208">
        <v>0</v>
      </c>
      <c r="FN3" s="208">
        <v>0</v>
      </c>
      <c r="FO3" s="208" t="s">
        <v>21313</v>
      </c>
      <c r="FP3" s="208">
        <v>0</v>
      </c>
      <c r="FQ3" s="208">
        <v>60</v>
      </c>
      <c r="FR3" s="208" t="s">
        <v>21329</v>
      </c>
      <c r="FS3" s="208" t="s">
        <v>21330</v>
      </c>
      <c r="FT3" s="208" t="s">
        <v>21313</v>
      </c>
      <c r="FU3" s="208" t="s">
        <v>21313</v>
      </c>
      <c r="FV3" s="208" t="s">
        <v>21313</v>
      </c>
      <c r="FW3" s="208" t="s">
        <v>21313</v>
      </c>
      <c r="FX3" s="208" t="s">
        <v>21347</v>
      </c>
      <c r="FY3" s="208">
        <v>42.5</v>
      </c>
      <c r="FZ3" s="208">
        <v>42.5</v>
      </c>
      <c r="GA3" s="208">
        <v>42.5</v>
      </c>
      <c r="GB3" s="208">
        <v>0</v>
      </c>
      <c r="GC3" s="208">
        <v>0</v>
      </c>
      <c r="GD3" s="208">
        <v>0</v>
      </c>
      <c r="GE3" s="208" t="s">
        <v>21348</v>
      </c>
      <c r="GF3" s="208" t="s">
        <v>21347</v>
      </c>
      <c r="GG3" s="208">
        <v>42.5</v>
      </c>
      <c r="GH3" s="208">
        <v>42.5</v>
      </c>
      <c r="GI3" s="208">
        <v>42.5</v>
      </c>
      <c r="GJ3" s="208">
        <v>0</v>
      </c>
      <c r="GK3" s="208">
        <v>0</v>
      </c>
      <c r="GL3" s="208">
        <v>0</v>
      </c>
      <c r="GM3" s="208" t="s">
        <v>21348</v>
      </c>
      <c r="GN3" s="208" t="s">
        <v>21313</v>
      </c>
      <c r="GO3" s="208">
        <v>0</v>
      </c>
      <c r="GP3" s="208">
        <v>0</v>
      </c>
      <c r="GQ3" s="208">
        <v>0</v>
      </c>
      <c r="GR3" s="208">
        <v>0</v>
      </c>
      <c r="GS3" s="208">
        <v>0</v>
      </c>
      <c r="GT3" s="208">
        <v>0</v>
      </c>
      <c r="GU3" s="208" t="s">
        <v>21313</v>
      </c>
      <c r="GV3" s="208" t="s">
        <v>21313</v>
      </c>
      <c r="GW3" s="208">
        <v>0</v>
      </c>
      <c r="GX3" s="208">
        <v>0</v>
      </c>
      <c r="GY3" s="208">
        <v>0</v>
      </c>
      <c r="GZ3" s="208">
        <v>0</v>
      </c>
      <c r="HA3" s="208">
        <v>0</v>
      </c>
      <c r="HB3" s="208">
        <v>0</v>
      </c>
      <c r="HC3" s="208" t="s">
        <v>21313</v>
      </c>
      <c r="HD3" s="208" t="s">
        <v>21313</v>
      </c>
      <c r="HE3" s="208">
        <v>0</v>
      </c>
      <c r="HF3" s="208">
        <v>0</v>
      </c>
      <c r="HG3" s="208">
        <v>0</v>
      </c>
      <c r="HH3" s="208">
        <v>0</v>
      </c>
      <c r="HI3" s="208">
        <v>0</v>
      </c>
      <c r="HJ3" s="208">
        <v>0</v>
      </c>
      <c r="HK3" s="208" t="s">
        <v>21313</v>
      </c>
      <c r="HL3" s="208" t="s">
        <v>21313</v>
      </c>
      <c r="HM3" s="208">
        <v>0</v>
      </c>
      <c r="HN3" s="208">
        <v>0</v>
      </c>
      <c r="HO3" s="208">
        <v>0</v>
      </c>
      <c r="HP3" s="208">
        <v>0</v>
      </c>
      <c r="HQ3" s="208">
        <v>0</v>
      </c>
      <c r="HR3" s="208">
        <v>0</v>
      </c>
      <c r="HS3" s="208" t="s">
        <v>21313</v>
      </c>
      <c r="HT3" s="208" t="s">
        <v>21333</v>
      </c>
      <c r="HU3" s="208">
        <v>42.5</v>
      </c>
      <c r="HV3" s="208">
        <v>42.5</v>
      </c>
      <c r="HW3" s="208">
        <v>0</v>
      </c>
      <c r="HX3" s="208">
        <v>0</v>
      </c>
      <c r="HY3" s="208">
        <v>0</v>
      </c>
      <c r="HZ3" s="208">
        <v>0</v>
      </c>
      <c r="IA3" s="600">
        <v>42.5</v>
      </c>
      <c r="IB3" s="600">
        <v>6.5</v>
      </c>
      <c r="IC3" s="343" t="s">
        <v>21035</v>
      </c>
      <c r="ID3" s="343" t="s">
        <v>21349</v>
      </c>
      <c r="IE3" s="343" t="s">
        <v>21335</v>
      </c>
      <c r="IF3" s="343" t="s">
        <v>21336</v>
      </c>
      <c r="IG3" s="383">
        <v>43756</v>
      </c>
      <c r="IH3" s="383">
        <v>45583</v>
      </c>
      <c r="II3" s="208">
        <v>37</v>
      </c>
    </row>
    <row r="4" ht="165.75">
      <c r="A4" s="207">
        <v>3</v>
      </c>
      <c r="B4" s="343" t="s">
        <v>21298</v>
      </c>
      <c r="C4" s="343" t="s">
        <v>21298</v>
      </c>
      <c r="D4" s="600" t="s">
        <v>21105</v>
      </c>
      <c r="E4" s="317" t="s">
        <v>21106</v>
      </c>
      <c r="F4" s="207" t="s">
        <v>20855</v>
      </c>
      <c r="G4" s="600">
        <v>105.759331</v>
      </c>
      <c r="H4" s="600">
        <v>21.030374</v>
      </c>
      <c r="I4" s="207">
        <v>1</v>
      </c>
      <c r="J4" s="207">
        <v>2</v>
      </c>
      <c r="K4" s="207" t="s">
        <v>21337</v>
      </c>
      <c r="L4" s="207" t="s">
        <v>21350</v>
      </c>
      <c r="M4" s="207" t="s">
        <v>21339</v>
      </c>
      <c r="N4" s="207" t="s">
        <v>21340</v>
      </c>
      <c r="O4" s="207" t="s">
        <v>21341</v>
      </c>
      <c r="P4" s="207" t="s">
        <v>21342</v>
      </c>
      <c r="Q4" s="207" t="s">
        <v>21343</v>
      </c>
      <c r="R4" s="207" t="s">
        <v>21351</v>
      </c>
      <c r="S4" s="364" t="b">
        <v>1</v>
      </c>
      <c r="T4" s="207" t="s">
        <v>21107</v>
      </c>
      <c r="U4" s="207">
        <v>0</v>
      </c>
      <c r="V4" s="207" t="s">
        <v>21307</v>
      </c>
      <c r="W4" s="207" t="s">
        <v>21108</v>
      </c>
      <c r="X4" s="209" t="s">
        <v>21308</v>
      </c>
      <c r="Y4" s="207" t="b">
        <v>0</v>
      </c>
      <c r="Z4" s="364" t="b">
        <v>0</v>
      </c>
      <c r="AA4" s="600">
        <v>16.5</v>
      </c>
      <c r="AB4" s="364" t="b">
        <v>1</v>
      </c>
      <c r="AC4" s="600">
        <v>12</v>
      </c>
      <c r="AD4" s="207" t="b">
        <v>0</v>
      </c>
      <c r="AE4" s="207" t="s">
        <v>21309</v>
      </c>
      <c r="AF4" s="207" t="s">
        <v>21310</v>
      </c>
      <c r="AG4" s="343" t="s">
        <v>21311</v>
      </c>
      <c r="AH4" s="343" t="s">
        <v>21312</v>
      </c>
      <c r="AI4" s="343" t="s">
        <v>21054</v>
      </c>
      <c r="AJ4" s="343" t="s">
        <v>21313</v>
      </c>
      <c r="AK4" s="343" t="s">
        <v>21314</v>
      </c>
      <c r="AL4" s="208"/>
      <c r="AM4" s="208" t="s">
        <v>21315</v>
      </c>
      <c r="AN4" s="208" t="s">
        <v>21316</v>
      </c>
      <c r="AO4" s="207">
        <v>4</v>
      </c>
      <c r="AP4" s="287" t="s">
        <v>21317</v>
      </c>
      <c r="AQ4" s="448" t="s">
        <v>21318</v>
      </c>
      <c r="AR4" s="448" t="s">
        <v>21345</v>
      </c>
      <c r="AS4" s="449" t="s">
        <v>10</v>
      </c>
      <c r="AT4" s="208" t="s">
        <v>21316</v>
      </c>
      <c r="AU4" s="208" t="s">
        <v>21316</v>
      </c>
      <c r="AV4" s="208" t="s">
        <v>21313</v>
      </c>
      <c r="AW4" s="208" t="s">
        <v>21313</v>
      </c>
      <c r="AX4" s="208" t="s">
        <v>21313</v>
      </c>
      <c r="AY4" s="208" t="s">
        <v>21313</v>
      </c>
      <c r="AZ4" s="208" t="s">
        <v>21298</v>
      </c>
      <c r="BA4" s="208" t="s">
        <v>21298</v>
      </c>
      <c r="BB4" s="208" t="s">
        <v>21313</v>
      </c>
      <c r="BC4" s="208" t="s">
        <v>21313</v>
      </c>
      <c r="BD4" s="208" t="s">
        <v>21313</v>
      </c>
      <c r="BE4" s="208" t="s">
        <v>21313</v>
      </c>
      <c r="BF4" s="208" t="s">
        <v>21346</v>
      </c>
      <c r="BG4" s="208" t="s">
        <v>21105</v>
      </c>
      <c r="BH4" s="208" t="s">
        <v>21105</v>
      </c>
      <c r="BI4" s="208" t="s">
        <v>21313</v>
      </c>
      <c r="BJ4" s="208" t="s">
        <v>21313</v>
      </c>
      <c r="BK4" s="208" t="s">
        <v>21313</v>
      </c>
      <c r="BL4" s="208" t="s">
        <v>21313</v>
      </c>
      <c r="BM4" s="208" t="s">
        <v>21322</v>
      </c>
      <c r="BN4" s="208" t="s">
        <v>21323</v>
      </c>
      <c r="BO4" s="208" t="s">
        <v>21313</v>
      </c>
      <c r="BP4" s="208" t="s">
        <v>21313</v>
      </c>
      <c r="BQ4" s="208" t="s">
        <v>21313</v>
      </c>
      <c r="BR4" s="208" t="s">
        <v>21313</v>
      </c>
      <c r="BS4" s="208">
        <v>3</v>
      </c>
      <c r="BT4" s="208">
        <v>3</v>
      </c>
      <c r="BU4" s="208">
        <v>0</v>
      </c>
      <c r="BV4" s="208">
        <v>0</v>
      </c>
      <c r="BW4" s="208">
        <v>0</v>
      </c>
      <c r="BX4" s="208">
        <v>0</v>
      </c>
      <c r="BY4" s="208" t="s">
        <v>21042</v>
      </c>
      <c r="BZ4" s="208">
        <v>2</v>
      </c>
      <c r="CA4" s="208">
        <v>2</v>
      </c>
      <c r="CB4" s="208">
        <v>2</v>
      </c>
      <c r="CC4" s="208">
        <v>0</v>
      </c>
      <c r="CD4" s="208">
        <v>0</v>
      </c>
      <c r="CE4" s="208">
        <v>0</v>
      </c>
      <c r="CF4" s="208" t="s">
        <v>21324</v>
      </c>
      <c r="CG4" s="208">
        <v>1</v>
      </c>
      <c r="CH4" s="208">
        <v>1</v>
      </c>
      <c r="CI4" s="208">
        <v>1</v>
      </c>
      <c r="CJ4" s="208">
        <v>0</v>
      </c>
      <c r="CK4" s="208">
        <v>0</v>
      </c>
      <c r="CL4" s="208">
        <v>0</v>
      </c>
      <c r="CM4" s="208" t="s">
        <v>21313</v>
      </c>
      <c r="CN4" s="208">
        <v>0</v>
      </c>
      <c r="CO4" s="208">
        <v>0</v>
      </c>
      <c r="CP4" s="208">
        <v>0</v>
      </c>
      <c r="CQ4" s="208">
        <v>0</v>
      </c>
      <c r="CR4" s="208">
        <v>0</v>
      </c>
      <c r="CS4" s="208">
        <v>0</v>
      </c>
      <c r="CT4" s="208" t="s">
        <v>21313</v>
      </c>
      <c r="CU4" s="208">
        <v>0</v>
      </c>
      <c r="CV4" s="208">
        <v>0</v>
      </c>
      <c r="CW4" s="208">
        <v>0</v>
      </c>
      <c r="CX4" s="208">
        <v>0</v>
      </c>
      <c r="CY4" s="208">
        <v>0</v>
      </c>
      <c r="CZ4" s="208">
        <v>0</v>
      </c>
      <c r="DA4" s="208" t="s">
        <v>21313</v>
      </c>
      <c r="DB4" s="208">
        <v>0</v>
      </c>
      <c r="DC4" s="208">
        <v>0</v>
      </c>
      <c r="DD4" s="208">
        <v>0</v>
      </c>
      <c r="DE4" s="208">
        <v>0</v>
      </c>
      <c r="DF4" s="208">
        <v>0</v>
      </c>
      <c r="DG4" s="208">
        <v>0</v>
      </c>
      <c r="DH4" s="208" t="s">
        <v>21313</v>
      </c>
      <c r="DI4" s="208">
        <v>0</v>
      </c>
      <c r="DJ4" s="208">
        <v>0</v>
      </c>
      <c r="DK4" s="208">
        <v>0</v>
      </c>
      <c r="DL4" s="208">
        <v>0</v>
      </c>
      <c r="DM4" s="208">
        <v>0</v>
      </c>
      <c r="DN4" s="208">
        <v>0</v>
      </c>
      <c r="DO4" s="208" t="s">
        <v>21327</v>
      </c>
      <c r="DP4" s="208">
        <v>60</v>
      </c>
      <c r="DQ4" s="208">
        <v>60</v>
      </c>
      <c r="DR4" s="208">
        <v>60</v>
      </c>
      <c r="DS4" s="208">
        <v>0</v>
      </c>
      <c r="DT4" s="208">
        <v>0</v>
      </c>
      <c r="DU4" s="208">
        <v>0</v>
      </c>
      <c r="DV4" s="208" t="s">
        <v>21328</v>
      </c>
      <c r="DW4" s="208">
        <v>60</v>
      </c>
      <c r="DX4" s="208" t="s">
        <v>21327</v>
      </c>
      <c r="DY4" s="208">
        <v>60</v>
      </c>
      <c r="DZ4" s="208">
        <v>60</v>
      </c>
      <c r="EA4" s="208">
        <v>60</v>
      </c>
      <c r="EB4" s="208">
        <v>0</v>
      </c>
      <c r="EC4" s="208">
        <v>0</v>
      </c>
      <c r="ED4" s="208">
        <v>0</v>
      </c>
      <c r="EE4" s="208" t="s">
        <v>21328</v>
      </c>
      <c r="EF4" s="208">
        <v>60</v>
      </c>
      <c r="EG4" s="208" t="s">
        <v>21313</v>
      </c>
      <c r="EH4" s="208">
        <v>0</v>
      </c>
      <c r="EI4" s="208">
        <v>0</v>
      </c>
      <c r="EJ4" s="208">
        <v>0</v>
      </c>
      <c r="EK4" s="208">
        <v>0</v>
      </c>
      <c r="EL4" s="208">
        <v>0</v>
      </c>
      <c r="EM4" s="208">
        <v>0</v>
      </c>
      <c r="EN4" s="208" t="s">
        <v>21313</v>
      </c>
      <c r="EO4" s="208">
        <v>0</v>
      </c>
      <c r="EP4" s="208" t="s">
        <v>21313</v>
      </c>
      <c r="EQ4" s="208">
        <v>0</v>
      </c>
      <c r="ER4" s="208">
        <v>0</v>
      </c>
      <c r="ES4" s="208">
        <v>0</v>
      </c>
      <c r="ET4" s="208">
        <v>0</v>
      </c>
      <c r="EU4" s="208">
        <v>0</v>
      </c>
      <c r="EV4" s="208">
        <v>0</v>
      </c>
      <c r="EW4" s="208" t="s">
        <v>21313</v>
      </c>
      <c r="EX4" s="208">
        <v>0</v>
      </c>
      <c r="EY4" s="208" t="s">
        <v>21313</v>
      </c>
      <c r="EZ4" s="208">
        <v>0</v>
      </c>
      <c r="FA4" s="208">
        <v>0</v>
      </c>
      <c r="FB4" s="208">
        <v>0</v>
      </c>
      <c r="FC4" s="208">
        <v>0</v>
      </c>
      <c r="FD4" s="208">
        <v>0</v>
      </c>
      <c r="FE4" s="208">
        <v>0</v>
      </c>
      <c r="FF4" s="208" t="s">
        <v>21313</v>
      </c>
      <c r="FG4" s="208">
        <v>0</v>
      </c>
      <c r="FH4" s="208" t="s">
        <v>21313</v>
      </c>
      <c r="FI4" s="208">
        <v>0</v>
      </c>
      <c r="FJ4" s="208">
        <v>0</v>
      </c>
      <c r="FK4" s="208">
        <v>0</v>
      </c>
      <c r="FL4" s="208">
        <v>0</v>
      </c>
      <c r="FM4" s="208">
        <v>0</v>
      </c>
      <c r="FN4" s="208">
        <v>0</v>
      </c>
      <c r="FO4" s="208" t="s">
        <v>21313</v>
      </c>
      <c r="FP4" s="208">
        <v>0</v>
      </c>
      <c r="FQ4" s="208">
        <v>60</v>
      </c>
      <c r="FR4" s="208" t="s">
        <v>21329</v>
      </c>
      <c r="FS4" s="208" t="s">
        <v>21330</v>
      </c>
      <c r="FT4" s="208" t="s">
        <v>21313</v>
      </c>
      <c r="FU4" s="208" t="s">
        <v>21313</v>
      </c>
      <c r="FV4" s="208" t="s">
        <v>21313</v>
      </c>
      <c r="FW4" s="208" t="s">
        <v>21313</v>
      </c>
      <c r="FX4" s="208" t="s">
        <v>21352</v>
      </c>
      <c r="FY4" s="208">
        <v>16.5</v>
      </c>
      <c r="FZ4" s="208">
        <v>16.5</v>
      </c>
      <c r="GA4" s="208">
        <v>16.5</v>
      </c>
      <c r="GB4" s="208">
        <v>0</v>
      </c>
      <c r="GC4" s="208">
        <v>0</v>
      </c>
      <c r="GD4" s="208">
        <v>0</v>
      </c>
      <c r="GE4" s="208" t="s">
        <v>21353</v>
      </c>
      <c r="GF4" s="208" t="s">
        <v>21352</v>
      </c>
      <c r="GG4" s="208">
        <v>16.5</v>
      </c>
      <c r="GH4" s="208">
        <v>16.5</v>
      </c>
      <c r="GI4" s="208">
        <v>16.5</v>
      </c>
      <c r="GJ4" s="208">
        <v>0</v>
      </c>
      <c r="GK4" s="208">
        <v>0</v>
      </c>
      <c r="GL4" s="208">
        <v>0</v>
      </c>
      <c r="GM4" s="208" t="s">
        <v>21353</v>
      </c>
      <c r="GN4" s="208" t="s">
        <v>21313</v>
      </c>
      <c r="GO4" s="208">
        <v>0</v>
      </c>
      <c r="GP4" s="208">
        <v>0</v>
      </c>
      <c r="GQ4" s="208">
        <v>0</v>
      </c>
      <c r="GR4" s="208">
        <v>0</v>
      </c>
      <c r="GS4" s="208">
        <v>0</v>
      </c>
      <c r="GT4" s="208">
        <v>0</v>
      </c>
      <c r="GU4" s="208" t="s">
        <v>21313</v>
      </c>
      <c r="GV4" s="208" t="s">
        <v>21313</v>
      </c>
      <c r="GW4" s="208">
        <v>0</v>
      </c>
      <c r="GX4" s="208">
        <v>0</v>
      </c>
      <c r="GY4" s="208">
        <v>0</v>
      </c>
      <c r="GZ4" s="208">
        <v>0</v>
      </c>
      <c r="HA4" s="208">
        <v>0</v>
      </c>
      <c r="HB4" s="208">
        <v>0</v>
      </c>
      <c r="HC4" s="208" t="s">
        <v>21313</v>
      </c>
      <c r="HD4" s="208" t="s">
        <v>21313</v>
      </c>
      <c r="HE4" s="208">
        <v>0</v>
      </c>
      <c r="HF4" s="208">
        <v>0</v>
      </c>
      <c r="HG4" s="208">
        <v>0</v>
      </c>
      <c r="HH4" s="208">
        <v>0</v>
      </c>
      <c r="HI4" s="208">
        <v>0</v>
      </c>
      <c r="HJ4" s="208">
        <v>0</v>
      </c>
      <c r="HK4" s="208" t="s">
        <v>21313</v>
      </c>
      <c r="HL4" s="208" t="s">
        <v>21313</v>
      </c>
      <c r="HM4" s="208">
        <v>0</v>
      </c>
      <c r="HN4" s="208">
        <v>0</v>
      </c>
      <c r="HO4" s="208">
        <v>0</v>
      </c>
      <c r="HP4" s="208">
        <v>0</v>
      </c>
      <c r="HQ4" s="208">
        <v>0</v>
      </c>
      <c r="HR4" s="208">
        <v>0</v>
      </c>
      <c r="HS4" s="208" t="s">
        <v>21313</v>
      </c>
      <c r="HT4" s="208" t="s">
        <v>21333</v>
      </c>
      <c r="HU4" s="208">
        <v>16.5</v>
      </c>
      <c r="HV4" s="208">
        <v>16.5</v>
      </c>
      <c r="HW4" s="208">
        <v>0</v>
      </c>
      <c r="HX4" s="208">
        <v>0</v>
      </c>
      <c r="HY4" s="208">
        <v>0</v>
      </c>
      <c r="HZ4" s="208">
        <v>0</v>
      </c>
      <c r="IA4" s="600">
        <v>16.5</v>
      </c>
      <c r="IB4" s="600">
        <v>4.5</v>
      </c>
      <c r="IC4" s="343" t="s">
        <v>21035</v>
      </c>
      <c r="ID4" s="343" t="s">
        <v>3632</v>
      </c>
      <c r="IE4" s="343" t="s">
        <v>21335</v>
      </c>
      <c r="IF4" s="343" t="s">
        <v>21336</v>
      </c>
      <c r="IG4" s="383">
        <v>43756</v>
      </c>
      <c r="IH4" s="383">
        <v>45583</v>
      </c>
      <c r="II4" s="208">
        <v>37</v>
      </c>
    </row>
    <row r="5" ht="165.75">
      <c r="A5" s="207">
        <v>4</v>
      </c>
      <c r="B5" s="343" t="s">
        <v>21298</v>
      </c>
      <c r="C5" s="343" t="s">
        <v>21298</v>
      </c>
      <c r="D5" s="600" t="s">
        <v>21109</v>
      </c>
      <c r="E5" s="317" t="s">
        <v>21110</v>
      </c>
      <c r="F5" s="207" t="s">
        <v>20855</v>
      </c>
      <c r="G5" s="600">
        <v>105.77749</v>
      </c>
      <c r="H5" s="600">
        <v>21.019984</v>
      </c>
      <c r="I5" s="207">
        <v>1</v>
      </c>
      <c r="J5" s="207">
        <v>2</v>
      </c>
      <c r="K5" s="207" t="s">
        <v>21337</v>
      </c>
      <c r="L5" s="207" t="s">
        <v>21354</v>
      </c>
      <c r="M5" s="207" t="s">
        <v>21339</v>
      </c>
      <c r="N5" s="207" t="s">
        <v>21340</v>
      </c>
      <c r="O5" s="207" t="s">
        <v>21341</v>
      </c>
      <c r="P5" s="207" t="s">
        <v>21342</v>
      </c>
      <c r="Q5" s="207" t="s">
        <v>21343</v>
      </c>
      <c r="R5" s="207" t="s">
        <v>21355</v>
      </c>
      <c r="S5" s="364" t="b">
        <v>1</v>
      </c>
      <c r="T5" s="207" t="s">
        <v>21111</v>
      </c>
      <c r="U5" s="207">
        <v>0</v>
      </c>
      <c r="V5" s="207" t="s">
        <v>21307</v>
      </c>
      <c r="W5" s="207" t="s">
        <v>21112</v>
      </c>
      <c r="X5" s="209" t="s">
        <v>21308</v>
      </c>
      <c r="Y5" s="207" t="b">
        <v>0</v>
      </c>
      <c r="Z5" s="364" t="b">
        <v>0</v>
      </c>
      <c r="AA5" s="600">
        <v>38</v>
      </c>
      <c r="AB5" s="364" t="b">
        <v>1</v>
      </c>
      <c r="AC5" s="600">
        <v>36</v>
      </c>
      <c r="AD5" s="207" t="b">
        <v>0</v>
      </c>
      <c r="AE5" s="207" t="s">
        <v>21309</v>
      </c>
      <c r="AF5" s="207" t="s">
        <v>21310</v>
      </c>
      <c r="AG5" s="343" t="s">
        <v>21311</v>
      </c>
      <c r="AH5" s="343" t="s">
        <v>21312</v>
      </c>
      <c r="AI5" s="343" t="s">
        <v>21054</v>
      </c>
      <c r="AJ5" s="343" t="s">
        <v>21313</v>
      </c>
      <c r="AK5" s="343" t="s">
        <v>21314</v>
      </c>
      <c r="AL5" s="208"/>
      <c r="AM5" s="208" t="s">
        <v>21315</v>
      </c>
      <c r="AN5" s="208" t="s">
        <v>21316</v>
      </c>
      <c r="AO5" s="207">
        <v>4</v>
      </c>
      <c r="AP5" s="287" t="s">
        <v>21317</v>
      </c>
      <c r="AQ5" s="448" t="s">
        <v>21318</v>
      </c>
      <c r="AR5" s="448" t="s">
        <v>21356</v>
      </c>
      <c r="AS5" s="449" t="s">
        <v>10</v>
      </c>
      <c r="AT5" s="208" t="s">
        <v>21316</v>
      </c>
      <c r="AU5" s="208" t="s">
        <v>21316</v>
      </c>
      <c r="AV5" s="208" t="s">
        <v>21313</v>
      </c>
      <c r="AW5" s="208" t="s">
        <v>21313</v>
      </c>
      <c r="AX5" s="208" t="s">
        <v>21313</v>
      </c>
      <c r="AY5" s="208" t="s">
        <v>21313</v>
      </c>
      <c r="AZ5" s="208" t="s">
        <v>21298</v>
      </c>
      <c r="BA5" s="208" t="s">
        <v>21298</v>
      </c>
      <c r="BB5" s="208" t="s">
        <v>21313</v>
      </c>
      <c r="BC5" s="208" t="s">
        <v>21313</v>
      </c>
      <c r="BD5" s="208" t="s">
        <v>21313</v>
      </c>
      <c r="BE5" s="208" t="s">
        <v>21313</v>
      </c>
      <c r="BF5" s="208" t="s">
        <v>21346</v>
      </c>
      <c r="BG5" s="208" t="s">
        <v>21109</v>
      </c>
      <c r="BH5" s="208" t="s">
        <v>21109</v>
      </c>
      <c r="BI5" s="208" t="s">
        <v>21313</v>
      </c>
      <c r="BJ5" s="208" t="s">
        <v>21313</v>
      </c>
      <c r="BK5" s="208" t="s">
        <v>21313</v>
      </c>
      <c r="BL5" s="208" t="s">
        <v>21313</v>
      </c>
      <c r="BM5" s="208" t="s">
        <v>21322</v>
      </c>
      <c r="BN5" s="208" t="s">
        <v>21323</v>
      </c>
      <c r="BO5" s="208" t="s">
        <v>21313</v>
      </c>
      <c r="BP5" s="208" t="s">
        <v>21313</v>
      </c>
      <c r="BQ5" s="208" t="s">
        <v>21313</v>
      </c>
      <c r="BR5" s="208" t="s">
        <v>21313</v>
      </c>
      <c r="BS5" s="208">
        <v>3</v>
      </c>
      <c r="BT5" s="208">
        <v>3</v>
      </c>
      <c r="BU5" s="208">
        <v>0</v>
      </c>
      <c r="BV5" s="208">
        <v>0</v>
      </c>
      <c r="BW5" s="208">
        <v>0</v>
      </c>
      <c r="BX5" s="208">
        <v>0</v>
      </c>
      <c r="BY5" s="208" t="s">
        <v>21042</v>
      </c>
      <c r="BZ5" s="208">
        <v>2</v>
      </c>
      <c r="CA5" s="208">
        <v>2</v>
      </c>
      <c r="CB5" s="208">
        <v>2</v>
      </c>
      <c r="CC5" s="208">
        <v>0</v>
      </c>
      <c r="CD5" s="208">
        <v>0</v>
      </c>
      <c r="CE5" s="208">
        <v>0</v>
      </c>
      <c r="CF5" s="208" t="s">
        <v>21324</v>
      </c>
      <c r="CG5" s="208">
        <v>1</v>
      </c>
      <c r="CH5" s="208">
        <v>1</v>
      </c>
      <c r="CI5" s="208">
        <v>1</v>
      </c>
      <c r="CJ5" s="208">
        <v>0</v>
      </c>
      <c r="CK5" s="208">
        <v>0</v>
      </c>
      <c r="CL5" s="208">
        <v>0</v>
      </c>
      <c r="CM5" s="208" t="s">
        <v>21313</v>
      </c>
      <c r="CN5" s="208">
        <v>0</v>
      </c>
      <c r="CO5" s="208">
        <v>0</v>
      </c>
      <c r="CP5" s="208">
        <v>0</v>
      </c>
      <c r="CQ5" s="208">
        <v>0</v>
      </c>
      <c r="CR5" s="208">
        <v>0</v>
      </c>
      <c r="CS5" s="208">
        <v>0</v>
      </c>
      <c r="CT5" s="208" t="s">
        <v>21313</v>
      </c>
      <c r="CU5" s="208">
        <v>0</v>
      </c>
      <c r="CV5" s="208">
        <v>0</v>
      </c>
      <c r="CW5" s="208">
        <v>0</v>
      </c>
      <c r="CX5" s="208">
        <v>0</v>
      </c>
      <c r="CY5" s="208">
        <v>0</v>
      </c>
      <c r="CZ5" s="208">
        <v>0</v>
      </c>
      <c r="DA5" s="208" t="s">
        <v>21313</v>
      </c>
      <c r="DB5" s="208">
        <v>0</v>
      </c>
      <c r="DC5" s="208">
        <v>0</v>
      </c>
      <c r="DD5" s="208">
        <v>0</v>
      </c>
      <c r="DE5" s="208">
        <v>0</v>
      </c>
      <c r="DF5" s="208">
        <v>0</v>
      </c>
      <c r="DG5" s="208">
        <v>0</v>
      </c>
      <c r="DH5" s="208" t="s">
        <v>21313</v>
      </c>
      <c r="DI5" s="208">
        <v>0</v>
      </c>
      <c r="DJ5" s="208">
        <v>0</v>
      </c>
      <c r="DK5" s="208">
        <v>0</v>
      </c>
      <c r="DL5" s="208">
        <v>0</v>
      </c>
      <c r="DM5" s="208">
        <v>0</v>
      </c>
      <c r="DN5" s="208">
        <v>0</v>
      </c>
      <c r="DO5" s="208" t="s">
        <v>21327</v>
      </c>
      <c r="DP5" s="208">
        <v>60</v>
      </c>
      <c r="DQ5" s="208">
        <v>60</v>
      </c>
      <c r="DR5" s="208">
        <v>60</v>
      </c>
      <c r="DS5" s="208">
        <v>0</v>
      </c>
      <c r="DT5" s="208">
        <v>0</v>
      </c>
      <c r="DU5" s="208">
        <v>0</v>
      </c>
      <c r="DV5" s="208" t="s">
        <v>21328</v>
      </c>
      <c r="DW5" s="208">
        <v>60</v>
      </c>
      <c r="DX5" s="208" t="s">
        <v>21327</v>
      </c>
      <c r="DY5" s="208">
        <v>60</v>
      </c>
      <c r="DZ5" s="208">
        <v>60</v>
      </c>
      <c r="EA5" s="208">
        <v>60</v>
      </c>
      <c r="EB5" s="208">
        <v>0</v>
      </c>
      <c r="EC5" s="208">
        <v>0</v>
      </c>
      <c r="ED5" s="208">
        <v>0</v>
      </c>
      <c r="EE5" s="208" t="s">
        <v>21328</v>
      </c>
      <c r="EF5" s="208">
        <v>60</v>
      </c>
      <c r="EG5" s="208" t="s">
        <v>21313</v>
      </c>
      <c r="EH5" s="208">
        <v>0</v>
      </c>
      <c r="EI5" s="208">
        <v>0</v>
      </c>
      <c r="EJ5" s="208">
        <v>0</v>
      </c>
      <c r="EK5" s="208">
        <v>0</v>
      </c>
      <c r="EL5" s="208">
        <v>0</v>
      </c>
      <c r="EM5" s="208">
        <v>0</v>
      </c>
      <c r="EN5" s="208" t="s">
        <v>21313</v>
      </c>
      <c r="EO5" s="208">
        <v>0</v>
      </c>
      <c r="EP5" s="208" t="s">
        <v>21313</v>
      </c>
      <c r="EQ5" s="208">
        <v>0</v>
      </c>
      <c r="ER5" s="208">
        <v>0</v>
      </c>
      <c r="ES5" s="208">
        <v>0</v>
      </c>
      <c r="ET5" s="208">
        <v>0</v>
      </c>
      <c r="EU5" s="208">
        <v>0</v>
      </c>
      <c r="EV5" s="208">
        <v>0</v>
      </c>
      <c r="EW5" s="208" t="s">
        <v>21313</v>
      </c>
      <c r="EX5" s="208">
        <v>0</v>
      </c>
      <c r="EY5" s="208" t="s">
        <v>21313</v>
      </c>
      <c r="EZ5" s="208">
        <v>0</v>
      </c>
      <c r="FA5" s="208">
        <v>0</v>
      </c>
      <c r="FB5" s="208">
        <v>0</v>
      </c>
      <c r="FC5" s="208">
        <v>0</v>
      </c>
      <c r="FD5" s="208">
        <v>0</v>
      </c>
      <c r="FE5" s="208">
        <v>0</v>
      </c>
      <c r="FF5" s="208" t="s">
        <v>21313</v>
      </c>
      <c r="FG5" s="208">
        <v>0</v>
      </c>
      <c r="FH5" s="208" t="s">
        <v>21313</v>
      </c>
      <c r="FI5" s="208">
        <v>0</v>
      </c>
      <c r="FJ5" s="208">
        <v>0</v>
      </c>
      <c r="FK5" s="208">
        <v>0</v>
      </c>
      <c r="FL5" s="208">
        <v>0</v>
      </c>
      <c r="FM5" s="208">
        <v>0</v>
      </c>
      <c r="FN5" s="208">
        <v>0</v>
      </c>
      <c r="FO5" s="208" t="s">
        <v>21313</v>
      </c>
      <c r="FP5" s="208">
        <v>0</v>
      </c>
      <c r="FQ5" s="208">
        <v>60</v>
      </c>
      <c r="FR5" s="208" t="s">
        <v>21329</v>
      </c>
      <c r="FS5" s="208" t="s">
        <v>21330</v>
      </c>
      <c r="FT5" s="208" t="s">
        <v>21313</v>
      </c>
      <c r="FU5" s="208" t="s">
        <v>21313</v>
      </c>
      <c r="FV5" s="208" t="s">
        <v>21313</v>
      </c>
      <c r="FW5" s="208" t="s">
        <v>21313</v>
      </c>
      <c r="FX5" s="208" t="s">
        <v>21357</v>
      </c>
      <c r="FY5" s="208">
        <v>38</v>
      </c>
      <c r="FZ5" s="208">
        <v>38</v>
      </c>
      <c r="GA5" s="208">
        <v>38</v>
      </c>
      <c r="GB5" s="208">
        <v>0</v>
      </c>
      <c r="GC5" s="208">
        <v>0</v>
      </c>
      <c r="GD5" s="208">
        <v>0</v>
      </c>
      <c r="GE5" s="208" t="s">
        <v>21358</v>
      </c>
      <c r="GF5" s="208" t="s">
        <v>21357</v>
      </c>
      <c r="GG5" s="208">
        <v>38</v>
      </c>
      <c r="GH5" s="208">
        <v>38</v>
      </c>
      <c r="GI5" s="208">
        <v>38</v>
      </c>
      <c r="GJ5" s="208">
        <v>0</v>
      </c>
      <c r="GK5" s="208">
        <v>0</v>
      </c>
      <c r="GL5" s="208">
        <v>0</v>
      </c>
      <c r="GM5" s="208" t="s">
        <v>21358</v>
      </c>
      <c r="GN5" s="208" t="s">
        <v>21313</v>
      </c>
      <c r="GO5" s="208">
        <v>0</v>
      </c>
      <c r="GP5" s="208">
        <v>0</v>
      </c>
      <c r="GQ5" s="208">
        <v>0</v>
      </c>
      <c r="GR5" s="208">
        <v>0</v>
      </c>
      <c r="GS5" s="208">
        <v>0</v>
      </c>
      <c r="GT5" s="208">
        <v>0</v>
      </c>
      <c r="GU5" s="208" t="s">
        <v>21313</v>
      </c>
      <c r="GV5" s="208" t="s">
        <v>21313</v>
      </c>
      <c r="GW5" s="208">
        <v>0</v>
      </c>
      <c r="GX5" s="208">
        <v>0</v>
      </c>
      <c r="GY5" s="208">
        <v>0</v>
      </c>
      <c r="GZ5" s="208">
        <v>0</v>
      </c>
      <c r="HA5" s="208">
        <v>0</v>
      </c>
      <c r="HB5" s="208">
        <v>0</v>
      </c>
      <c r="HC5" s="208" t="s">
        <v>21313</v>
      </c>
      <c r="HD5" s="208" t="s">
        <v>21313</v>
      </c>
      <c r="HE5" s="208">
        <v>0</v>
      </c>
      <c r="HF5" s="208">
        <v>0</v>
      </c>
      <c r="HG5" s="208">
        <v>0</v>
      </c>
      <c r="HH5" s="208">
        <v>0</v>
      </c>
      <c r="HI5" s="208">
        <v>0</v>
      </c>
      <c r="HJ5" s="208">
        <v>0</v>
      </c>
      <c r="HK5" s="208" t="s">
        <v>21313</v>
      </c>
      <c r="HL5" s="208" t="s">
        <v>21313</v>
      </c>
      <c r="HM5" s="208">
        <v>0</v>
      </c>
      <c r="HN5" s="208">
        <v>0</v>
      </c>
      <c r="HO5" s="208">
        <v>0</v>
      </c>
      <c r="HP5" s="208">
        <v>0</v>
      </c>
      <c r="HQ5" s="208">
        <v>0</v>
      </c>
      <c r="HR5" s="208">
        <v>0</v>
      </c>
      <c r="HS5" s="208" t="s">
        <v>21313</v>
      </c>
      <c r="HT5" s="208" t="s">
        <v>21333</v>
      </c>
      <c r="HU5" s="208">
        <v>38</v>
      </c>
      <c r="HV5" s="208">
        <v>38</v>
      </c>
      <c r="HW5" s="208">
        <v>0</v>
      </c>
      <c r="HX5" s="208">
        <v>0</v>
      </c>
      <c r="HY5" s="208">
        <v>0</v>
      </c>
      <c r="HZ5" s="208">
        <v>0</v>
      </c>
      <c r="IA5" s="600">
        <v>38</v>
      </c>
      <c r="IB5" s="600">
        <v>2</v>
      </c>
      <c r="IC5" s="343" t="s">
        <v>21035</v>
      </c>
      <c r="ID5" s="343" t="s">
        <v>21359</v>
      </c>
      <c r="IE5" s="343" t="s">
        <v>21335</v>
      </c>
      <c r="IF5" s="343" t="s">
        <v>21336</v>
      </c>
      <c r="IG5" s="383">
        <v>43756</v>
      </c>
      <c r="IH5" s="383">
        <v>45583</v>
      </c>
      <c r="II5" s="208">
        <v>37</v>
      </c>
    </row>
    <row r="6" ht="165.75">
      <c r="A6" s="207">
        <v>5</v>
      </c>
      <c r="B6" s="343" t="s">
        <v>21298</v>
      </c>
      <c r="C6" s="343" t="s">
        <v>21298</v>
      </c>
      <c r="D6" s="600" t="s">
        <v>21113</v>
      </c>
      <c r="E6" s="317" t="s">
        <v>21114</v>
      </c>
      <c r="F6" s="207" t="s">
        <v>20855</v>
      </c>
      <c r="G6" s="600">
        <v>105.775795</v>
      </c>
      <c r="H6" s="600">
        <v>21.017797</v>
      </c>
      <c r="I6" s="207">
        <v>1</v>
      </c>
      <c r="J6" s="207">
        <v>2</v>
      </c>
      <c r="K6" s="207" t="s">
        <v>21337</v>
      </c>
      <c r="L6" s="207" t="s">
        <v>21360</v>
      </c>
      <c r="M6" s="207" t="s">
        <v>21339</v>
      </c>
      <c r="N6" s="207" t="s">
        <v>21340</v>
      </c>
      <c r="O6" s="207" t="s">
        <v>21341</v>
      </c>
      <c r="P6" s="207" t="s">
        <v>21342</v>
      </c>
      <c r="Q6" s="207" t="s">
        <v>21343</v>
      </c>
      <c r="R6" s="207" t="s">
        <v>21344</v>
      </c>
      <c r="S6" s="364" t="b">
        <v>1</v>
      </c>
      <c r="T6" s="207" t="s">
        <v>21115</v>
      </c>
      <c r="U6" s="207">
        <v>0</v>
      </c>
      <c r="V6" s="207" t="s">
        <v>21307</v>
      </c>
      <c r="W6" s="207" t="s">
        <v>21116</v>
      </c>
      <c r="X6" s="209" t="s">
        <v>21308</v>
      </c>
      <c r="Y6" s="207" t="b">
        <v>0</v>
      </c>
      <c r="Z6" s="364" t="b">
        <v>0</v>
      </c>
      <c r="AA6" s="600">
        <v>42.5</v>
      </c>
      <c r="AB6" s="364" t="b">
        <v>1</v>
      </c>
      <c r="AC6" s="600">
        <v>40</v>
      </c>
      <c r="AD6" s="207" t="b">
        <v>0</v>
      </c>
      <c r="AE6" s="207" t="s">
        <v>21309</v>
      </c>
      <c r="AF6" s="207" t="s">
        <v>21310</v>
      </c>
      <c r="AG6" s="343" t="s">
        <v>21311</v>
      </c>
      <c r="AH6" s="343" t="s">
        <v>21312</v>
      </c>
      <c r="AI6" s="343" t="s">
        <v>21054</v>
      </c>
      <c r="AJ6" s="343" t="s">
        <v>21313</v>
      </c>
      <c r="AK6" s="343" t="s">
        <v>21314</v>
      </c>
      <c r="AL6" s="208"/>
      <c r="AM6" s="208" t="s">
        <v>21315</v>
      </c>
      <c r="AN6" s="208" t="s">
        <v>21316</v>
      </c>
      <c r="AO6" s="207">
        <v>4</v>
      </c>
      <c r="AP6" s="287" t="s">
        <v>21317</v>
      </c>
      <c r="AQ6" s="448" t="s">
        <v>21318</v>
      </c>
      <c r="AR6" s="448" t="s">
        <v>21356</v>
      </c>
      <c r="AS6" s="449" t="s">
        <v>10</v>
      </c>
      <c r="AT6" s="208" t="s">
        <v>21316</v>
      </c>
      <c r="AU6" s="208" t="s">
        <v>21316</v>
      </c>
      <c r="AV6" s="208" t="s">
        <v>21313</v>
      </c>
      <c r="AW6" s="208" t="s">
        <v>21313</v>
      </c>
      <c r="AX6" s="208" t="s">
        <v>21313</v>
      </c>
      <c r="AY6" s="208" t="s">
        <v>21313</v>
      </c>
      <c r="AZ6" s="208" t="s">
        <v>21298</v>
      </c>
      <c r="BA6" s="208" t="s">
        <v>21298</v>
      </c>
      <c r="BB6" s="208" t="s">
        <v>21313</v>
      </c>
      <c r="BC6" s="208" t="s">
        <v>21313</v>
      </c>
      <c r="BD6" s="208" t="s">
        <v>21313</v>
      </c>
      <c r="BE6" s="208" t="s">
        <v>21313</v>
      </c>
      <c r="BF6" s="208" t="s">
        <v>21346</v>
      </c>
      <c r="BG6" s="208" t="s">
        <v>21113</v>
      </c>
      <c r="BH6" s="208" t="s">
        <v>21113</v>
      </c>
      <c r="BI6" s="208" t="s">
        <v>21313</v>
      </c>
      <c r="BJ6" s="208" t="s">
        <v>21313</v>
      </c>
      <c r="BK6" s="208" t="s">
        <v>21313</v>
      </c>
      <c r="BL6" s="208" t="s">
        <v>21313</v>
      </c>
      <c r="BM6" s="208" t="s">
        <v>21322</v>
      </c>
      <c r="BN6" s="208" t="s">
        <v>21323</v>
      </c>
      <c r="BO6" s="208" t="s">
        <v>21313</v>
      </c>
      <c r="BP6" s="208" t="s">
        <v>21313</v>
      </c>
      <c r="BQ6" s="208" t="s">
        <v>21313</v>
      </c>
      <c r="BR6" s="208" t="s">
        <v>21313</v>
      </c>
      <c r="BS6" s="208">
        <v>3</v>
      </c>
      <c r="BT6" s="208">
        <v>3</v>
      </c>
      <c r="BU6" s="208">
        <v>0</v>
      </c>
      <c r="BV6" s="208">
        <v>0</v>
      </c>
      <c r="BW6" s="208">
        <v>0</v>
      </c>
      <c r="BX6" s="208">
        <v>0</v>
      </c>
      <c r="BY6" s="208" t="s">
        <v>21042</v>
      </c>
      <c r="BZ6" s="208">
        <v>2</v>
      </c>
      <c r="CA6" s="208">
        <v>2</v>
      </c>
      <c r="CB6" s="208">
        <v>2</v>
      </c>
      <c r="CC6" s="208">
        <v>0</v>
      </c>
      <c r="CD6" s="208">
        <v>0</v>
      </c>
      <c r="CE6" s="208">
        <v>0</v>
      </c>
      <c r="CF6" s="208" t="s">
        <v>21324</v>
      </c>
      <c r="CG6" s="208">
        <v>1</v>
      </c>
      <c r="CH6" s="208">
        <v>1</v>
      </c>
      <c r="CI6" s="208">
        <v>1</v>
      </c>
      <c r="CJ6" s="208">
        <v>0</v>
      </c>
      <c r="CK6" s="208">
        <v>0</v>
      </c>
      <c r="CL6" s="208">
        <v>0</v>
      </c>
      <c r="CM6" s="208" t="s">
        <v>21313</v>
      </c>
      <c r="CN6" s="208">
        <v>0</v>
      </c>
      <c r="CO6" s="208">
        <v>0</v>
      </c>
      <c r="CP6" s="208">
        <v>0</v>
      </c>
      <c r="CQ6" s="208">
        <v>0</v>
      </c>
      <c r="CR6" s="208">
        <v>0</v>
      </c>
      <c r="CS6" s="208">
        <v>0</v>
      </c>
      <c r="CT6" s="208" t="s">
        <v>21313</v>
      </c>
      <c r="CU6" s="208">
        <v>0</v>
      </c>
      <c r="CV6" s="208">
        <v>0</v>
      </c>
      <c r="CW6" s="208">
        <v>0</v>
      </c>
      <c r="CX6" s="208">
        <v>0</v>
      </c>
      <c r="CY6" s="208">
        <v>0</v>
      </c>
      <c r="CZ6" s="208">
        <v>0</v>
      </c>
      <c r="DA6" s="208" t="s">
        <v>21313</v>
      </c>
      <c r="DB6" s="208">
        <v>0</v>
      </c>
      <c r="DC6" s="208">
        <v>0</v>
      </c>
      <c r="DD6" s="208">
        <v>0</v>
      </c>
      <c r="DE6" s="208">
        <v>0</v>
      </c>
      <c r="DF6" s="208">
        <v>0</v>
      </c>
      <c r="DG6" s="208">
        <v>0</v>
      </c>
      <c r="DH6" s="208" t="s">
        <v>21313</v>
      </c>
      <c r="DI6" s="208">
        <v>0</v>
      </c>
      <c r="DJ6" s="208">
        <v>0</v>
      </c>
      <c r="DK6" s="208">
        <v>0</v>
      </c>
      <c r="DL6" s="208">
        <v>0</v>
      </c>
      <c r="DM6" s="208">
        <v>0</v>
      </c>
      <c r="DN6" s="208">
        <v>0</v>
      </c>
      <c r="DO6" s="208" t="s">
        <v>21327</v>
      </c>
      <c r="DP6" s="208">
        <v>60</v>
      </c>
      <c r="DQ6" s="208">
        <v>60</v>
      </c>
      <c r="DR6" s="208">
        <v>60</v>
      </c>
      <c r="DS6" s="208">
        <v>0</v>
      </c>
      <c r="DT6" s="208">
        <v>0</v>
      </c>
      <c r="DU6" s="208">
        <v>0</v>
      </c>
      <c r="DV6" s="208" t="s">
        <v>21328</v>
      </c>
      <c r="DW6" s="208">
        <v>60</v>
      </c>
      <c r="DX6" s="208" t="s">
        <v>21327</v>
      </c>
      <c r="DY6" s="208">
        <v>60</v>
      </c>
      <c r="DZ6" s="208">
        <v>60</v>
      </c>
      <c r="EA6" s="208">
        <v>60</v>
      </c>
      <c r="EB6" s="208">
        <v>0</v>
      </c>
      <c r="EC6" s="208">
        <v>0</v>
      </c>
      <c r="ED6" s="208">
        <v>0</v>
      </c>
      <c r="EE6" s="208" t="s">
        <v>21328</v>
      </c>
      <c r="EF6" s="208">
        <v>60</v>
      </c>
      <c r="EG6" s="208" t="s">
        <v>21313</v>
      </c>
      <c r="EH6" s="208">
        <v>0</v>
      </c>
      <c r="EI6" s="208">
        <v>0</v>
      </c>
      <c r="EJ6" s="208">
        <v>0</v>
      </c>
      <c r="EK6" s="208">
        <v>0</v>
      </c>
      <c r="EL6" s="208">
        <v>0</v>
      </c>
      <c r="EM6" s="208">
        <v>0</v>
      </c>
      <c r="EN6" s="208" t="s">
        <v>21313</v>
      </c>
      <c r="EO6" s="208">
        <v>0</v>
      </c>
      <c r="EP6" s="208" t="s">
        <v>21313</v>
      </c>
      <c r="EQ6" s="208">
        <v>0</v>
      </c>
      <c r="ER6" s="208">
        <v>0</v>
      </c>
      <c r="ES6" s="208">
        <v>0</v>
      </c>
      <c r="ET6" s="208">
        <v>0</v>
      </c>
      <c r="EU6" s="208">
        <v>0</v>
      </c>
      <c r="EV6" s="208">
        <v>0</v>
      </c>
      <c r="EW6" s="208" t="s">
        <v>21313</v>
      </c>
      <c r="EX6" s="208">
        <v>0</v>
      </c>
      <c r="EY6" s="208" t="s">
        <v>21313</v>
      </c>
      <c r="EZ6" s="208">
        <v>0</v>
      </c>
      <c r="FA6" s="208">
        <v>0</v>
      </c>
      <c r="FB6" s="208">
        <v>0</v>
      </c>
      <c r="FC6" s="208">
        <v>0</v>
      </c>
      <c r="FD6" s="208">
        <v>0</v>
      </c>
      <c r="FE6" s="208">
        <v>0</v>
      </c>
      <c r="FF6" s="208" t="s">
        <v>21313</v>
      </c>
      <c r="FG6" s="208">
        <v>0</v>
      </c>
      <c r="FH6" s="208" t="s">
        <v>21313</v>
      </c>
      <c r="FI6" s="208">
        <v>0</v>
      </c>
      <c r="FJ6" s="208">
        <v>0</v>
      </c>
      <c r="FK6" s="208">
        <v>0</v>
      </c>
      <c r="FL6" s="208">
        <v>0</v>
      </c>
      <c r="FM6" s="208">
        <v>0</v>
      </c>
      <c r="FN6" s="208">
        <v>0</v>
      </c>
      <c r="FO6" s="208" t="s">
        <v>21313</v>
      </c>
      <c r="FP6" s="208">
        <v>0</v>
      </c>
      <c r="FQ6" s="208">
        <v>60</v>
      </c>
      <c r="FR6" s="208" t="s">
        <v>21329</v>
      </c>
      <c r="FS6" s="208" t="s">
        <v>21330</v>
      </c>
      <c r="FT6" s="208" t="s">
        <v>21313</v>
      </c>
      <c r="FU6" s="208" t="s">
        <v>21313</v>
      </c>
      <c r="FV6" s="208" t="s">
        <v>21313</v>
      </c>
      <c r="FW6" s="208" t="s">
        <v>21313</v>
      </c>
      <c r="FX6" s="208" t="s">
        <v>21347</v>
      </c>
      <c r="FY6" s="208">
        <v>42.5</v>
      </c>
      <c r="FZ6" s="208">
        <v>42.5</v>
      </c>
      <c r="GA6" s="208">
        <v>42.5</v>
      </c>
      <c r="GB6" s="208">
        <v>0</v>
      </c>
      <c r="GC6" s="208">
        <v>0</v>
      </c>
      <c r="GD6" s="208">
        <v>0</v>
      </c>
      <c r="GE6" s="208" t="s">
        <v>21348</v>
      </c>
      <c r="GF6" s="208" t="s">
        <v>21347</v>
      </c>
      <c r="GG6" s="208">
        <v>42.5</v>
      </c>
      <c r="GH6" s="208">
        <v>42.5</v>
      </c>
      <c r="GI6" s="208">
        <v>42.5</v>
      </c>
      <c r="GJ6" s="208">
        <v>0</v>
      </c>
      <c r="GK6" s="208">
        <v>0</v>
      </c>
      <c r="GL6" s="208">
        <v>0</v>
      </c>
      <c r="GM6" s="208" t="s">
        <v>21348</v>
      </c>
      <c r="GN6" s="208" t="s">
        <v>21313</v>
      </c>
      <c r="GO6" s="208">
        <v>0</v>
      </c>
      <c r="GP6" s="208">
        <v>0</v>
      </c>
      <c r="GQ6" s="208">
        <v>0</v>
      </c>
      <c r="GR6" s="208">
        <v>0</v>
      </c>
      <c r="GS6" s="208">
        <v>0</v>
      </c>
      <c r="GT6" s="208">
        <v>0</v>
      </c>
      <c r="GU6" s="208" t="s">
        <v>21313</v>
      </c>
      <c r="GV6" s="208" t="s">
        <v>21313</v>
      </c>
      <c r="GW6" s="208">
        <v>0</v>
      </c>
      <c r="GX6" s="208">
        <v>0</v>
      </c>
      <c r="GY6" s="208">
        <v>0</v>
      </c>
      <c r="GZ6" s="208">
        <v>0</v>
      </c>
      <c r="HA6" s="208">
        <v>0</v>
      </c>
      <c r="HB6" s="208">
        <v>0</v>
      </c>
      <c r="HC6" s="208" t="s">
        <v>21313</v>
      </c>
      <c r="HD6" s="208" t="s">
        <v>21313</v>
      </c>
      <c r="HE6" s="208">
        <v>0</v>
      </c>
      <c r="HF6" s="208">
        <v>0</v>
      </c>
      <c r="HG6" s="208">
        <v>0</v>
      </c>
      <c r="HH6" s="208">
        <v>0</v>
      </c>
      <c r="HI6" s="208">
        <v>0</v>
      </c>
      <c r="HJ6" s="208">
        <v>0</v>
      </c>
      <c r="HK6" s="208" t="s">
        <v>21313</v>
      </c>
      <c r="HL6" s="208" t="s">
        <v>21313</v>
      </c>
      <c r="HM6" s="208">
        <v>0</v>
      </c>
      <c r="HN6" s="208">
        <v>0</v>
      </c>
      <c r="HO6" s="208">
        <v>0</v>
      </c>
      <c r="HP6" s="208">
        <v>0</v>
      </c>
      <c r="HQ6" s="208">
        <v>0</v>
      </c>
      <c r="HR6" s="208">
        <v>0</v>
      </c>
      <c r="HS6" s="208" t="s">
        <v>21313</v>
      </c>
      <c r="HT6" s="208" t="s">
        <v>21333</v>
      </c>
      <c r="HU6" s="208">
        <v>42.5</v>
      </c>
      <c r="HV6" s="208">
        <v>42.5</v>
      </c>
      <c r="HW6" s="208">
        <v>0</v>
      </c>
      <c r="HX6" s="208">
        <v>0</v>
      </c>
      <c r="HY6" s="208">
        <v>0</v>
      </c>
      <c r="HZ6" s="208">
        <v>0</v>
      </c>
      <c r="IA6" s="600">
        <v>42.5</v>
      </c>
      <c r="IB6" s="600">
        <v>2.5</v>
      </c>
      <c r="IC6" s="343" t="s">
        <v>21035</v>
      </c>
      <c r="ID6" s="343" t="s">
        <v>21361</v>
      </c>
      <c r="IE6" s="343" t="s">
        <v>21335</v>
      </c>
      <c r="IF6" s="343" t="s">
        <v>21336</v>
      </c>
      <c r="IG6" s="383">
        <v>43756</v>
      </c>
      <c r="IH6" s="383">
        <v>45583</v>
      </c>
      <c r="II6" s="208">
        <v>37</v>
      </c>
    </row>
    <row r="7" ht="165.75">
      <c r="A7" s="207">
        <v>6</v>
      </c>
      <c r="B7" s="343" t="s">
        <v>21298</v>
      </c>
      <c r="C7" s="343" t="s">
        <v>21298</v>
      </c>
      <c r="D7" s="600" t="s">
        <v>21117</v>
      </c>
      <c r="E7" s="317" t="s">
        <v>21118</v>
      </c>
      <c r="F7" s="207" t="s">
        <v>20855</v>
      </c>
      <c r="G7" s="600">
        <v>105.779681</v>
      </c>
      <c r="H7" s="600">
        <v>21.011955</v>
      </c>
      <c r="I7" s="207">
        <v>1</v>
      </c>
      <c r="J7" s="207">
        <v>2</v>
      </c>
      <c r="K7" s="207" t="s">
        <v>21337</v>
      </c>
      <c r="L7" s="207" t="s">
        <v>21362</v>
      </c>
      <c r="M7" s="207" t="s">
        <v>21339</v>
      </c>
      <c r="N7" s="207" t="s">
        <v>21340</v>
      </c>
      <c r="O7" s="207" t="s">
        <v>21341</v>
      </c>
      <c r="P7" s="207" t="s">
        <v>21342</v>
      </c>
      <c r="Q7" s="207" t="s">
        <v>21343</v>
      </c>
      <c r="R7" s="207" t="s">
        <v>21363</v>
      </c>
      <c r="S7" s="364" t="b">
        <v>1</v>
      </c>
      <c r="T7" s="207" t="s">
        <v>21119</v>
      </c>
      <c r="U7" s="207">
        <v>0</v>
      </c>
      <c r="V7" s="207" t="s">
        <v>21307</v>
      </c>
      <c r="W7" s="207" t="s">
        <v>21120</v>
      </c>
      <c r="X7" s="209" t="s">
        <v>21308</v>
      </c>
      <c r="Y7" s="207" t="b">
        <v>0</v>
      </c>
      <c r="Z7" s="364" t="b">
        <v>0</v>
      </c>
      <c r="AA7" s="600">
        <v>40</v>
      </c>
      <c r="AB7" s="364" t="b">
        <v>1</v>
      </c>
      <c r="AC7" s="600">
        <v>36</v>
      </c>
      <c r="AD7" s="207" t="b">
        <v>0</v>
      </c>
      <c r="AE7" s="207" t="s">
        <v>21309</v>
      </c>
      <c r="AF7" s="207" t="s">
        <v>21310</v>
      </c>
      <c r="AG7" s="343" t="s">
        <v>21311</v>
      </c>
      <c r="AH7" s="343" t="s">
        <v>21312</v>
      </c>
      <c r="AI7" s="343" t="s">
        <v>21054</v>
      </c>
      <c r="AJ7" s="343" t="s">
        <v>21313</v>
      </c>
      <c r="AK7" s="343" t="s">
        <v>21314</v>
      </c>
      <c r="AL7" s="208"/>
      <c r="AM7" s="208" t="s">
        <v>21315</v>
      </c>
      <c r="AN7" s="208" t="s">
        <v>21316</v>
      </c>
      <c r="AO7" s="207">
        <v>5</v>
      </c>
      <c r="AP7" s="287" t="s">
        <v>21317</v>
      </c>
      <c r="AQ7" s="448" t="s">
        <v>21318</v>
      </c>
      <c r="AR7" s="448" t="s">
        <v>21364</v>
      </c>
      <c r="AS7" s="449" t="s">
        <v>10</v>
      </c>
      <c r="AT7" s="208" t="s">
        <v>21316</v>
      </c>
      <c r="AU7" s="208" t="s">
        <v>21316</v>
      </c>
      <c r="AV7" s="208" t="s">
        <v>21313</v>
      </c>
      <c r="AW7" s="208" t="s">
        <v>21313</v>
      </c>
      <c r="AX7" s="208" t="s">
        <v>21313</v>
      </c>
      <c r="AY7" s="208" t="s">
        <v>21313</v>
      </c>
      <c r="AZ7" s="208" t="s">
        <v>21298</v>
      </c>
      <c r="BA7" s="208" t="s">
        <v>21298</v>
      </c>
      <c r="BB7" s="208" t="s">
        <v>21313</v>
      </c>
      <c r="BC7" s="208" t="s">
        <v>21313</v>
      </c>
      <c r="BD7" s="208" t="s">
        <v>21313</v>
      </c>
      <c r="BE7" s="208" t="s">
        <v>21313</v>
      </c>
      <c r="BF7" s="208" t="s">
        <v>21346</v>
      </c>
      <c r="BG7" s="208" t="s">
        <v>21117</v>
      </c>
      <c r="BH7" s="208" t="s">
        <v>21117</v>
      </c>
      <c r="BI7" s="208" t="s">
        <v>21313</v>
      </c>
      <c r="BJ7" s="208" t="s">
        <v>21313</v>
      </c>
      <c r="BK7" s="208" t="s">
        <v>21313</v>
      </c>
      <c r="BL7" s="208" t="s">
        <v>21313</v>
      </c>
      <c r="BM7" s="208" t="s">
        <v>21322</v>
      </c>
      <c r="BN7" s="208" t="s">
        <v>21323</v>
      </c>
      <c r="BO7" s="208" t="s">
        <v>21313</v>
      </c>
      <c r="BP7" s="208" t="s">
        <v>21313</v>
      </c>
      <c r="BQ7" s="208" t="s">
        <v>21313</v>
      </c>
      <c r="BR7" s="208" t="s">
        <v>21313</v>
      </c>
      <c r="BS7" s="208">
        <v>3</v>
      </c>
      <c r="BT7" s="208">
        <v>3</v>
      </c>
      <c r="BU7" s="208">
        <v>0</v>
      </c>
      <c r="BV7" s="208">
        <v>0</v>
      </c>
      <c r="BW7" s="208">
        <v>0</v>
      </c>
      <c r="BX7" s="208">
        <v>0</v>
      </c>
      <c r="BY7" s="208" t="s">
        <v>21042</v>
      </c>
      <c r="BZ7" s="208">
        <v>2</v>
      </c>
      <c r="CA7" s="208">
        <v>2</v>
      </c>
      <c r="CB7" s="208">
        <v>2</v>
      </c>
      <c r="CC7" s="208">
        <v>0</v>
      </c>
      <c r="CD7" s="208">
        <v>0</v>
      </c>
      <c r="CE7" s="208">
        <v>0</v>
      </c>
      <c r="CF7" s="208" t="s">
        <v>21324</v>
      </c>
      <c r="CG7" s="208">
        <v>1</v>
      </c>
      <c r="CH7" s="208">
        <v>1</v>
      </c>
      <c r="CI7" s="208">
        <v>1</v>
      </c>
      <c r="CJ7" s="208">
        <v>0</v>
      </c>
      <c r="CK7" s="208">
        <v>0</v>
      </c>
      <c r="CL7" s="208">
        <v>0</v>
      </c>
      <c r="CM7" s="208" t="s">
        <v>21313</v>
      </c>
      <c r="CN7" s="208">
        <v>0</v>
      </c>
      <c r="CO7" s="208">
        <v>0</v>
      </c>
      <c r="CP7" s="208">
        <v>0</v>
      </c>
      <c r="CQ7" s="208">
        <v>0</v>
      </c>
      <c r="CR7" s="208">
        <v>0</v>
      </c>
      <c r="CS7" s="208">
        <v>0</v>
      </c>
      <c r="CT7" s="208" t="s">
        <v>21313</v>
      </c>
      <c r="CU7" s="208">
        <v>0</v>
      </c>
      <c r="CV7" s="208">
        <v>0</v>
      </c>
      <c r="CW7" s="208">
        <v>0</v>
      </c>
      <c r="CX7" s="208">
        <v>0</v>
      </c>
      <c r="CY7" s="208">
        <v>0</v>
      </c>
      <c r="CZ7" s="208">
        <v>0</v>
      </c>
      <c r="DA7" s="208" t="s">
        <v>21313</v>
      </c>
      <c r="DB7" s="208">
        <v>0</v>
      </c>
      <c r="DC7" s="208">
        <v>0</v>
      </c>
      <c r="DD7" s="208">
        <v>0</v>
      </c>
      <c r="DE7" s="208">
        <v>0</v>
      </c>
      <c r="DF7" s="208">
        <v>0</v>
      </c>
      <c r="DG7" s="208">
        <v>0</v>
      </c>
      <c r="DH7" s="208" t="s">
        <v>21313</v>
      </c>
      <c r="DI7" s="208">
        <v>0</v>
      </c>
      <c r="DJ7" s="208">
        <v>0</v>
      </c>
      <c r="DK7" s="208">
        <v>0</v>
      </c>
      <c r="DL7" s="208">
        <v>0</v>
      </c>
      <c r="DM7" s="208">
        <v>0</v>
      </c>
      <c r="DN7" s="208">
        <v>0</v>
      </c>
      <c r="DO7" s="208" t="s">
        <v>21327</v>
      </c>
      <c r="DP7" s="208">
        <v>60</v>
      </c>
      <c r="DQ7" s="208">
        <v>60</v>
      </c>
      <c r="DR7" s="208">
        <v>60</v>
      </c>
      <c r="DS7" s="208">
        <v>0</v>
      </c>
      <c r="DT7" s="208">
        <v>0</v>
      </c>
      <c r="DU7" s="208">
        <v>0</v>
      </c>
      <c r="DV7" s="208" t="s">
        <v>21328</v>
      </c>
      <c r="DW7" s="208">
        <v>60</v>
      </c>
      <c r="DX7" s="208" t="s">
        <v>21327</v>
      </c>
      <c r="DY7" s="208">
        <v>60</v>
      </c>
      <c r="DZ7" s="208">
        <v>60</v>
      </c>
      <c r="EA7" s="208">
        <v>60</v>
      </c>
      <c r="EB7" s="208">
        <v>0</v>
      </c>
      <c r="EC7" s="208">
        <v>0</v>
      </c>
      <c r="ED7" s="208">
        <v>0</v>
      </c>
      <c r="EE7" s="208" t="s">
        <v>21328</v>
      </c>
      <c r="EF7" s="208">
        <v>60</v>
      </c>
      <c r="EG7" s="208" t="s">
        <v>21313</v>
      </c>
      <c r="EH7" s="208">
        <v>0</v>
      </c>
      <c r="EI7" s="208">
        <v>0</v>
      </c>
      <c r="EJ7" s="208">
        <v>0</v>
      </c>
      <c r="EK7" s="208">
        <v>0</v>
      </c>
      <c r="EL7" s="208">
        <v>0</v>
      </c>
      <c r="EM7" s="208">
        <v>0</v>
      </c>
      <c r="EN7" s="208" t="s">
        <v>21313</v>
      </c>
      <c r="EO7" s="208">
        <v>0</v>
      </c>
      <c r="EP7" s="208" t="s">
        <v>21313</v>
      </c>
      <c r="EQ7" s="208">
        <v>0</v>
      </c>
      <c r="ER7" s="208">
        <v>0</v>
      </c>
      <c r="ES7" s="208">
        <v>0</v>
      </c>
      <c r="ET7" s="208">
        <v>0</v>
      </c>
      <c r="EU7" s="208">
        <v>0</v>
      </c>
      <c r="EV7" s="208">
        <v>0</v>
      </c>
      <c r="EW7" s="208" t="s">
        <v>21313</v>
      </c>
      <c r="EX7" s="208">
        <v>0</v>
      </c>
      <c r="EY7" s="208" t="s">
        <v>21313</v>
      </c>
      <c r="EZ7" s="208">
        <v>0</v>
      </c>
      <c r="FA7" s="208">
        <v>0</v>
      </c>
      <c r="FB7" s="208">
        <v>0</v>
      </c>
      <c r="FC7" s="208">
        <v>0</v>
      </c>
      <c r="FD7" s="208">
        <v>0</v>
      </c>
      <c r="FE7" s="208">
        <v>0</v>
      </c>
      <c r="FF7" s="208" t="s">
        <v>21313</v>
      </c>
      <c r="FG7" s="208">
        <v>0</v>
      </c>
      <c r="FH7" s="208" t="s">
        <v>21313</v>
      </c>
      <c r="FI7" s="208">
        <v>0</v>
      </c>
      <c r="FJ7" s="208">
        <v>0</v>
      </c>
      <c r="FK7" s="208">
        <v>0</v>
      </c>
      <c r="FL7" s="208">
        <v>0</v>
      </c>
      <c r="FM7" s="208">
        <v>0</v>
      </c>
      <c r="FN7" s="208">
        <v>0</v>
      </c>
      <c r="FO7" s="208" t="s">
        <v>21313</v>
      </c>
      <c r="FP7" s="208">
        <v>0</v>
      </c>
      <c r="FQ7" s="208">
        <v>60</v>
      </c>
      <c r="FR7" s="208" t="s">
        <v>21329</v>
      </c>
      <c r="FS7" s="208" t="s">
        <v>21330</v>
      </c>
      <c r="FT7" s="208" t="s">
        <v>21313</v>
      </c>
      <c r="FU7" s="208" t="s">
        <v>21313</v>
      </c>
      <c r="FV7" s="208" t="s">
        <v>21313</v>
      </c>
      <c r="FW7" s="208" t="s">
        <v>21313</v>
      </c>
      <c r="FX7" s="208" t="s">
        <v>21365</v>
      </c>
      <c r="FY7" s="208">
        <v>40</v>
      </c>
      <c r="FZ7" s="208">
        <v>40</v>
      </c>
      <c r="GA7" s="208">
        <v>40</v>
      </c>
      <c r="GB7" s="208">
        <v>0</v>
      </c>
      <c r="GC7" s="208">
        <v>0</v>
      </c>
      <c r="GD7" s="208">
        <v>0</v>
      </c>
      <c r="GE7" s="208" t="s">
        <v>21366</v>
      </c>
      <c r="GF7" s="208" t="s">
        <v>21365</v>
      </c>
      <c r="GG7" s="208">
        <v>40</v>
      </c>
      <c r="GH7" s="208">
        <v>40</v>
      </c>
      <c r="GI7" s="208">
        <v>40</v>
      </c>
      <c r="GJ7" s="208">
        <v>0</v>
      </c>
      <c r="GK7" s="208">
        <v>0</v>
      </c>
      <c r="GL7" s="208">
        <v>0</v>
      </c>
      <c r="GM7" s="208" t="s">
        <v>21366</v>
      </c>
      <c r="GN7" s="208" t="s">
        <v>21313</v>
      </c>
      <c r="GO7" s="208">
        <v>0</v>
      </c>
      <c r="GP7" s="208">
        <v>0</v>
      </c>
      <c r="GQ7" s="208">
        <v>0</v>
      </c>
      <c r="GR7" s="208">
        <v>0</v>
      </c>
      <c r="GS7" s="208">
        <v>0</v>
      </c>
      <c r="GT7" s="208">
        <v>0</v>
      </c>
      <c r="GU7" s="208" t="s">
        <v>21313</v>
      </c>
      <c r="GV7" s="208" t="s">
        <v>21313</v>
      </c>
      <c r="GW7" s="208">
        <v>0</v>
      </c>
      <c r="GX7" s="208">
        <v>0</v>
      </c>
      <c r="GY7" s="208">
        <v>0</v>
      </c>
      <c r="GZ7" s="208">
        <v>0</v>
      </c>
      <c r="HA7" s="208">
        <v>0</v>
      </c>
      <c r="HB7" s="208">
        <v>0</v>
      </c>
      <c r="HC7" s="208" t="s">
        <v>21313</v>
      </c>
      <c r="HD7" s="208" t="s">
        <v>21313</v>
      </c>
      <c r="HE7" s="208">
        <v>0</v>
      </c>
      <c r="HF7" s="208">
        <v>0</v>
      </c>
      <c r="HG7" s="208">
        <v>0</v>
      </c>
      <c r="HH7" s="208">
        <v>0</v>
      </c>
      <c r="HI7" s="208">
        <v>0</v>
      </c>
      <c r="HJ7" s="208">
        <v>0</v>
      </c>
      <c r="HK7" s="208" t="s">
        <v>21313</v>
      </c>
      <c r="HL7" s="208" t="s">
        <v>21313</v>
      </c>
      <c r="HM7" s="208">
        <v>0</v>
      </c>
      <c r="HN7" s="208">
        <v>0</v>
      </c>
      <c r="HO7" s="208">
        <v>0</v>
      </c>
      <c r="HP7" s="208">
        <v>0</v>
      </c>
      <c r="HQ7" s="208">
        <v>0</v>
      </c>
      <c r="HR7" s="208">
        <v>0</v>
      </c>
      <c r="HS7" s="208" t="s">
        <v>21313</v>
      </c>
      <c r="HT7" s="208" t="s">
        <v>21333</v>
      </c>
      <c r="HU7" s="208">
        <v>40</v>
      </c>
      <c r="HV7" s="208">
        <v>40</v>
      </c>
      <c r="HW7" s="208">
        <v>0</v>
      </c>
      <c r="HX7" s="208">
        <v>0</v>
      </c>
      <c r="HY7" s="208">
        <v>0</v>
      </c>
      <c r="HZ7" s="208">
        <v>0</v>
      </c>
      <c r="IA7" s="600">
        <v>40</v>
      </c>
      <c r="IB7" s="600">
        <v>4</v>
      </c>
      <c r="IC7" s="343" t="s">
        <v>21035</v>
      </c>
      <c r="ID7" s="343" t="s">
        <v>3634</v>
      </c>
      <c r="IE7" s="343" t="s">
        <v>21335</v>
      </c>
      <c r="IF7" s="343" t="s">
        <v>21336</v>
      </c>
      <c r="IG7" s="383">
        <v>43756</v>
      </c>
      <c r="IH7" s="383">
        <v>45583</v>
      </c>
      <c r="II7" s="208">
        <v>37</v>
      </c>
    </row>
    <row r="8" ht="127.5">
      <c r="A8" s="207">
        <v>7</v>
      </c>
      <c r="B8" s="343" t="s">
        <v>21298</v>
      </c>
      <c r="C8" s="343" t="s">
        <v>21298</v>
      </c>
      <c r="D8" s="600" t="s">
        <v>21121</v>
      </c>
      <c r="E8" s="317" t="s">
        <v>21122</v>
      </c>
      <c r="F8" s="207" t="s">
        <v>20855</v>
      </c>
      <c r="G8" s="600">
        <v>105.765581</v>
      </c>
      <c r="H8" s="600">
        <v>21.013064</v>
      </c>
      <c r="I8" s="207">
        <v>1</v>
      </c>
      <c r="J8" s="207">
        <v>3</v>
      </c>
      <c r="K8" s="207" t="s">
        <v>21299</v>
      </c>
      <c r="L8" s="207" t="s">
        <v>21367</v>
      </c>
      <c r="M8" s="207" t="s">
        <v>21368</v>
      </c>
      <c r="N8" s="207" t="s">
        <v>21302</v>
      </c>
      <c r="O8" s="207" t="s">
        <v>21303</v>
      </c>
      <c r="P8" s="207" t="s">
        <v>21304</v>
      </c>
      <c r="Q8" s="207" t="s">
        <v>21305</v>
      </c>
      <c r="R8" s="207" t="s">
        <v>21369</v>
      </c>
      <c r="S8" s="364" t="b">
        <v>1</v>
      </c>
      <c r="T8" s="207" t="s">
        <v>21123</v>
      </c>
      <c r="U8" s="207">
        <v>0</v>
      </c>
      <c r="V8" s="207" t="s">
        <v>21307</v>
      </c>
      <c r="W8" s="207" t="s">
        <v>21124</v>
      </c>
      <c r="X8" s="209" t="s">
        <v>21308</v>
      </c>
      <c r="Y8" s="207" t="b">
        <v>0</v>
      </c>
      <c r="Z8" s="364" t="b">
        <v>0</v>
      </c>
      <c r="AA8" s="600">
        <v>26</v>
      </c>
      <c r="AB8" s="364" t="b">
        <v>1</v>
      </c>
      <c r="AC8" s="600">
        <v>24</v>
      </c>
      <c r="AD8" s="207" t="b">
        <v>0</v>
      </c>
      <c r="AE8" s="207" t="s">
        <v>21309</v>
      </c>
      <c r="AF8" s="207" t="s">
        <v>21310</v>
      </c>
      <c r="AG8" s="343" t="s">
        <v>21311</v>
      </c>
      <c r="AH8" s="343" t="s">
        <v>21312</v>
      </c>
      <c r="AI8" s="343" t="s">
        <v>21054</v>
      </c>
      <c r="AJ8" s="343" t="s">
        <v>21313</v>
      </c>
      <c r="AK8" s="343" t="s">
        <v>21314</v>
      </c>
      <c r="AL8" s="208"/>
      <c r="AM8" s="208" t="s">
        <v>21315</v>
      </c>
      <c r="AN8" s="208" t="s">
        <v>21316</v>
      </c>
      <c r="AO8" s="207">
        <v>3</v>
      </c>
      <c r="AP8" s="287" t="s">
        <v>21317</v>
      </c>
      <c r="AQ8" s="448" t="s">
        <v>21318</v>
      </c>
      <c r="AR8" s="448" t="s">
        <v>21370</v>
      </c>
      <c r="AS8" s="449" t="s">
        <v>10</v>
      </c>
      <c r="AT8" s="208" t="s">
        <v>21316</v>
      </c>
      <c r="AU8" s="208" t="s">
        <v>21316</v>
      </c>
      <c r="AV8" s="208" t="s">
        <v>21316</v>
      </c>
      <c r="AW8" s="208" t="s">
        <v>21313</v>
      </c>
      <c r="AX8" s="208" t="s">
        <v>21313</v>
      </c>
      <c r="AY8" s="208" t="s">
        <v>21313</v>
      </c>
      <c r="AZ8" s="208" t="s">
        <v>21298</v>
      </c>
      <c r="BA8" s="208" t="s">
        <v>21298</v>
      </c>
      <c r="BB8" s="208" t="s">
        <v>21298</v>
      </c>
      <c r="BC8" s="208" t="s">
        <v>21313</v>
      </c>
      <c r="BD8" s="208" t="s">
        <v>21313</v>
      </c>
      <c r="BE8" s="208" t="s">
        <v>21313</v>
      </c>
      <c r="BF8" s="208" t="s">
        <v>21320</v>
      </c>
      <c r="BG8" s="208" t="s">
        <v>21121</v>
      </c>
      <c r="BH8" s="208" t="s">
        <v>21121</v>
      </c>
      <c r="BI8" s="208" t="s">
        <v>21121</v>
      </c>
      <c r="BJ8" s="208" t="s">
        <v>21313</v>
      </c>
      <c r="BK8" s="208" t="s">
        <v>21313</v>
      </c>
      <c r="BL8" s="208" t="s">
        <v>21313</v>
      </c>
      <c r="BM8" s="208" t="s">
        <v>21371</v>
      </c>
      <c r="BN8" s="208" t="s">
        <v>21372</v>
      </c>
      <c r="BO8" s="208" t="s">
        <v>21323</v>
      </c>
      <c r="BP8" s="208" t="s">
        <v>21313</v>
      </c>
      <c r="BQ8" s="208" t="s">
        <v>21313</v>
      </c>
      <c r="BR8" s="208" t="s">
        <v>21313</v>
      </c>
      <c r="BS8" s="208">
        <v>3</v>
      </c>
      <c r="BT8" s="208">
        <v>3</v>
      </c>
      <c r="BU8" s="208">
        <v>3</v>
      </c>
      <c r="BV8" s="208">
        <v>0</v>
      </c>
      <c r="BW8" s="208">
        <v>0</v>
      </c>
      <c r="BX8" s="208">
        <v>0</v>
      </c>
      <c r="BY8" s="208" t="s">
        <v>21042</v>
      </c>
      <c r="BZ8" s="208">
        <v>2</v>
      </c>
      <c r="CA8" s="208">
        <v>2</v>
      </c>
      <c r="CB8" s="208">
        <v>2</v>
      </c>
      <c r="CC8" s="208">
        <v>0</v>
      </c>
      <c r="CD8" s="208">
        <v>0</v>
      </c>
      <c r="CE8" s="208">
        <v>0</v>
      </c>
      <c r="CF8" s="208" t="s">
        <v>21042</v>
      </c>
      <c r="CG8" s="208">
        <v>2</v>
      </c>
      <c r="CH8" s="208">
        <v>2</v>
      </c>
      <c r="CI8" s="208">
        <v>2</v>
      </c>
      <c r="CJ8" s="208">
        <v>0</v>
      </c>
      <c r="CK8" s="208">
        <v>0</v>
      </c>
      <c r="CL8" s="208">
        <v>0</v>
      </c>
      <c r="CM8" s="208" t="s">
        <v>21324</v>
      </c>
      <c r="CN8" s="208">
        <v>1</v>
      </c>
      <c r="CO8" s="208">
        <v>1</v>
      </c>
      <c r="CP8" s="208">
        <v>1</v>
      </c>
      <c r="CQ8" s="208">
        <v>0</v>
      </c>
      <c r="CR8" s="208">
        <v>0</v>
      </c>
      <c r="CS8" s="208">
        <v>0</v>
      </c>
      <c r="CT8" s="208" t="s">
        <v>21313</v>
      </c>
      <c r="CU8" s="208">
        <v>0</v>
      </c>
      <c r="CV8" s="208">
        <v>0</v>
      </c>
      <c r="CW8" s="208">
        <v>0</v>
      </c>
      <c r="CX8" s="208">
        <v>0</v>
      </c>
      <c r="CY8" s="208">
        <v>0</v>
      </c>
      <c r="CZ8" s="208">
        <v>0</v>
      </c>
      <c r="DA8" s="208" t="s">
        <v>21313</v>
      </c>
      <c r="DB8" s="208">
        <v>0</v>
      </c>
      <c r="DC8" s="208">
        <v>0</v>
      </c>
      <c r="DD8" s="208">
        <v>0</v>
      </c>
      <c r="DE8" s="208">
        <v>0</v>
      </c>
      <c r="DF8" s="208">
        <v>0</v>
      </c>
      <c r="DG8" s="208">
        <v>0</v>
      </c>
      <c r="DH8" s="208" t="s">
        <v>21313</v>
      </c>
      <c r="DI8" s="208">
        <v>0</v>
      </c>
      <c r="DJ8" s="208">
        <v>0</v>
      </c>
      <c r="DK8" s="208">
        <v>0</v>
      </c>
      <c r="DL8" s="208">
        <v>0</v>
      </c>
      <c r="DM8" s="208">
        <v>0</v>
      </c>
      <c r="DN8" s="208">
        <v>0</v>
      </c>
      <c r="DO8" s="208" t="s">
        <v>21325</v>
      </c>
      <c r="DP8" s="208">
        <v>80</v>
      </c>
      <c r="DQ8" s="208">
        <v>80</v>
      </c>
      <c r="DR8" s="208">
        <v>80</v>
      </c>
      <c r="DS8" s="208">
        <v>0</v>
      </c>
      <c r="DT8" s="208">
        <v>0</v>
      </c>
      <c r="DU8" s="208">
        <v>0</v>
      </c>
      <c r="DV8" s="208" t="s">
        <v>21326</v>
      </c>
      <c r="DW8" s="208">
        <v>80</v>
      </c>
      <c r="DX8" s="208" t="s">
        <v>21327</v>
      </c>
      <c r="DY8" s="208">
        <v>60</v>
      </c>
      <c r="DZ8" s="208">
        <v>60</v>
      </c>
      <c r="EA8" s="208">
        <v>60</v>
      </c>
      <c r="EB8" s="208">
        <v>0</v>
      </c>
      <c r="EC8" s="208">
        <v>0</v>
      </c>
      <c r="ED8" s="208">
        <v>0</v>
      </c>
      <c r="EE8" s="208" t="s">
        <v>21328</v>
      </c>
      <c r="EF8" s="208">
        <v>60</v>
      </c>
      <c r="EG8" s="208" t="s">
        <v>21327</v>
      </c>
      <c r="EH8" s="208">
        <v>60</v>
      </c>
      <c r="EI8" s="208">
        <v>60</v>
      </c>
      <c r="EJ8" s="208">
        <v>60</v>
      </c>
      <c r="EK8" s="208">
        <v>0</v>
      </c>
      <c r="EL8" s="208">
        <v>0</v>
      </c>
      <c r="EM8" s="208">
        <v>0</v>
      </c>
      <c r="EN8" s="208" t="s">
        <v>21328</v>
      </c>
      <c r="EO8" s="208">
        <v>60</v>
      </c>
      <c r="EP8" s="208" t="s">
        <v>21313</v>
      </c>
      <c r="EQ8" s="208">
        <v>0</v>
      </c>
      <c r="ER8" s="208">
        <v>0</v>
      </c>
      <c r="ES8" s="208">
        <v>0</v>
      </c>
      <c r="ET8" s="208">
        <v>0</v>
      </c>
      <c r="EU8" s="208">
        <v>0</v>
      </c>
      <c r="EV8" s="208">
        <v>0</v>
      </c>
      <c r="EW8" s="208" t="s">
        <v>21313</v>
      </c>
      <c r="EX8" s="208">
        <v>0</v>
      </c>
      <c r="EY8" s="208" t="s">
        <v>21313</v>
      </c>
      <c r="EZ8" s="208">
        <v>0</v>
      </c>
      <c r="FA8" s="208">
        <v>0</v>
      </c>
      <c r="FB8" s="208">
        <v>0</v>
      </c>
      <c r="FC8" s="208">
        <v>0</v>
      </c>
      <c r="FD8" s="208">
        <v>0</v>
      </c>
      <c r="FE8" s="208">
        <v>0</v>
      </c>
      <c r="FF8" s="208" t="s">
        <v>21313</v>
      </c>
      <c r="FG8" s="208">
        <v>0</v>
      </c>
      <c r="FH8" s="208" t="s">
        <v>21313</v>
      </c>
      <c r="FI8" s="208">
        <v>0</v>
      </c>
      <c r="FJ8" s="208">
        <v>0</v>
      </c>
      <c r="FK8" s="208">
        <v>0</v>
      </c>
      <c r="FL8" s="208">
        <v>0</v>
      </c>
      <c r="FM8" s="208">
        <v>0</v>
      </c>
      <c r="FN8" s="208">
        <v>0</v>
      </c>
      <c r="FO8" s="208" t="s">
        <v>21313</v>
      </c>
      <c r="FP8" s="208">
        <v>0</v>
      </c>
      <c r="FQ8" s="208">
        <v>80</v>
      </c>
      <c r="FR8" s="208" t="s">
        <v>19816</v>
      </c>
      <c r="FS8" s="208" t="s">
        <v>21329</v>
      </c>
      <c r="FT8" s="208" t="s">
        <v>21330</v>
      </c>
      <c r="FU8" s="208" t="s">
        <v>21313</v>
      </c>
      <c r="FV8" s="208" t="s">
        <v>21313</v>
      </c>
      <c r="FW8" s="208" t="s">
        <v>21313</v>
      </c>
      <c r="FX8" s="208" t="s">
        <v>21373</v>
      </c>
      <c r="FY8" s="208">
        <v>26</v>
      </c>
      <c r="FZ8" s="208">
        <v>26</v>
      </c>
      <c r="GA8" s="208">
        <v>26</v>
      </c>
      <c r="GB8" s="208">
        <v>0</v>
      </c>
      <c r="GC8" s="208">
        <v>0</v>
      </c>
      <c r="GD8" s="208">
        <v>0</v>
      </c>
      <c r="GE8" s="208" t="s">
        <v>21374</v>
      </c>
      <c r="GF8" s="208" t="s">
        <v>21373</v>
      </c>
      <c r="GG8" s="208">
        <v>26</v>
      </c>
      <c r="GH8" s="208">
        <v>26</v>
      </c>
      <c r="GI8" s="208">
        <v>26</v>
      </c>
      <c r="GJ8" s="208">
        <v>0</v>
      </c>
      <c r="GK8" s="208">
        <v>0</v>
      </c>
      <c r="GL8" s="208">
        <v>0</v>
      </c>
      <c r="GM8" s="208" t="s">
        <v>21374</v>
      </c>
      <c r="GN8" s="208" t="s">
        <v>21373</v>
      </c>
      <c r="GO8" s="208">
        <v>26</v>
      </c>
      <c r="GP8" s="208">
        <v>26</v>
      </c>
      <c r="GQ8" s="208">
        <v>26</v>
      </c>
      <c r="GR8" s="208">
        <v>0</v>
      </c>
      <c r="GS8" s="208">
        <v>0</v>
      </c>
      <c r="GT8" s="208">
        <v>0</v>
      </c>
      <c r="GU8" s="208" t="s">
        <v>21374</v>
      </c>
      <c r="GV8" s="208" t="s">
        <v>21313</v>
      </c>
      <c r="GW8" s="208">
        <v>0</v>
      </c>
      <c r="GX8" s="208">
        <v>0</v>
      </c>
      <c r="GY8" s="208">
        <v>0</v>
      </c>
      <c r="GZ8" s="208">
        <v>0</v>
      </c>
      <c r="HA8" s="208">
        <v>0</v>
      </c>
      <c r="HB8" s="208">
        <v>0</v>
      </c>
      <c r="HC8" s="208" t="s">
        <v>21313</v>
      </c>
      <c r="HD8" s="208" t="s">
        <v>21313</v>
      </c>
      <c r="HE8" s="208">
        <v>0</v>
      </c>
      <c r="HF8" s="208">
        <v>0</v>
      </c>
      <c r="HG8" s="208">
        <v>0</v>
      </c>
      <c r="HH8" s="208">
        <v>0</v>
      </c>
      <c r="HI8" s="208">
        <v>0</v>
      </c>
      <c r="HJ8" s="208">
        <v>0</v>
      </c>
      <c r="HK8" s="208" t="s">
        <v>21313</v>
      </c>
      <c r="HL8" s="208" t="s">
        <v>21313</v>
      </c>
      <c r="HM8" s="208">
        <v>0</v>
      </c>
      <c r="HN8" s="208">
        <v>0</v>
      </c>
      <c r="HO8" s="208">
        <v>0</v>
      </c>
      <c r="HP8" s="208">
        <v>0</v>
      </c>
      <c r="HQ8" s="208">
        <v>0</v>
      </c>
      <c r="HR8" s="208">
        <v>0</v>
      </c>
      <c r="HS8" s="208" t="s">
        <v>21313</v>
      </c>
      <c r="HT8" s="208" t="s">
        <v>21333</v>
      </c>
      <c r="HU8" s="208">
        <v>26</v>
      </c>
      <c r="HV8" s="208">
        <v>26</v>
      </c>
      <c r="HW8" s="208">
        <v>26</v>
      </c>
      <c r="HX8" s="208">
        <v>0</v>
      </c>
      <c r="HY8" s="208">
        <v>0</v>
      </c>
      <c r="HZ8" s="208">
        <v>0</v>
      </c>
      <c r="IA8" s="600">
        <v>26</v>
      </c>
      <c r="IB8" s="600">
        <v>2</v>
      </c>
      <c r="IC8" s="343" t="s">
        <v>21035</v>
      </c>
      <c r="ID8" s="343" t="s">
        <v>21375</v>
      </c>
      <c r="IE8" s="343" t="s">
        <v>21335</v>
      </c>
      <c r="IF8" s="343" t="s">
        <v>21336</v>
      </c>
      <c r="IG8" s="383">
        <v>43756</v>
      </c>
      <c r="IH8" s="383">
        <v>45583</v>
      </c>
      <c r="II8" s="208">
        <v>37</v>
      </c>
    </row>
    <row r="9" ht="165.75">
      <c r="A9" s="207">
        <v>8</v>
      </c>
      <c r="B9" s="343" t="s">
        <v>21298</v>
      </c>
      <c r="C9" s="343" t="s">
        <v>21298</v>
      </c>
      <c r="D9" s="600" t="s">
        <v>21125</v>
      </c>
      <c r="E9" s="317" t="s">
        <v>21126</v>
      </c>
      <c r="F9" s="207" t="s">
        <v>20855</v>
      </c>
      <c r="G9" s="600">
        <v>105.782861</v>
      </c>
      <c r="H9" s="600">
        <v>21.012196</v>
      </c>
      <c r="I9" s="207">
        <v>1</v>
      </c>
      <c r="J9" s="207">
        <v>2</v>
      </c>
      <c r="K9" s="207" t="s">
        <v>21337</v>
      </c>
      <c r="L9" s="207" t="s">
        <v>21376</v>
      </c>
      <c r="M9" s="207" t="s">
        <v>21339</v>
      </c>
      <c r="N9" s="207" t="s">
        <v>21340</v>
      </c>
      <c r="O9" s="207" t="s">
        <v>21341</v>
      </c>
      <c r="P9" s="207" t="s">
        <v>21342</v>
      </c>
      <c r="Q9" s="207" t="s">
        <v>21343</v>
      </c>
      <c r="R9" s="207" t="s">
        <v>21377</v>
      </c>
      <c r="S9" s="364" t="b">
        <v>1</v>
      </c>
      <c r="T9" s="207" t="s">
        <v>21127</v>
      </c>
      <c r="U9" s="207">
        <v>0</v>
      </c>
      <c r="V9" s="207" t="s">
        <v>21307</v>
      </c>
      <c r="W9" s="207" t="s">
        <v>21128</v>
      </c>
      <c r="X9" s="209" t="s">
        <v>21308</v>
      </c>
      <c r="Y9" s="207" t="b">
        <v>0</v>
      </c>
      <c r="Z9" s="364" t="b">
        <v>0</v>
      </c>
      <c r="AA9" s="600">
        <v>28.5</v>
      </c>
      <c r="AB9" s="364" t="b">
        <v>1</v>
      </c>
      <c r="AC9" s="600">
        <v>26</v>
      </c>
      <c r="AD9" s="207" t="b">
        <v>0</v>
      </c>
      <c r="AE9" s="207" t="s">
        <v>21309</v>
      </c>
      <c r="AF9" s="207" t="s">
        <v>21310</v>
      </c>
      <c r="AG9" s="343" t="s">
        <v>21311</v>
      </c>
      <c r="AH9" s="343" t="s">
        <v>21312</v>
      </c>
      <c r="AI9" s="343" t="s">
        <v>21054</v>
      </c>
      <c r="AJ9" s="343" t="s">
        <v>21313</v>
      </c>
      <c r="AK9" s="343" t="s">
        <v>21314</v>
      </c>
      <c r="AL9" s="208"/>
      <c r="AM9" s="208" t="s">
        <v>21315</v>
      </c>
      <c r="AN9" s="208" t="s">
        <v>21316</v>
      </c>
      <c r="AO9" s="207">
        <v>4</v>
      </c>
      <c r="AP9" s="287" t="s">
        <v>21317</v>
      </c>
      <c r="AQ9" s="448" t="s">
        <v>21318</v>
      </c>
      <c r="AR9" s="448" t="s">
        <v>21364</v>
      </c>
      <c r="AS9" s="449" t="s">
        <v>10</v>
      </c>
      <c r="AT9" s="208" t="s">
        <v>21316</v>
      </c>
      <c r="AU9" s="208" t="s">
        <v>21316</v>
      </c>
      <c r="AV9" s="208" t="s">
        <v>21313</v>
      </c>
      <c r="AW9" s="208" t="s">
        <v>21313</v>
      </c>
      <c r="AX9" s="208" t="s">
        <v>21313</v>
      </c>
      <c r="AY9" s="208" t="s">
        <v>21313</v>
      </c>
      <c r="AZ9" s="208" t="s">
        <v>21298</v>
      </c>
      <c r="BA9" s="208" t="s">
        <v>21298</v>
      </c>
      <c r="BB9" s="208" t="s">
        <v>21313</v>
      </c>
      <c r="BC9" s="208" t="s">
        <v>21313</v>
      </c>
      <c r="BD9" s="208" t="s">
        <v>21313</v>
      </c>
      <c r="BE9" s="208" t="s">
        <v>21313</v>
      </c>
      <c r="BF9" s="208" t="s">
        <v>21346</v>
      </c>
      <c r="BG9" s="208" t="s">
        <v>21125</v>
      </c>
      <c r="BH9" s="208" t="s">
        <v>21125</v>
      </c>
      <c r="BI9" s="208" t="s">
        <v>21313</v>
      </c>
      <c r="BJ9" s="208" t="s">
        <v>21313</v>
      </c>
      <c r="BK9" s="208" t="s">
        <v>21313</v>
      </c>
      <c r="BL9" s="208" t="s">
        <v>21313</v>
      </c>
      <c r="BM9" s="208" t="s">
        <v>21322</v>
      </c>
      <c r="BN9" s="208" t="s">
        <v>21323</v>
      </c>
      <c r="BO9" s="208" t="s">
        <v>21313</v>
      </c>
      <c r="BP9" s="208" t="s">
        <v>21313</v>
      </c>
      <c r="BQ9" s="208" t="s">
        <v>21313</v>
      </c>
      <c r="BR9" s="208" t="s">
        <v>21313</v>
      </c>
      <c r="BS9" s="208">
        <v>3</v>
      </c>
      <c r="BT9" s="208">
        <v>3</v>
      </c>
      <c r="BU9" s="208">
        <v>0</v>
      </c>
      <c r="BV9" s="208">
        <v>0</v>
      </c>
      <c r="BW9" s="208">
        <v>0</v>
      </c>
      <c r="BX9" s="208">
        <v>0</v>
      </c>
      <c r="BY9" s="208" t="s">
        <v>21042</v>
      </c>
      <c r="BZ9" s="208">
        <v>2</v>
      </c>
      <c r="CA9" s="208">
        <v>2</v>
      </c>
      <c r="CB9" s="208">
        <v>2</v>
      </c>
      <c r="CC9" s="208">
        <v>0</v>
      </c>
      <c r="CD9" s="208">
        <v>0</v>
      </c>
      <c r="CE9" s="208">
        <v>0</v>
      </c>
      <c r="CF9" s="208" t="s">
        <v>21324</v>
      </c>
      <c r="CG9" s="208">
        <v>1</v>
      </c>
      <c r="CH9" s="208">
        <v>1</v>
      </c>
      <c r="CI9" s="208">
        <v>1</v>
      </c>
      <c r="CJ9" s="208">
        <v>0</v>
      </c>
      <c r="CK9" s="208">
        <v>0</v>
      </c>
      <c r="CL9" s="208">
        <v>0</v>
      </c>
      <c r="CM9" s="208" t="s">
        <v>21313</v>
      </c>
      <c r="CN9" s="208">
        <v>0</v>
      </c>
      <c r="CO9" s="208">
        <v>0</v>
      </c>
      <c r="CP9" s="208">
        <v>0</v>
      </c>
      <c r="CQ9" s="208">
        <v>0</v>
      </c>
      <c r="CR9" s="208">
        <v>0</v>
      </c>
      <c r="CS9" s="208">
        <v>0</v>
      </c>
      <c r="CT9" s="208" t="s">
        <v>21313</v>
      </c>
      <c r="CU9" s="208">
        <v>0</v>
      </c>
      <c r="CV9" s="208">
        <v>0</v>
      </c>
      <c r="CW9" s="208">
        <v>0</v>
      </c>
      <c r="CX9" s="208">
        <v>0</v>
      </c>
      <c r="CY9" s="208">
        <v>0</v>
      </c>
      <c r="CZ9" s="208">
        <v>0</v>
      </c>
      <c r="DA9" s="208" t="s">
        <v>21313</v>
      </c>
      <c r="DB9" s="208">
        <v>0</v>
      </c>
      <c r="DC9" s="208">
        <v>0</v>
      </c>
      <c r="DD9" s="208">
        <v>0</v>
      </c>
      <c r="DE9" s="208">
        <v>0</v>
      </c>
      <c r="DF9" s="208">
        <v>0</v>
      </c>
      <c r="DG9" s="208">
        <v>0</v>
      </c>
      <c r="DH9" s="208" t="s">
        <v>21313</v>
      </c>
      <c r="DI9" s="208">
        <v>0</v>
      </c>
      <c r="DJ9" s="208">
        <v>0</v>
      </c>
      <c r="DK9" s="208">
        <v>0</v>
      </c>
      <c r="DL9" s="208">
        <v>0</v>
      </c>
      <c r="DM9" s="208">
        <v>0</v>
      </c>
      <c r="DN9" s="208">
        <v>0</v>
      </c>
      <c r="DO9" s="208" t="s">
        <v>21327</v>
      </c>
      <c r="DP9" s="208">
        <v>60</v>
      </c>
      <c r="DQ9" s="208">
        <v>60</v>
      </c>
      <c r="DR9" s="208">
        <v>60</v>
      </c>
      <c r="DS9" s="208">
        <v>0</v>
      </c>
      <c r="DT9" s="208">
        <v>0</v>
      </c>
      <c r="DU9" s="208">
        <v>0</v>
      </c>
      <c r="DV9" s="208" t="s">
        <v>21328</v>
      </c>
      <c r="DW9" s="208">
        <v>60</v>
      </c>
      <c r="DX9" s="208" t="s">
        <v>21327</v>
      </c>
      <c r="DY9" s="208">
        <v>60</v>
      </c>
      <c r="DZ9" s="208">
        <v>60</v>
      </c>
      <c r="EA9" s="208">
        <v>60</v>
      </c>
      <c r="EB9" s="208">
        <v>0</v>
      </c>
      <c r="EC9" s="208">
        <v>0</v>
      </c>
      <c r="ED9" s="208">
        <v>0</v>
      </c>
      <c r="EE9" s="208" t="s">
        <v>21328</v>
      </c>
      <c r="EF9" s="208">
        <v>60</v>
      </c>
      <c r="EG9" s="208" t="s">
        <v>21313</v>
      </c>
      <c r="EH9" s="208">
        <v>0</v>
      </c>
      <c r="EI9" s="208">
        <v>0</v>
      </c>
      <c r="EJ9" s="208">
        <v>0</v>
      </c>
      <c r="EK9" s="208">
        <v>0</v>
      </c>
      <c r="EL9" s="208">
        <v>0</v>
      </c>
      <c r="EM9" s="208">
        <v>0</v>
      </c>
      <c r="EN9" s="208" t="s">
        <v>21313</v>
      </c>
      <c r="EO9" s="208">
        <v>0</v>
      </c>
      <c r="EP9" s="208" t="s">
        <v>21313</v>
      </c>
      <c r="EQ9" s="208">
        <v>0</v>
      </c>
      <c r="ER9" s="208">
        <v>0</v>
      </c>
      <c r="ES9" s="208">
        <v>0</v>
      </c>
      <c r="ET9" s="208">
        <v>0</v>
      </c>
      <c r="EU9" s="208">
        <v>0</v>
      </c>
      <c r="EV9" s="208">
        <v>0</v>
      </c>
      <c r="EW9" s="208" t="s">
        <v>21313</v>
      </c>
      <c r="EX9" s="208">
        <v>0</v>
      </c>
      <c r="EY9" s="208" t="s">
        <v>21313</v>
      </c>
      <c r="EZ9" s="208">
        <v>0</v>
      </c>
      <c r="FA9" s="208">
        <v>0</v>
      </c>
      <c r="FB9" s="208">
        <v>0</v>
      </c>
      <c r="FC9" s="208">
        <v>0</v>
      </c>
      <c r="FD9" s="208">
        <v>0</v>
      </c>
      <c r="FE9" s="208">
        <v>0</v>
      </c>
      <c r="FF9" s="208" t="s">
        <v>21313</v>
      </c>
      <c r="FG9" s="208">
        <v>0</v>
      </c>
      <c r="FH9" s="208" t="s">
        <v>21313</v>
      </c>
      <c r="FI9" s="208">
        <v>0</v>
      </c>
      <c r="FJ9" s="208">
        <v>0</v>
      </c>
      <c r="FK9" s="208">
        <v>0</v>
      </c>
      <c r="FL9" s="208">
        <v>0</v>
      </c>
      <c r="FM9" s="208">
        <v>0</v>
      </c>
      <c r="FN9" s="208">
        <v>0</v>
      </c>
      <c r="FO9" s="208" t="s">
        <v>21313</v>
      </c>
      <c r="FP9" s="208">
        <v>0</v>
      </c>
      <c r="FQ9" s="208">
        <v>60</v>
      </c>
      <c r="FR9" s="208" t="s">
        <v>21329</v>
      </c>
      <c r="FS9" s="208" t="s">
        <v>21330</v>
      </c>
      <c r="FT9" s="208" t="s">
        <v>21313</v>
      </c>
      <c r="FU9" s="208" t="s">
        <v>21313</v>
      </c>
      <c r="FV9" s="208" t="s">
        <v>21313</v>
      </c>
      <c r="FW9" s="208" t="s">
        <v>21313</v>
      </c>
      <c r="FX9" s="208" t="s">
        <v>21378</v>
      </c>
      <c r="FY9" s="208">
        <v>28.5</v>
      </c>
      <c r="FZ9" s="208">
        <v>28.5</v>
      </c>
      <c r="GA9" s="208">
        <v>28.5</v>
      </c>
      <c r="GB9" s="208">
        <v>0</v>
      </c>
      <c r="GC9" s="208">
        <v>0</v>
      </c>
      <c r="GD9" s="208">
        <v>0</v>
      </c>
      <c r="GE9" s="208" t="s">
        <v>21379</v>
      </c>
      <c r="GF9" s="208" t="s">
        <v>21378</v>
      </c>
      <c r="GG9" s="208">
        <v>28.5</v>
      </c>
      <c r="GH9" s="208">
        <v>28.5</v>
      </c>
      <c r="GI9" s="208">
        <v>28.5</v>
      </c>
      <c r="GJ9" s="208">
        <v>0</v>
      </c>
      <c r="GK9" s="208">
        <v>0</v>
      </c>
      <c r="GL9" s="208">
        <v>0</v>
      </c>
      <c r="GM9" s="208" t="s">
        <v>21379</v>
      </c>
      <c r="GN9" s="208" t="s">
        <v>21313</v>
      </c>
      <c r="GO9" s="208">
        <v>0</v>
      </c>
      <c r="GP9" s="208">
        <v>0</v>
      </c>
      <c r="GQ9" s="208">
        <v>0</v>
      </c>
      <c r="GR9" s="208">
        <v>0</v>
      </c>
      <c r="GS9" s="208">
        <v>0</v>
      </c>
      <c r="GT9" s="208">
        <v>0</v>
      </c>
      <c r="GU9" s="208" t="s">
        <v>21313</v>
      </c>
      <c r="GV9" s="208" t="s">
        <v>21313</v>
      </c>
      <c r="GW9" s="208">
        <v>0</v>
      </c>
      <c r="GX9" s="208">
        <v>0</v>
      </c>
      <c r="GY9" s="208">
        <v>0</v>
      </c>
      <c r="GZ9" s="208">
        <v>0</v>
      </c>
      <c r="HA9" s="208">
        <v>0</v>
      </c>
      <c r="HB9" s="208">
        <v>0</v>
      </c>
      <c r="HC9" s="208" t="s">
        <v>21313</v>
      </c>
      <c r="HD9" s="208" t="s">
        <v>21313</v>
      </c>
      <c r="HE9" s="208">
        <v>0</v>
      </c>
      <c r="HF9" s="208">
        <v>0</v>
      </c>
      <c r="HG9" s="208">
        <v>0</v>
      </c>
      <c r="HH9" s="208">
        <v>0</v>
      </c>
      <c r="HI9" s="208">
        <v>0</v>
      </c>
      <c r="HJ9" s="208">
        <v>0</v>
      </c>
      <c r="HK9" s="208" t="s">
        <v>21313</v>
      </c>
      <c r="HL9" s="208" t="s">
        <v>21313</v>
      </c>
      <c r="HM9" s="208">
        <v>0</v>
      </c>
      <c r="HN9" s="208">
        <v>0</v>
      </c>
      <c r="HO9" s="208">
        <v>0</v>
      </c>
      <c r="HP9" s="208">
        <v>0</v>
      </c>
      <c r="HQ9" s="208">
        <v>0</v>
      </c>
      <c r="HR9" s="208">
        <v>0</v>
      </c>
      <c r="HS9" s="208" t="s">
        <v>21313</v>
      </c>
      <c r="HT9" s="208" t="s">
        <v>21333</v>
      </c>
      <c r="HU9" s="208">
        <v>28.5</v>
      </c>
      <c r="HV9" s="208">
        <v>28.5</v>
      </c>
      <c r="HW9" s="208">
        <v>0</v>
      </c>
      <c r="HX9" s="208">
        <v>0</v>
      </c>
      <c r="HY9" s="208">
        <v>0</v>
      </c>
      <c r="HZ9" s="208">
        <v>0</v>
      </c>
      <c r="IA9" s="600">
        <v>28.5</v>
      </c>
      <c r="IB9" s="600">
        <v>2.5</v>
      </c>
      <c r="IC9" s="343" t="s">
        <v>21035</v>
      </c>
      <c r="ID9" s="343" t="s">
        <v>21380</v>
      </c>
      <c r="IE9" s="343" t="s">
        <v>21335</v>
      </c>
      <c r="IF9" s="343" t="s">
        <v>21336</v>
      </c>
      <c r="IG9" s="383">
        <v>43756</v>
      </c>
      <c r="IH9" s="383">
        <v>45583</v>
      </c>
      <c r="II9" s="208">
        <v>37</v>
      </c>
    </row>
    <row r="10" ht="127.5">
      <c r="A10" s="207">
        <v>9</v>
      </c>
      <c r="B10" s="343" t="s">
        <v>21298</v>
      </c>
      <c r="C10" s="343" t="s">
        <v>21298</v>
      </c>
      <c r="D10" s="600" t="s">
        <v>21129</v>
      </c>
      <c r="E10" s="317" t="s">
        <v>21130</v>
      </c>
      <c r="F10" s="207" t="s">
        <v>20855</v>
      </c>
      <c r="G10" s="600">
        <v>105.753192</v>
      </c>
      <c r="H10" s="600">
        <v>20.995712</v>
      </c>
      <c r="I10" s="207">
        <v>1</v>
      </c>
      <c r="J10" s="207">
        <v>3</v>
      </c>
      <c r="K10" s="207" t="s">
        <v>21299</v>
      </c>
      <c r="L10" s="207" t="s">
        <v>21381</v>
      </c>
      <c r="M10" s="207" t="s">
        <v>21382</v>
      </c>
      <c r="N10" s="207" t="s">
        <v>21302</v>
      </c>
      <c r="O10" s="207" t="s">
        <v>21303</v>
      </c>
      <c r="P10" s="207" t="s">
        <v>21383</v>
      </c>
      <c r="Q10" s="207" t="s">
        <v>21384</v>
      </c>
      <c r="R10" s="207" t="s">
        <v>21385</v>
      </c>
      <c r="S10" s="364" t="b">
        <v>1</v>
      </c>
      <c r="T10" s="207" t="s">
        <v>21131</v>
      </c>
      <c r="U10" s="207">
        <v>0</v>
      </c>
      <c r="V10" s="207" t="s">
        <v>21307</v>
      </c>
      <c r="W10" s="207" t="s">
        <v>21132</v>
      </c>
      <c r="X10" s="209" t="s">
        <v>21308</v>
      </c>
      <c r="Y10" s="207" t="b">
        <v>0</v>
      </c>
      <c r="Z10" s="364" t="b">
        <v>0</v>
      </c>
      <c r="AA10" s="600">
        <v>31</v>
      </c>
      <c r="AB10" s="364" t="b">
        <v>1</v>
      </c>
      <c r="AC10" s="600">
        <v>16</v>
      </c>
      <c r="AD10" s="207" t="b">
        <v>0</v>
      </c>
      <c r="AE10" s="207" t="s">
        <v>21309</v>
      </c>
      <c r="AF10" s="207" t="s">
        <v>21310</v>
      </c>
      <c r="AG10" s="343" t="s">
        <v>21311</v>
      </c>
      <c r="AH10" s="343" t="s">
        <v>21312</v>
      </c>
      <c r="AI10" s="343" t="s">
        <v>21054</v>
      </c>
      <c r="AJ10" s="343" t="s">
        <v>21313</v>
      </c>
      <c r="AK10" s="343" t="s">
        <v>21314</v>
      </c>
      <c r="AL10" s="208"/>
      <c r="AM10" s="208" t="s">
        <v>21315</v>
      </c>
      <c r="AN10" s="208" t="s">
        <v>21316</v>
      </c>
      <c r="AO10" s="207">
        <v>4</v>
      </c>
      <c r="AP10" s="287" t="s">
        <v>21317</v>
      </c>
      <c r="AQ10" s="448" t="s">
        <v>21318</v>
      </c>
      <c r="AR10" s="448" t="s">
        <v>21386</v>
      </c>
      <c r="AS10" s="449" t="s">
        <v>10</v>
      </c>
      <c r="AT10" s="208" t="s">
        <v>21316</v>
      </c>
      <c r="AU10" s="208" t="s">
        <v>21316</v>
      </c>
      <c r="AV10" s="208" t="s">
        <v>21316</v>
      </c>
      <c r="AW10" s="208" t="s">
        <v>21313</v>
      </c>
      <c r="AX10" s="208" t="s">
        <v>21313</v>
      </c>
      <c r="AY10" s="208" t="s">
        <v>21313</v>
      </c>
      <c r="AZ10" s="208" t="s">
        <v>21298</v>
      </c>
      <c r="BA10" s="208" t="s">
        <v>21298</v>
      </c>
      <c r="BB10" s="208" t="s">
        <v>21298</v>
      </c>
      <c r="BC10" s="208" t="s">
        <v>21313</v>
      </c>
      <c r="BD10" s="208" t="s">
        <v>21313</v>
      </c>
      <c r="BE10" s="208" t="s">
        <v>21313</v>
      </c>
      <c r="BF10" s="208" t="s">
        <v>21320</v>
      </c>
      <c r="BG10" s="208" t="s">
        <v>21129</v>
      </c>
      <c r="BH10" s="208" t="s">
        <v>21129</v>
      </c>
      <c r="BI10" s="208" t="s">
        <v>21129</v>
      </c>
      <c r="BJ10" s="208" t="s">
        <v>21313</v>
      </c>
      <c r="BK10" s="208" t="s">
        <v>21313</v>
      </c>
      <c r="BL10" s="208" t="s">
        <v>21313</v>
      </c>
      <c r="BM10" s="208" t="s">
        <v>21371</v>
      </c>
      <c r="BN10" s="208" t="s">
        <v>21371</v>
      </c>
      <c r="BO10" s="208" t="s">
        <v>21323</v>
      </c>
      <c r="BP10" s="208" t="s">
        <v>21313</v>
      </c>
      <c r="BQ10" s="208" t="s">
        <v>21313</v>
      </c>
      <c r="BR10" s="208" t="s">
        <v>21313</v>
      </c>
      <c r="BS10" s="208">
        <v>3</v>
      </c>
      <c r="BT10" s="208">
        <v>3</v>
      </c>
      <c r="BU10" s="208">
        <v>3</v>
      </c>
      <c r="BV10" s="208">
        <v>0</v>
      </c>
      <c r="BW10" s="208">
        <v>0</v>
      </c>
      <c r="BX10" s="208">
        <v>0</v>
      </c>
      <c r="BY10" s="208" t="s">
        <v>21042</v>
      </c>
      <c r="BZ10" s="208">
        <v>2</v>
      </c>
      <c r="CA10" s="208">
        <v>2</v>
      </c>
      <c r="CB10" s="208">
        <v>2</v>
      </c>
      <c r="CC10" s="208">
        <v>0</v>
      </c>
      <c r="CD10" s="208">
        <v>0</v>
      </c>
      <c r="CE10" s="208">
        <v>0</v>
      </c>
      <c r="CF10" s="208" t="s">
        <v>21042</v>
      </c>
      <c r="CG10" s="208">
        <v>2</v>
      </c>
      <c r="CH10" s="208">
        <v>2</v>
      </c>
      <c r="CI10" s="208">
        <v>2</v>
      </c>
      <c r="CJ10" s="208">
        <v>0</v>
      </c>
      <c r="CK10" s="208">
        <v>0</v>
      </c>
      <c r="CL10" s="208">
        <v>0</v>
      </c>
      <c r="CM10" s="208" t="s">
        <v>21324</v>
      </c>
      <c r="CN10" s="208">
        <v>1</v>
      </c>
      <c r="CO10" s="208">
        <v>1</v>
      </c>
      <c r="CP10" s="208">
        <v>1</v>
      </c>
      <c r="CQ10" s="208">
        <v>0</v>
      </c>
      <c r="CR10" s="208">
        <v>0</v>
      </c>
      <c r="CS10" s="208">
        <v>0</v>
      </c>
      <c r="CT10" s="208" t="s">
        <v>21313</v>
      </c>
      <c r="CU10" s="208">
        <v>0</v>
      </c>
      <c r="CV10" s="208">
        <v>0</v>
      </c>
      <c r="CW10" s="208">
        <v>0</v>
      </c>
      <c r="CX10" s="208">
        <v>0</v>
      </c>
      <c r="CY10" s="208">
        <v>0</v>
      </c>
      <c r="CZ10" s="208">
        <v>0</v>
      </c>
      <c r="DA10" s="208" t="s">
        <v>21313</v>
      </c>
      <c r="DB10" s="208">
        <v>0</v>
      </c>
      <c r="DC10" s="208">
        <v>0</v>
      </c>
      <c r="DD10" s="208">
        <v>0</v>
      </c>
      <c r="DE10" s="208">
        <v>0</v>
      </c>
      <c r="DF10" s="208">
        <v>0</v>
      </c>
      <c r="DG10" s="208">
        <v>0</v>
      </c>
      <c r="DH10" s="208" t="s">
        <v>21313</v>
      </c>
      <c r="DI10" s="208">
        <v>0</v>
      </c>
      <c r="DJ10" s="208">
        <v>0</v>
      </c>
      <c r="DK10" s="208">
        <v>0</v>
      </c>
      <c r="DL10" s="208">
        <v>0</v>
      </c>
      <c r="DM10" s="208">
        <v>0</v>
      </c>
      <c r="DN10" s="208">
        <v>0</v>
      </c>
      <c r="DO10" s="208" t="s">
        <v>21325</v>
      </c>
      <c r="DP10" s="208">
        <v>80</v>
      </c>
      <c r="DQ10" s="208">
        <v>80</v>
      </c>
      <c r="DR10" s="208">
        <v>80</v>
      </c>
      <c r="DS10" s="208">
        <v>0</v>
      </c>
      <c r="DT10" s="208">
        <v>0</v>
      </c>
      <c r="DU10" s="208">
        <v>0</v>
      </c>
      <c r="DV10" s="208" t="s">
        <v>21326</v>
      </c>
      <c r="DW10" s="208">
        <v>80</v>
      </c>
      <c r="DX10" s="208" t="s">
        <v>21325</v>
      </c>
      <c r="DY10" s="208">
        <v>80</v>
      </c>
      <c r="DZ10" s="208">
        <v>80</v>
      </c>
      <c r="EA10" s="208">
        <v>80</v>
      </c>
      <c r="EB10" s="208">
        <v>0</v>
      </c>
      <c r="EC10" s="208">
        <v>0</v>
      </c>
      <c r="ED10" s="208">
        <v>0</v>
      </c>
      <c r="EE10" s="208" t="s">
        <v>21326</v>
      </c>
      <c r="EF10" s="208">
        <v>80</v>
      </c>
      <c r="EG10" s="208" t="s">
        <v>21327</v>
      </c>
      <c r="EH10" s="208">
        <v>60</v>
      </c>
      <c r="EI10" s="208">
        <v>60</v>
      </c>
      <c r="EJ10" s="208">
        <v>60</v>
      </c>
      <c r="EK10" s="208">
        <v>0</v>
      </c>
      <c r="EL10" s="208">
        <v>0</v>
      </c>
      <c r="EM10" s="208">
        <v>0</v>
      </c>
      <c r="EN10" s="208" t="s">
        <v>21328</v>
      </c>
      <c r="EO10" s="208">
        <v>60</v>
      </c>
      <c r="EP10" s="208" t="s">
        <v>21313</v>
      </c>
      <c r="EQ10" s="208">
        <v>0</v>
      </c>
      <c r="ER10" s="208">
        <v>0</v>
      </c>
      <c r="ES10" s="208">
        <v>0</v>
      </c>
      <c r="ET10" s="208">
        <v>0</v>
      </c>
      <c r="EU10" s="208">
        <v>0</v>
      </c>
      <c r="EV10" s="208">
        <v>0</v>
      </c>
      <c r="EW10" s="208" t="s">
        <v>21313</v>
      </c>
      <c r="EX10" s="208">
        <v>0</v>
      </c>
      <c r="EY10" s="208" t="s">
        <v>21313</v>
      </c>
      <c r="EZ10" s="208">
        <v>0</v>
      </c>
      <c r="FA10" s="208">
        <v>0</v>
      </c>
      <c r="FB10" s="208">
        <v>0</v>
      </c>
      <c r="FC10" s="208">
        <v>0</v>
      </c>
      <c r="FD10" s="208">
        <v>0</v>
      </c>
      <c r="FE10" s="208">
        <v>0</v>
      </c>
      <c r="FF10" s="208" t="s">
        <v>21313</v>
      </c>
      <c r="FG10" s="208">
        <v>0</v>
      </c>
      <c r="FH10" s="208" t="s">
        <v>21313</v>
      </c>
      <c r="FI10" s="208">
        <v>0</v>
      </c>
      <c r="FJ10" s="208">
        <v>0</v>
      </c>
      <c r="FK10" s="208">
        <v>0</v>
      </c>
      <c r="FL10" s="208">
        <v>0</v>
      </c>
      <c r="FM10" s="208">
        <v>0</v>
      </c>
      <c r="FN10" s="208">
        <v>0</v>
      </c>
      <c r="FO10" s="208" t="s">
        <v>21313</v>
      </c>
      <c r="FP10" s="208">
        <v>0</v>
      </c>
      <c r="FQ10" s="208">
        <v>80</v>
      </c>
      <c r="FR10" s="208" t="s">
        <v>19816</v>
      </c>
      <c r="FS10" s="208" t="s">
        <v>21330</v>
      </c>
      <c r="FT10" s="208" t="s">
        <v>21330</v>
      </c>
      <c r="FU10" s="208" t="s">
        <v>21313</v>
      </c>
      <c r="FV10" s="208" t="s">
        <v>21313</v>
      </c>
      <c r="FW10" s="208" t="s">
        <v>21313</v>
      </c>
      <c r="FX10" s="208" t="s">
        <v>21387</v>
      </c>
      <c r="FY10" s="208">
        <v>31</v>
      </c>
      <c r="FZ10" s="208">
        <v>31</v>
      </c>
      <c r="GA10" s="208">
        <v>31</v>
      </c>
      <c r="GB10" s="208">
        <v>0</v>
      </c>
      <c r="GC10" s="208">
        <v>0</v>
      </c>
      <c r="GD10" s="208">
        <v>0</v>
      </c>
      <c r="GE10" s="208" t="s">
        <v>21388</v>
      </c>
      <c r="GF10" s="208" t="s">
        <v>21387</v>
      </c>
      <c r="GG10" s="208">
        <v>31</v>
      </c>
      <c r="GH10" s="208">
        <v>31</v>
      </c>
      <c r="GI10" s="208">
        <v>31</v>
      </c>
      <c r="GJ10" s="208">
        <v>0</v>
      </c>
      <c r="GK10" s="208">
        <v>0</v>
      </c>
      <c r="GL10" s="208">
        <v>0</v>
      </c>
      <c r="GM10" s="208" t="s">
        <v>21388</v>
      </c>
      <c r="GN10" s="208" t="s">
        <v>21387</v>
      </c>
      <c r="GO10" s="208">
        <v>31</v>
      </c>
      <c r="GP10" s="208">
        <v>31</v>
      </c>
      <c r="GQ10" s="208">
        <v>31</v>
      </c>
      <c r="GR10" s="208">
        <v>0</v>
      </c>
      <c r="GS10" s="208">
        <v>0</v>
      </c>
      <c r="GT10" s="208">
        <v>0</v>
      </c>
      <c r="GU10" s="208" t="s">
        <v>21388</v>
      </c>
      <c r="GV10" s="208" t="s">
        <v>21313</v>
      </c>
      <c r="GW10" s="208">
        <v>0</v>
      </c>
      <c r="GX10" s="208">
        <v>0</v>
      </c>
      <c r="GY10" s="208">
        <v>0</v>
      </c>
      <c r="GZ10" s="208">
        <v>0</v>
      </c>
      <c r="HA10" s="208">
        <v>0</v>
      </c>
      <c r="HB10" s="208">
        <v>0</v>
      </c>
      <c r="HC10" s="208" t="s">
        <v>21313</v>
      </c>
      <c r="HD10" s="208" t="s">
        <v>21313</v>
      </c>
      <c r="HE10" s="208">
        <v>0</v>
      </c>
      <c r="HF10" s="208">
        <v>0</v>
      </c>
      <c r="HG10" s="208">
        <v>0</v>
      </c>
      <c r="HH10" s="208">
        <v>0</v>
      </c>
      <c r="HI10" s="208">
        <v>0</v>
      </c>
      <c r="HJ10" s="208">
        <v>0</v>
      </c>
      <c r="HK10" s="208" t="s">
        <v>21313</v>
      </c>
      <c r="HL10" s="208" t="s">
        <v>21313</v>
      </c>
      <c r="HM10" s="208">
        <v>0</v>
      </c>
      <c r="HN10" s="208">
        <v>0</v>
      </c>
      <c r="HO10" s="208">
        <v>0</v>
      </c>
      <c r="HP10" s="208">
        <v>0</v>
      </c>
      <c r="HQ10" s="208">
        <v>0</v>
      </c>
      <c r="HR10" s="208">
        <v>0</v>
      </c>
      <c r="HS10" s="208" t="s">
        <v>21313</v>
      </c>
      <c r="HT10" s="208" t="s">
        <v>21333</v>
      </c>
      <c r="HU10" s="208">
        <v>31</v>
      </c>
      <c r="HV10" s="208">
        <v>31</v>
      </c>
      <c r="HW10" s="208">
        <v>31</v>
      </c>
      <c r="HX10" s="208">
        <v>0</v>
      </c>
      <c r="HY10" s="208">
        <v>0</v>
      </c>
      <c r="HZ10" s="208">
        <v>0</v>
      </c>
      <c r="IA10" s="600">
        <v>31</v>
      </c>
      <c r="IB10" s="600">
        <v>15</v>
      </c>
      <c r="IC10" s="343" t="s">
        <v>21035</v>
      </c>
      <c r="ID10" s="343" t="s">
        <v>3636</v>
      </c>
      <c r="IE10" s="343" t="s">
        <v>21335</v>
      </c>
      <c r="IF10" s="343" t="s">
        <v>21336</v>
      </c>
      <c r="IG10" s="383">
        <v>43756</v>
      </c>
      <c r="IH10" s="383">
        <v>45583</v>
      </c>
      <c r="II10" s="208">
        <v>37</v>
      </c>
    </row>
    <row r="11" ht="165.75">
      <c r="A11" s="207">
        <v>10</v>
      </c>
      <c r="B11" s="343" t="s">
        <v>21298</v>
      </c>
      <c r="C11" s="343" t="s">
        <v>21298</v>
      </c>
      <c r="D11" s="600" t="s">
        <v>21133</v>
      </c>
      <c r="E11" s="317" t="s">
        <v>21134</v>
      </c>
      <c r="F11" s="207" t="s">
        <v>20855</v>
      </c>
      <c r="G11" s="600">
        <v>105.76771</v>
      </c>
      <c r="H11" s="600">
        <v>21.013744</v>
      </c>
      <c r="I11" s="207">
        <v>1</v>
      </c>
      <c r="J11" s="207">
        <v>2</v>
      </c>
      <c r="K11" s="207" t="s">
        <v>21337</v>
      </c>
      <c r="L11" s="207" t="s">
        <v>21389</v>
      </c>
      <c r="M11" s="207" t="s">
        <v>21339</v>
      </c>
      <c r="N11" s="207" t="s">
        <v>21340</v>
      </c>
      <c r="O11" s="207" t="s">
        <v>21341</v>
      </c>
      <c r="P11" s="207" t="s">
        <v>21342</v>
      </c>
      <c r="Q11" s="207" t="s">
        <v>21343</v>
      </c>
      <c r="R11" s="207" t="s">
        <v>21377</v>
      </c>
      <c r="S11" s="364" t="b">
        <v>1</v>
      </c>
      <c r="T11" s="207" t="s">
        <v>21135</v>
      </c>
      <c r="U11" s="207">
        <v>0</v>
      </c>
      <c r="V11" s="207" t="s">
        <v>21307</v>
      </c>
      <c r="W11" s="207" t="s">
        <v>21136</v>
      </c>
      <c r="X11" s="209" t="s">
        <v>21308</v>
      </c>
      <c r="Y11" s="207" t="b">
        <v>0</v>
      </c>
      <c r="Z11" s="364" t="b">
        <v>0</v>
      </c>
      <c r="AA11" s="600">
        <v>28.5</v>
      </c>
      <c r="AB11" s="364" t="b">
        <v>1</v>
      </c>
      <c r="AC11" s="600">
        <v>26</v>
      </c>
      <c r="AD11" s="207" t="b">
        <v>0</v>
      </c>
      <c r="AE11" s="207" t="s">
        <v>21309</v>
      </c>
      <c r="AF11" s="207" t="s">
        <v>21310</v>
      </c>
      <c r="AG11" s="343" t="s">
        <v>21311</v>
      </c>
      <c r="AH11" s="343" t="s">
        <v>21312</v>
      </c>
      <c r="AI11" s="343" t="s">
        <v>21054</v>
      </c>
      <c r="AJ11" s="343" t="s">
        <v>21313</v>
      </c>
      <c r="AK11" s="343" t="s">
        <v>21314</v>
      </c>
      <c r="AL11" s="208"/>
      <c r="AM11" s="208" t="s">
        <v>21315</v>
      </c>
      <c r="AN11" s="208" t="s">
        <v>21316</v>
      </c>
      <c r="AO11" s="207">
        <v>5</v>
      </c>
      <c r="AP11" s="287" t="s">
        <v>21317</v>
      </c>
      <c r="AQ11" s="448" t="s">
        <v>21318</v>
      </c>
      <c r="AR11" s="448" t="s">
        <v>21370</v>
      </c>
      <c r="AS11" s="449" t="s">
        <v>10</v>
      </c>
      <c r="AT11" s="208" t="s">
        <v>21316</v>
      </c>
      <c r="AU11" s="208" t="s">
        <v>21316</v>
      </c>
      <c r="AV11" s="208" t="s">
        <v>21313</v>
      </c>
      <c r="AW11" s="208" t="s">
        <v>21313</v>
      </c>
      <c r="AX11" s="208" t="s">
        <v>21313</v>
      </c>
      <c r="AY11" s="208" t="s">
        <v>21313</v>
      </c>
      <c r="AZ11" s="208" t="s">
        <v>21298</v>
      </c>
      <c r="BA11" s="208" t="s">
        <v>21298</v>
      </c>
      <c r="BB11" s="208" t="s">
        <v>21313</v>
      </c>
      <c r="BC11" s="208" t="s">
        <v>21313</v>
      </c>
      <c r="BD11" s="208" t="s">
        <v>21313</v>
      </c>
      <c r="BE11" s="208" t="s">
        <v>21313</v>
      </c>
      <c r="BF11" s="208" t="s">
        <v>21346</v>
      </c>
      <c r="BG11" s="208" t="s">
        <v>21133</v>
      </c>
      <c r="BH11" s="208" t="s">
        <v>21133</v>
      </c>
      <c r="BI11" s="208" t="s">
        <v>21313</v>
      </c>
      <c r="BJ11" s="208" t="s">
        <v>21313</v>
      </c>
      <c r="BK11" s="208" t="s">
        <v>21313</v>
      </c>
      <c r="BL11" s="208" t="s">
        <v>21313</v>
      </c>
      <c r="BM11" s="208" t="s">
        <v>21322</v>
      </c>
      <c r="BN11" s="208" t="s">
        <v>21323</v>
      </c>
      <c r="BO11" s="208" t="s">
        <v>21313</v>
      </c>
      <c r="BP11" s="208" t="s">
        <v>21313</v>
      </c>
      <c r="BQ11" s="208" t="s">
        <v>21313</v>
      </c>
      <c r="BR11" s="208" t="s">
        <v>21313</v>
      </c>
      <c r="BS11" s="208">
        <v>3</v>
      </c>
      <c r="BT11" s="208">
        <v>3</v>
      </c>
      <c r="BU11" s="208">
        <v>0</v>
      </c>
      <c r="BV11" s="208">
        <v>0</v>
      </c>
      <c r="BW11" s="208">
        <v>0</v>
      </c>
      <c r="BX11" s="208">
        <v>0</v>
      </c>
      <c r="BY11" s="208" t="s">
        <v>21042</v>
      </c>
      <c r="BZ11" s="208">
        <v>2</v>
      </c>
      <c r="CA11" s="208">
        <v>2</v>
      </c>
      <c r="CB11" s="208">
        <v>2</v>
      </c>
      <c r="CC11" s="208">
        <v>0</v>
      </c>
      <c r="CD11" s="208">
        <v>0</v>
      </c>
      <c r="CE11" s="208">
        <v>0</v>
      </c>
      <c r="CF11" s="208" t="s">
        <v>21324</v>
      </c>
      <c r="CG11" s="208">
        <v>1</v>
      </c>
      <c r="CH11" s="208">
        <v>1</v>
      </c>
      <c r="CI11" s="208">
        <v>1</v>
      </c>
      <c r="CJ11" s="208">
        <v>0</v>
      </c>
      <c r="CK11" s="208">
        <v>0</v>
      </c>
      <c r="CL11" s="208">
        <v>0</v>
      </c>
      <c r="CM11" s="208" t="s">
        <v>21313</v>
      </c>
      <c r="CN11" s="208">
        <v>0</v>
      </c>
      <c r="CO11" s="208">
        <v>0</v>
      </c>
      <c r="CP11" s="208">
        <v>0</v>
      </c>
      <c r="CQ11" s="208">
        <v>0</v>
      </c>
      <c r="CR11" s="208">
        <v>0</v>
      </c>
      <c r="CS11" s="208">
        <v>0</v>
      </c>
      <c r="CT11" s="208" t="s">
        <v>21313</v>
      </c>
      <c r="CU11" s="208">
        <v>0</v>
      </c>
      <c r="CV11" s="208">
        <v>0</v>
      </c>
      <c r="CW11" s="208">
        <v>0</v>
      </c>
      <c r="CX11" s="208">
        <v>0</v>
      </c>
      <c r="CY11" s="208">
        <v>0</v>
      </c>
      <c r="CZ11" s="208">
        <v>0</v>
      </c>
      <c r="DA11" s="208" t="s">
        <v>21313</v>
      </c>
      <c r="DB11" s="208">
        <v>0</v>
      </c>
      <c r="DC11" s="208">
        <v>0</v>
      </c>
      <c r="DD11" s="208">
        <v>0</v>
      </c>
      <c r="DE11" s="208">
        <v>0</v>
      </c>
      <c r="DF11" s="208">
        <v>0</v>
      </c>
      <c r="DG11" s="208">
        <v>0</v>
      </c>
      <c r="DH11" s="208" t="s">
        <v>21313</v>
      </c>
      <c r="DI11" s="208">
        <v>0</v>
      </c>
      <c r="DJ11" s="208">
        <v>0</v>
      </c>
      <c r="DK11" s="208">
        <v>0</v>
      </c>
      <c r="DL11" s="208">
        <v>0</v>
      </c>
      <c r="DM11" s="208">
        <v>0</v>
      </c>
      <c r="DN11" s="208">
        <v>0</v>
      </c>
      <c r="DO11" s="208" t="s">
        <v>21327</v>
      </c>
      <c r="DP11" s="208">
        <v>60</v>
      </c>
      <c r="DQ11" s="208">
        <v>60</v>
      </c>
      <c r="DR11" s="208">
        <v>60</v>
      </c>
      <c r="DS11" s="208">
        <v>0</v>
      </c>
      <c r="DT11" s="208">
        <v>0</v>
      </c>
      <c r="DU11" s="208">
        <v>0</v>
      </c>
      <c r="DV11" s="208" t="s">
        <v>21328</v>
      </c>
      <c r="DW11" s="208">
        <v>60</v>
      </c>
      <c r="DX11" s="208" t="s">
        <v>21327</v>
      </c>
      <c r="DY11" s="208">
        <v>60</v>
      </c>
      <c r="DZ11" s="208">
        <v>60</v>
      </c>
      <c r="EA11" s="208">
        <v>60</v>
      </c>
      <c r="EB11" s="208">
        <v>0</v>
      </c>
      <c r="EC11" s="208">
        <v>0</v>
      </c>
      <c r="ED11" s="208">
        <v>0</v>
      </c>
      <c r="EE11" s="208" t="s">
        <v>21328</v>
      </c>
      <c r="EF11" s="208">
        <v>60</v>
      </c>
      <c r="EG11" s="208" t="s">
        <v>21313</v>
      </c>
      <c r="EH11" s="208">
        <v>0</v>
      </c>
      <c r="EI11" s="208">
        <v>0</v>
      </c>
      <c r="EJ11" s="208">
        <v>0</v>
      </c>
      <c r="EK11" s="208">
        <v>0</v>
      </c>
      <c r="EL11" s="208">
        <v>0</v>
      </c>
      <c r="EM11" s="208">
        <v>0</v>
      </c>
      <c r="EN11" s="208" t="s">
        <v>21313</v>
      </c>
      <c r="EO11" s="208">
        <v>0</v>
      </c>
      <c r="EP11" s="208" t="s">
        <v>21313</v>
      </c>
      <c r="EQ11" s="208">
        <v>0</v>
      </c>
      <c r="ER11" s="208">
        <v>0</v>
      </c>
      <c r="ES11" s="208">
        <v>0</v>
      </c>
      <c r="ET11" s="208">
        <v>0</v>
      </c>
      <c r="EU11" s="208">
        <v>0</v>
      </c>
      <c r="EV11" s="208">
        <v>0</v>
      </c>
      <c r="EW11" s="208" t="s">
        <v>21313</v>
      </c>
      <c r="EX11" s="208">
        <v>0</v>
      </c>
      <c r="EY11" s="208" t="s">
        <v>21313</v>
      </c>
      <c r="EZ11" s="208">
        <v>0</v>
      </c>
      <c r="FA11" s="208">
        <v>0</v>
      </c>
      <c r="FB11" s="208">
        <v>0</v>
      </c>
      <c r="FC11" s="208">
        <v>0</v>
      </c>
      <c r="FD11" s="208">
        <v>0</v>
      </c>
      <c r="FE11" s="208">
        <v>0</v>
      </c>
      <c r="FF11" s="208" t="s">
        <v>21313</v>
      </c>
      <c r="FG11" s="208">
        <v>0</v>
      </c>
      <c r="FH11" s="208" t="s">
        <v>21313</v>
      </c>
      <c r="FI11" s="208">
        <v>0</v>
      </c>
      <c r="FJ11" s="208">
        <v>0</v>
      </c>
      <c r="FK11" s="208">
        <v>0</v>
      </c>
      <c r="FL11" s="208">
        <v>0</v>
      </c>
      <c r="FM11" s="208">
        <v>0</v>
      </c>
      <c r="FN11" s="208">
        <v>0</v>
      </c>
      <c r="FO11" s="208" t="s">
        <v>21313</v>
      </c>
      <c r="FP11" s="208">
        <v>0</v>
      </c>
      <c r="FQ11" s="208">
        <v>60</v>
      </c>
      <c r="FR11" s="208" t="s">
        <v>21329</v>
      </c>
      <c r="FS11" s="208" t="s">
        <v>21330</v>
      </c>
      <c r="FT11" s="208" t="s">
        <v>21313</v>
      </c>
      <c r="FU11" s="208" t="s">
        <v>21313</v>
      </c>
      <c r="FV11" s="208" t="s">
        <v>21313</v>
      </c>
      <c r="FW11" s="208" t="s">
        <v>21313</v>
      </c>
      <c r="FX11" s="208" t="s">
        <v>21378</v>
      </c>
      <c r="FY11" s="208">
        <v>28.5</v>
      </c>
      <c r="FZ11" s="208">
        <v>28.5</v>
      </c>
      <c r="GA11" s="208">
        <v>28.5</v>
      </c>
      <c r="GB11" s="208">
        <v>0</v>
      </c>
      <c r="GC11" s="208">
        <v>0</v>
      </c>
      <c r="GD11" s="208">
        <v>0</v>
      </c>
      <c r="GE11" s="208" t="s">
        <v>21379</v>
      </c>
      <c r="GF11" s="208" t="s">
        <v>21378</v>
      </c>
      <c r="GG11" s="208">
        <v>28.5</v>
      </c>
      <c r="GH11" s="208">
        <v>28.5</v>
      </c>
      <c r="GI11" s="208">
        <v>28.5</v>
      </c>
      <c r="GJ11" s="208">
        <v>0</v>
      </c>
      <c r="GK11" s="208">
        <v>0</v>
      </c>
      <c r="GL11" s="208">
        <v>0</v>
      </c>
      <c r="GM11" s="208" t="s">
        <v>21379</v>
      </c>
      <c r="GN11" s="208" t="s">
        <v>21313</v>
      </c>
      <c r="GO11" s="208">
        <v>0</v>
      </c>
      <c r="GP11" s="208">
        <v>0</v>
      </c>
      <c r="GQ11" s="208">
        <v>0</v>
      </c>
      <c r="GR11" s="208">
        <v>0</v>
      </c>
      <c r="GS11" s="208">
        <v>0</v>
      </c>
      <c r="GT11" s="208">
        <v>0</v>
      </c>
      <c r="GU11" s="208" t="s">
        <v>21313</v>
      </c>
      <c r="GV11" s="208" t="s">
        <v>21313</v>
      </c>
      <c r="GW11" s="208">
        <v>0</v>
      </c>
      <c r="GX11" s="208">
        <v>0</v>
      </c>
      <c r="GY11" s="208">
        <v>0</v>
      </c>
      <c r="GZ11" s="208">
        <v>0</v>
      </c>
      <c r="HA11" s="208">
        <v>0</v>
      </c>
      <c r="HB11" s="208">
        <v>0</v>
      </c>
      <c r="HC11" s="208" t="s">
        <v>21313</v>
      </c>
      <c r="HD11" s="208" t="s">
        <v>21313</v>
      </c>
      <c r="HE11" s="208">
        <v>0</v>
      </c>
      <c r="HF11" s="208">
        <v>0</v>
      </c>
      <c r="HG11" s="208">
        <v>0</v>
      </c>
      <c r="HH11" s="208">
        <v>0</v>
      </c>
      <c r="HI11" s="208">
        <v>0</v>
      </c>
      <c r="HJ11" s="208">
        <v>0</v>
      </c>
      <c r="HK11" s="208" t="s">
        <v>21313</v>
      </c>
      <c r="HL11" s="208" t="s">
        <v>21313</v>
      </c>
      <c r="HM11" s="208">
        <v>0</v>
      </c>
      <c r="HN11" s="208">
        <v>0</v>
      </c>
      <c r="HO11" s="208">
        <v>0</v>
      </c>
      <c r="HP11" s="208">
        <v>0</v>
      </c>
      <c r="HQ11" s="208">
        <v>0</v>
      </c>
      <c r="HR11" s="208">
        <v>0</v>
      </c>
      <c r="HS11" s="208" t="s">
        <v>21313</v>
      </c>
      <c r="HT11" s="208" t="s">
        <v>21333</v>
      </c>
      <c r="HU11" s="208">
        <v>28.5</v>
      </c>
      <c r="HV11" s="208">
        <v>28.5</v>
      </c>
      <c r="HW11" s="208">
        <v>0</v>
      </c>
      <c r="HX11" s="208">
        <v>0</v>
      </c>
      <c r="HY11" s="208">
        <v>0</v>
      </c>
      <c r="HZ11" s="208">
        <v>0</v>
      </c>
      <c r="IA11" s="600">
        <v>28.5</v>
      </c>
      <c r="IB11" s="600">
        <v>2.5</v>
      </c>
      <c r="IC11" s="343" t="s">
        <v>21035</v>
      </c>
      <c r="ID11" s="343" t="s">
        <v>21390</v>
      </c>
      <c r="IE11" s="343" t="s">
        <v>21335</v>
      </c>
      <c r="IF11" s="343" t="s">
        <v>21336</v>
      </c>
      <c r="IG11" s="383">
        <v>43756</v>
      </c>
      <c r="IH11" s="383">
        <v>45583</v>
      </c>
      <c r="II11" s="208">
        <v>37</v>
      </c>
    </row>
    <row r="12" ht="127.5">
      <c r="A12" s="207">
        <v>11</v>
      </c>
      <c r="B12" s="343" t="s">
        <v>21298</v>
      </c>
      <c r="C12" s="343" t="s">
        <v>21298</v>
      </c>
      <c r="D12" s="600" t="s">
        <v>21137</v>
      </c>
      <c r="E12" s="317" t="s">
        <v>21138</v>
      </c>
      <c r="F12" s="207" t="s">
        <v>20855</v>
      </c>
      <c r="G12" s="600">
        <v>105.744625</v>
      </c>
      <c r="H12" s="600">
        <v>21.002667</v>
      </c>
      <c r="I12" s="207">
        <v>1</v>
      </c>
      <c r="J12" s="207">
        <v>3</v>
      </c>
      <c r="K12" s="207" t="s">
        <v>21299</v>
      </c>
      <c r="L12" s="207" t="s">
        <v>21391</v>
      </c>
      <c r="M12" s="207" t="s">
        <v>21368</v>
      </c>
      <c r="N12" s="207" t="s">
        <v>21302</v>
      </c>
      <c r="O12" s="207" t="s">
        <v>21303</v>
      </c>
      <c r="P12" s="207" t="s">
        <v>21304</v>
      </c>
      <c r="Q12" s="207" t="s">
        <v>21305</v>
      </c>
      <c r="R12" s="207" t="s">
        <v>21392</v>
      </c>
      <c r="S12" s="364" t="b">
        <v>1</v>
      </c>
      <c r="T12" s="207" t="s">
        <v>21139</v>
      </c>
      <c r="U12" s="207">
        <v>0</v>
      </c>
      <c r="V12" s="207" t="s">
        <v>21307</v>
      </c>
      <c r="W12" s="207" t="s">
        <v>21140</v>
      </c>
      <c r="X12" s="209" t="s">
        <v>21308</v>
      </c>
      <c r="Y12" s="207" t="b">
        <v>0</v>
      </c>
      <c r="Z12" s="364" t="b">
        <v>0</v>
      </c>
      <c r="AA12" s="600">
        <v>16.5</v>
      </c>
      <c r="AB12" s="364" t="b">
        <v>1</v>
      </c>
      <c r="AC12" s="600">
        <v>12</v>
      </c>
      <c r="AD12" s="207" t="b">
        <v>0</v>
      </c>
      <c r="AE12" s="207" t="s">
        <v>21309</v>
      </c>
      <c r="AF12" s="207" t="s">
        <v>21310</v>
      </c>
      <c r="AG12" s="343" t="s">
        <v>21311</v>
      </c>
      <c r="AH12" s="343" t="s">
        <v>21312</v>
      </c>
      <c r="AI12" s="343" t="s">
        <v>21054</v>
      </c>
      <c r="AJ12" s="343" t="s">
        <v>21313</v>
      </c>
      <c r="AK12" s="343" t="s">
        <v>21314</v>
      </c>
      <c r="AL12" s="208"/>
      <c r="AM12" s="208" t="s">
        <v>21315</v>
      </c>
      <c r="AN12" s="208" t="s">
        <v>21316</v>
      </c>
      <c r="AO12" s="207">
        <v>5</v>
      </c>
      <c r="AP12" s="287" t="s">
        <v>21317</v>
      </c>
      <c r="AQ12" s="448" t="s">
        <v>21318</v>
      </c>
      <c r="AR12" s="448" t="s">
        <v>21393</v>
      </c>
      <c r="AS12" s="449" t="s">
        <v>10</v>
      </c>
      <c r="AT12" s="208" t="s">
        <v>21316</v>
      </c>
      <c r="AU12" s="208" t="s">
        <v>21316</v>
      </c>
      <c r="AV12" s="208" t="s">
        <v>21316</v>
      </c>
      <c r="AW12" s="208" t="s">
        <v>21313</v>
      </c>
      <c r="AX12" s="208" t="s">
        <v>21313</v>
      </c>
      <c r="AY12" s="208" t="s">
        <v>21313</v>
      </c>
      <c r="AZ12" s="208" t="s">
        <v>21298</v>
      </c>
      <c r="BA12" s="208" t="s">
        <v>21298</v>
      </c>
      <c r="BB12" s="208" t="s">
        <v>21298</v>
      </c>
      <c r="BC12" s="208" t="s">
        <v>21313</v>
      </c>
      <c r="BD12" s="208" t="s">
        <v>21313</v>
      </c>
      <c r="BE12" s="208" t="s">
        <v>21313</v>
      </c>
      <c r="BF12" s="208" t="s">
        <v>21320</v>
      </c>
      <c r="BG12" s="208" t="s">
        <v>21137</v>
      </c>
      <c r="BH12" s="208" t="s">
        <v>21137</v>
      </c>
      <c r="BI12" s="208" t="s">
        <v>21137</v>
      </c>
      <c r="BJ12" s="208" t="s">
        <v>21313</v>
      </c>
      <c r="BK12" s="208" t="s">
        <v>21313</v>
      </c>
      <c r="BL12" s="208" t="s">
        <v>21313</v>
      </c>
      <c r="BM12" s="208" t="s">
        <v>21371</v>
      </c>
      <c r="BN12" s="208" t="s">
        <v>21372</v>
      </c>
      <c r="BO12" s="208" t="s">
        <v>21323</v>
      </c>
      <c r="BP12" s="208" t="s">
        <v>21313</v>
      </c>
      <c r="BQ12" s="208" t="s">
        <v>21313</v>
      </c>
      <c r="BR12" s="208" t="s">
        <v>21313</v>
      </c>
      <c r="BS12" s="208">
        <v>3</v>
      </c>
      <c r="BT12" s="208">
        <v>3</v>
      </c>
      <c r="BU12" s="208">
        <v>3</v>
      </c>
      <c r="BV12" s="208">
        <v>0</v>
      </c>
      <c r="BW12" s="208">
        <v>0</v>
      </c>
      <c r="BX12" s="208">
        <v>0</v>
      </c>
      <c r="BY12" s="208" t="s">
        <v>21042</v>
      </c>
      <c r="BZ12" s="208">
        <v>2</v>
      </c>
      <c r="CA12" s="208">
        <v>2</v>
      </c>
      <c r="CB12" s="208">
        <v>2</v>
      </c>
      <c r="CC12" s="208">
        <v>0</v>
      </c>
      <c r="CD12" s="208">
        <v>0</v>
      </c>
      <c r="CE12" s="208">
        <v>0</v>
      </c>
      <c r="CF12" s="208" t="s">
        <v>21042</v>
      </c>
      <c r="CG12" s="208">
        <v>2</v>
      </c>
      <c r="CH12" s="208">
        <v>2</v>
      </c>
      <c r="CI12" s="208">
        <v>2</v>
      </c>
      <c r="CJ12" s="208">
        <v>0</v>
      </c>
      <c r="CK12" s="208">
        <v>0</v>
      </c>
      <c r="CL12" s="208">
        <v>0</v>
      </c>
      <c r="CM12" s="208" t="s">
        <v>21324</v>
      </c>
      <c r="CN12" s="208">
        <v>1</v>
      </c>
      <c r="CO12" s="208">
        <v>1</v>
      </c>
      <c r="CP12" s="208">
        <v>1</v>
      </c>
      <c r="CQ12" s="208">
        <v>0</v>
      </c>
      <c r="CR12" s="208">
        <v>0</v>
      </c>
      <c r="CS12" s="208">
        <v>0</v>
      </c>
      <c r="CT12" s="208" t="s">
        <v>21313</v>
      </c>
      <c r="CU12" s="208">
        <v>0</v>
      </c>
      <c r="CV12" s="208">
        <v>0</v>
      </c>
      <c r="CW12" s="208">
        <v>0</v>
      </c>
      <c r="CX12" s="208">
        <v>0</v>
      </c>
      <c r="CY12" s="208">
        <v>0</v>
      </c>
      <c r="CZ12" s="208">
        <v>0</v>
      </c>
      <c r="DA12" s="208" t="s">
        <v>21313</v>
      </c>
      <c r="DB12" s="208">
        <v>0</v>
      </c>
      <c r="DC12" s="208">
        <v>0</v>
      </c>
      <c r="DD12" s="208">
        <v>0</v>
      </c>
      <c r="DE12" s="208">
        <v>0</v>
      </c>
      <c r="DF12" s="208">
        <v>0</v>
      </c>
      <c r="DG12" s="208">
        <v>0</v>
      </c>
      <c r="DH12" s="208" t="s">
        <v>21313</v>
      </c>
      <c r="DI12" s="208">
        <v>0</v>
      </c>
      <c r="DJ12" s="208">
        <v>0</v>
      </c>
      <c r="DK12" s="208">
        <v>0</v>
      </c>
      <c r="DL12" s="208">
        <v>0</v>
      </c>
      <c r="DM12" s="208">
        <v>0</v>
      </c>
      <c r="DN12" s="208">
        <v>0</v>
      </c>
      <c r="DO12" s="208" t="s">
        <v>21325</v>
      </c>
      <c r="DP12" s="208">
        <v>80</v>
      </c>
      <c r="DQ12" s="208">
        <v>80</v>
      </c>
      <c r="DR12" s="208">
        <v>80</v>
      </c>
      <c r="DS12" s="208">
        <v>0</v>
      </c>
      <c r="DT12" s="208">
        <v>0</v>
      </c>
      <c r="DU12" s="208">
        <v>0</v>
      </c>
      <c r="DV12" s="208" t="s">
        <v>21326</v>
      </c>
      <c r="DW12" s="208">
        <v>80</v>
      </c>
      <c r="DX12" s="208" t="s">
        <v>21327</v>
      </c>
      <c r="DY12" s="208">
        <v>60</v>
      </c>
      <c r="DZ12" s="208">
        <v>60</v>
      </c>
      <c r="EA12" s="208">
        <v>60</v>
      </c>
      <c r="EB12" s="208">
        <v>0</v>
      </c>
      <c r="EC12" s="208">
        <v>0</v>
      </c>
      <c r="ED12" s="208">
        <v>0</v>
      </c>
      <c r="EE12" s="208" t="s">
        <v>21328</v>
      </c>
      <c r="EF12" s="208">
        <v>60</v>
      </c>
      <c r="EG12" s="208" t="s">
        <v>21327</v>
      </c>
      <c r="EH12" s="208">
        <v>60</v>
      </c>
      <c r="EI12" s="208">
        <v>60</v>
      </c>
      <c r="EJ12" s="208">
        <v>60</v>
      </c>
      <c r="EK12" s="208">
        <v>0</v>
      </c>
      <c r="EL12" s="208">
        <v>0</v>
      </c>
      <c r="EM12" s="208">
        <v>0</v>
      </c>
      <c r="EN12" s="208" t="s">
        <v>21328</v>
      </c>
      <c r="EO12" s="208">
        <v>60</v>
      </c>
      <c r="EP12" s="208" t="s">
        <v>21313</v>
      </c>
      <c r="EQ12" s="208">
        <v>0</v>
      </c>
      <c r="ER12" s="208">
        <v>0</v>
      </c>
      <c r="ES12" s="208">
        <v>0</v>
      </c>
      <c r="ET12" s="208">
        <v>0</v>
      </c>
      <c r="EU12" s="208">
        <v>0</v>
      </c>
      <c r="EV12" s="208">
        <v>0</v>
      </c>
      <c r="EW12" s="208" t="s">
        <v>21313</v>
      </c>
      <c r="EX12" s="208">
        <v>0</v>
      </c>
      <c r="EY12" s="208" t="s">
        <v>21313</v>
      </c>
      <c r="EZ12" s="208">
        <v>0</v>
      </c>
      <c r="FA12" s="208">
        <v>0</v>
      </c>
      <c r="FB12" s="208">
        <v>0</v>
      </c>
      <c r="FC12" s="208">
        <v>0</v>
      </c>
      <c r="FD12" s="208">
        <v>0</v>
      </c>
      <c r="FE12" s="208">
        <v>0</v>
      </c>
      <c r="FF12" s="208" t="s">
        <v>21313</v>
      </c>
      <c r="FG12" s="208">
        <v>0</v>
      </c>
      <c r="FH12" s="208" t="s">
        <v>21313</v>
      </c>
      <c r="FI12" s="208">
        <v>0</v>
      </c>
      <c r="FJ12" s="208">
        <v>0</v>
      </c>
      <c r="FK12" s="208">
        <v>0</v>
      </c>
      <c r="FL12" s="208">
        <v>0</v>
      </c>
      <c r="FM12" s="208">
        <v>0</v>
      </c>
      <c r="FN12" s="208">
        <v>0</v>
      </c>
      <c r="FO12" s="208" t="s">
        <v>21313</v>
      </c>
      <c r="FP12" s="208">
        <v>0</v>
      </c>
      <c r="FQ12" s="208">
        <v>80</v>
      </c>
      <c r="FR12" s="208" t="s">
        <v>19816</v>
      </c>
      <c r="FS12" s="208" t="s">
        <v>21329</v>
      </c>
      <c r="FT12" s="208" t="s">
        <v>21330</v>
      </c>
      <c r="FU12" s="208" t="s">
        <v>21313</v>
      </c>
      <c r="FV12" s="208" t="s">
        <v>21313</v>
      </c>
      <c r="FW12" s="208" t="s">
        <v>21313</v>
      </c>
      <c r="FX12" s="208" t="s">
        <v>21352</v>
      </c>
      <c r="FY12" s="208">
        <v>16.5</v>
      </c>
      <c r="FZ12" s="208">
        <v>16.5</v>
      </c>
      <c r="GA12" s="208">
        <v>16.5</v>
      </c>
      <c r="GB12" s="208">
        <v>0</v>
      </c>
      <c r="GC12" s="208">
        <v>0</v>
      </c>
      <c r="GD12" s="208">
        <v>0</v>
      </c>
      <c r="GE12" s="208" t="s">
        <v>21353</v>
      </c>
      <c r="GF12" s="208" t="s">
        <v>21352</v>
      </c>
      <c r="GG12" s="208">
        <v>16.5</v>
      </c>
      <c r="GH12" s="208">
        <v>16.5</v>
      </c>
      <c r="GI12" s="208">
        <v>16.5</v>
      </c>
      <c r="GJ12" s="208">
        <v>0</v>
      </c>
      <c r="GK12" s="208">
        <v>0</v>
      </c>
      <c r="GL12" s="208">
        <v>0</v>
      </c>
      <c r="GM12" s="208" t="s">
        <v>21353</v>
      </c>
      <c r="GN12" s="208" t="s">
        <v>21352</v>
      </c>
      <c r="GO12" s="208">
        <v>16.5</v>
      </c>
      <c r="GP12" s="208">
        <v>16.5</v>
      </c>
      <c r="GQ12" s="208">
        <v>16.5</v>
      </c>
      <c r="GR12" s="208">
        <v>0</v>
      </c>
      <c r="GS12" s="208">
        <v>0</v>
      </c>
      <c r="GT12" s="208">
        <v>0</v>
      </c>
      <c r="GU12" s="208" t="s">
        <v>21353</v>
      </c>
      <c r="GV12" s="208" t="s">
        <v>21313</v>
      </c>
      <c r="GW12" s="208">
        <v>0</v>
      </c>
      <c r="GX12" s="208">
        <v>0</v>
      </c>
      <c r="GY12" s="208">
        <v>0</v>
      </c>
      <c r="GZ12" s="208">
        <v>0</v>
      </c>
      <c r="HA12" s="208">
        <v>0</v>
      </c>
      <c r="HB12" s="208">
        <v>0</v>
      </c>
      <c r="HC12" s="208" t="s">
        <v>21313</v>
      </c>
      <c r="HD12" s="208" t="s">
        <v>21313</v>
      </c>
      <c r="HE12" s="208">
        <v>0</v>
      </c>
      <c r="HF12" s="208">
        <v>0</v>
      </c>
      <c r="HG12" s="208">
        <v>0</v>
      </c>
      <c r="HH12" s="208">
        <v>0</v>
      </c>
      <c r="HI12" s="208">
        <v>0</v>
      </c>
      <c r="HJ12" s="208">
        <v>0</v>
      </c>
      <c r="HK12" s="208" t="s">
        <v>21313</v>
      </c>
      <c r="HL12" s="208" t="s">
        <v>21313</v>
      </c>
      <c r="HM12" s="208">
        <v>0</v>
      </c>
      <c r="HN12" s="208">
        <v>0</v>
      </c>
      <c r="HO12" s="208">
        <v>0</v>
      </c>
      <c r="HP12" s="208">
        <v>0</v>
      </c>
      <c r="HQ12" s="208">
        <v>0</v>
      </c>
      <c r="HR12" s="208">
        <v>0</v>
      </c>
      <c r="HS12" s="208" t="s">
        <v>21313</v>
      </c>
      <c r="HT12" s="208" t="s">
        <v>21333</v>
      </c>
      <c r="HU12" s="208">
        <v>16.5</v>
      </c>
      <c r="HV12" s="208">
        <v>16.5</v>
      </c>
      <c r="HW12" s="208">
        <v>16.5</v>
      </c>
      <c r="HX12" s="208">
        <v>0</v>
      </c>
      <c r="HY12" s="208">
        <v>0</v>
      </c>
      <c r="HZ12" s="208">
        <v>0</v>
      </c>
      <c r="IA12" s="600">
        <v>16.5</v>
      </c>
      <c r="IB12" s="600">
        <v>4.5</v>
      </c>
      <c r="IC12" s="343" t="s">
        <v>21035</v>
      </c>
      <c r="ID12" s="343" t="s">
        <v>21394</v>
      </c>
      <c r="IE12" s="343" t="s">
        <v>21335</v>
      </c>
      <c r="IF12" s="343" t="s">
        <v>21336</v>
      </c>
      <c r="IG12" s="383">
        <v>43756</v>
      </c>
      <c r="IH12" s="383">
        <v>45583</v>
      </c>
      <c r="II12" s="208">
        <v>37</v>
      </c>
    </row>
    <row r="13" ht="127.5">
      <c r="A13" s="207">
        <v>12</v>
      </c>
      <c r="B13" s="343" t="s">
        <v>21298</v>
      </c>
      <c r="C13" s="343" t="s">
        <v>21298</v>
      </c>
      <c r="D13" s="600" t="s">
        <v>21141</v>
      </c>
      <c r="E13" s="317" t="s">
        <v>21142</v>
      </c>
      <c r="F13" s="207" t="s">
        <v>20855</v>
      </c>
      <c r="G13" s="600">
        <v>105.732104</v>
      </c>
      <c r="H13" s="600">
        <v>21.050928</v>
      </c>
      <c r="I13" s="207">
        <v>1</v>
      </c>
      <c r="J13" s="207">
        <v>3</v>
      </c>
      <c r="K13" s="207" t="s">
        <v>21299</v>
      </c>
      <c r="L13" s="207" t="s">
        <v>21395</v>
      </c>
      <c r="M13" s="207" t="s">
        <v>21368</v>
      </c>
      <c r="N13" s="207" t="s">
        <v>21302</v>
      </c>
      <c r="O13" s="207" t="s">
        <v>21303</v>
      </c>
      <c r="P13" s="207" t="s">
        <v>21304</v>
      </c>
      <c r="Q13" s="207" t="s">
        <v>21305</v>
      </c>
      <c r="R13" s="207" t="s">
        <v>21396</v>
      </c>
      <c r="S13" s="364" t="b">
        <v>1</v>
      </c>
      <c r="T13" s="207" t="s">
        <v>21143</v>
      </c>
      <c r="U13" s="207">
        <v>0</v>
      </c>
      <c r="V13" s="207" t="s">
        <v>21307</v>
      </c>
      <c r="W13" s="207" t="s">
        <v>21144</v>
      </c>
      <c r="X13" s="209" t="s">
        <v>21308</v>
      </c>
      <c r="Y13" s="207" t="b">
        <v>0</v>
      </c>
      <c r="Z13" s="364" t="b">
        <v>0</v>
      </c>
      <c r="AA13" s="600">
        <v>18</v>
      </c>
      <c r="AB13" s="364" t="b">
        <v>1</v>
      </c>
      <c r="AC13" s="600">
        <v>12</v>
      </c>
      <c r="AD13" s="207" t="b">
        <v>0</v>
      </c>
      <c r="AE13" s="207" t="s">
        <v>21309</v>
      </c>
      <c r="AF13" s="207" t="s">
        <v>21310</v>
      </c>
      <c r="AG13" s="343" t="s">
        <v>21311</v>
      </c>
      <c r="AH13" s="343" t="s">
        <v>21312</v>
      </c>
      <c r="AI13" s="343" t="s">
        <v>21054</v>
      </c>
      <c r="AJ13" s="343" t="s">
        <v>21313</v>
      </c>
      <c r="AK13" s="343" t="s">
        <v>21314</v>
      </c>
      <c r="AL13" s="208"/>
      <c r="AM13" s="208" t="s">
        <v>21315</v>
      </c>
      <c r="AN13" s="208" t="s">
        <v>21316</v>
      </c>
      <c r="AO13" s="207">
        <v>5</v>
      </c>
      <c r="AP13" s="287" t="s">
        <v>21317</v>
      </c>
      <c r="AQ13" s="448" t="s">
        <v>21318</v>
      </c>
      <c r="AR13" s="448" t="s">
        <v>21397</v>
      </c>
      <c r="AS13" s="449" t="s">
        <v>10</v>
      </c>
      <c r="AT13" s="208" t="s">
        <v>21316</v>
      </c>
      <c r="AU13" s="208" t="s">
        <v>21316</v>
      </c>
      <c r="AV13" s="208" t="s">
        <v>21316</v>
      </c>
      <c r="AW13" s="208" t="s">
        <v>21313</v>
      </c>
      <c r="AX13" s="208" t="s">
        <v>21313</v>
      </c>
      <c r="AY13" s="208" t="s">
        <v>21313</v>
      </c>
      <c r="AZ13" s="208" t="s">
        <v>21298</v>
      </c>
      <c r="BA13" s="208" t="s">
        <v>21298</v>
      </c>
      <c r="BB13" s="208" t="s">
        <v>21298</v>
      </c>
      <c r="BC13" s="208" t="s">
        <v>21313</v>
      </c>
      <c r="BD13" s="208" t="s">
        <v>21313</v>
      </c>
      <c r="BE13" s="208" t="s">
        <v>21313</v>
      </c>
      <c r="BF13" s="208" t="s">
        <v>21320</v>
      </c>
      <c r="BG13" s="208" t="s">
        <v>21141</v>
      </c>
      <c r="BH13" s="208" t="s">
        <v>21141</v>
      </c>
      <c r="BI13" s="208" t="s">
        <v>21141</v>
      </c>
      <c r="BJ13" s="208" t="s">
        <v>21313</v>
      </c>
      <c r="BK13" s="208" t="s">
        <v>21313</v>
      </c>
      <c r="BL13" s="208" t="s">
        <v>21313</v>
      </c>
      <c r="BM13" s="208" t="s">
        <v>21371</v>
      </c>
      <c r="BN13" s="208" t="s">
        <v>21372</v>
      </c>
      <c r="BO13" s="208" t="s">
        <v>21323</v>
      </c>
      <c r="BP13" s="208" t="s">
        <v>21313</v>
      </c>
      <c r="BQ13" s="208" t="s">
        <v>21313</v>
      </c>
      <c r="BR13" s="208" t="s">
        <v>21313</v>
      </c>
      <c r="BS13" s="208">
        <v>3</v>
      </c>
      <c r="BT13" s="208">
        <v>3</v>
      </c>
      <c r="BU13" s="208">
        <v>3</v>
      </c>
      <c r="BV13" s="208">
        <v>0</v>
      </c>
      <c r="BW13" s="208">
        <v>0</v>
      </c>
      <c r="BX13" s="208">
        <v>0</v>
      </c>
      <c r="BY13" s="208" t="s">
        <v>21042</v>
      </c>
      <c r="BZ13" s="208">
        <v>2</v>
      </c>
      <c r="CA13" s="208">
        <v>2</v>
      </c>
      <c r="CB13" s="208">
        <v>2</v>
      </c>
      <c r="CC13" s="208">
        <v>0</v>
      </c>
      <c r="CD13" s="208">
        <v>0</v>
      </c>
      <c r="CE13" s="208">
        <v>0</v>
      </c>
      <c r="CF13" s="208" t="s">
        <v>21042</v>
      </c>
      <c r="CG13" s="208">
        <v>2</v>
      </c>
      <c r="CH13" s="208">
        <v>2</v>
      </c>
      <c r="CI13" s="208">
        <v>2</v>
      </c>
      <c r="CJ13" s="208">
        <v>0</v>
      </c>
      <c r="CK13" s="208">
        <v>0</v>
      </c>
      <c r="CL13" s="208">
        <v>0</v>
      </c>
      <c r="CM13" s="208" t="s">
        <v>21324</v>
      </c>
      <c r="CN13" s="208">
        <v>1</v>
      </c>
      <c r="CO13" s="208">
        <v>1</v>
      </c>
      <c r="CP13" s="208">
        <v>1</v>
      </c>
      <c r="CQ13" s="208">
        <v>0</v>
      </c>
      <c r="CR13" s="208">
        <v>0</v>
      </c>
      <c r="CS13" s="208">
        <v>0</v>
      </c>
      <c r="CT13" s="208" t="s">
        <v>21313</v>
      </c>
      <c r="CU13" s="208">
        <v>0</v>
      </c>
      <c r="CV13" s="208">
        <v>0</v>
      </c>
      <c r="CW13" s="208">
        <v>0</v>
      </c>
      <c r="CX13" s="208">
        <v>0</v>
      </c>
      <c r="CY13" s="208">
        <v>0</v>
      </c>
      <c r="CZ13" s="208">
        <v>0</v>
      </c>
      <c r="DA13" s="208" t="s">
        <v>21313</v>
      </c>
      <c r="DB13" s="208">
        <v>0</v>
      </c>
      <c r="DC13" s="208">
        <v>0</v>
      </c>
      <c r="DD13" s="208">
        <v>0</v>
      </c>
      <c r="DE13" s="208">
        <v>0</v>
      </c>
      <c r="DF13" s="208">
        <v>0</v>
      </c>
      <c r="DG13" s="208">
        <v>0</v>
      </c>
      <c r="DH13" s="208" t="s">
        <v>21313</v>
      </c>
      <c r="DI13" s="208">
        <v>0</v>
      </c>
      <c r="DJ13" s="208">
        <v>0</v>
      </c>
      <c r="DK13" s="208">
        <v>0</v>
      </c>
      <c r="DL13" s="208">
        <v>0</v>
      </c>
      <c r="DM13" s="208">
        <v>0</v>
      </c>
      <c r="DN13" s="208">
        <v>0</v>
      </c>
      <c r="DO13" s="208" t="s">
        <v>21325</v>
      </c>
      <c r="DP13" s="208">
        <v>80</v>
      </c>
      <c r="DQ13" s="208">
        <v>80</v>
      </c>
      <c r="DR13" s="208">
        <v>80</v>
      </c>
      <c r="DS13" s="208">
        <v>0</v>
      </c>
      <c r="DT13" s="208">
        <v>0</v>
      </c>
      <c r="DU13" s="208">
        <v>0</v>
      </c>
      <c r="DV13" s="208" t="s">
        <v>21326</v>
      </c>
      <c r="DW13" s="208">
        <v>80</v>
      </c>
      <c r="DX13" s="208" t="s">
        <v>21327</v>
      </c>
      <c r="DY13" s="208">
        <v>60</v>
      </c>
      <c r="DZ13" s="208">
        <v>60</v>
      </c>
      <c r="EA13" s="208">
        <v>60</v>
      </c>
      <c r="EB13" s="208">
        <v>0</v>
      </c>
      <c r="EC13" s="208">
        <v>0</v>
      </c>
      <c r="ED13" s="208">
        <v>0</v>
      </c>
      <c r="EE13" s="208" t="s">
        <v>21328</v>
      </c>
      <c r="EF13" s="208">
        <v>60</v>
      </c>
      <c r="EG13" s="208" t="s">
        <v>21327</v>
      </c>
      <c r="EH13" s="208">
        <v>60</v>
      </c>
      <c r="EI13" s="208">
        <v>60</v>
      </c>
      <c r="EJ13" s="208">
        <v>60</v>
      </c>
      <c r="EK13" s="208">
        <v>0</v>
      </c>
      <c r="EL13" s="208">
        <v>0</v>
      </c>
      <c r="EM13" s="208">
        <v>0</v>
      </c>
      <c r="EN13" s="208" t="s">
        <v>21328</v>
      </c>
      <c r="EO13" s="208">
        <v>60</v>
      </c>
      <c r="EP13" s="208" t="s">
        <v>21313</v>
      </c>
      <c r="EQ13" s="208">
        <v>0</v>
      </c>
      <c r="ER13" s="208">
        <v>0</v>
      </c>
      <c r="ES13" s="208">
        <v>0</v>
      </c>
      <c r="ET13" s="208">
        <v>0</v>
      </c>
      <c r="EU13" s="208">
        <v>0</v>
      </c>
      <c r="EV13" s="208">
        <v>0</v>
      </c>
      <c r="EW13" s="208" t="s">
        <v>21313</v>
      </c>
      <c r="EX13" s="208">
        <v>0</v>
      </c>
      <c r="EY13" s="208" t="s">
        <v>21313</v>
      </c>
      <c r="EZ13" s="208">
        <v>0</v>
      </c>
      <c r="FA13" s="208">
        <v>0</v>
      </c>
      <c r="FB13" s="208">
        <v>0</v>
      </c>
      <c r="FC13" s="208">
        <v>0</v>
      </c>
      <c r="FD13" s="208">
        <v>0</v>
      </c>
      <c r="FE13" s="208">
        <v>0</v>
      </c>
      <c r="FF13" s="208" t="s">
        <v>21313</v>
      </c>
      <c r="FG13" s="208">
        <v>0</v>
      </c>
      <c r="FH13" s="208" t="s">
        <v>21313</v>
      </c>
      <c r="FI13" s="208">
        <v>0</v>
      </c>
      <c r="FJ13" s="208">
        <v>0</v>
      </c>
      <c r="FK13" s="208">
        <v>0</v>
      </c>
      <c r="FL13" s="208">
        <v>0</v>
      </c>
      <c r="FM13" s="208">
        <v>0</v>
      </c>
      <c r="FN13" s="208">
        <v>0</v>
      </c>
      <c r="FO13" s="208" t="s">
        <v>21313</v>
      </c>
      <c r="FP13" s="208">
        <v>0</v>
      </c>
      <c r="FQ13" s="208">
        <v>80</v>
      </c>
      <c r="FR13" s="208" t="s">
        <v>19816</v>
      </c>
      <c r="FS13" s="208" t="s">
        <v>21329</v>
      </c>
      <c r="FT13" s="208" t="s">
        <v>21330</v>
      </c>
      <c r="FU13" s="208" t="s">
        <v>21313</v>
      </c>
      <c r="FV13" s="208" t="s">
        <v>21313</v>
      </c>
      <c r="FW13" s="208" t="s">
        <v>21313</v>
      </c>
      <c r="FX13" s="208" t="s">
        <v>21398</v>
      </c>
      <c r="FY13" s="208">
        <v>18</v>
      </c>
      <c r="FZ13" s="208">
        <v>18</v>
      </c>
      <c r="GA13" s="208">
        <v>18</v>
      </c>
      <c r="GB13" s="208">
        <v>0</v>
      </c>
      <c r="GC13" s="208">
        <v>0</v>
      </c>
      <c r="GD13" s="208">
        <v>0</v>
      </c>
      <c r="GE13" s="208" t="s">
        <v>21399</v>
      </c>
      <c r="GF13" s="208" t="s">
        <v>21398</v>
      </c>
      <c r="GG13" s="208">
        <v>18</v>
      </c>
      <c r="GH13" s="208">
        <v>18</v>
      </c>
      <c r="GI13" s="208">
        <v>18</v>
      </c>
      <c r="GJ13" s="208">
        <v>0</v>
      </c>
      <c r="GK13" s="208">
        <v>0</v>
      </c>
      <c r="GL13" s="208">
        <v>0</v>
      </c>
      <c r="GM13" s="208" t="s">
        <v>21399</v>
      </c>
      <c r="GN13" s="208" t="s">
        <v>21398</v>
      </c>
      <c r="GO13" s="208">
        <v>18</v>
      </c>
      <c r="GP13" s="208">
        <v>18</v>
      </c>
      <c r="GQ13" s="208">
        <v>18</v>
      </c>
      <c r="GR13" s="208">
        <v>0</v>
      </c>
      <c r="GS13" s="208">
        <v>0</v>
      </c>
      <c r="GT13" s="208">
        <v>0</v>
      </c>
      <c r="GU13" s="208" t="s">
        <v>21399</v>
      </c>
      <c r="GV13" s="208" t="s">
        <v>21313</v>
      </c>
      <c r="GW13" s="208">
        <v>0</v>
      </c>
      <c r="GX13" s="208">
        <v>0</v>
      </c>
      <c r="GY13" s="208">
        <v>0</v>
      </c>
      <c r="GZ13" s="208">
        <v>0</v>
      </c>
      <c r="HA13" s="208">
        <v>0</v>
      </c>
      <c r="HB13" s="208">
        <v>0</v>
      </c>
      <c r="HC13" s="208" t="s">
        <v>21313</v>
      </c>
      <c r="HD13" s="208" t="s">
        <v>21313</v>
      </c>
      <c r="HE13" s="208">
        <v>0</v>
      </c>
      <c r="HF13" s="208">
        <v>0</v>
      </c>
      <c r="HG13" s="208">
        <v>0</v>
      </c>
      <c r="HH13" s="208">
        <v>0</v>
      </c>
      <c r="HI13" s="208">
        <v>0</v>
      </c>
      <c r="HJ13" s="208">
        <v>0</v>
      </c>
      <c r="HK13" s="208" t="s">
        <v>21313</v>
      </c>
      <c r="HL13" s="208" t="s">
        <v>21313</v>
      </c>
      <c r="HM13" s="208">
        <v>0</v>
      </c>
      <c r="HN13" s="208">
        <v>0</v>
      </c>
      <c r="HO13" s="208">
        <v>0</v>
      </c>
      <c r="HP13" s="208">
        <v>0</v>
      </c>
      <c r="HQ13" s="208">
        <v>0</v>
      </c>
      <c r="HR13" s="208">
        <v>0</v>
      </c>
      <c r="HS13" s="208" t="s">
        <v>21313</v>
      </c>
      <c r="HT13" s="208" t="s">
        <v>21333</v>
      </c>
      <c r="HU13" s="208">
        <v>18</v>
      </c>
      <c r="HV13" s="208">
        <v>18</v>
      </c>
      <c r="HW13" s="208">
        <v>18</v>
      </c>
      <c r="HX13" s="208">
        <v>0</v>
      </c>
      <c r="HY13" s="208">
        <v>0</v>
      </c>
      <c r="HZ13" s="208">
        <v>0</v>
      </c>
      <c r="IA13" s="600">
        <v>18</v>
      </c>
      <c r="IB13" s="600">
        <v>6</v>
      </c>
      <c r="IC13" s="343" t="s">
        <v>21035</v>
      </c>
      <c r="ID13" s="343" t="s">
        <v>3788</v>
      </c>
      <c r="IE13" s="343" t="s">
        <v>21335</v>
      </c>
      <c r="IF13" s="343" t="s">
        <v>21336</v>
      </c>
      <c r="IG13" s="383">
        <v>43756</v>
      </c>
      <c r="IH13" s="383">
        <v>45583</v>
      </c>
      <c r="II13" s="208">
        <v>37</v>
      </c>
    </row>
    <row r="14" ht="76.5">
      <c r="A14" s="207">
        <v>13</v>
      </c>
      <c r="B14" s="343" t="s">
        <v>21298</v>
      </c>
      <c r="C14" s="343" t="s">
        <v>21298</v>
      </c>
      <c r="D14" s="600" t="s">
        <v>21145</v>
      </c>
      <c r="E14" s="317" t="s">
        <v>21146</v>
      </c>
      <c r="F14" s="207" t="s">
        <v>20855</v>
      </c>
      <c r="G14" s="600">
        <v>105.847146</v>
      </c>
      <c r="H14" s="600">
        <v>20.960182</v>
      </c>
      <c r="I14" s="207">
        <v>1</v>
      </c>
      <c r="J14" s="207">
        <v>2</v>
      </c>
      <c r="K14" s="207" t="s">
        <v>21337</v>
      </c>
      <c r="L14" s="207" t="s">
        <v>21400</v>
      </c>
      <c r="M14" s="207" t="s">
        <v>21401</v>
      </c>
      <c r="N14" s="207" t="s">
        <v>21340</v>
      </c>
      <c r="O14" s="207" t="s">
        <v>21402</v>
      </c>
      <c r="P14" s="207" t="s">
        <v>21403</v>
      </c>
      <c r="Q14" s="207" t="s">
        <v>21404</v>
      </c>
      <c r="R14" s="207" t="s">
        <v>21405</v>
      </c>
      <c r="S14" s="364" t="b">
        <v>1</v>
      </c>
      <c r="T14" s="207" t="s">
        <v>21147</v>
      </c>
      <c r="U14" s="207">
        <v>0</v>
      </c>
      <c r="V14" s="207" t="s">
        <v>21307</v>
      </c>
      <c r="W14" s="207" t="s">
        <v>21148</v>
      </c>
      <c r="X14" s="209" t="s">
        <v>21308</v>
      </c>
      <c r="Y14" s="207" t="b">
        <v>0</v>
      </c>
      <c r="Z14" s="364" t="b">
        <v>0</v>
      </c>
      <c r="AA14" s="600">
        <v>33.5</v>
      </c>
      <c r="AB14" s="364" t="b">
        <v>1</v>
      </c>
      <c r="AC14" s="600">
        <v>30</v>
      </c>
      <c r="AD14" s="207" t="b">
        <v>0</v>
      </c>
      <c r="AE14" s="207" t="s">
        <v>21309</v>
      </c>
      <c r="AF14" s="207" t="s">
        <v>21310</v>
      </c>
      <c r="AG14" s="343" t="s">
        <v>21311</v>
      </c>
      <c r="AH14" s="343" t="s">
        <v>21312</v>
      </c>
      <c r="AI14" s="343" t="s">
        <v>21054</v>
      </c>
      <c r="AJ14" s="343" t="s">
        <v>21313</v>
      </c>
      <c r="AK14" s="343" t="s">
        <v>21314</v>
      </c>
      <c r="AL14" s="208"/>
      <c r="AM14" s="208" t="s">
        <v>21315</v>
      </c>
      <c r="AN14" s="208" t="s">
        <v>21316</v>
      </c>
      <c r="AO14" s="207">
        <v>4</v>
      </c>
      <c r="AP14" s="287" t="s">
        <v>21317</v>
      </c>
      <c r="AQ14" s="448" t="s">
        <v>21406</v>
      </c>
      <c r="AR14" s="448" t="s">
        <v>21407</v>
      </c>
      <c r="AS14" s="449" t="s">
        <v>10</v>
      </c>
      <c r="AT14" s="208" t="s">
        <v>21316</v>
      </c>
      <c r="AU14" s="208" t="s">
        <v>21316</v>
      </c>
      <c r="AV14" s="208" t="s">
        <v>21313</v>
      </c>
      <c r="AW14" s="208" t="s">
        <v>21313</v>
      </c>
      <c r="AX14" s="208" t="s">
        <v>21313</v>
      </c>
      <c r="AY14" s="208" t="s">
        <v>21313</v>
      </c>
      <c r="AZ14" s="208" t="s">
        <v>21298</v>
      </c>
      <c r="BA14" s="208" t="s">
        <v>21298</v>
      </c>
      <c r="BB14" s="208" t="s">
        <v>21313</v>
      </c>
      <c r="BC14" s="208" t="s">
        <v>21313</v>
      </c>
      <c r="BD14" s="208" t="s">
        <v>21313</v>
      </c>
      <c r="BE14" s="208" t="s">
        <v>21313</v>
      </c>
      <c r="BF14" s="208" t="s">
        <v>21346</v>
      </c>
      <c r="BG14" s="208" t="s">
        <v>21145</v>
      </c>
      <c r="BH14" s="208" t="s">
        <v>21145</v>
      </c>
      <c r="BI14" s="208" t="s">
        <v>21313</v>
      </c>
      <c r="BJ14" s="208" t="s">
        <v>21313</v>
      </c>
      <c r="BK14" s="208" t="s">
        <v>21313</v>
      </c>
      <c r="BL14" s="208" t="s">
        <v>21313</v>
      </c>
      <c r="BM14" s="208" t="s">
        <v>21371</v>
      </c>
      <c r="BN14" s="208" t="s">
        <v>21372</v>
      </c>
      <c r="BO14" s="208" t="s">
        <v>21313</v>
      </c>
      <c r="BP14" s="208" t="s">
        <v>21313</v>
      </c>
      <c r="BQ14" s="208" t="s">
        <v>21313</v>
      </c>
      <c r="BR14" s="208" t="s">
        <v>21313</v>
      </c>
      <c r="BS14" s="208">
        <v>3</v>
      </c>
      <c r="BT14" s="208">
        <v>3</v>
      </c>
      <c r="BU14" s="208">
        <v>0</v>
      </c>
      <c r="BV14" s="208">
        <v>0</v>
      </c>
      <c r="BW14" s="208">
        <v>0</v>
      </c>
      <c r="BX14" s="208">
        <v>0</v>
      </c>
      <c r="BY14" s="208" t="s">
        <v>21042</v>
      </c>
      <c r="BZ14" s="208">
        <v>2</v>
      </c>
      <c r="CA14" s="208">
        <v>2</v>
      </c>
      <c r="CB14" s="208">
        <v>2</v>
      </c>
      <c r="CC14" s="208">
        <v>0</v>
      </c>
      <c r="CD14" s="208">
        <v>0</v>
      </c>
      <c r="CE14" s="208">
        <v>0</v>
      </c>
      <c r="CF14" s="208" t="s">
        <v>21042</v>
      </c>
      <c r="CG14" s="208">
        <v>2</v>
      </c>
      <c r="CH14" s="208">
        <v>2</v>
      </c>
      <c r="CI14" s="208">
        <v>2</v>
      </c>
      <c r="CJ14" s="208">
        <v>0</v>
      </c>
      <c r="CK14" s="208">
        <v>0</v>
      </c>
      <c r="CL14" s="208">
        <v>0</v>
      </c>
      <c r="CM14" s="208" t="s">
        <v>21313</v>
      </c>
      <c r="CN14" s="208">
        <v>0</v>
      </c>
      <c r="CO14" s="208">
        <v>0</v>
      </c>
      <c r="CP14" s="208">
        <v>0</v>
      </c>
      <c r="CQ14" s="208">
        <v>0</v>
      </c>
      <c r="CR14" s="208">
        <v>0</v>
      </c>
      <c r="CS14" s="208">
        <v>0</v>
      </c>
      <c r="CT14" s="208" t="s">
        <v>21313</v>
      </c>
      <c r="CU14" s="208">
        <v>0</v>
      </c>
      <c r="CV14" s="208">
        <v>0</v>
      </c>
      <c r="CW14" s="208">
        <v>0</v>
      </c>
      <c r="CX14" s="208">
        <v>0</v>
      </c>
      <c r="CY14" s="208">
        <v>0</v>
      </c>
      <c r="CZ14" s="208">
        <v>0</v>
      </c>
      <c r="DA14" s="208" t="s">
        <v>21313</v>
      </c>
      <c r="DB14" s="208">
        <v>0</v>
      </c>
      <c r="DC14" s="208">
        <v>0</v>
      </c>
      <c r="DD14" s="208">
        <v>0</v>
      </c>
      <c r="DE14" s="208">
        <v>0</v>
      </c>
      <c r="DF14" s="208">
        <v>0</v>
      </c>
      <c r="DG14" s="208">
        <v>0</v>
      </c>
      <c r="DH14" s="208" t="s">
        <v>21313</v>
      </c>
      <c r="DI14" s="208">
        <v>0</v>
      </c>
      <c r="DJ14" s="208">
        <v>0</v>
      </c>
      <c r="DK14" s="208">
        <v>0</v>
      </c>
      <c r="DL14" s="208">
        <v>0</v>
      </c>
      <c r="DM14" s="208">
        <v>0</v>
      </c>
      <c r="DN14" s="208">
        <v>0</v>
      </c>
      <c r="DO14" s="208" t="s">
        <v>21325</v>
      </c>
      <c r="DP14" s="208">
        <v>80</v>
      </c>
      <c r="DQ14" s="208">
        <v>80</v>
      </c>
      <c r="DR14" s="208">
        <v>80</v>
      </c>
      <c r="DS14" s="208">
        <v>0</v>
      </c>
      <c r="DT14" s="208">
        <v>0</v>
      </c>
      <c r="DU14" s="208">
        <v>0</v>
      </c>
      <c r="DV14" s="208" t="s">
        <v>21326</v>
      </c>
      <c r="DW14" s="208">
        <v>80</v>
      </c>
      <c r="DX14" s="208" t="s">
        <v>21327</v>
      </c>
      <c r="DY14" s="208">
        <v>60</v>
      </c>
      <c r="DZ14" s="208">
        <v>60</v>
      </c>
      <c r="EA14" s="208">
        <v>60</v>
      </c>
      <c r="EB14" s="208">
        <v>0</v>
      </c>
      <c r="EC14" s="208">
        <v>0</v>
      </c>
      <c r="ED14" s="208">
        <v>0</v>
      </c>
      <c r="EE14" s="208" t="s">
        <v>21328</v>
      </c>
      <c r="EF14" s="208">
        <v>60</v>
      </c>
      <c r="EG14" s="208" t="s">
        <v>21313</v>
      </c>
      <c r="EH14" s="208">
        <v>0</v>
      </c>
      <c r="EI14" s="208">
        <v>0</v>
      </c>
      <c r="EJ14" s="208">
        <v>0</v>
      </c>
      <c r="EK14" s="208">
        <v>0</v>
      </c>
      <c r="EL14" s="208">
        <v>0</v>
      </c>
      <c r="EM14" s="208">
        <v>0</v>
      </c>
      <c r="EN14" s="208" t="s">
        <v>21313</v>
      </c>
      <c r="EO14" s="208">
        <v>0</v>
      </c>
      <c r="EP14" s="208" t="s">
        <v>21313</v>
      </c>
      <c r="EQ14" s="208">
        <v>0</v>
      </c>
      <c r="ER14" s="208">
        <v>0</v>
      </c>
      <c r="ES14" s="208">
        <v>0</v>
      </c>
      <c r="ET14" s="208">
        <v>0</v>
      </c>
      <c r="EU14" s="208">
        <v>0</v>
      </c>
      <c r="EV14" s="208">
        <v>0</v>
      </c>
      <c r="EW14" s="208" t="s">
        <v>21313</v>
      </c>
      <c r="EX14" s="208">
        <v>0</v>
      </c>
      <c r="EY14" s="208" t="s">
        <v>21313</v>
      </c>
      <c r="EZ14" s="208">
        <v>0</v>
      </c>
      <c r="FA14" s="208">
        <v>0</v>
      </c>
      <c r="FB14" s="208">
        <v>0</v>
      </c>
      <c r="FC14" s="208">
        <v>0</v>
      </c>
      <c r="FD14" s="208">
        <v>0</v>
      </c>
      <c r="FE14" s="208">
        <v>0</v>
      </c>
      <c r="FF14" s="208" t="s">
        <v>21313</v>
      </c>
      <c r="FG14" s="208">
        <v>0</v>
      </c>
      <c r="FH14" s="208" t="s">
        <v>21313</v>
      </c>
      <c r="FI14" s="208">
        <v>0</v>
      </c>
      <c r="FJ14" s="208">
        <v>0</v>
      </c>
      <c r="FK14" s="208">
        <v>0</v>
      </c>
      <c r="FL14" s="208">
        <v>0</v>
      </c>
      <c r="FM14" s="208">
        <v>0</v>
      </c>
      <c r="FN14" s="208">
        <v>0</v>
      </c>
      <c r="FO14" s="208" t="s">
        <v>21313</v>
      </c>
      <c r="FP14" s="208">
        <v>0</v>
      </c>
      <c r="FQ14" s="208">
        <v>80</v>
      </c>
      <c r="FR14" s="208" t="s">
        <v>21330</v>
      </c>
      <c r="FS14" s="208" t="s">
        <v>21329</v>
      </c>
      <c r="FT14" s="208" t="s">
        <v>21313</v>
      </c>
      <c r="FU14" s="208" t="s">
        <v>21313</v>
      </c>
      <c r="FV14" s="208" t="s">
        <v>21313</v>
      </c>
      <c r="FW14" s="208" t="s">
        <v>21313</v>
      </c>
      <c r="FX14" s="208" t="s">
        <v>21408</v>
      </c>
      <c r="FY14" s="208">
        <v>33.5</v>
      </c>
      <c r="FZ14" s="208">
        <v>33.5</v>
      </c>
      <c r="GA14" s="208">
        <v>33.5</v>
      </c>
      <c r="GB14" s="208">
        <v>0</v>
      </c>
      <c r="GC14" s="208">
        <v>0</v>
      </c>
      <c r="GD14" s="208">
        <v>0</v>
      </c>
      <c r="GE14" s="208" t="s">
        <v>21409</v>
      </c>
      <c r="GF14" s="208" t="s">
        <v>21408</v>
      </c>
      <c r="GG14" s="208">
        <v>33.5</v>
      </c>
      <c r="GH14" s="208">
        <v>33.5</v>
      </c>
      <c r="GI14" s="208">
        <v>33.5</v>
      </c>
      <c r="GJ14" s="208">
        <v>0</v>
      </c>
      <c r="GK14" s="208">
        <v>0</v>
      </c>
      <c r="GL14" s="208">
        <v>0</v>
      </c>
      <c r="GM14" s="208" t="s">
        <v>21409</v>
      </c>
      <c r="GN14" s="208" t="s">
        <v>21313</v>
      </c>
      <c r="GO14" s="208">
        <v>0</v>
      </c>
      <c r="GP14" s="208">
        <v>0</v>
      </c>
      <c r="GQ14" s="208">
        <v>0</v>
      </c>
      <c r="GR14" s="208">
        <v>0</v>
      </c>
      <c r="GS14" s="208">
        <v>0</v>
      </c>
      <c r="GT14" s="208">
        <v>0</v>
      </c>
      <c r="GU14" s="208" t="s">
        <v>21313</v>
      </c>
      <c r="GV14" s="208" t="s">
        <v>21313</v>
      </c>
      <c r="GW14" s="208">
        <v>0</v>
      </c>
      <c r="GX14" s="208">
        <v>0</v>
      </c>
      <c r="GY14" s="208">
        <v>0</v>
      </c>
      <c r="GZ14" s="208">
        <v>0</v>
      </c>
      <c r="HA14" s="208">
        <v>0</v>
      </c>
      <c r="HB14" s="208">
        <v>0</v>
      </c>
      <c r="HC14" s="208" t="s">
        <v>21313</v>
      </c>
      <c r="HD14" s="208" t="s">
        <v>21313</v>
      </c>
      <c r="HE14" s="208">
        <v>0</v>
      </c>
      <c r="HF14" s="208">
        <v>0</v>
      </c>
      <c r="HG14" s="208">
        <v>0</v>
      </c>
      <c r="HH14" s="208">
        <v>0</v>
      </c>
      <c r="HI14" s="208">
        <v>0</v>
      </c>
      <c r="HJ14" s="208">
        <v>0</v>
      </c>
      <c r="HK14" s="208" t="s">
        <v>21313</v>
      </c>
      <c r="HL14" s="208" t="s">
        <v>21313</v>
      </c>
      <c r="HM14" s="208">
        <v>0</v>
      </c>
      <c r="HN14" s="208">
        <v>0</v>
      </c>
      <c r="HO14" s="208">
        <v>0</v>
      </c>
      <c r="HP14" s="208">
        <v>0</v>
      </c>
      <c r="HQ14" s="208">
        <v>0</v>
      </c>
      <c r="HR14" s="208">
        <v>0</v>
      </c>
      <c r="HS14" s="208" t="s">
        <v>21313</v>
      </c>
      <c r="HT14" s="208" t="s">
        <v>21333</v>
      </c>
      <c r="HU14" s="208">
        <v>33.5</v>
      </c>
      <c r="HV14" s="208">
        <v>33.5</v>
      </c>
      <c r="HW14" s="208">
        <v>0</v>
      </c>
      <c r="HX14" s="208">
        <v>0</v>
      </c>
      <c r="HY14" s="208">
        <v>0</v>
      </c>
      <c r="HZ14" s="208">
        <v>0</v>
      </c>
      <c r="IA14" s="600">
        <v>33.5</v>
      </c>
      <c r="IB14" s="600">
        <v>3.5</v>
      </c>
      <c r="IC14" s="343" t="s">
        <v>21035</v>
      </c>
      <c r="ID14" s="343" t="s">
        <v>21410</v>
      </c>
      <c r="IE14" s="343" t="s">
        <v>21335</v>
      </c>
      <c r="IF14" s="343" t="s">
        <v>21336</v>
      </c>
      <c r="IG14" s="383">
        <v>43756</v>
      </c>
      <c r="IH14" s="383">
        <v>45583</v>
      </c>
      <c r="II14" s="208">
        <v>37</v>
      </c>
    </row>
    <row r="15" ht="165.75">
      <c r="A15" s="207">
        <v>14</v>
      </c>
      <c r="B15" s="343" t="s">
        <v>21298</v>
      </c>
      <c r="C15" s="343" t="s">
        <v>21298</v>
      </c>
      <c r="D15" s="600" t="s">
        <v>21149</v>
      </c>
      <c r="E15" s="317" t="s">
        <v>21150</v>
      </c>
      <c r="F15" s="207" t="s">
        <v>20855</v>
      </c>
      <c r="G15" s="600">
        <v>105.893886</v>
      </c>
      <c r="H15" s="600">
        <v>20.975974</v>
      </c>
      <c r="I15" s="207">
        <v>1</v>
      </c>
      <c r="J15" s="207">
        <v>2</v>
      </c>
      <c r="K15" s="207" t="s">
        <v>21337</v>
      </c>
      <c r="L15" s="207" t="s">
        <v>21411</v>
      </c>
      <c r="M15" s="207" t="s">
        <v>21339</v>
      </c>
      <c r="N15" s="207" t="s">
        <v>21340</v>
      </c>
      <c r="O15" s="207" t="s">
        <v>21341</v>
      </c>
      <c r="P15" s="207" t="s">
        <v>21342</v>
      </c>
      <c r="Q15" s="207" t="s">
        <v>21343</v>
      </c>
      <c r="R15" s="207" t="s">
        <v>21412</v>
      </c>
      <c r="S15" s="364" t="b">
        <v>1</v>
      </c>
      <c r="T15" s="207" t="s">
        <v>21151</v>
      </c>
      <c r="U15" s="207">
        <v>0</v>
      </c>
      <c r="V15" s="207" t="s">
        <v>21307</v>
      </c>
      <c r="W15" s="207" t="s">
        <v>21152</v>
      </c>
      <c r="X15" s="209" t="s">
        <v>21308</v>
      </c>
      <c r="Y15" s="207" t="b">
        <v>0</v>
      </c>
      <c r="Z15" s="364" t="b">
        <v>0</v>
      </c>
      <c r="AA15" s="600">
        <v>24</v>
      </c>
      <c r="AB15" s="364" t="b">
        <v>1</v>
      </c>
      <c r="AC15" s="600">
        <v>20</v>
      </c>
      <c r="AD15" s="207" t="b">
        <v>0</v>
      </c>
      <c r="AE15" s="207" t="s">
        <v>21309</v>
      </c>
      <c r="AF15" s="207" t="s">
        <v>21310</v>
      </c>
      <c r="AG15" s="343" t="s">
        <v>21311</v>
      </c>
      <c r="AH15" s="343" t="s">
        <v>21312</v>
      </c>
      <c r="AI15" s="343" t="s">
        <v>21054</v>
      </c>
      <c r="AJ15" s="343" t="s">
        <v>21313</v>
      </c>
      <c r="AK15" s="343" t="s">
        <v>21314</v>
      </c>
      <c r="AL15" s="208"/>
      <c r="AM15" s="208" t="s">
        <v>21315</v>
      </c>
      <c r="AN15" s="208" t="s">
        <v>21316</v>
      </c>
      <c r="AO15" s="207">
        <v>5</v>
      </c>
      <c r="AP15" s="287" t="s">
        <v>21317</v>
      </c>
      <c r="AQ15" s="448" t="s">
        <v>21406</v>
      </c>
      <c r="AR15" s="448" t="s">
        <v>21413</v>
      </c>
      <c r="AS15" s="449" t="s">
        <v>10</v>
      </c>
      <c r="AT15" s="208" t="s">
        <v>21316</v>
      </c>
      <c r="AU15" s="208" t="s">
        <v>21316</v>
      </c>
      <c r="AV15" s="208" t="s">
        <v>21313</v>
      </c>
      <c r="AW15" s="208" t="s">
        <v>21313</v>
      </c>
      <c r="AX15" s="208" t="s">
        <v>21313</v>
      </c>
      <c r="AY15" s="208" t="s">
        <v>21313</v>
      </c>
      <c r="AZ15" s="208" t="s">
        <v>21298</v>
      </c>
      <c r="BA15" s="208" t="s">
        <v>21298</v>
      </c>
      <c r="BB15" s="208" t="s">
        <v>21313</v>
      </c>
      <c r="BC15" s="208" t="s">
        <v>21313</v>
      </c>
      <c r="BD15" s="208" t="s">
        <v>21313</v>
      </c>
      <c r="BE15" s="208" t="s">
        <v>21313</v>
      </c>
      <c r="BF15" s="208" t="s">
        <v>21346</v>
      </c>
      <c r="BG15" s="208" t="s">
        <v>21149</v>
      </c>
      <c r="BH15" s="208" t="s">
        <v>21149</v>
      </c>
      <c r="BI15" s="208" t="s">
        <v>21313</v>
      </c>
      <c r="BJ15" s="208" t="s">
        <v>21313</v>
      </c>
      <c r="BK15" s="208" t="s">
        <v>21313</v>
      </c>
      <c r="BL15" s="208" t="s">
        <v>21313</v>
      </c>
      <c r="BM15" s="208" t="s">
        <v>21322</v>
      </c>
      <c r="BN15" s="208" t="s">
        <v>21323</v>
      </c>
      <c r="BO15" s="208" t="s">
        <v>21313</v>
      </c>
      <c r="BP15" s="208" t="s">
        <v>21313</v>
      </c>
      <c r="BQ15" s="208" t="s">
        <v>21313</v>
      </c>
      <c r="BR15" s="208" t="s">
        <v>21313</v>
      </c>
      <c r="BS15" s="208">
        <v>3</v>
      </c>
      <c r="BT15" s="208">
        <v>3</v>
      </c>
      <c r="BU15" s="208">
        <v>0</v>
      </c>
      <c r="BV15" s="208">
        <v>0</v>
      </c>
      <c r="BW15" s="208">
        <v>0</v>
      </c>
      <c r="BX15" s="208">
        <v>0</v>
      </c>
      <c r="BY15" s="208" t="s">
        <v>21042</v>
      </c>
      <c r="BZ15" s="208">
        <v>2</v>
      </c>
      <c r="CA15" s="208">
        <v>2</v>
      </c>
      <c r="CB15" s="208">
        <v>2</v>
      </c>
      <c r="CC15" s="208">
        <v>0</v>
      </c>
      <c r="CD15" s="208">
        <v>0</v>
      </c>
      <c r="CE15" s="208">
        <v>0</v>
      </c>
      <c r="CF15" s="208" t="s">
        <v>21324</v>
      </c>
      <c r="CG15" s="208">
        <v>1</v>
      </c>
      <c r="CH15" s="208">
        <v>1</v>
      </c>
      <c r="CI15" s="208">
        <v>1</v>
      </c>
      <c r="CJ15" s="208">
        <v>0</v>
      </c>
      <c r="CK15" s="208">
        <v>0</v>
      </c>
      <c r="CL15" s="208">
        <v>0</v>
      </c>
      <c r="CM15" s="208" t="s">
        <v>21313</v>
      </c>
      <c r="CN15" s="208">
        <v>0</v>
      </c>
      <c r="CO15" s="208">
        <v>0</v>
      </c>
      <c r="CP15" s="208">
        <v>0</v>
      </c>
      <c r="CQ15" s="208">
        <v>0</v>
      </c>
      <c r="CR15" s="208">
        <v>0</v>
      </c>
      <c r="CS15" s="208">
        <v>0</v>
      </c>
      <c r="CT15" s="208" t="s">
        <v>21313</v>
      </c>
      <c r="CU15" s="208">
        <v>0</v>
      </c>
      <c r="CV15" s="208">
        <v>0</v>
      </c>
      <c r="CW15" s="208">
        <v>0</v>
      </c>
      <c r="CX15" s="208">
        <v>0</v>
      </c>
      <c r="CY15" s="208">
        <v>0</v>
      </c>
      <c r="CZ15" s="208">
        <v>0</v>
      </c>
      <c r="DA15" s="208" t="s">
        <v>21313</v>
      </c>
      <c r="DB15" s="208">
        <v>0</v>
      </c>
      <c r="DC15" s="208">
        <v>0</v>
      </c>
      <c r="DD15" s="208">
        <v>0</v>
      </c>
      <c r="DE15" s="208">
        <v>0</v>
      </c>
      <c r="DF15" s="208">
        <v>0</v>
      </c>
      <c r="DG15" s="208">
        <v>0</v>
      </c>
      <c r="DH15" s="208" t="s">
        <v>21313</v>
      </c>
      <c r="DI15" s="208">
        <v>0</v>
      </c>
      <c r="DJ15" s="208">
        <v>0</v>
      </c>
      <c r="DK15" s="208">
        <v>0</v>
      </c>
      <c r="DL15" s="208">
        <v>0</v>
      </c>
      <c r="DM15" s="208">
        <v>0</v>
      </c>
      <c r="DN15" s="208">
        <v>0</v>
      </c>
      <c r="DO15" s="208" t="s">
        <v>21327</v>
      </c>
      <c r="DP15" s="208">
        <v>60</v>
      </c>
      <c r="DQ15" s="208">
        <v>60</v>
      </c>
      <c r="DR15" s="208">
        <v>60</v>
      </c>
      <c r="DS15" s="208">
        <v>0</v>
      </c>
      <c r="DT15" s="208">
        <v>0</v>
      </c>
      <c r="DU15" s="208">
        <v>0</v>
      </c>
      <c r="DV15" s="208" t="s">
        <v>21328</v>
      </c>
      <c r="DW15" s="208">
        <v>60</v>
      </c>
      <c r="DX15" s="208" t="s">
        <v>21327</v>
      </c>
      <c r="DY15" s="208">
        <v>60</v>
      </c>
      <c r="DZ15" s="208">
        <v>60</v>
      </c>
      <c r="EA15" s="208">
        <v>60</v>
      </c>
      <c r="EB15" s="208">
        <v>0</v>
      </c>
      <c r="EC15" s="208">
        <v>0</v>
      </c>
      <c r="ED15" s="208">
        <v>0</v>
      </c>
      <c r="EE15" s="208" t="s">
        <v>21328</v>
      </c>
      <c r="EF15" s="208">
        <v>60</v>
      </c>
      <c r="EG15" s="208" t="s">
        <v>21313</v>
      </c>
      <c r="EH15" s="208">
        <v>0</v>
      </c>
      <c r="EI15" s="208">
        <v>0</v>
      </c>
      <c r="EJ15" s="208">
        <v>0</v>
      </c>
      <c r="EK15" s="208">
        <v>0</v>
      </c>
      <c r="EL15" s="208">
        <v>0</v>
      </c>
      <c r="EM15" s="208">
        <v>0</v>
      </c>
      <c r="EN15" s="208" t="s">
        <v>21313</v>
      </c>
      <c r="EO15" s="208">
        <v>0</v>
      </c>
      <c r="EP15" s="208" t="s">
        <v>21313</v>
      </c>
      <c r="EQ15" s="208">
        <v>0</v>
      </c>
      <c r="ER15" s="208">
        <v>0</v>
      </c>
      <c r="ES15" s="208">
        <v>0</v>
      </c>
      <c r="ET15" s="208">
        <v>0</v>
      </c>
      <c r="EU15" s="208">
        <v>0</v>
      </c>
      <c r="EV15" s="208">
        <v>0</v>
      </c>
      <c r="EW15" s="208" t="s">
        <v>21313</v>
      </c>
      <c r="EX15" s="208">
        <v>0</v>
      </c>
      <c r="EY15" s="208" t="s">
        <v>21313</v>
      </c>
      <c r="EZ15" s="208">
        <v>0</v>
      </c>
      <c r="FA15" s="208">
        <v>0</v>
      </c>
      <c r="FB15" s="208">
        <v>0</v>
      </c>
      <c r="FC15" s="208">
        <v>0</v>
      </c>
      <c r="FD15" s="208">
        <v>0</v>
      </c>
      <c r="FE15" s="208">
        <v>0</v>
      </c>
      <c r="FF15" s="208" t="s">
        <v>21313</v>
      </c>
      <c r="FG15" s="208">
        <v>0</v>
      </c>
      <c r="FH15" s="208" t="s">
        <v>21313</v>
      </c>
      <c r="FI15" s="208">
        <v>0</v>
      </c>
      <c r="FJ15" s="208">
        <v>0</v>
      </c>
      <c r="FK15" s="208">
        <v>0</v>
      </c>
      <c r="FL15" s="208">
        <v>0</v>
      </c>
      <c r="FM15" s="208">
        <v>0</v>
      </c>
      <c r="FN15" s="208">
        <v>0</v>
      </c>
      <c r="FO15" s="208" t="s">
        <v>21313</v>
      </c>
      <c r="FP15" s="208">
        <v>0</v>
      </c>
      <c r="FQ15" s="208">
        <v>60</v>
      </c>
      <c r="FR15" s="208" t="s">
        <v>21329</v>
      </c>
      <c r="FS15" s="208" t="s">
        <v>21330</v>
      </c>
      <c r="FT15" s="208" t="s">
        <v>21313</v>
      </c>
      <c r="FU15" s="208" t="s">
        <v>21313</v>
      </c>
      <c r="FV15" s="208" t="s">
        <v>21313</v>
      </c>
      <c r="FW15" s="208" t="s">
        <v>21313</v>
      </c>
      <c r="FX15" s="208" t="s">
        <v>21414</v>
      </c>
      <c r="FY15" s="208">
        <v>24</v>
      </c>
      <c r="FZ15" s="208">
        <v>24</v>
      </c>
      <c r="GA15" s="208">
        <v>24</v>
      </c>
      <c r="GB15" s="208">
        <v>0</v>
      </c>
      <c r="GC15" s="208">
        <v>0</v>
      </c>
      <c r="GD15" s="208">
        <v>0</v>
      </c>
      <c r="GE15" s="208" t="s">
        <v>21415</v>
      </c>
      <c r="GF15" s="208" t="s">
        <v>21414</v>
      </c>
      <c r="GG15" s="208">
        <v>24</v>
      </c>
      <c r="GH15" s="208">
        <v>24</v>
      </c>
      <c r="GI15" s="208">
        <v>24</v>
      </c>
      <c r="GJ15" s="208">
        <v>0</v>
      </c>
      <c r="GK15" s="208">
        <v>0</v>
      </c>
      <c r="GL15" s="208">
        <v>0</v>
      </c>
      <c r="GM15" s="208" t="s">
        <v>21415</v>
      </c>
      <c r="GN15" s="208" t="s">
        <v>21313</v>
      </c>
      <c r="GO15" s="208">
        <v>0</v>
      </c>
      <c r="GP15" s="208">
        <v>0</v>
      </c>
      <c r="GQ15" s="208">
        <v>0</v>
      </c>
      <c r="GR15" s="208">
        <v>0</v>
      </c>
      <c r="GS15" s="208">
        <v>0</v>
      </c>
      <c r="GT15" s="208">
        <v>0</v>
      </c>
      <c r="GU15" s="208" t="s">
        <v>21313</v>
      </c>
      <c r="GV15" s="208" t="s">
        <v>21313</v>
      </c>
      <c r="GW15" s="208">
        <v>0</v>
      </c>
      <c r="GX15" s="208">
        <v>0</v>
      </c>
      <c r="GY15" s="208">
        <v>0</v>
      </c>
      <c r="GZ15" s="208">
        <v>0</v>
      </c>
      <c r="HA15" s="208">
        <v>0</v>
      </c>
      <c r="HB15" s="208">
        <v>0</v>
      </c>
      <c r="HC15" s="208" t="s">
        <v>21313</v>
      </c>
      <c r="HD15" s="208" t="s">
        <v>21313</v>
      </c>
      <c r="HE15" s="208">
        <v>0</v>
      </c>
      <c r="HF15" s="208">
        <v>0</v>
      </c>
      <c r="HG15" s="208">
        <v>0</v>
      </c>
      <c r="HH15" s="208">
        <v>0</v>
      </c>
      <c r="HI15" s="208">
        <v>0</v>
      </c>
      <c r="HJ15" s="208">
        <v>0</v>
      </c>
      <c r="HK15" s="208" t="s">
        <v>21313</v>
      </c>
      <c r="HL15" s="208" t="s">
        <v>21313</v>
      </c>
      <c r="HM15" s="208">
        <v>0</v>
      </c>
      <c r="HN15" s="208">
        <v>0</v>
      </c>
      <c r="HO15" s="208">
        <v>0</v>
      </c>
      <c r="HP15" s="208">
        <v>0</v>
      </c>
      <c r="HQ15" s="208">
        <v>0</v>
      </c>
      <c r="HR15" s="208">
        <v>0</v>
      </c>
      <c r="HS15" s="208" t="s">
        <v>21313</v>
      </c>
      <c r="HT15" s="208" t="s">
        <v>21333</v>
      </c>
      <c r="HU15" s="208">
        <v>24</v>
      </c>
      <c r="HV15" s="208">
        <v>24</v>
      </c>
      <c r="HW15" s="208">
        <v>0</v>
      </c>
      <c r="HX15" s="208">
        <v>0</v>
      </c>
      <c r="HY15" s="208">
        <v>0</v>
      </c>
      <c r="HZ15" s="208">
        <v>0</v>
      </c>
      <c r="IA15" s="600">
        <v>24</v>
      </c>
      <c r="IB15" s="600">
        <v>4</v>
      </c>
      <c r="IC15" s="343" t="s">
        <v>21035</v>
      </c>
      <c r="ID15" s="343" t="s">
        <v>21416</v>
      </c>
      <c r="IE15" s="343" t="s">
        <v>21335</v>
      </c>
      <c r="IF15" s="343" t="s">
        <v>21336</v>
      </c>
      <c r="IG15" s="383">
        <v>43756</v>
      </c>
      <c r="IH15" s="383">
        <v>45583</v>
      </c>
      <c r="II15" s="208">
        <v>37</v>
      </c>
    </row>
    <row r="16" ht="165.75">
      <c r="A16" s="207">
        <v>15</v>
      </c>
      <c r="B16" s="343" t="s">
        <v>21298</v>
      </c>
      <c r="C16" s="343" t="s">
        <v>21298</v>
      </c>
      <c r="D16" s="600" t="s">
        <v>21153</v>
      </c>
      <c r="E16" s="317" t="s">
        <v>21154</v>
      </c>
      <c r="F16" s="207" t="s">
        <v>20855</v>
      </c>
      <c r="G16" s="600">
        <v>105.878833</v>
      </c>
      <c r="H16" s="600">
        <v>20.981013</v>
      </c>
      <c r="I16" s="207">
        <v>1</v>
      </c>
      <c r="J16" s="207">
        <v>2</v>
      </c>
      <c r="K16" s="207" t="s">
        <v>21337</v>
      </c>
      <c r="L16" s="207" t="s">
        <v>21417</v>
      </c>
      <c r="M16" s="207" t="s">
        <v>21339</v>
      </c>
      <c r="N16" s="207" t="s">
        <v>21418</v>
      </c>
      <c r="O16" s="207" t="s">
        <v>21419</v>
      </c>
      <c r="P16" s="207" t="s">
        <v>21420</v>
      </c>
      <c r="Q16" s="207" t="s">
        <v>21343</v>
      </c>
      <c r="R16" s="207" t="s">
        <v>21421</v>
      </c>
      <c r="S16" s="364" t="b">
        <v>1</v>
      </c>
      <c r="T16" s="207" t="s">
        <v>21155</v>
      </c>
      <c r="U16" s="207">
        <v>0</v>
      </c>
      <c r="V16" s="207" t="s">
        <v>21307</v>
      </c>
      <c r="W16" s="207" t="s">
        <v>21156</v>
      </c>
      <c r="X16" s="209" t="s">
        <v>21308</v>
      </c>
      <c r="Y16" s="207" t="b">
        <v>0</v>
      </c>
      <c r="Z16" s="364" t="b">
        <v>0</v>
      </c>
      <c r="AA16" s="600">
        <v>52</v>
      </c>
      <c r="AB16" s="364" t="b">
        <v>1</v>
      </c>
      <c r="AC16" s="600">
        <v>50</v>
      </c>
      <c r="AD16" s="207" t="b">
        <v>0</v>
      </c>
      <c r="AE16" s="207" t="s">
        <v>21309</v>
      </c>
      <c r="AF16" s="207" t="s">
        <v>21310</v>
      </c>
      <c r="AG16" s="343" t="s">
        <v>21311</v>
      </c>
      <c r="AH16" s="343" t="s">
        <v>21312</v>
      </c>
      <c r="AI16" s="343" t="s">
        <v>21054</v>
      </c>
      <c r="AJ16" s="343" t="s">
        <v>21313</v>
      </c>
      <c r="AK16" s="343" t="s">
        <v>21314</v>
      </c>
      <c r="AL16" s="208"/>
      <c r="AM16" s="208" t="s">
        <v>21315</v>
      </c>
      <c r="AN16" s="208" t="s">
        <v>21316</v>
      </c>
      <c r="AO16" s="207">
        <v>5</v>
      </c>
      <c r="AP16" s="287" t="s">
        <v>21317</v>
      </c>
      <c r="AQ16" s="448" t="s">
        <v>21406</v>
      </c>
      <c r="AR16" s="448" t="s">
        <v>21413</v>
      </c>
      <c r="AS16" s="449" t="s">
        <v>10</v>
      </c>
      <c r="AT16" s="208" t="s">
        <v>21316</v>
      </c>
      <c r="AU16" s="208" t="s">
        <v>21316</v>
      </c>
      <c r="AV16" s="208" t="s">
        <v>21313</v>
      </c>
      <c r="AW16" s="208" t="s">
        <v>21313</v>
      </c>
      <c r="AX16" s="208" t="s">
        <v>21313</v>
      </c>
      <c r="AY16" s="208" t="s">
        <v>21313</v>
      </c>
      <c r="AZ16" s="208" t="s">
        <v>21298</v>
      </c>
      <c r="BA16" s="208" t="s">
        <v>21298</v>
      </c>
      <c r="BB16" s="208" t="s">
        <v>21313</v>
      </c>
      <c r="BC16" s="208" t="s">
        <v>21313</v>
      </c>
      <c r="BD16" s="208" t="s">
        <v>21313</v>
      </c>
      <c r="BE16" s="208" t="s">
        <v>21313</v>
      </c>
      <c r="BF16" s="208" t="s">
        <v>21346</v>
      </c>
      <c r="BG16" s="208" t="s">
        <v>21153</v>
      </c>
      <c r="BH16" s="208" t="s">
        <v>21153</v>
      </c>
      <c r="BI16" s="208" t="s">
        <v>21313</v>
      </c>
      <c r="BJ16" s="208" t="s">
        <v>21313</v>
      </c>
      <c r="BK16" s="208" t="s">
        <v>21313</v>
      </c>
      <c r="BL16" s="208" t="s">
        <v>21313</v>
      </c>
      <c r="BM16" s="208" t="s">
        <v>21322</v>
      </c>
      <c r="BN16" s="208" t="s">
        <v>21323</v>
      </c>
      <c r="BO16" s="208" t="s">
        <v>21313</v>
      </c>
      <c r="BP16" s="208" t="s">
        <v>21313</v>
      </c>
      <c r="BQ16" s="208" t="s">
        <v>21313</v>
      </c>
      <c r="BR16" s="208" t="s">
        <v>21313</v>
      </c>
      <c r="BS16" s="208">
        <v>1</v>
      </c>
      <c r="BT16" s="208">
        <v>1</v>
      </c>
      <c r="BU16" s="208">
        <v>0</v>
      </c>
      <c r="BV16" s="208">
        <v>0</v>
      </c>
      <c r="BW16" s="208">
        <v>0</v>
      </c>
      <c r="BX16" s="208">
        <v>0</v>
      </c>
      <c r="BY16" s="208" t="s">
        <v>21422</v>
      </c>
      <c r="BZ16" s="208">
        <v>2</v>
      </c>
      <c r="CA16" s="208">
        <v>0</v>
      </c>
      <c r="CB16" s="208">
        <v>0</v>
      </c>
      <c r="CC16" s="208">
        <v>0</v>
      </c>
      <c r="CD16" s="208">
        <v>0</v>
      </c>
      <c r="CE16" s="208">
        <v>0</v>
      </c>
      <c r="CF16" s="208" t="s">
        <v>21423</v>
      </c>
      <c r="CG16" s="208">
        <v>1</v>
      </c>
      <c r="CH16" s="208">
        <v>0</v>
      </c>
      <c r="CI16" s="208">
        <v>0</v>
      </c>
      <c r="CJ16" s="208">
        <v>0</v>
      </c>
      <c r="CK16" s="208">
        <v>0</v>
      </c>
      <c r="CL16" s="208">
        <v>0</v>
      </c>
      <c r="CM16" s="208" t="s">
        <v>21313</v>
      </c>
      <c r="CN16" s="208">
        <v>0</v>
      </c>
      <c r="CO16" s="208">
        <v>0</v>
      </c>
      <c r="CP16" s="208">
        <v>0</v>
      </c>
      <c r="CQ16" s="208">
        <v>0</v>
      </c>
      <c r="CR16" s="208">
        <v>0</v>
      </c>
      <c r="CS16" s="208">
        <v>0</v>
      </c>
      <c r="CT16" s="208" t="s">
        <v>21313</v>
      </c>
      <c r="CU16" s="208">
        <v>0</v>
      </c>
      <c r="CV16" s="208">
        <v>0</v>
      </c>
      <c r="CW16" s="208">
        <v>0</v>
      </c>
      <c r="CX16" s="208">
        <v>0</v>
      </c>
      <c r="CY16" s="208">
        <v>0</v>
      </c>
      <c r="CZ16" s="208">
        <v>0</v>
      </c>
      <c r="DA16" s="208" t="s">
        <v>21313</v>
      </c>
      <c r="DB16" s="208">
        <v>0</v>
      </c>
      <c r="DC16" s="208">
        <v>0</v>
      </c>
      <c r="DD16" s="208">
        <v>0</v>
      </c>
      <c r="DE16" s="208">
        <v>0</v>
      </c>
      <c r="DF16" s="208">
        <v>0</v>
      </c>
      <c r="DG16" s="208">
        <v>0</v>
      </c>
      <c r="DH16" s="208" t="s">
        <v>21313</v>
      </c>
      <c r="DI16" s="208">
        <v>0</v>
      </c>
      <c r="DJ16" s="208">
        <v>0</v>
      </c>
      <c r="DK16" s="208">
        <v>0</v>
      </c>
      <c r="DL16" s="208">
        <v>0</v>
      </c>
      <c r="DM16" s="208">
        <v>0</v>
      </c>
      <c r="DN16" s="208">
        <v>0</v>
      </c>
      <c r="DO16" s="208" t="s">
        <v>21424</v>
      </c>
      <c r="DP16" s="208">
        <v>60</v>
      </c>
      <c r="DQ16" s="208">
        <v>0</v>
      </c>
      <c r="DR16" s="208">
        <v>0</v>
      </c>
      <c r="DS16" s="208">
        <v>0</v>
      </c>
      <c r="DT16" s="208">
        <v>0</v>
      </c>
      <c r="DU16" s="208">
        <v>0</v>
      </c>
      <c r="DV16" s="208" t="s">
        <v>21425</v>
      </c>
      <c r="DW16" s="208">
        <v>60</v>
      </c>
      <c r="DX16" s="208" t="s">
        <v>21424</v>
      </c>
      <c r="DY16" s="208">
        <v>60</v>
      </c>
      <c r="DZ16" s="208">
        <v>0</v>
      </c>
      <c r="EA16" s="208">
        <v>0</v>
      </c>
      <c r="EB16" s="208">
        <v>0</v>
      </c>
      <c r="EC16" s="208">
        <v>0</v>
      </c>
      <c r="ED16" s="208">
        <v>0</v>
      </c>
      <c r="EE16" s="208" t="s">
        <v>21425</v>
      </c>
      <c r="EF16" s="208">
        <v>60</v>
      </c>
      <c r="EG16" s="208" t="s">
        <v>21313</v>
      </c>
      <c r="EH16" s="208">
        <v>0</v>
      </c>
      <c r="EI16" s="208">
        <v>0</v>
      </c>
      <c r="EJ16" s="208">
        <v>0</v>
      </c>
      <c r="EK16" s="208">
        <v>0</v>
      </c>
      <c r="EL16" s="208">
        <v>0</v>
      </c>
      <c r="EM16" s="208">
        <v>0</v>
      </c>
      <c r="EN16" s="208" t="s">
        <v>21313</v>
      </c>
      <c r="EO16" s="208">
        <v>0</v>
      </c>
      <c r="EP16" s="208" t="s">
        <v>21313</v>
      </c>
      <c r="EQ16" s="208">
        <v>0</v>
      </c>
      <c r="ER16" s="208">
        <v>0</v>
      </c>
      <c r="ES16" s="208">
        <v>0</v>
      </c>
      <c r="ET16" s="208">
        <v>0</v>
      </c>
      <c r="EU16" s="208">
        <v>0</v>
      </c>
      <c r="EV16" s="208">
        <v>0</v>
      </c>
      <c r="EW16" s="208" t="s">
        <v>21313</v>
      </c>
      <c r="EX16" s="208">
        <v>0</v>
      </c>
      <c r="EY16" s="208" t="s">
        <v>21313</v>
      </c>
      <c r="EZ16" s="208">
        <v>0</v>
      </c>
      <c r="FA16" s="208">
        <v>0</v>
      </c>
      <c r="FB16" s="208">
        <v>0</v>
      </c>
      <c r="FC16" s="208">
        <v>0</v>
      </c>
      <c r="FD16" s="208">
        <v>0</v>
      </c>
      <c r="FE16" s="208">
        <v>0</v>
      </c>
      <c r="FF16" s="208" t="s">
        <v>21313</v>
      </c>
      <c r="FG16" s="208">
        <v>0</v>
      </c>
      <c r="FH16" s="208" t="s">
        <v>21313</v>
      </c>
      <c r="FI16" s="208">
        <v>0</v>
      </c>
      <c r="FJ16" s="208">
        <v>0</v>
      </c>
      <c r="FK16" s="208">
        <v>0</v>
      </c>
      <c r="FL16" s="208">
        <v>0</v>
      </c>
      <c r="FM16" s="208">
        <v>0</v>
      </c>
      <c r="FN16" s="208">
        <v>0</v>
      </c>
      <c r="FO16" s="208" t="s">
        <v>21313</v>
      </c>
      <c r="FP16" s="208">
        <v>0</v>
      </c>
      <c r="FQ16" s="208">
        <v>60</v>
      </c>
      <c r="FR16" s="208" t="s">
        <v>21329</v>
      </c>
      <c r="FS16" s="208" t="s">
        <v>21330</v>
      </c>
      <c r="FT16" s="208" t="s">
        <v>21313</v>
      </c>
      <c r="FU16" s="208" t="s">
        <v>21313</v>
      </c>
      <c r="FV16" s="208" t="s">
        <v>21313</v>
      </c>
      <c r="FW16" s="208" t="s">
        <v>21313</v>
      </c>
      <c r="FX16" s="208" t="s">
        <v>20944</v>
      </c>
      <c r="FY16" s="208">
        <v>52</v>
      </c>
      <c r="FZ16" s="208">
        <v>0</v>
      </c>
      <c r="GA16" s="208">
        <v>0</v>
      </c>
      <c r="GB16" s="208">
        <v>0</v>
      </c>
      <c r="GC16" s="208">
        <v>0</v>
      </c>
      <c r="GD16" s="208">
        <v>0</v>
      </c>
      <c r="GE16" s="208" t="s">
        <v>21426</v>
      </c>
      <c r="GF16" s="208" t="s">
        <v>20944</v>
      </c>
      <c r="GG16" s="208">
        <v>52</v>
      </c>
      <c r="GH16" s="208">
        <v>0</v>
      </c>
      <c r="GI16" s="208">
        <v>0</v>
      </c>
      <c r="GJ16" s="208">
        <v>0</v>
      </c>
      <c r="GK16" s="208">
        <v>0</v>
      </c>
      <c r="GL16" s="208">
        <v>0</v>
      </c>
      <c r="GM16" s="208" t="s">
        <v>21426</v>
      </c>
      <c r="GN16" s="208" t="s">
        <v>21313</v>
      </c>
      <c r="GO16" s="208">
        <v>0</v>
      </c>
      <c r="GP16" s="208">
        <v>0</v>
      </c>
      <c r="GQ16" s="208">
        <v>0</v>
      </c>
      <c r="GR16" s="208">
        <v>0</v>
      </c>
      <c r="GS16" s="208">
        <v>0</v>
      </c>
      <c r="GT16" s="208">
        <v>0</v>
      </c>
      <c r="GU16" s="208" t="s">
        <v>21313</v>
      </c>
      <c r="GV16" s="208" t="s">
        <v>21313</v>
      </c>
      <c r="GW16" s="208">
        <v>0</v>
      </c>
      <c r="GX16" s="208">
        <v>0</v>
      </c>
      <c r="GY16" s="208">
        <v>0</v>
      </c>
      <c r="GZ16" s="208">
        <v>0</v>
      </c>
      <c r="HA16" s="208">
        <v>0</v>
      </c>
      <c r="HB16" s="208">
        <v>0</v>
      </c>
      <c r="HC16" s="208" t="s">
        <v>21313</v>
      </c>
      <c r="HD16" s="208" t="s">
        <v>21313</v>
      </c>
      <c r="HE16" s="208">
        <v>0</v>
      </c>
      <c r="HF16" s="208">
        <v>0</v>
      </c>
      <c r="HG16" s="208">
        <v>0</v>
      </c>
      <c r="HH16" s="208">
        <v>0</v>
      </c>
      <c r="HI16" s="208">
        <v>0</v>
      </c>
      <c r="HJ16" s="208">
        <v>0</v>
      </c>
      <c r="HK16" s="208" t="s">
        <v>21313</v>
      </c>
      <c r="HL16" s="208" t="s">
        <v>21313</v>
      </c>
      <c r="HM16" s="208">
        <v>0</v>
      </c>
      <c r="HN16" s="208">
        <v>0</v>
      </c>
      <c r="HO16" s="208">
        <v>0</v>
      </c>
      <c r="HP16" s="208">
        <v>0</v>
      </c>
      <c r="HQ16" s="208">
        <v>0</v>
      </c>
      <c r="HR16" s="208">
        <v>0</v>
      </c>
      <c r="HS16" s="208" t="s">
        <v>21313</v>
      </c>
      <c r="HT16" s="208" t="s">
        <v>21333</v>
      </c>
      <c r="HU16" s="208">
        <v>52</v>
      </c>
      <c r="HV16" s="208">
        <v>52</v>
      </c>
      <c r="HW16" s="208">
        <v>0</v>
      </c>
      <c r="HX16" s="208">
        <v>0</v>
      </c>
      <c r="HY16" s="208">
        <v>0</v>
      </c>
      <c r="HZ16" s="208">
        <v>0</v>
      </c>
      <c r="IA16" s="600">
        <v>52</v>
      </c>
      <c r="IB16" s="600">
        <v>2</v>
      </c>
      <c r="IC16" s="343" t="s">
        <v>21035</v>
      </c>
      <c r="ID16" s="343" t="s">
        <v>3638</v>
      </c>
      <c r="IE16" s="343" t="s">
        <v>21335</v>
      </c>
      <c r="IF16" s="343" t="s">
        <v>21336</v>
      </c>
      <c r="IG16" s="383">
        <v>43756</v>
      </c>
      <c r="IH16" s="383">
        <v>45583</v>
      </c>
      <c r="II16" s="208">
        <v>37</v>
      </c>
    </row>
    <row r="17" ht="165.75">
      <c r="A17" s="207">
        <v>16</v>
      </c>
      <c r="B17" s="343" t="s">
        <v>21298</v>
      </c>
      <c r="C17" s="343" t="s">
        <v>21298</v>
      </c>
      <c r="D17" s="600" t="s">
        <v>21157</v>
      </c>
      <c r="E17" s="317" t="s">
        <v>21158</v>
      </c>
      <c r="F17" s="207" t="s">
        <v>20855</v>
      </c>
      <c r="G17" s="600">
        <v>105.850808</v>
      </c>
      <c r="H17" s="600">
        <v>20.971897</v>
      </c>
      <c r="I17" s="207">
        <v>1</v>
      </c>
      <c r="J17" s="207">
        <v>2</v>
      </c>
      <c r="K17" s="207" t="s">
        <v>21337</v>
      </c>
      <c r="L17" s="207" t="s">
        <v>21427</v>
      </c>
      <c r="M17" s="207" t="s">
        <v>21339</v>
      </c>
      <c r="N17" s="207" t="s">
        <v>21340</v>
      </c>
      <c r="O17" s="207" t="s">
        <v>21341</v>
      </c>
      <c r="P17" s="207" t="s">
        <v>21342</v>
      </c>
      <c r="Q17" s="207" t="s">
        <v>21343</v>
      </c>
      <c r="R17" s="207" t="s">
        <v>21428</v>
      </c>
      <c r="S17" s="364" t="b">
        <v>1</v>
      </c>
      <c r="T17" s="207" t="s">
        <v>21159</v>
      </c>
      <c r="U17" s="207">
        <v>0</v>
      </c>
      <c r="V17" s="207" t="s">
        <v>21307</v>
      </c>
      <c r="W17" s="207" t="s">
        <v>21160</v>
      </c>
      <c r="X17" s="209" t="s">
        <v>21308</v>
      </c>
      <c r="Y17" s="207" t="b">
        <v>0</v>
      </c>
      <c r="Z17" s="364" t="b">
        <v>0</v>
      </c>
      <c r="AA17" s="600">
        <v>19.5</v>
      </c>
      <c r="AB17" s="364" t="b">
        <v>1</v>
      </c>
      <c r="AC17" s="600">
        <v>12</v>
      </c>
      <c r="AD17" s="207" t="b">
        <v>0</v>
      </c>
      <c r="AE17" s="207" t="s">
        <v>21309</v>
      </c>
      <c r="AF17" s="207" t="s">
        <v>21310</v>
      </c>
      <c r="AG17" s="343" t="s">
        <v>21311</v>
      </c>
      <c r="AH17" s="343" t="s">
        <v>21312</v>
      </c>
      <c r="AI17" s="343" t="s">
        <v>21054</v>
      </c>
      <c r="AJ17" s="343" t="s">
        <v>21313</v>
      </c>
      <c r="AK17" s="343" t="s">
        <v>21314</v>
      </c>
      <c r="AL17" s="208"/>
      <c r="AM17" s="208" t="s">
        <v>21315</v>
      </c>
      <c r="AN17" s="208" t="s">
        <v>21316</v>
      </c>
      <c r="AO17" s="207">
        <v>5</v>
      </c>
      <c r="AP17" s="287" t="s">
        <v>21317</v>
      </c>
      <c r="AQ17" s="448" t="s">
        <v>21406</v>
      </c>
      <c r="AR17" s="448" t="s">
        <v>21429</v>
      </c>
      <c r="AS17" s="449" t="s">
        <v>10</v>
      </c>
      <c r="AT17" s="208" t="s">
        <v>21316</v>
      </c>
      <c r="AU17" s="208" t="s">
        <v>21316</v>
      </c>
      <c r="AV17" s="208" t="s">
        <v>21313</v>
      </c>
      <c r="AW17" s="208" t="s">
        <v>21313</v>
      </c>
      <c r="AX17" s="208" t="s">
        <v>21313</v>
      </c>
      <c r="AY17" s="208" t="s">
        <v>21313</v>
      </c>
      <c r="AZ17" s="208" t="s">
        <v>21298</v>
      </c>
      <c r="BA17" s="208" t="s">
        <v>21298</v>
      </c>
      <c r="BB17" s="208" t="s">
        <v>21313</v>
      </c>
      <c r="BC17" s="208" t="s">
        <v>21313</v>
      </c>
      <c r="BD17" s="208" t="s">
        <v>21313</v>
      </c>
      <c r="BE17" s="208" t="s">
        <v>21313</v>
      </c>
      <c r="BF17" s="208" t="s">
        <v>21346</v>
      </c>
      <c r="BG17" s="208" t="s">
        <v>21157</v>
      </c>
      <c r="BH17" s="208" t="s">
        <v>21157</v>
      </c>
      <c r="BI17" s="208" t="s">
        <v>21313</v>
      </c>
      <c r="BJ17" s="208" t="s">
        <v>21313</v>
      </c>
      <c r="BK17" s="208" t="s">
        <v>21313</v>
      </c>
      <c r="BL17" s="208" t="s">
        <v>21313</v>
      </c>
      <c r="BM17" s="208" t="s">
        <v>21322</v>
      </c>
      <c r="BN17" s="208" t="s">
        <v>21323</v>
      </c>
      <c r="BO17" s="208" t="s">
        <v>21313</v>
      </c>
      <c r="BP17" s="208" t="s">
        <v>21313</v>
      </c>
      <c r="BQ17" s="208" t="s">
        <v>21313</v>
      </c>
      <c r="BR17" s="208" t="s">
        <v>21313</v>
      </c>
      <c r="BS17" s="208">
        <v>3</v>
      </c>
      <c r="BT17" s="208">
        <v>3</v>
      </c>
      <c r="BU17" s="208">
        <v>0</v>
      </c>
      <c r="BV17" s="208">
        <v>0</v>
      </c>
      <c r="BW17" s="208">
        <v>0</v>
      </c>
      <c r="BX17" s="208">
        <v>0</v>
      </c>
      <c r="BY17" s="208" t="s">
        <v>21042</v>
      </c>
      <c r="BZ17" s="208">
        <v>2</v>
      </c>
      <c r="CA17" s="208">
        <v>2</v>
      </c>
      <c r="CB17" s="208">
        <v>2</v>
      </c>
      <c r="CC17" s="208">
        <v>0</v>
      </c>
      <c r="CD17" s="208">
        <v>0</v>
      </c>
      <c r="CE17" s="208">
        <v>0</v>
      </c>
      <c r="CF17" s="208" t="s">
        <v>21324</v>
      </c>
      <c r="CG17" s="208">
        <v>1</v>
      </c>
      <c r="CH17" s="208">
        <v>1</v>
      </c>
      <c r="CI17" s="208">
        <v>1</v>
      </c>
      <c r="CJ17" s="208">
        <v>0</v>
      </c>
      <c r="CK17" s="208">
        <v>0</v>
      </c>
      <c r="CL17" s="208">
        <v>0</v>
      </c>
      <c r="CM17" s="208" t="s">
        <v>21313</v>
      </c>
      <c r="CN17" s="208">
        <v>0</v>
      </c>
      <c r="CO17" s="208">
        <v>0</v>
      </c>
      <c r="CP17" s="208">
        <v>0</v>
      </c>
      <c r="CQ17" s="208">
        <v>0</v>
      </c>
      <c r="CR17" s="208">
        <v>0</v>
      </c>
      <c r="CS17" s="208">
        <v>0</v>
      </c>
      <c r="CT17" s="208" t="s">
        <v>21313</v>
      </c>
      <c r="CU17" s="208">
        <v>0</v>
      </c>
      <c r="CV17" s="208">
        <v>0</v>
      </c>
      <c r="CW17" s="208">
        <v>0</v>
      </c>
      <c r="CX17" s="208">
        <v>0</v>
      </c>
      <c r="CY17" s="208">
        <v>0</v>
      </c>
      <c r="CZ17" s="208">
        <v>0</v>
      </c>
      <c r="DA17" s="208" t="s">
        <v>21313</v>
      </c>
      <c r="DB17" s="208">
        <v>0</v>
      </c>
      <c r="DC17" s="208">
        <v>0</v>
      </c>
      <c r="DD17" s="208">
        <v>0</v>
      </c>
      <c r="DE17" s="208">
        <v>0</v>
      </c>
      <c r="DF17" s="208">
        <v>0</v>
      </c>
      <c r="DG17" s="208">
        <v>0</v>
      </c>
      <c r="DH17" s="208" t="s">
        <v>21313</v>
      </c>
      <c r="DI17" s="208">
        <v>0</v>
      </c>
      <c r="DJ17" s="208">
        <v>0</v>
      </c>
      <c r="DK17" s="208">
        <v>0</v>
      </c>
      <c r="DL17" s="208">
        <v>0</v>
      </c>
      <c r="DM17" s="208">
        <v>0</v>
      </c>
      <c r="DN17" s="208">
        <v>0</v>
      </c>
      <c r="DO17" s="208" t="s">
        <v>21327</v>
      </c>
      <c r="DP17" s="208">
        <v>60</v>
      </c>
      <c r="DQ17" s="208">
        <v>60</v>
      </c>
      <c r="DR17" s="208">
        <v>60</v>
      </c>
      <c r="DS17" s="208">
        <v>0</v>
      </c>
      <c r="DT17" s="208">
        <v>0</v>
      </c>
      <c r="DU17" s="208">
        <v>0</v>
      </c>
      <c r="DV17" s="208" t="s">
        <v>21328</v>
      </c>
      <c r="DW17" s="208">
        <v>60</v>
      </c>
      <c r="DX17" s="208" t="s">
        <v>21327</v>
      </c>
      <c r="DY17" s="208">
        <v>60</v>
      </c>
      <c r="DZ17" s="208">
        <v>60</v>
      </c>
      <c r="EA17" s="208">
        <v>60</v>
      </c>
      <c r="EB17" s="208">
        <v>0</v>
      </c>
      <c r="EC17" s="208">
        <v>0</v>
      </c>
      <c r="ED17" s="208">
        <v>0</v>
      </c>
      <c r="EE17" s="208" t="s">
        <v>21328</v>
      </c>
      <c r="EF17" s="208">
        <v>60</v>
      </c>
      <c r="EG17" s="208" t="s">
        <v>21313</v>
      </c>
      <c r="EH17" s="208">
        <v>0</v>
      </c>
      <c r="EI17" s="208">
        <v>0</v>
      </c>
      <c r="EJ17" s="208">
        <v>0</v>
      </c>
      <c r="EK17" s="208">
        <v>0</v>
      </c>
      <c r="EL17" s="208">
        <v>0</v>
      </c>
      <c r="EM17" s="208">
        <v>0</v>
      </c>
      <c r="EN17" s="208" t="s">
        <v>21313</v>
      </c>
      <c r="EO17" s="208">
        <v>0</v>
      </c>
      <c r="EP17" s="208" t="s">
        <v>21313</v>
      </c>
      <c r="EQ17" s="208">
        <v>0</v>
      </c>
      <c r="ER17" s="208">
        <v>0</v>
      </c>
      <c r="ES17" s="208">
        <v>0</v>
      </c>
      <c r="ET17" s="208">
        <v>0</v>
      </c>
      <c r="EU17" s="208">
        <v>0</v>
      </c>
      <c r="EV17" s="208">
        <v>0</v>
      </c>
      <c r="EW17" s="208" t="s">
        <v>21313</v>
      </c>
      <c r="EX17" s="208">
        <v>0</v>
      </c>
      <c r="EY17" s="208" t="s">
        <v>21313</v>
      </c>
      <c r="EZ17" s="208">
        <v>0</v>
      </c>
      <c r="FA17" s="208">
        <v>0</v>
      </c>
      <c r="FB17" s="208">
        <v>0</v>
      </c>
      <c r="FC17" s="208">
        <v>0</v>
      </c>
      <c r="FD17" s="208">
        <v>0</v>
      </c>
      <c r="FE17" s="208">
        <v>0</v>
      </c>
      <c r="FF17" s="208" t="s">
        <v>21313</v>
      </c>
      <c r="FG17" s="208">
        <v>0</v>
      </c>
      <c r="FH17" s="208" t="s">
        <v>21313</v>
      </c>
      <c r="FI17" s="208">
        <v>0</v>
      </c>
      <c r="FJ17" s="208">
        <v>0</v>
      </c>
      <c r="FK17" s="208">
        <v>0</v>
      </c>
      <c r="FL17" s="208">
        <v>0</v>
      </c>
      <c r="FM17" s="208">
        <v>0</v>
      </c>
      <c r="FN17" s="208">
        <v>0</v>
      </c>
      <c r="FO17" s="208" t="s">
        <v>21313</v>
      </c>
      <c r="FP17" s="208">
        <v>0</v>
      </c>
      <c r="FQ17" s="208">
        <v>60</v>
      </c>
      <c r="FR17" s="208" t="s">
        <v>21329</v>
      </c>
      <c r="FS17" s="208" t="s">
        <v>21330</v>
      </c>
      <c r="FT17" s="208" t="s">
        <v>21313</v>
      </c>
      <c r="FU17" s="208" t="s">
        <v>21313</v>
      </c>
      <c r="FV17" s="208" t="s">
        <v>21313</v>
      </c>
      <c r="FW17" s="208" t="s">
        <v>21313</v>
      </c>
      <c r="FX17" s="208" t="s">
        <v>21430</v>
      </c>
      <c r="FY17" s="208">
        <v>19.5</v>
      </c>
      <c r="FZ17" s="208">
        <v>19.5</v>
      </c>
      <c r="GA17" s="208">
        <v>19.5</v>
      </c>
      <c r="GB17" s="208">
        <v>0</v>
      </c>
      <c r="GC17" s="208">
        <v>0</v>
      </c>
      <c r="GD17" s="208">
        <v>0</v>
      </c>
      <c r="GE17" s="208" t="s">
        <v>21431</v>
      </c>
      <c r="GF17" s="208" t="s">
        <v>21430</v>
      </c>
      <c r="GG17" s="208">
        <v>19.5</v>
      </c>
      <c r="GH17" s="208">
        <v>19.5</v>
      </c>
      <c r="GI17" s="208">
        <v>19.5</v>
      </c>
      <c r="GJ17" s="208">
        <v>0</v>
      </c>
      <c r="GK17" s="208">
        <v>0</v>
      </c>
      <c r="GL17" s="208">
        <v>0</v>
      </c>
      <c r="GM17" s="208" t="s">
        <v>21431</v>
      </c>
      <c r="GN17" s="208" t="s">
        <v>21313</v>
      </c>
      <c r="GO17" s="208">
        <v>0</v>
      </c>
      <c r="GP17" s="208">
        <v>0</v>
      </c>
      <c r="GQ17" s="208">
        <v>0</v>
      </c>
      <c r="GR17" s="208">
        <v>0</v>
      </c>
      <c r="GS17" s="208">
        <v>0</v>
      </c>
      <c r="GT17" s="208">
        <v>0</v>
      </c>
      <c r="GU17" s="208" t="s">
        <v>21313</v>
      </c>
      <c r="GV17" s="208" t="s">
        <v>21313</v>
      </c>
      <c r="GW17" s="208">
        <v>0</v>
      </c>
      <c r="GX17" s="208">
        <v>0</v>
      </c>
      <c r="GY17" s="208">
        <v>0</v>
      </c>
      <c r="GZ17" s="208">
        <v>0</v>
      </c>
      <c r="HA17" s="208">
        <v>0</v>
      </c>
      <c r="HB17" s="208">
        <v>0</v>
      </c>
      <c r="HC17" s="208" t="s">
        <v>21313</v>
      </c>
      <c r="HD17" s="208" t="s">
        <v>21313</v>
      </c>
      <c r="HE17" s="208">
        <v>0</v>
      </c>
      <c r="HF17" s="208">
        <v>0</v>
      </c>
      <c r="HG17" s="208">
        <v>0</v>
      </c>
      <c r="HH17" s="208">
        <v>0</v>
      </c>
      <c r="HI17" s="208">
        <v>0</v>
      </c>
      <c r="HJ17" s="208">
        <v>0</v>
      </c>
      <c r="HK17" s="208" t="s">
        <v>21313</v>
      </c>
      <c r="HL17" s="208" t="s">
        <v>21313</v>
      </c>
      <c r="HM17" s="208">
        <v>0</v>
      </c>
      <c r="HN17" s="208">
        <v>0</v>
      </c>
      <c r="HO17" s="208">
        <v>0</v>
      </c>
      <c r="HP17" s="208">
        <v>0</v>
      </c>
      <c r="HQ17" s="208">
        <v>0</v>
      </c>
      <c r="HR17" s="208">
        <v>0</v>
      </c>
      <c r="HS17" s="208" t="s">
        <v>21313</v>
      </c>
      <c r="HT17" s="208" t="s">
        <v>21333</v>
      </c>
      <c r="HU17" s="208">
        <v>19.5</v>
      </c>
      <c r="HV17" s="208">
        <v>19.5</v>
      </c>
      <c r="HW17" s="208">
        <v>0</v>
      </c>
      <c r="HX17" s="208">
        <v>0</v>
      </c>
      <c r="HY17" s="208">
        <v>0</v>
      </c>
      <c r="HZ17" s="208">
        <v>0</v>
      </c>
      <c r="IA17" s="600">
        <v>19.5</v>
      </c>
      <c r="IB17" s="600">
        <v>7.5</v>
      </c>
      <c r="IC17" s="343" t="s">
        <v>21035</v>
      </c>
      <c r="ID17" s="343" t="s">
        <v>21432</v>
      </c>
      <c r="IE17" s="343" t="s">
        <v>21335</v>
      </c>
      <c r="IF17" s="343" t="s">
        <v>21336</v>
      </c>
      <c r="IG17" s="383">
        <v>43756</v>
      </c>
      <c r="IH17" s="383">
        <v>45583</v>
      </c>
      <c r="II17" s="208">
        <v>37</v>
      </c>
    </row>
    <row r="18" ht="165.75">
      <c r="A18" s="207">
        <v>17</v>
      </c>
      <c r="B18" s="343" t="s">
        <v>21298</v>
      </c>
      <c r="C18" s="343" t="s">
        <v>21298</v>
      </c>
      <c r="D18" s="600" t="s">
        <v>21161</v>
      </c>
      <c r="E18" s="317" t="s">
        <v>21162</v>
      </c>
      <c r="F18" s="207" t="s">
        <v>20855</v>
      </c>
      <c r="G18" s="600">
        <v>105.851466</v>
      </c>
      <c r="H18" s="600">
        <v>20.985777</v>
      </c>
      <c r="I18" s="207">
        <v>1</v>
      </c>
      <c r="J18" s="207">
        <v>2</v>
      </c>
      <c r="K18" s="207" t="s">
        <v>21337</v>
      </c>
      <c r="L18" s="207" t="s">
        <v>21433</v>
      </c>
      <c r="M18" s="207" t="s">
        <v>21339</v>
      </c>
      <c r="N18" s="207" t="s">
        <v>21340</v>
      </c>
      <c r="O18" s="207" t="s">
        <v>21341</v>
      </c>
      <c r="P18" s="207" t="s">
        <v>21342</v>
      </c>
      <c r="Q18" s="207" t="s">
        <v>21343</v>
      </c>
      <c r="R18" s="207" t="s">
        <v>21434</v>
      </c>
      <c r="S18" s="364" t="b">
        <v>1</v>
      </c>
      <c r="T18" s="207" t="s">
        <v>21163</v>
      </c>
      <c r="U18" s="207">
        <v>0</v>
      </c>
      <c r="V18" s="207" t="s">
        <v>21307</v>
      </c>
      <c r="W18" s="207" t="s">
        <v>21164</v>
      </c>
      <c r="X18" s="209" t="s">
        <v>21308</v>
      </c>
      <c r="Y18" s="207" t="b">
        <v>0</v>
      </c>
      <c r="Z18" s="364" t="b">
        <v>0</v>
      </c>
      <c r="AA18" s="600">
        <v>27.5</v>
      </c>
      <c r="AB18" s="364" t="b">
        <v>1</v>
      </c>
      <c r="AC18" s="600">
        <v>24</v>
      </c>
      <c r="AD18" s="207" t="b">
        <v>0</v>
      </c>
      <c r="AE18" s="207" t="s">
        <v>21309</v>
      </c>
      <c r="AF18" s="207" t="s">
        <v>21310</v>
      </c>
      <c r="AG18" s="343" t="s">
        <v>21311</v>
      </c>
      <c r="AH18" s="343" t="s">
        <v>21312</v>
      </c>
      <c r="AI18" s="343" t="s">
        <v>21054</v>
      </c>
      <c r="AJ18" s="343" t="s">
        <v>21313</v>
      </c>
      <c r="AK18" s="343" t="s">
        <v>21314</v>
      </c>
      <c r="AL18" s="208"/>
      <c r="AM18" s="208" t="s">
        <v>21315</v>
      </c>
      <c r="AN18" s="208" t="s">
        <v>21316</v>
      </c>
      <c r="AO18" s="207">
        <v>5</v>
      </c>
      <c r="AP18" s="287" t="s">
        <v>21317</v>
      </c>
      <c r="AQ18" s="448" t="s">
        <v>21406</v>
      </c>
      <c r="AR18" s="448" t="s">
        <v>21435</v>
      </c>
      <c r="AS18" s="449" t="s">
        <v>10</v>
      </c>
      <c r="AT18" s="208" t="s">
        <v>21316</v>
      </c>
      <c r="AU18" s="208" t="s">
        <v>21316</v>
      </c>
      <c r="AV18" s="208" t="s">
        <v>21313</v>
      </c>
      <c r="AW18" s="208" t="s">
        <v>21313</v>
      </c>
      <c r="AX18" s="208" t="s">
        <v>21313</v>
      </c>
      <c r="AY18" s="208" t="s">
        <v>21313</v>
      </c>
      <c r="AZ18" s="208" t="s">
        <v>21298</v>
      </c>
      <c r="BA18" s="208" t="s">
        <v>21298</v>
      </c>
      <c r="BB18" s="208" t="s">
        <v>21313</v>
      </c>
      <c r="BC18" s="208" t="s">
        <v>21313</v>
      </c>
      <c r="BD18" s="208" t="s">
        <v>21313</v>
      </c>
      <c r="BE18" s="208" t="s">
        <v>21313</v>
      </c>
      <c r="BF18" s="208" t="s">
        <v>21346</v>
      </c>
      <c r="BG18" s="208" t="s">
        <v>21161</v>
      </c>
      <c r="BH18" s="208" t="s">
        <v>21161</v>
      </c>
      <c r="BI18" s="208" t="s">
        <v>21313</v>
      </c>
      <c r="BJ18" s="208" t="s">
        <v>21313</v>
      </c>
      <c r="BK18" s="208" t="s">
        <v>21313</v>
      </c>
      <c r="BL18" s="208" t="s">
        <v>21313</v>
      </c>
      <c r="BM18" s="208" t="s">
        <v>21322</v>
      </c>
      <c r="BN18" s="208" t="s">
        <v>21323</v>
      </c>
      <c r="BO18" s="208" t="s">
        <v>21313</v>
      </c>
      <c r="BP18" s="208" t="s">
        <v>21313</v>
      </c>
      <c r="BQ18" s="208" t="s">
        <v>21313</v>
      </c>
      <c r="BR18" s="208" t="s">
        <v>21313</v>
      </c>
      <c r="BS18" s="208">
        <v>3</v>
      </c>
      <c r="BT18" s="208">
        <v>3</v>
      </c>
      <c r="BU18" s="208">
        <v>0</v>
      </c>
      <c r="BV18" s="208">
        <v>0</v>
      </c>
      <c r="BW18" s="208">
        <v>0</v>
      </c>
      <c r="BX18" s="208">
        <v>0</v>
      </c>
      <c r="BY18" s="208" t="s">
        <v>21042</v>
      </c>
      <c r="BZ18" s="208">
        <v>2</v>
      </c>
      <c r="CA18" s="208">
        <v>2</v>
      </c>
      <c r="CB18" s="208">
        <v>2</v>
      </c>
      <c r="CC18" s="208">
        <v>0</v>
      </c>
      <c r="CD18" s="208">
        <v>0</v>
      </c>
      <c r="CE18" s="208">
        <v>0</v>
      </c>
      <c r="CF18" s="208" t="s">
        <v>21324</v>
      </c>
      <c r="CG18" s="208">
        <v>1</v>
      </c>
      <c r="CH18" s="208">
        <v>1</v>
      </c>
      <c r="CI18" s="208">
        <v>1</v>
      </c>
      <c r="CJ18" s="208">
        <v>0</v>
      </c>
      <c r="CK18" s="208">
        <v>0</v>
      </c>
      <c r="CL18" s="208">
        <v>0</v>
      </c>
      <c r="CM18" s="208" t="s">
        <v>21313</v>
      </c>
      <c r="CN18" s="208">
        <v>0</v>
      </c>
      <c r="CO18" s="208">
        <v>0</v>
      </c>
      <c r="CP18" s="208">
        <v>0</v>
      </c>
      <c r="CQ18" s="208">
        <v>0</v>
      </c>
      <c r="CR18" s="208">
        <v>0</v>
      </c>
      <c r="CS18" s="208">
        <v>0</v>
      </c>
      <c r="CT18" s="208" t="s">
        <v>21313</v>
      </c>
      <c r="CU18" s="208">
        <v>0</v>
      </c>
      <c r="CV18" s="208">
        <v>0</v>
      </c>
      <c r="CW18" s="208">
        <v>0</v>
      </c>
      <c r="CX18" s="208">
        <v>0</v>
      </c>
      <c r="CY18" s="208">
        <v>0</v>
      </c>
      <c r="CZ18" s="208">
        <v>0</v>
      </c>
      <c r="DA18" s="208" t="s">
        <v>21313</v>
      </c>
      <c r="DB18" s="208">
        <v>0</v>
      </c>
      <c r="DC18" s="208">
        <v>0</v>
      </c>
      <c r="DD18" s="208">
        <v>0</v>
      </c>
      <c r="DE18" s="208">
        <v>0</v>
      </c>
      <c r="DF18" s="208">
        <v>0</v>
      </c>
      <c r="DG18" s="208">
        <v>0</v>
      </c>
      <c r="DH18" s="208" t="s">
        <v>21313</v>
      </c>
      <c r="DI18" s="208">
        <v>0</v>
      </c>
      <c r="DJ18" s="208">
        <v>0</v>
      </c>
      <c r="DK18" s="208">
        <v>0</v>
      </c>
      <c r="DL18" s="208">
        <v>0</v>
      </c>
      <c r="DM18" s="208">
        <v>0</v>
      </c>
      <c r="DN18" s="208">
        <v>0</v>
      </c>
      <c r="DO18" s="208" t="s">
        <v>21327</v>
      </c>
      <c r="DP18" s="208">
        <v>60</v>
      </c>
      <c r="DQ18" s="208">
        <v>60</v>
      </c>
      <c r="DR18" s="208">
        <v>60</v>
      </c>
      <c r="DS18" s="208">
        <v>0</v>
      </c>
      <c r="DT18" s="208">
        <v>0</v>
      </c>
      <c r="DU18" s="208">
        <v>0</v>
      </c>
      <c r="DV18" s="208" t="s">
        <v>21328</v>
      </c>
      <c r="DW18" s="208">
        <v>60</v>
      </c>
      <c r="DX18" s="208" t="s">
        <v>21327</v>
      </c>
      <c r="DY18" s="208">
        <v>60</v>
      </c>
      <c r="DZ18" s="208">
        <v>60</v>
      </c>
      <c r="EA18" s="208">
        <v>60</v>
      </c>
      <c r="EB18" s="208">
        <v>0</v>
      </c>
      <c r="EC18" s="208">
        <v>0</v>
      </c>
      <c r="ED18" s="208">
        <v>0</v>
      </c>
      <c r="EE18" s="208" t="s">
        <v>21328</v>
      </c>
      <c r="EF18" s="208">
        <v>60</v>
      </c>
      <c r="EG18" s="208" t="s">
        <v>21313</v>
      </c>
      <c r="EH18" s="208">
        <v>0</v>
      </c>
      <c r="EI18" s="208">
        <v>0</v>
      </c>
      <c r="EJ18" s="208">
        <v>0</v>
      </c>
      <c r="EK18" s="208">
        <v>0</v>
      </c>
      <c r="EL18" s="208">
        <v>0</v>
      </c>
      <c r="EM18" s="208">
        <v>0</v>
      </c>
      <c r="EN18" s="208" t="s">
        <v>21313</v>
      </c>
      <c r="EO18" s="208">
        <v>0</v>
      </c>
      <c r="EP18" s="208" t="s">
        <v>21313</v>
      </c>
      <c r="EQ18" s="208">
        <v>0</v>
      </c>
      <c r="ER18" s="208">
        <v>0</v>
      </c>
      <c r="ES18" s="208">
        <v>0</v>
      </c>
      <c r="ET18" s="208">
        <v>0</v>
      </c>
      <c r="EU18" s="208">
        <v>0</v>
      </c>
      <c r="EV18" s="208">
        <v>0</v>
      </c>
      <c r="EW18" s="208" t="s">
        <v>21313</v>
      </c>
      <c r="EX18" s="208">
        <v>0</v>
      </c>
      <c r="EY18" s="208" t="s">
        <v>21313</v>
      </c>
      <c r="EZ18" s="208">
        <v>0</v>
      </c>
      <c r="FA18" s="208">
        <v>0</v>
      </c>
      <c r="FB18" s="208">
        <v>0</v>
      </c>
      <c r="FC18" s="208">
        <v>0</v>
      </c>
      <c r="FD18" s="208">
        <v>0</v>
      </c>
      <c r="FE18" s="208">
        <v>0</v>
      </c>
      <c r="FF18" s="208" t="s">
        <v>21313</v>
      </c>
      <c r="FG18" s="208">
        <v>0</v>
      </c>
      <c r="FH18" s="208" t="s">
        <v>21313</v>
      </c>
      <c r="FI18" s="208">
        <v>0</v>
      </c>
      <c r="FJ18" s="208">
        <v>0</v>
      </c>
      <c r="FK18" s="208">
        <v>0</v>
      </c>
      <c r="FL18" s="208">
        <v>0</v>
      </c>
      <c r="FM18" s="208">
        <v>0</v>
      </c>
      <c r="FN18" s="208">
        <v>0</v>
      </c>
      <c r="FO18" s="208" t="s">
        <v>21313</v>
      </c>
      <c r="FP18" s="208">
        <v>0</v>
      </c>
      <c r="FQ18" s="208">
        <v>60</v>
      </c>
      <c r="FR18" s="208" t="s">
        <v>21329</v>
      </c>
      <c r="FS18" s="208" t="s">
        <v>21330</v>
      </c>
      <c r="FT18" s="208" t="s">
        <v>21313</v>
      </c>
      <c r="FU18" s="208" t="s">
        <v>21313</v>
      </c>
      <c r="FV18" s="208" t="s">
        <v>21313</v>
      </c>
      <c r="FW18" s="208" t="s">
        <v>21313</v>
      </c>
      <c r="FX18" s="208" t="s">
        <v>21436</v>
      </c>
      <c r="FY18" s="208">
        <v>27.5</v>
      </c>
      <c r="FZ18" s="208">
        <v>27.5</v>
      </c>
      <c r="GA18" s="208">
        <v>27.5</v>
      </c>
      <c r="GB18" s="208">
        <v>0</v>
      </c>
      <c r="GC18" s="208">
        <v>0</v>
      </c>
      <c r="GD18" s="208">
        <v>0</v>
      </c>
      <c r="GE18" s="208" t="s">
        <v>21437</v>
      </c>
      <c r="GF18" s="208" t="s">
        <v>21436</v>
      </c>
      <c r="GG18" s="208">
        <v>27.5</v>
      </c>
      <c r="GH18" s="208">
        <v>27.5</v>
      </c>
      <c r="GI18" s="208">
        <v>27.5</v>
      </c>
      <c r="GJ18" s="208">
        <v>0</v>
      </c>
      <c r="GK18" s="208">
        <v>0</v>
      </c>
      <c r="GL18" s="208">
        <v>0</v>
      </c>
      <c r="GM18" s="208" t="s">
        <v>21437</v>
      </c>
      <c r="GN18" s="208" t="s">
        <v>21313</v>
      </c>
      <c r="GO18" s="208">
        <v>0</v>
      </c>
      <c r="GP18" s="208">
        <v>0</v>
      </c>
      <c r="GQ18" s="208">
        <v>0</v>
      </c>
      <c r="GR18" s="208">
        <v>0</v>
      </c>
      <c r="GS18" s="208">
        <v>0</v>
      </c>
      <c r="GT18" s="208">
        <v>0</v>
      </c>
      <c r="GU18" s="208" t="s">
        <v>21313</v>
      </c>
      <c r="GV18" s="208" t="s">
        <v>21313</v>
      </c>
      <c r="GW18" s="208">
        <v>0</v>
      </c>
      <c r="GX18" s="208">
        <v>0</v>
      </c>
      <c r="GY18" s="208">
        <v>0</v>
      </c>
      <c r="GZ18" s="208">
        <v>0</v>
      </c>
      <c r="HA18" s="208">
        <v>0</v>
      </c>
      <c r="HB18" s="208">
        <v>0</v>
      </c>
      <c r="HC18" s="208" t="s">
        <v>21313</v>
      </c>
      <c r="HD18" s="208" t="s">
        <v>21313</v>
      </c>
      <c r="HE18" s="208">
        <v>0</v>
      </c>
      <c r="HF18" s="208">
        <v>0</v>
      </c>
      <c r="HG18" s="208">
        <v>0</v>
      </c>
      <c r="HH18" s="208">
        <v>0</v>
      </c>
      <c r="HI18" s="208">
        <v>0</v>
      </c>
      <c r="HJ18" s="208">
        <v>0</v>
      </c>
      <c r="HK18" s="208" t="s">
        <v>21313</v>
      </c>
      <c r="HL18" s="208" t="s">
        <v>21313</v>
      </c>
      <c r="HM18" s="208">
        <v>0</v>
      </c>
      <c r="HN18" s="208">
        <v>0</v>
      </c>
      <c r="HO18" s="208">
        <v>0</v>
      </c>
      <c r="HP18" s="208">
        <v>0</v>
      </c>
      <c r="HQ18" s="208">
        <v>0</v>
      </c>
      <c r="HR18" s="208">
        <v>0</v>
      </c>
      <c r="HS18" s="208" t="s">
        <v>21313</v>
      </c>
      <c r="HT18" s="208" t="s">
        <v>21333</v>
      </c>
      <c r="HU18" s="208">
        <v>27.5</v>
      </c>
      <c r="HV18" s="208">
        <v>27.5</v>
      </c>
      <c r="HW18" s="208">
        <v>0</v>
      </c>
      <c r="HX18" s="208">
        <v>0</v>
      </c>
      <c r="HY18" s="208">
        <v>0</v>
      </c>
      <c r="HZ18" s="208">
        <v>0</v>
      </c>
      <c r="IA18" s="600">
        <v>27.5</v>
      </c>
      <c r="IB18" s="600">
        <v>3.5</v>
      </c>
      <c r="IC18" s="343" t="s">
        <v>21035</v>
      </c>
      <c r="ID18" s="343" t="s">
        <v>21438</v>
      </c>
      <c r="IE18" s="343" t="s">
        <v>21335</v>
      </c>
      <c r="IF18" s="343" t="s">
        <v>21336</v>
      </c>
      <c r="IG18" s="383">
        <v>43756</v>
      </c>
      <c r="IH18" s="383">
        <v>45583</v>
      </c>
      <c r="II18" s="208">
        <v>37</v>
      </c>
    </row>
    <row r="19" ht="165.75">
      <c r="A19" s="207">
        <v>18</v>
      </c>
      <c r="B19" s="343" t="s">
        <v>21298</v>
      </c>
      <c r="C19" s="343" t="s">
        <v>21298</v>
      </c>
      <c r="D19" s="600" t="s">
        <v>21165</v>
      </c>
      <c r="E19" s="317" t="s">
        <v>21166</v>
      </c>
      <c r="F19" s="207" t="s">
        <v>20855</v>
      </c>
      <c r="G19" s="600">
        <v>105.840384</v>
      </c>
      <c r="H19" s="600">
        <v>20.962545</v>
      </c>
      <c r="I19" s="207">
        <v>1</v>
      </c>
      <c r="J19" s="207">
        <v>2</v>
      </c>
      <c r="K19" s="207" t="s">
        <v>21337</v>
      </c>
      <c r="L19" s="207" t="s">
        <v>21439</v>
      </c>
      <c r="M19" s="207" t="s">
        <v>21339</v>
      </c>
      <c r="N19" s="207" t="s">
        <v>21340</v>
      </c>
      <c r="O19" s="207" t="s">
        <v>21341</v>
      </c>
      <c r="P19" s="207" t="s">
        <v>21342</v>
      </c>
      <c r="Q19" s="207" t="s">
        <v>21343</v>
      </c>
      <c r="R19" s="207" t="s">
        <v>21440</v>
      </c>
      <c r="S19" s="364" t="b">
        <v>1</v>
      </c>
      <c r="T19" s="207" t="s">
        <v>21167</v>
      </c>
      <c r="U19" s="207">
        <v>0</v>
      </c>
      <c r="V19" s="207" t="s">
        <v>21307</v>
      </c>
      <c r="W19" s="207" t="s">
        <v>21168</v>
      </c>
      <c r="X19" s="209" t="s">
        <v>21308</v>
      </c>
      <c r="Y19" s="207" t="b">
        <v>0</v>
      </c>
      <c r="Z19" s="364" t="b">
        <v>0</v>
      </c>
      <c r="AA19" s="600">
        <v>22</v>
      </c>
      <c r="AB19" s="364" t="b">
        <v>1</v>
      </c>
      <c r="AC19" s="600">
        <v>12</v>
      </c>
      <c r="AD19" s="207" t="b">
        <v>0</v>
      </c>
      <c r="AE19" s="207" t="s">
        <v>21309</v>
      </c>
      <c r="AF19" s="207" t="s">
        <v>21310</v>
      </c>
      <c r="AG19" s="343" t="s">
        <v>21311</v>
      </c>
      <c r="AH19" s="343" t="s">
        <v>21312</v>
      </c>
      <c r="AI19" s="343" t="s">
        <v>21054</v>
      </c>
      <c r="AJ19" s="343" t="s">
        <v>21313</v>
      </c>
      <c r="AK19" s="343" t="s">
        <v>21314</v>
      </c>
      <c r="AL19" s="208"/>
      <c r="AM19" s="208" t="s">
        <v>21315</v>
      </c>
      <c r="AN19" s="208" t="s">
        <v>21316</v>
      </c>
      <c r="AO19" s="207">
        <v>5</v>
      </c>
      <c r="AP19" s="287" t="s">
        <v>21317</v>
      </c>
      <c r="AQ19" s="448" t="s">
        <v>21406</v>
      </c>
      <c r="AR19" s="448" t="s">
        <v>21407</v>
      </c>
      <c r="AS19" s="449" t="s">
        <v>10</v>
      </c>
      <c r="AT19" s="208" t="s">
        <v>21316</v>
      </c>
      <c r="AU19" s="208" t="s">
        <v>21316</v>
      </c>
      <c r="AV19" s="208" t="s">
        <v>21313</v>
      </c>
      <c r="AW19" s="208" t="s">
        <v>21313</v>
      </c>
      <c r="AX19" s="208" t="s">
        <v>21313</v>
      </c>
      <c r="AY19" s="208" t="s">
        <v>21313</v>
      </c>
      <c r="AZ19" s="208" t="s">
        <v>21298</v>
      </c>
      <c r="BA19" s="208" t="s">
        <v>21298</v>
      </c>
      <c r="BB19" s="208" t="s">
        <v>21313</v>
      </c>
      <c r="BC19" s="208" t="s">
        <v>21313</v>
      </c>
      <c r="BD19" s="208" t="s">
        <v>21313</v>
      </c>
      <c r="BE19" s="208" t="s">
        <v>21313</v>
      </c>
      <c r="BF19" s="208" t="s">
        <v>21346</v>
      </c>
      <c r="BG19" s="208" t="s">
        <v>21165</v>
      </c>
      <c r="BH19" s="208" t="s">
        <v>21165</v>
      </c>
      <c r="BI19" s="208" t="s">
        <v>21313</v>
      </c>
      <c r="BJ19" s="208" t="s">
        <v>21313</v>
      </c>
      <c r="BK19" s="208" t="s">
        <v>21313</v>
      </c>
      <c r="BL19" s="208" t="s">
        <v>21313</v>
      </c>
      <c r="BM19" s="208" t="s">
        <v>21322</v>
      </c>
      <c r="BN19" s="208" t="s">
        <v>21323</v>
      </c>
      <c r="BO19" s="208" t="s">
        <v>21313</v>
      </c>
      <c r="BP19" s="208" t="s">
        <v>21313</v>
      </c>
      <c r="BQ19" s="208" t="s">
        <v>21313</v>
      </c>
      <c r="BR19" s="208" t="s">
        <v>21313</v>
      </c>
      <c r="BS19" s="208">
        <v>3</v>
      </c>
      <c r="BT19" s="208">
        <v>3</v>
      </c>
      <c r="BU19" s="208">
        <v>0</v>
      </c>
      <c r="BV19" s="208">
        <v>0</v>
      </c>
      <c r="BW19" s="208">
        <v>0</v>
      </c>
      <c r="BX19" s="208">
        <v>0</v>
      </c>
      <c r="BY19" s="208" t="s">
        <v>21042</v>
      </c>
      <c r="BZ19" s="208">
        <v>2</v>
      </c>
      <c r="CA19" s="208">
        <v>2</v>
      </c>
      <c r="CB19" s="208">
        <v>2</v>
      </c>
      <c r="CC19" s="208">
        <v>0</v>
      </c>
      <c r="CD19" s="208">
        <v>0</v>
      </c>
      <c r="CE19" s="208">
        <v>0</v>
      </c>
      <c r="CF19" s="208" t="s">
        <v>21324</v>
      </c>
      <c r="CG19" s="208">
        <v>1</v>
      </c>
      <c r="CH19" s="208">
        <v>1</v>
      </c>
      <c r="CI19" s="208">
        <v>1</v>
      </c>
      <c r="CJ19" s="208">
        <v>0</v>
      </c>
      <c r="CK19" s="208">
        <v>0</v>
      </c>
      <c r="CL19" s="208">
        <v>0</v>
      </c>
      <c r="CM19" s="208" t="s">
        <v>21313</v>
      </c>
      <c r="CN19" s="208">
        <v>0</v>
      </c>
      <c r="CO19" s="208">
        <v>0</v>
      </c>
      <c r="CP19" s="208">
        <v>0</v>
      </c>
      <c r="CQ19" s="208">
        <v>0</v>
      </c>
      <c r="CR19" s="208">
        <v>0</v>
      </c>
      <c r="CS19" s="208">
        <v>0</v>
      </c>
      <c r="CT19" s="208" t="s">
        <v>21313</v>
      </c>
      <c r="CU19" s="208">
        <v>0</v>
      </c>
      <c r="CV19" s="208">
        <v>0</v>
      </c>
      <c r="CW19" s="208">
        <v>0</v>
      </c>
      <c r="CX19" s="208">
        <v>0</v>
      </c>
      <c r="CY19" s="208">
        <v>0</v>
      </c>
      <c r="CZ19" s="208">
        <v>0</v>
      </c>
      <c r="DA19" s="208" t="s">
        <v>21313</v>
      </c>
      <c r="DB19" s="208">
        <v>0</v>
      </c>
      <c r="DC19" s="208">
        <v>0</v>
      </c>
      <c r="DD19" s="208">
        <v>0</v>
      </c>
      <c r="DE19" s="208">
        <v>0</v>
      </c>
      <c r="DF19" s="208">
        <v>0</v>
      </c>
      <c r="DG19" s="208">
        <v>0</v>
      </c>
      <c r="DH19" s="208" t="s">
        <v>21313</v>
      </c>
      <c r="DI19" s="208">
        <v>0</v>
      </c>
      <c r="DJ19" s="208">
        <v>0</v>
      </c>
      <c r="DK19" s="208">
        <v>0</v>
      </c>
      <c r="DL19" s="208">
        <v>0</v>
      </c>
      <c r="DM19" s="208">
        <v>0</v>
      </c>
      <c r="DN19" s="208">
        <v>0</v>
      </c>
      <c r="DO19" s="208" t="s">
        <v>21327</v>
      </c>
      <c r="DP19" s="208">
        <v>60</v>
      </c>
      <c r="DQ19" s="208">
        <v>60</v>
      </c>
      <c r="DR19" s="208">
        <v>60</v>
      </c>
      <c r="DS19" s="208">
        <v>0</v>
      </c>
      <c r="DT19" s="208">
        <v>0</v>
      </c>
      <c r="DU19" s="208">
        <v>0</v>
      </c>
      <c r="DV19" s="208" t="s">
        <v>21328</v>
      </c>
      <c r="DW19" s="208">
        <v>60</v>
      </c>
      <c r="DX19" s="208" t="s">
        <v>21327</v>
      </c>
      <c r="DY19" s="208">
        <v>60</v>
      </c>
      <c r="DZ19" s="208">
        <v>60</v>
      </c>
      <c r="EA19" s="208">
        <v>60</v>
      </c>
      <c r="EB19" s="208">
        <v>0</v>
      </c>
      <c r="EC19" s="208">
        <v>0</v>
      </c>
      <c r="ED19" s="208">
        <v>0</v>
      </c>
      <c r="EE19" s="208" t="s">
        <v>21328</v>
      </c>
      <c r="EF19" s="208">
        <v>60</v>
      </c>
      <c r="EG19" s="208" t="s">
        <v>21313</v>
      </c>
      <c r="EH19" s="208">
        <v>0</v>
      </c>
      <c r="EI19" s="208">
        <v>0</v>
      </c>
      <c r="EJ19" s="208">
        <v>0</v>
      </c>
      <c r="EK19" s="208">
        <v>0</v>
      </c>
      <c r="EL19" s="208">
        <v>0</v>
      </c>
      <c r="EM19" s="208">
        <v>0</v>
      </c>
      <c r="EN19" s="208" t="s">
        <v>21313</v>
      </c>
      <c r="EO19" s="208">
        <v>0</v>
      </c>
      <c r="EP19" s="208" t="s">
        <v>21313</v>
      </c>
      <c r="EQ19" s="208">
        <v>0</v>
      </c>
      <c r="ER19" s="208">
        <v>0</v>
      </c>
      <c r="ES19" s="208">
        <v>0</v>
      </c>
      <c r="ET19" s="208">
        <v>0</v>
      </c>
      <c r="EU19" s="208">
        <v>0</v>
      </c>
      <c r="EV19" s="208">
        <v>0</v>
      </c>
      <c r="EW19" s="208" t="s">
        <v>21313</v>
      </c>
      <c r="EX19" s="208">
        <v>0</v>
      </c>
      <c r="EY19" s="208" t="s">
        <v>21313</v>
      </c>
      <c r="EZ19" s="208">
        <v>0</v>
      </c>
      <c r="FA19" s="208">
        <v>0</v>
      </c>
      <c r="FB19" s="208">
        <v>0</v>
      </c>
      <c r="FC19" s="208">
        <v>0</v>
      </c>
      <c r="FD19" s="208">
        <v>0</v>
      </c>
      <c r="FE19" s="208">
        <v>0</v>
      </c>
      <c r="FF19" s="208" t="s">
        <v>21313</v>
      </c>
      <c r="FG19" s="208">
        <v>0</v>
      </c>
      <c r="FH19" s="208" t="s">
        <v>21313</v>
      </c>
      <c r="FI19" s="208">
        <v>0</v>
      </c>
      <c r="FJ19" s="208">
        <v>0</v>
      </c>
      <c r="FK19" s="208">
        <v>0</v>
      </c>
      <c r="FL19" s="208">
        <v>0</v>
      </c>
      <c r="FM19" s="208">
        <v>0</v>
      </c>
      <c r="FN19" s="208">
        <v>0</v>
      </c>
      <c r="FO19" s="208" t="s">
        <v>21313</v>
      </c>
      <c r="FP19" s="208">
        <v>0</v>
      </c>
      <c r="FQ19" s="208">
        <v>60</v>
      </c>
      <c r="FR19" s="208" t="s">
        <v>21329</v>
      </c>
      <c r="FS19" s="208" t="s">
        <v>21330</v>
      </c>
      <c r="FT19" s="208" t="s">
        <v>21313</v>
      </c>
      <c r="FU19" s="208" t="s">
        <v>21313</v>
      </c>
      <c r="FV19" s="208" t="s">
        <v>21313</v>
      </c>
      <c r="FW19" s="208" t="s">
        <v>21313</v>
      </c>
      <c r="FX19" s="208" t="s">
        <v>21441</v>
      </c>
      <c r="FY19" s="208">
        <v>22</v>
      </c>
      <c r="FZ19" s="208">
        <v>22</v>
      </c>
      <c r="GA19" s="208">
        <v>22</v>
      </c>
      <c r="GB19" s="208">
        <v>0</v>
      </c>
      <c r="GC19" s="208">
        <v>0</v>
      </c>
      <c r="GD19" s="208">
        <v>0</v>
      </c>
      <c r="GE19" s="208" t="s">
        <v>21442</v>
      </c>
      <c r="GF19" s="208" t="s">
        <v>21441</v>
      </c>
      <c r="GG19" s="208">
        <v>22</v>
      </c>
      <c r="GH19" s="208">
        <v>22</v>
      </c>
      <c r="GI19" s="208">
        <v>22</v>
      </c>
      <c r="GJ19" s="208">
        <v>0</v>
      </c>
      <c r="GK19" s="208">
        <v>0</v>
      </c>
      <c r="GL19" s="208">
        <v>0</v>
      </c>
      <c r="GM19" s="208" t="s">
        <v>21442</v>
      </c>
      <c r="GN19" s="208" t="s">
        <v>21313</v>
      </c>
      <c r="GO19" s="208">
        <v>0</v>
      </c>
      <c r="GP19" s="208">
        <v>0</v>
      </c>
      <c r="GQ19" s="208">
        <v>0</v>
      </c>
      <c r="GR19" s="208">
        <v>0</v>
      </c>
      <c r="GS19" s="208">
        <v>0</v>
      </c>
      <c r="GT19" s="208">
        <v>0</v>
      </c>
      <c r="GU19" s="208" t="s">
        <v>21313</v>
      </c>
      <c r="GV19" s="208" t="s">
        <v>21313</v>
      </c>
      <c r="GW19" s="208">
        <v>0</v>
      </c>
      <c r="GX19" s="208">
        <v>0</v>
      </c>
      <c r="GY19" s="208">
        <v>0</v>
      </c>
      <c r="GZ19" s="208">
        <v>0</v>
      </c>
      <c r="HA19" s="208">
        <v>0</v>
      </c>
      <c r="HB19" s="208">
        <v>0</v>
      </c>
      <c r="HC19" s="208" t="s">
        <v>21313</v>
      </c>
      <c r="HD19" s="208" t="s">
        <v>21313</v>
      </c>
      <c r="HE19" s="208">
        <v>0</v>
      </c>
      <c r="HF19" s="208">
        <v>0</v>
      </c>
      <c r="HG19" s="208">
        <v>0</v>
      </c>
      <c r="HH19" s="208">
        <v>0</v>
      </c>
      <c r="HI19" s="208">
        <v>0</v>
      </c>
      <c r="HJ19" s="208">
        <v>0</v>
      </c>
      <c r="HK19" s="208" t="s">
        <v>21313</v>
      </c>
      <c r="HL19" s="208" t="s">
        <v>21313</v>
      </c>
      <c r="HM19" s="208">
        <v>0</v>
      </c>
      <c r="HN19" s="208">
        <v>0</v>
      </c>
      <c r="HO19" s="208">
        <v>0</v>
      </c>
      <c r="HP19" s="208">
        <v>0</v>
      </c>
      <c r="HQ19" s="208">
        <v>0</v>
      </c>
      <c r="HR19" s="208">
        <v>0</v>
      </c>
      <c r="HS19" s="208" t="s">
        <v>21313</v>
      </c>
      <c r="HT19" s="208" t="s">
        <v>21333</v>
      </c>
      <c r="HU19" s="208">
        <v>22</v>
      </c>
      <c r="HV19" s="208">
        <v>22</v>
      </c>
      <c r="HW19" s="208">
        <v>0</v>
      </c>
      <c r="HX19" s="208">
        <v>0</v>
      </c>
      <c r="HY19" s="208">
        <v>0</v>
      </c>
      <c r="HZ19" s="208">
        <v>0</v>
      </c>
      <c r="IA19" s="600">
        <v>22</v>
      </c>
      <c r="IB19" s="600">
        <v>10</v>
      </c>
      <c r="IC19" s="343" t="s">
        <v>21035</v>
      </c>
      <c r="ID19" s="343" t="s">
        <v>3639</v>
      </c>
      <c r="IE19" s="343" t="s">
        <v>21335</v>
      </c>
      <c r="IF19" s="343" t="s">
        <v>21336</v>
      </c>
      <c r="IG19" s="383">
        <v>43756</v>
      </c>
      <c r="IH19" s="383">
        <v>45583</v>
      </c>
      <c r="II19" s="208">
        <v>37</v>
      </c>
    </row>
    <row r="20" ht="165.75">
      <c r="A20" s="207">
        <v>19</v>
      </c>
      <c r="B20" s="343" t="s">
        <v>21298</v>
      </c>
      <c r="C20" s="343" t="s">
        <v>21298</v>
      </c>
      <c r="D20" s="600" t="s">
        <v>21169</v>
      </c>
      <c r="E20" s="317" t="s">
        <v>21170</v>
      </c>
      <c r="F20" s="207" t="s">
        <v>20855</v>
      </c>
      <c r="G20" s="600">
        <v>105.844472</v>
      </c>
      <c r="H20" s="600">
        <v>20.955057</v>
      </c>
      <c r="I20" s="207">
        <v>1</v>
      </c>
      <c r="J20" s="207">
        <v>2</v>
      </c>
      <c r="K20" s="207" t="s">
        <v>21337</v>
      </c>
      <c r="L20" s="207" t="s">
        <v>21443</v>
      </c>
      <c r="M20" s="207" t="s">
        <v>21339</v>
      </c>
      <c r="N20" s="207" t="s">
        <v>21340</v>
      </c>
      <c r="O20" s="207" t="s">
        <v>21341</v>
      </c>
      <c r="P20" s="207" t="s">
        <v>21342</v>
      </c>
      <c r="Q20" s="207" t="s">
        <v>21343</v>
      </c>
      <c r="R20" s="207" t="s">
        <v>21412</v>
      </c>
      <c r="S20" s="364" t="b">
        <v>1</v>
      </c>
      <c r="T20" s="207" t="s">
        <v>21171</v>
      </c>
      <c r="U20" s="207">
        <v>0</v>
      </c>
      <c r="V20" s="207" t="s">
        <v>21307</v>
      </c>
      <c r="W20" s="207" t="s">
        <v>21172</v>
      </c>
      <c r="X20" s="209" t="s">
        <v>21308</v>
      </c>
      <c r="Y20" s="207" t="b">
        <v>0</v>
      </c>
      <c r="Z20" s="364" t="b">
        <v>0</v>
      </c>
      <c r="AA20" s="600">
        <v>24</v>
      </c>
      <c r="AB20" s="364" t="b">
        <v>1</v>
      </c>
      <c r="AC20" s="600">
        <v>20</v>
      </c>
      <c r="AD20" s="207" t="b">
        <v>0</v>
      </c>
      <c r="AE20" s="207" t="s">
        <v>21309</v>
      </c>
      <c r="AF20" s="207" t="s">
        <v>21310</v>
      </c>
      <c r="AG20" s="343" t="s">
        <v>21311</v>
      </c>
      <c r="AH20" s="343" t="s">
        <v>21312</v>
      </c>
      <c r="AI20" s="343" t="s">
        <v>21054</v>
      </c>
      <c r="AJ20" s="343" t="s">
        <v>21313</v>
      </c>
      <c r="AK20" s="343" t="s">
        <v>21314</v>
      </c>
      <c r="AL20" s="208"/>
      <c r="AM20" s="208" t="s">
        <v>21315</v>
      </c>
      <c r="AN20" s="208" t="s">
        <v>21316</v>
      </c>
      <c r="AO20" s="207">
        <v>6</v>
      </c>
      <c r="AP20" s="287" t="s">
        <v>21317</v>
      </c>
      <c r="AQ20" s="448" t="s">
        <v>21406</v>
      </c>
      <c r="AR20" s="448" t="s">
        <v>21407</v>
      </c>
      <c r="AS20" s="449" t="s">
        <v>10</v>
      </c>
      <c r="AT20" s="208" t="s">
        <v>21316</v>
      </c>
      <c r="AU20" s="208" t="s">
        <v>21316</v>
      </c>
      <c r="AV20" s="208" t="s">
        <v>21313</v>
      </c>
      <c r="AW20" s="208" t="s">
        <v>21313</v>
      </c>
      <c r="AX20" s="208" t="s">
        <v>21313</v>
      </c>
      <c r="AY20" s="208" t="s">
        <v>21313</v>
      </c>
      <c r="AZ20" s="208" t="s">
        <v>21298</v>
      </c>
      <c r="BA20" s="208" t="s">
        <v>21298</v>
      </c>
      <c r="BB20" s="208" t="s">
        <v>21313</v>
      </c>
      <c r="BC20" s="208" t="s">
        <v>21313</v>
      </c>
      <c r="BD20" s="208" t="s">
        <v>21313</v>
      </c>
      <c r="BE20" s="208" t="s">
        <v>21313</v>
      </c>
      <c r="BF20" s="208" t="s">
        <v>21346</v>
      </c>
      <c r="BG20" s="208" t="s">
        <v>21169</v>
      </c>
      <c r="BH20" s="208" t="s">
        <v>21169</v>
      </c>
      <c r="BI20" s="208" t="s">
        <v>21313</v>
      </c>
      <c r="BJ20" s="208" t="s">
        <v>21313</v>
      </c>
      <c r="BK20" s="208" t="s">
        <v>21313</v>
      </c>
      <c r="BL20" s="208" t="s">
        <v>21313</v>
      </c>
      <c r="BM20" s="208" t="s">
        <v>21322</v>
      </c>
      <c r="BN20" s="208" t="s">
        <v>21323</v>
      </c>
      <c r="BO20" s="208" t="s">
        <v>21313</v>
      </c>
      <c r="BP20" s="208" t="s">
        <v>21313</v>
      </c>
      <c r="BQ20" s="208" t="s">
        <v>21313</v>
      </c>
      <c r="BR20" s="208" t="s">
        <v>21313</v>
      </c>
      <c r="BS20" s="208">
        <v>3</v>
      </c>
      <c r="BT20" s="208">
        <v>3</v>
      </c>
      <c r="BU20" s="208">
        <v>0</v>
      </c>
      <c r="BV20" s="208">
        <v>0</v>
      </c>
      <c r="BW20" s="208">
        <v>0</v>
      </c>
      <c r="BX20" s="208">
        <v>0</v>
      </c>
      <c r="BY20" s="208" t="s">
        <v>21042</v>
      </c>
      <c r="BZ20" s="208">
        <v>2</v>
      </c>
      <c r="CA20" s="208">
        <v>2</v>
      </c>
      <c r="CB20" s="208">
        <v>2</v>
      </c>
      <c r="CC20" s="208">
        <v>0</v>
      </c>
      <c r="CD20" s="208">
        <v>0</v>
      </c>
      <c r="CE20" s="208">
        <v>0</v>
      </c>
      <c r="CF20" s="208" t="s">
        <v>21324</v>
      </c>
      <c r="CG20" s="208">
        <v>1</v>
      </c>
      <c r="CH20" s="208">
        <v>1</v>
      </c>
      <c r="CI20" s="208">
        <v>1</v>
      </c>
      <c r="CJ20" s="208">
        <v>0</v>
      </c>
      <c r="CK20" s="208">
        <v>0</v>
      </c>
      <c r="CL20" s="208">
        <v>0</v>
      </c>
      <c r="CM20" s="208" t="s">
        <v>21313</v>
      </c>
      <c r="CN20" s="208">
        <v>0</v>
      </c>
      <c r="CO20" s="208">
        <v>0</v>
      </c>
      <c r="CP20" s="208">
        <v>0</v>
      </c>
      <c r="CQ20" s="208">
        <v>0</v>
      </c>
      <c r="CR20" s="208">
        <v>0</v>
      </c>
      <c r="CS20" s="208">
        <v>0</v>
      </c>
      <c r="CT20" s="208" t="s">
        <v>21313</v>
      </c>
      <c r="CU20" s="208">
        <v>0</v>
      </c>
      <c r="CV20" s="208">
        <v>0</v>
      </c>
      <c r="CW20" s="208">
        <v>0</v>
      </c>
      <c r="CX20" s="208">
        <v>0</v>
      </c>
      <c r="CY20" s="208">
        <v>0</v>
      </c>
      <c r="CZ20" s="208">
        <v>0</v>
      </c>
      <c r="DA20" s="208" t="s">
        <v>21313</v>
      </c>
      <c r="DB20" s="208">
        <v>0</v>
      </c>
      <c r="DC20" s="208">
        <v>0</v>
      </c>
      <c r="DD20" s="208">
        <v>0</v>
      </c>
      <c r="DE20" s="208">
        <v>0</v>
      </c>
      <c r="DF20" s="208">
        <v>0</v>
      </c>
      <c r="DG20" s="208">
        <v>0</v>
      </c>
      <c r="DH20" s="208" t="s">
        <v>21313</v>
      </c>
      <c r="DI20" s="208">
        <v>0</v>
      </c>
      <c r="DJ20" s="208">
        <v>0</v>
      </c>
      <c r="DK20" s="208">
        <v>0</v>
      </c>
      <c r="DL20" s="208">
        <v>0</v>
      </c>
      <c r="DM20" s="208">
        <v>0</v>
      </c>
      <c r="DN20" s="208">
        <v>0</v>
      </c>
      <c r="DO20" s="208" t="s">
        <v>21327</v>
      </c>
      <c r="DP20" s="208">
        <v>60</v>
      </c>
      <c r="DQ20" s="208">
        <v>60</v>
      </c>
      <c r="DR20" s="208">
        <v>60</v>
      </c>
      <c r="DS20" s="208">
        <v>0</v>
      </c>
      <c r="DT20" s="208">
        <v>0</v>
      </c>
      <c r="DU20" s="208">
        <v>0</v>
      </c>
      <c r="DV20" s="208" t="s">
        <v>21328</v>
      </c>
      <c r="DW20" s="208">
        <v>60</v>
      </c>
      <c r="DX20" s="208" t="s">
        <v>21327</v>
      </c>
      <c r="DY20" s="208">
        <v>60</v>
      </c>
      <c r="DZ20" s="208">
        <v>60</v>
      </c>
      <c r="EA20" s="208">
        <v>60</v>
      </c>
      <c r="EB20" s="208">
        <v>0</v>
      </c>
      <c r="EC20" s="208">
        <v>0</v>
      </c>
      <c r="ED20" s="208">
        <v>0</v>
      </c>
      <c r="EE20" s="208" t="s">
        <v>21328</v>
      </c>
      <c r="EF20" s="208">
        <v>60</v>
      </c>
      <c r="EG20" s="208" t="s">
        <v>21313</v>
      </c>
      <c r="EH20" s="208">
        <v>0</v>
      </c>
      <c r="EI20" s="208">
        <v>0</v>
      </c>
      <c r="EJ20" s="208">
        <v>0</v>
      </c>
      <c r="EK20" s="208">
        <v>0</v>
      </c>
      <c r="EL20" s="208">
        <v>0</v>
      </c>
      <c r="EM20" s="208">
        <v>0</v>
      </c>
      <c r="EN20" s="208" t="s">
        <v>21313</v>
      </c>
      <c r="EO20" s="208">
        <v>0</v>
      </c>
      <c r="EP20" s="208" t="s">
        <v>21313</v>
      </c>
      <c r="EQ20" s="208">
        <v>0</v>
      </c>
      <c r="ER20" s="208">
        <v>0</v>
      </c>
      <c r="ES20" s="208">
        <v>0</v>
      </c>
      <c r="ET20" s="208">
        <v>0</v>
      </c>
      <c r="EU20" s="208">
        <v>0</v>
      </c>
      <c r="EV20" s="208">
        <v>0</v>
      </c>
      <c r="EW20" s="208" t="s">
        <v>21313</v>
      </c>
      <c r="EX20" s="208">
        <v>0</v>
      </c>
      <c r="EY20" s="208" t="s">
        <v>21313</v>
      </c>
      <c r="EZ20" s="208">
        <v>0</v>
      </c>
      <c r="FA20" s="208">
        <v>0</v>
      </c>
      <c r="FB20" s="208">
        <v>0</v>
      </c>
      <c r="FC20" s="208">
        <v>0</v>
      </c>
      <c r="FD20" s="208">
        <v>0</v>
      </c>
      <c r="FE20" s="208">
        <v>0</v>
      </c>
      <c r="FF20" s="208" t="s">
        <v>21313</v>
      </c>
      <c r="FG20" s="208">
        <v>0</v>
      </c>
      <c r="FH20" s="208" t="s">
        <v>21313</v>
      </c>
      <c r="FI20" s="208">
        <v>0</v>
      </c>
      <c r="FJ20" s="208">
        <v>0</v>
      </c>
      <c r="FK20" s="208">
        <v>0</v>
      </c>
      <c r="FL20" s="208">
        <v>0</v>
      </c>
      <c r="FM20" s="208">
        <v>0</v>
      </c>
      <c r="FN20" s="208">
        <v>0</v>
      </c>
      <c r="FO20" s="208" t="s">
        <v>21313</v>
      </c>
      <c r="FP20" s="208">
        <v>0</v>
      </c>
      <c r="FQ20" s="208">
        <v>60</v>
      </c>
      <c r="FR20" s="208" t="s">
        <v>21329</v>
      </c>
      <c r="FS20" s="208" t="s">
        <v>21330</v>
      </c>
      <c r="FT20" s="208" t="s">
        <v>21313</v>
      </c>
      <c r="FU20" s="208" t="s">
        <v>21313</v>
      </c>
      <c r="FV20" s="208" t="s">
        <v>21313</v>
      </c>
      <c r="FW20" s="208" t="s">
        <v>21313</v>
      </c>
      <c r="FX20" s="208" t="s">
        <v>21414</v>
      </c>
      <c r="FY20" s="208">
        <v>24</v>
      </c>
      <c r="FZ20" s="208">
        <v>24</v>
      </c>
      <c r="GA20" s="208">
        <v>24</v>
      </c>
      <c r="GB20" s="208">
        <v>0</v>
      </c>
      <c r="GC20" s="208">
        <v>0</v>
      </c>
      <c r="GD20" s="208">
        <v>0</v>
      </c>
      <c r="GE20" s="208" t="s">
        <v>21415</v>
      </c>
      <c r="GF20" s="208" t="s">
        <v>21414</v>
      </c>
      <c r="GG20" s="208">
        <v>24</v>
      </c>
      <c r="GH20" s="208">
        <v>24</v>
      </c>
      <c r="GI20" s="208">
        <v>24</v>
      </c>
      <c r="GJ20" s="208">
        <v>0</v>
      </c>
      <c r="GK20" s="208">
        <v>0</v>
      </c>
      <c r="GL20" s="208">
        <v>0</v>
      </c>
      <c r="GM20" s="208" t="s">
        <v>21415</v>
      </c>
      <c r="GN20" s="208" t="s">
        <v>21313</v>
      </c>
      <c r="GO20" s="208">
        <v>0</v>
      </c>
      <c r="GP20" s="208">
        <v>0</v>
      </c>
      <c r="GQ20" s="208">
        <v>0</v>
      </c>
      <c r="GR20" s="208">
        <v>0</v>
      </c>
      <c r="GS20" s="208">
        <v>0</v>
      </c>
      <c r="GT20" s="208">
        <v>0</v>
      </c>
      <c r="GU20" s="208" t="s">
        <v>21313</v>
      </c>
      <c r="GV20" s="208" t="s">
        <v>21313</v>
      </c>
      <c r="GW20" s="208">
        <v>0</v>
      </c>
      <c r="GX20" s="208">
        <v>0</v>
      </c>
      <c r="GY20" s="208">
        <v>0</v>
      </c>
      <c r="GZ20" s="208">
        <v>0</v>
      </c>
      <c r="HA20" s="208">
        <v>0</v>
      </c>
      <c r="HB20" s="208">
        <v>0</v>
      </c>
      <c r="HC20" s="208" t="s">
        <v>21313</v>
      </c>
      <c r="HD20" s="208" t="s">
        <v>21313</v>
      </c>
      <c r="HE20" s="208">
        <v>0</v>
      </c>
      <c r="HF20" s="208">
        <v>0</v>
      </c>
      <c r="HG20" s="208">
        <v>0</v>
      </c>
      <c r="HH20" s="208">
        <v>0</v>
      </c>
      <c r="HI20" s="208">
        <v>0</v>
      </c>
      <c r="HJ20" s="208">
        <v>0</v>
      </c>
      <c r="HK20" s="208" t="s">
        <v>21313</v>
      </c>
      <c r="HL20" s="208" t="s">
        <v>21313</v>
      </c>
      <c r="HM20" s="208">
        <v>0</v>
      </c>
      <c r="HN20" s="208">
        <v>0</v>
      </c>
      <c r="HO20" s="208">
        <v>0</v>
      </c>
      <c r="HP20" s="208">
        <v>0</v>
      </c>
      <c r="HQ20" s="208">
        <v>0</v>
      </c>
      <c r="HR20" s="208">
        <v>0</v>
      </c>
      <c r="HS20" s="208" t="s">
        <v>21313</v>
      </c>
      <c r="HT20" s="208" t="s">
        <v>21333</v>
      </c>
      <c r="HU20" s="208">
        <v>24</v>
      </c>
      <c r="HV20" s="208">
        <v>24</v>
      </c>
      <c r="HW20" s="208">
        <v>0</v>
      </c>
      <c r="HX20" s="208">
        <v>0</v>
      </c>
      <c r="HY20" s="208">
        <v>0</v>
      </c>
      <c r="HZ20" s="208">
        <v>0</v>
      </c>
      <c r="IA20" s="600">
        <v>24</v>
      </c>
      <c r="IB20" s="600">
        <v>4</v>
      </c>
      <c r="IC20" s="343" t="s">
        <v>21035</v>
      </c>
      <c r="ID20" s="343" t="s">
        <v>21444</v>
      </c>
      <c r="IE20" s="343" t="s">
        <v>21335</v>
      </c>
      <c r="IF20" s="343" t="s">
        <v>21336</v>
      </c>
      <c r="IG20" s="383">
        <v>43756</v>
      </c>
      <c r="IH20" s="383">
        <v>45583</v>
      </c>
      <c r="II20" s="208">
        <v>37</v>
      </c>
    </row>
    <row r="21" ht="76.5">
      <c r="A21" s="207">
        <v>20</v>
      </c>
      <c r="B21" s="343" t="s">
        <v>21298</v>
      </c>
      <c r="C21" s="343" t="s">
        <v>21298</v>
      </c>
      <c r="D21" s="600" t="s">
        <v>21173</v>
      </c>
      <c r="E21" s="317" t="s">
        <v>21174</v>
      </c>
      <c r="F21" s="207" t="s">
        <v>20855</v>
      </c>
      <c r="G21" s="600">
        <v>105.845611</v>
      </c>
      <c r="H21" s="600">
        <v>20.936085</v>
      </c>
      <c r="I21" s="207">
        <v>1</v>
      </c>
      <c r="J21" s="207">
        <v>2</v>
      </c>
      <c r="K21" s="207" t="s">
        <v>21337</v>
      </c>
      <c r="L21" s="207" t="s">
        <v>21445</v>
      </c>
      <c r="M21" s="207" t="s">
        <v>21401</v>
      </c>
      <c r="N21" s="207" t="s">
        <v>21340</v>
      </c>
      <c r="O21" s="207" t="s">
        <v>21402</v>
      </c>
      <c r="P21" s="207" t="s">
        <v>21403</v>
      </c>
      <c r="Q21" s="207" t="s">
        <v>21446</v>
      </c>
      <c r="R21" s="207" t="s">
        <v>21447</v>
      </c>
      <c r="S21" s="364" t="b">
        <v>1</v>
      </c>
      <c r="T21" s="207" t="s">
        <v>21175</v>
      </c>
      <c r="U21" s="207">
        <v>0</v>
      </c>
      <c r="V21" s="207" t="s">
        <v>21307</v>
      </c>
      <c r="W21" s="207" t="s">
        <v>21176</v>
      </c>
      <c r="X21" s="209" t="s">
        <v>21308</v>
      </c>
      <c r="Y21" s="207" t="b">
        <v>0</v>
      </c>
      <c r="Z21" s="364" t="b">
        <v>0</v>
      </c>
      <c r="AA21" s="600">
        <v>27</v>
      </c>
      <c r="AB21" s="364" t="b">
        <v>1</v>
      </c>
      <c r="AC21" s="600">
        <v>12</v>
      </c>
      <c r="AD21" s="207" t="b">
        <v>0</v>
      </c>
      <c r="AE21" s="207" t="s">
        <v>21309</v>
      </c>
      <c r="AF21" s="207" t="s">
        <v>21310</v>
      </c>
      <c r="AG21" s="343" t="s">
        <v>21311</v>
      </c>
      <c r="AH21" s="343" t="s">
        <v>21312</v>
      </c>
      <c r="AI21" s="343" t="s">
        <v>21054</v>
      </c>
      <c r="AJ21" s="343" t="s">
        <v>21313</v>
      </c>
      <c r="AK21" s="343" t="s">
        <v>21314</v>
      </c>
      <c r="AL21" s="208"/>
      <c r="AM21" s="208" t="s">
        <v>21315</v>
      </c>
      <c r="AN21" s="208" t="s">
        <v>21316</v>
      </c>
      <c r="AO21" s="207">
        <v>5</v>
      </c>
      <c r="AP21" s="287" t="s">
        <v>21317</v>
      </c>
      <c r="AQ21" s="448" t="s">
        <v>21448</v>
      </c>
      <c r="AR21" s="448" t="s">
        <v>21449</v>
      </c>
      <c r="AS21" s="449" t="s">
        <v>10</v>
      </c>
      <c r="AT21" s="208" t="s">
        <v>21316</v>
      </c>
      <c r="AU21" s="208" t="s">
        <v>21316</v>
      </c>
      <c r="AV21" s="208" t="s">
        <v>21313</v>
      </c>
      <c r="AW21" s="208" t="s">
        <v>21313</v>
      </c>
      <c r="AX21" s="208" t="s">
        <v>21313</v>
      </c>
      <c r="AY21" s="208" t="s">
        <v>21313</v>
      </c>
      <c r="AZ21" s="208" t="s">
        <v>21298</v>
      </c>
      <c r="BA21" s="208" t="s">
        <v>21298</v>
      </c>
      <c r="BB21" s="208" t="s">
        <v>21313</v>
      </c>
      <c r="BC21" s="208" t="s">
        <v>21313</v>
      </c>
      <c r="BD21" s="208" t="s">
        <v>21313</v>
      </c>
      <c r="BE21" s="208" t="s">
        <v>21313</v>
      </c>
      <c r="BF21" s="208" t="s">
        <v>21346</v>
      </c>
      <c r="BG21" s="208" t="s">
        <v>21173</v>
      </c>
      <c r="BH21" s="208" t="s">
        <v>21173</v>
      </c>
      <c r="BI21" s="208" t="s">
        <v>21313</v>
      </c>
      <c r="BJ21" s="208" t="s">
        <v>21313</v>
      </c>
      <c r="BK21" s="208" t="s">
        <v>21313</v>
      </c>
      <c r="BL21" s="208" t="s">
        <v>21313</v>
      </c>
      <c r="BM21" s="208" t="s">
        <v>21371</v>
      </c>
      <c r="BN21" s="208" t="s">
        <v>21372</v>
      </c>
      <c r="BO21" s="208" t="s">
        <v>21313</v>
      </c>
      <c r="BP21" s="208" t="s">
        <v>21313</v>
      </c>
      <c r="BQ21" s="208" t="s">
        <v>21313</v>
      </c>
      <c r="BR21" s="208" t="s">
        <v>21313</v>
      </c>
      <c r="BS21" s="208">
        <v>3</v>
      </c>
      <c r="BT21" s="208">
        <v>3</v>
      </c>
      <c r="BU21" s="208">
        <v>0</v>
      </c>
      <c r="BV21" s="208">
        <v>0</v>
      </c>
      <c r="BW21" s="208">
        <v>0</v>
      </c>
      <c r="BX21" s="208">
        <v>0</v>
      </c>
      <c r="BY21" s="208" t="s">
        <v>21042</v>
      </c>
      <c r="BZ21" s="208">
        <v>2</v>
      </c>
      <c r="CA21" s="208">
        <v>2</v>
      </c>
      <c r="CB21" s="208">
        <v>2</v>
      </c>
      <c r="CC21" s="208">
        <v>0</v>
      </c>
      <c r="CD21" s="208">
        <v>0</v>
      </c>
      <c r="CE21" s="208">
        <v>0</v>
      </c>
      <c r="CF21" s="208" t="s">
        <v>21042</v>
      </c>
      <c r="CG21" s="208">
        <v>2</v>
      </c>
      <c r="CH21" s="208">
        <v>2</v>
      </c>
      <c r="CI21" s="208">
        <v>2</v>
      </c>
      <c r="CJ21" s="208">
        <v>0</v>
      </c>
      <c r="CK21" s="208">
        <v>0</v>
      </c>
      <c r="CL21" s="208">
        <v>0</v>
      </c>
      <c r="CM21" s="208" t="s">
        <v>21313</v>
      </c>
      <c r="CN21" s="208">
        <v>0</v>
      </c>
      <c r="CO21" s="208">
        <v>0</v>
      </c>
      <c r="CP21" s="208">
        <v>0</v>
      </c>
      <c r="CQ21" s="208">
        <v>0</v>
      </c>
      <c r="CR21" s="208">
        <v>0</v>
      </c>
      <c r="CS21" s="208">
        <v>0</v>
      </c>
      <c r="CT21" s="208" t="s">
        <v>21313</v>
      </c>
      <c r="CU21" s="208">
        <v>0</v>
      </c>
      <c r="CV21" s="208">
        <v>0</v>
      </c>
      <c r="CW21" s="208">
        <v>0</v>
      </c>
      <c r="CX21" s="208">
        <v>0</v>
      </c>
      <c r="CY21" s="208">
        <v>0</v>
      </c>
      <c r="CZ21" s="208">
        <v>0</v>
      </c>
      <c r="DA21" s="208" t="s">
        <v>21313</v>
      </c>
      <c r="DB21" s="208">
        <v>0</v>
      </c>
      <c r="DC21" s="208">
        <v>0</v>
      </c>
      <c r="DD21" s="208">
        <v>0</v>
      </c>
      <c r="DE21" s="208">
        <v>0</v>
      </c>
      <c r="DF21" s="208">
        <v>0</v>
      </c>
      <c r="DG21" s="208">
        <v>0</v>
      </c>
      <c r="DH21" s="208" t="s">
        <v>21313</v>
      </c>
      <c r="DI21" s="208">
        <v>0</v>
      </c>
      <c r="DJ21" s="208">
        <v>0</v>
      </c>
      <c r="DK21" s="208">
        <v>0</v>
      </c>
      <c r="DL21" s="208">
        <v>0</v>
      </c>
      <c r="DM21" s="208">
        <v>0</v>
      </c>
      <c r="DN21" s="208">
        <v>0</v>
      </c>
      <c r="DO21" s="208" t="s">
        <v>21325</v>
      </c>
      <c r="DP21" s="208">
        <v>80</v>
      </c>
      <c r="DQ21" s="208">
        <v>80</v>
      </c>
      <c r="DR21" s="208">
        <v>80</v>
      </c>
      <c r="DS21" s="208">
        <v>0</v>
      </c>
      <c r="DT21" s="208">
        <v>0</v>
      </c>
      <c r="DU21" s="208">
        <v>0</v>
      </c>
      <c r="DV21" s="208" t="s">
        <v>21326</v>
      </c>
      <c r="DW21" s="208">
        <v>80</v>
      </c>
      <c r="DX21" s="208" t="s">
        <v>21327</v>
      </c>
      <c r="DY21" s="208">
        <v>60</v>
      </c>
      <c r="DZ21" s="208">
        <v>60</v>
      </c>
      <c r="EA21" s="208">
        <v>60</v>
      </c>
      <c r="EB21" s="208">
        <v>0</v>
      </c>
      <c r="EC21" s="208">
        <v>0</v>
      </c>
      <c r="ED21" s="208">
        <v>0</v>
      </c>
      <c r="EE21" s="208" t="s">
        <v>21328</v>
      </c>
      <c r="EF21" s="208">
        <v>60</v>
      </c>
      <c r="EG21" s="208" t="s">
        <v>21313</v>
      </c>
      <c r="EH21" s="208">
        <v>0</v>
      </c>
      <c r="EI21" s="208">
        <v>0</v>
      </c>
      <c r="EJ21" s="208">
        <v>0</v>
      </c>
      <c r="EK21" s="208">
        <v>0</v>
      </c>
      <c r="EL21" s="208">
        <v>0</v>
      </c>
      <c r="EM21" s="208">
        <v>0</v>
      </c>
      <c r="EN21" s="208" t="s">
        <v>21313</v>
      </c>
      <c r="EO21" s="208">
        <v>0</v>
      </c>
      <c r="EP21" s="208" t="s">
        <v>21313</v>
      </c>
      <c r="EQ21" s="208">
        <v>0</v>
      </c>
      <c r="ER21" s="208">
        <v>0</v>
      </c>
      <c r="ES21" s="208">
        <v>0</v>
      </c>
      <c r="ET21" s="208">
        <v>0</v>
      </c>
      <c r="EU21" s="208">
        <v>0</v>
      </c>
      <c r="EV21" s="208">
        <v>0</v>
      </c>
      <c r="EW21" s="208" t="s">
        <v>21313</v>
      </c>
      <c r="EX21" s="208">
        <v>0</v>
      </c>
      <c r="EY21" s="208" t="s">
        <v>21313</v>
      </c>
      <c r="EZ21" s="208">
        <v>0</v>
      </c>
      <c r="FA21" s="208">
        <v>0</v>
      </c>
      <c r="FB21" s="208">
        <v>0</v>
      </c>
      <c r="FC21" s="208">
        <v>0</v>
      </c>
      <c r="FD21" s="208">
        <v>0</v>
      </c>
      <c r="FE21" s="208">
        <v>0</v>
      </c>
      <c r="FF21" s="208" t="s">
        <v>21313</v>
      </c>
      <c r="FG21" s="208">
        <v>0</v>
      </c>
      <c r="FH21" s="208" t="s">
        <v>21313</v>
      </c>
      <c r="FI21" s="208">
        <v>0</v>
      </c>
      <c r="FJ21" s="208">
        <v>0</v>
      </c>
      <c r="FK21" s="208">
        <v>0</v>
      </c>
      <c r="FL21" s="208">
        <v>0</v>
      </c>
      <c r="FM21" s="208">
        <v>0</v>
      </c>
      <c r="FN21" s="208">
        <v>0</v>
      </c>
      <c r="FO21" s="208" t="s">
        <v>21313</v>
      </c>
      <c r="FP21" s="208">
        <v>0</v>
      </c>
      <c r="FQ21" s="208">
        <v>80</v>
      </c>
      <c r="FR21" s="208" t="s">
        <v>19816</v>
      </c>
      <c r="FS21" s="208" t="s">
        <v>21329</v>
      </c>
      <c r="FT21" s="208" t="s">
        <v>21313</v>
      </c>
      <c r="FU21" s="208" t="s">
        <v>21313</v>
      </c>
      <c r="FV21" s="208" t="s">
        <v>21313</v>
      </c>
      <c r="FW21" s="208" t="s">
        <v>21313</v>
      </c>
      <c r="FX21" s="208" t="s">
        <v>21450</v>
      </c>
      <c r="FY21" s="208">
        <v>27</v>
      </c>
      <c r="FZ21" s="208">
        <v>27</v>
      </c>
      <c r="GA21" s="208">
        <v>27</v>
      </c>
      <c r="GB21" s="208">
        <v>0</v>
      </c>
      <c r="GC21" s="208">
        <v>0</v>
      </c>
      <c r="GD21" s="208">
        <v>0</v>
      </c>
      <c r="GE21" s="208" t="s">
        <v>21451</v>
      </c>
      <c r="GF21" s="208" t="s">
        <v>21450</v>
      </c>
      <c r="GG21" s="208">
        <v>27</v>
      </c>
      <c r="GH21" s="208">
        <v>27</v>
      </c>
      <c r="GI21" s="208">
        <v>27</v>
      </c>
      <c r="GJ21" s="208">
        <v>0</v>
      </c>
      <c r="GK21" s="208">
        <v>0</v>
      </c>
      <c r="GL21" s="208">
        <v>0</v>
      </c>
      <c r="GM21" s="208" t="s">
        <v>21451</v>
      </c>
      <c r="GN21" s="208" t="s">
        <v>21313</v>
      </c>
      <c r="GO21" s="208">
        <v>0</v>
      </c>
      <c r="GP21" s="208">
        <v>0</v>
      </c>
      <c r="GQ21" s="208">
        <v>0</v>
      </c>
      <c r="GR21" s="208">
        <v>0</v>
      </c>
      <c r="GS21" s="208">
        <v>0</v>
      </c>
      <c r="GT21" s="208">
        <v>0</v>
      </c>
      <c r="GU21" s="208" t="s">
        <v>21313</v>
      </c>
      <c r="GV21" s="208" t="s">
        <v>21313</v>
      </c>
      <c r="GW21" s="208">
        <v>0</v>
      </c>
      <c r="GX21" s="208">
        <v>0</v>
      </c>
      <c r="GY21" s="208">
        <v>0</v>
      </c>
      <c r="GZ21" s="208">
        <v>0</v>
      </c>
      <c r="HA21" s="208">
        <v>0</v>
      </c>
      <c r="HB21" s="208">
        <v>0</v>
      </c>
      <c r="HC21" s="208" t="s">
        <v>21313</v>
      </c>
      <c r="HD21" s="208" t="s">
        <v>21313</v>
      </c>
      <c r="HE21" s="208">
        <v>0</v>
      </c>
      <c r="HF21" s="208">
        <v>0</v>
      </c>
      <c r="HG21" s="208">
        <v>0</v>
      </c>
      <c r="HH21" s="208">
        <v>0</v>
      </c>
      <c r="HI21" s="208">
        <v>0</v>
      </c>
      <c r="HJ21" s="208">
        <v>0</v>
      </c>
      <c r="HK21" s="208" t="s">
        <v>21313</v>
      </c>
      <c r="HL21" s="208" t="s">
        <v>21313</v>
      </c>
      <c r="HM21" s="208">
        <v>0</v>
      </c>
      <c r="HN21" s="208">
        <v>0</v>
      </c>
      <c r="HO21" s="208">
        <v>0</v>
      </c>
      <c r="HP21" s="208">
        <v>0</v>
      </c>
      <c r="HQ21" s="208">
        <v>0</v>
      </c>
      <c r="HR21" s="208">
        <v>0</v>
      </c>
      <c r="HS21" s="208" t="s">
        <v>21313</v>
      </c>
      <c r="HT21" s="208" t="s">
        <v>21333</v>
      </c>
      <c r="HU21" s="208">
        <v>27</v>
      </c>
      <c r="HV21" s="208">
        <v>27</v>
      </c>
      <c r="HW21" s="208">
        <v>0</v>
      </c>
      <c r="HX21" s="208">
        <v>0</v>
      </c>
      <c r="HY21" s="208">
        <v>0</v>
      </c>
      <c r="HZ21" s="208">
        <v>0</v>
      </c>
      <c r="IA21" s="600">
        <v>27</v>
      </c>
      <c r="IB21" s="600">
        <v>15</v>
      </c>
      <c r="IC21" s="343" t="s">
        <v>21035</v>
      </c>
      <c r="ID21" s="343" t="s">
        <v>21452</v>
      </c>
      <c r="IE21" s="343" t="s">
        <v>21335</v>
      </c>
      <c r="IF21" s="343" t="s">
        <v>21336</v>
      </c>
      <c r="IG21" s="383">
        <v>43756</v>
      </c>
      <c r="IH21" s="383">
        <v>45583</v>
      </c>
      <c r="II21" s="208">
        <v>37</v>
      </c>
    </row>
    <row r="22" ht="127.5">
      <c r="A22" s="207">
        <v>21</v>
      </c>
      <c r="B22" s="343" t="s">
        <v>21298</v>
      </c>
      <c r="C22" s="343" t="s">
        <v>21298</v>
      </c>
      <c r="D22" s="600" t="s">
        <v>21177</v>
      </c>
      <c r="E22" s="317" t="s">
        <v>21178</v>
      </c>
      <c r="F22" s="207" t="s">
        <v>20855</v>
      </c>
      <c r="G22" s="600">
        <v>105.84544</v>
      </c>
      <c r="H22" s="600">
        <v>20.94065</v>
      </c>
      <c r="I22" s="207">
        <v>1</v>
      </c>
      <c r="J22" s="207">
        <v>3</v>
      </c>
      <c r="K22" s="207" t="s">
        <v>21299</v>
      </c>
      <c r="L22" s="207" t="s">
        <v>21453</v>
      </c>
      <c r="M22" s="207" t="s">
        <v>21368</v>
      </c>
      <c r="N22" s="207" t="s">
        <v>21302</v>
      </c>
      <c r="O22" s="207" t="s">
        <v>21303</v>
      </c>
      <c r="P22" s="207" t="s">
        <v>21304</v>
      </c>
      <c r="Q22" s="207" t="s">
        <v>21305</v>
      </c>
      <c r="R22" s="207" t="s">
        <v>21454</v>
      </c>
      <c r="S22" s="364" t="b">
        <v>1</v>
      </c>
      <c r="T22" s="207" t="s">
        <v>21179</v>
      </c>
      <c r="U22" s="207">
        <v>0</v>
      </c>
      <c r="V22" s="207" t="s">
        <v>21307</v>
      </c>
      <c r="W22" s="207" t="s">
        <v>21180</v>
      </c>
      <c r="X22" s="209" t="s">
        <v>21308</v>
      </c>
      <c r="Y22" s="207" t="b">
        <v>0</v>
      </c>
      <c r="Z22" s="364" t="b">
        <v>0</v>
      </c>
      <c r="AA22" s="600">
        <v>19</v>
      </c>
      <c r="AB22" s="364" t="b">
        <v>1</v>
      </c>
      <c r="AC22" s="600">
        <v>12</v>
      </c>
      <c r="AD22" s="207" t="b">
        <v>0</v>
      </c>
      <c r="AE22" s="207" t="s">
        <v>21309</v>
      </c>
      <c r="AF22" s="207" t="s">
        <v>21310</v>
      </c>
      <c r="AG22" s="343" t="s">
        <v>21311</v>
      </c>
      <c r="AH22" s="343" t="s">
        <v>21312</v>
      </c>
      <c r="AI22" s="343" t="s">
        <v>21054</v>
      </c>
      <c r="AJ22" s="343" t="s">
        <v>21313</v>
      </c>
      <c r="AK22" s="343" t="s">
        <v>21314</v>
      </c>
      <c r="AL22" s="208"/>
      <c r="AM22" s="208" t="s">
        <v>21315</v>
      </c>
      <c r="AN22" s="208" t="s">
        <v>21316</v>
      </c>
      <c r="AO22" s="207">
        <v>3</v>
      </c>
      <c r="AP22" s="287" t="s">
        <v>21317</v>
      </c>
      <c r="AQ22" s="448" t="s">
        <v>21448</v>
      </c>
      <c r="AR22" s="448" t="s">
        <v>21449</v>
      </c>
      <c r="AS22" s="449" t="s">
        <v>10</v>
      </c>
      <c r="AT22" s="208" t="s">
        <v>21316</v>
      </c>
      <c r="AU22" s="208" t="s">
        <v>21316</v>
      </c>
      <c r="AV22" s="208" t="s">
        <v>21316</v>
      </c>
      <c r="AW22" s="208" t="s">
        <v>21313</v>
      </c>
      <c r="AX22" s="208" t="s">
        <v>21313</v>
      </c>
      <c r="AY22" s="208" t="s">
        <v>21313</v>
      </c>
      <c r="AZ22" s="208" t="s">
        <v>21298</v>
      </c>
      <c r="BA22" s="208" t="s">
        <v>21298</v>
      </c>
      <c r="BB22" s="208" t="s">
        <v>21298</v>
      </c>
      <c r="BC22" s="208" t="s">
        <v>21313</v>
      </c>
      <c r="BD22" s="208" t="s">
        <v>21313</v>
      </c>
      <c r="BE22" s="208" t="s">
        <v>21313</v>
      </c>
      <c r="BF22" s="208" t="s">
        <v>21320</v>
      </c>
      <c r="BG22" s="208" t="s">
        <v>21177</v>
      </c>
      <c r="BH22" s="208" t="s">
        <v>21177</v>
      </c>
      <c r="BI22" s="208" t="s">
        <v>21177</v>
      </c>
      <c r="BJ22" s="208" t="s">
        <v>21313</v>
      </c>
      <c r="BK22" s="208" t="s">
        <v>21313</v>
      </c>
      <c r="BL22" s="208" t="s">
        <v>21313</v>
      </c>
      <c r="BM22" s="208" t="s">
        <v>21371</v>
      </c>
      <c r="BN22" s="208" t="s">
        <v>21372</v>
      </c>
      <c r="BO22" s="208" t="s">
        <v>21323</v>
      </c>
      <c r="BP22" s="208" t="s">
        <v>21313</v>
      </c>
      <c r="BQ22" s="208" t="s">
        <v>21313</v>
      </c>
      <c r="BR22" s="208" t="s">
        <v>21313</v>
      </c>
      <c r="BS22" s="208">
        <v>3</v>
      </c>
      <c r="BT22" s="208">
        <v>3</v>
      </c>
      <c r="BU22" s="208">
        <v>3</v>
      </c>
      <c r="BV22" s="208">
        <v>0</v>
      </c>
      <c r="BW22" s="208">
        <v>0</v>
      </c>
      <c r="BX22" s="208">
        <v>0</v>
      </c>
      <c r="BY22" s="208" t="s">
        <v>21042</v>
      </c>
      <c r="BZ22" s="208">
        <v>2</v>
      </c>
      <c r="CA22" s="208">
        <v>2</v>
      </c>
      <c r="CB22" s="208">
        <v>2</v>
      </c>
      <c r="CC22" s="208">
        <v>0</v>
      </c>
      <c r="CD22" s="208">
        <v>0</v>
      </c>
      <c r="CE22" s="208">
        <v>0</v>
      </c>
      <c r="CF22" s="208" t="s">
        <v>21042</v>
      </c>
      <c r="CG22" s="208">
        <v>2</v>
      </c>
      <c r="CH22" s="208">
        <v>2</v>
      </c>
      <c r="CI22" s="208">
        <v>2</v>
      </c>
      <c r="CJ22" s="208">
        <v>0</v>
      </c>
      <c r="CK22" s="208">
        <v>0</v>
      </c>
      <c r="CL22" s="208">
        <v>0</v>
      </c>
      <c r="CM22" s="208" t="s">
        <v>21324</v>
      </c>
      <c r="CN22" s="208">
        <v>1</v>
      </c>
      <c r="CO22" s="208">
        <v>1</v>
      </c>
      <c r="CP22" s="208">
        <v>1</v>
      </c>
      <c r="CQ22" s="208">
        <v>0</v>
      </c>
      <c r="CR22" s="208">
        <v>0</v>
      </c>
      <c r="CS22" s="208">
        <v>0</v>
      </c>
      <c r="CT22" s="208" t="s">
        <v>21313</v>
      </c>
      <c r="CU22" s="208">
        <v>0</v>
      </c>
      <c r="CV22" s="208">
        <v>0</v>
      </c>
      <c r="CW22" s="208">
        <v>0</v>
      </c>
      <c r="CX22" s="208">
        <v>0</v>
      </c>
      <c r="CY22" s="208">
        <v>0</v>
      </c>
      <c r="CZ22" s="208">
        <v>0</v>
      </c>
      <c r="DA22" s="208" t="s">
        <v>21313</v>
      </c>
      <c r="DB22" s="208">
        <v>0</v>
      </c>
      <c r="DC22" s="208">
        <v>0</v>
      </c>
      <c r="DD22" s="208">
        <v>0</v>
      </c>
      <c r="DE22" s="208">
        <v>0</v>
      </c>
      <c r="DF22" s="208">
        <v>0</v>
      </c>
      <c r="DG22" s="208">
        <v>0</v>
      </c>
      <c r="DH22" s="208" t="s">
        <v>21313</v>
      </c>
      <c r="DI22" s="208">
        <v>0</v>
      </c>
      <c r="DJ22" s="208">
        <v>0</v>
      </c>
      <c r="DK22" s="208">
        <v>0</v>
      </c>
      <c r="DL22" s="208">
        <v>0</v>
      </c>
      <c r="DM22" s="208">
        <v>0</v>
      </c>
      <c r="DN22" s="208">
        <v>0</v>
      </c>
      <c r="DO22" s="208" t="s">
        <v>21325</v>
      </c>
      <c r="DP22" s="208">
        <v>80</v>
      </c>
      <c r="DQ22" s="208">
        <v>80</v>
      </c>
      <c r="DR22" s="208">
        <v>80</v>
      </c>
      <c r="DS22" s="208">
        <v>0</v>
      </c>
      <c r="DT22" s="208">
        <v>0</v>
      </c>
      <c r="DU22" s="208">
        <v>0</v>
      </c>
      <c r="DV22" s="208" t="s">
        <v>21326</v>
      </c>
      <c r="DW22" s="208">
        <v>80</v>
      </c>
      <c r="DX22" s="208" t="s">
        <v>21327</v>
      </c>
      <c r="DY22" s="208">
        <v>60</v>
      </c>
      <c r="DZ22" s="208">
        <v>60</v>
      </c>
      <c r="EA22" s="208">
        <v>60</v>
      </c>
      <c r="EB22" s="208">
        <v>0</v>
      </c>
      <c r="EC22" s="208">
        <v>0</v>
      </c>
      <c r="ED22" s="208">
        <v>0</v>
      </c>
      <c r="EE22" s="208" t="s">
        <v>21328</v>
      </c>
      <c r="EF22" s="208">
        <v>60</v>
      </c>
      <c r="EG22" s="208" t="s">
        <v>21327</v>
      </c>
      <c r="EH22" s="208">
        <v>60</v>
      </c>
      <c r="EI22" s="208">
        <v>60</v>
      </c>
      <c r="EJ22" s="208">
        <v>60</v>
      </c>
      <c r="EK22" s="208">
        <v>0</v>
      </c>
      <c r="EL22" s="208">
        <v>0</v>
      </c>
      <c r="EM22" s="208">
        <v>0</v>
      </c>
      <c r="EN22" s="208" t="s">
        <v>21328</v>
      </c>
      <c r="EO22" s="208">
        <v>60</v>
      </c>
      <c r="EP22" s="208" t="s">
        <v>21313</v>
      </c>
      <c r="EQ22" s="208">
        <v>0</v>
      </c>
      <c r="ER22" s="208">
        <v>0</v>
      </c>
      <c r="ES22" s="208">
        <v>0</v>
      </c>
      <c r="ET22" s="208">
        <v>0</v>
      </c>
      <c r="EU22" s="208">
        <v>0</v>
      </c>
      <c r="EV22" s="208">
        <v>0</v>
      </c>
      <c r="EW22" s="208" t="s">
        <v>21313</v>
      </c>
      <c r="EX22" s="208">
        <v>0</v>
      </c>
      <c r="EY22" s="208" t="s">
        <v>21313</v>
      </c>
      <c r="EZ22" s="208">
        <v>0</v>
      </c>
      <c r="FA22" s="208">
        <v>0</v>
      </c>
      <c r="FB22" s="208">
        <v>0</v>
      </c>
      <c r="FC22" s="208">
        <v>0</v>
      </c>
      <c r="FD22" s="208">
        <v>0</v>
      </c>
      <c r="FE22" s="208">
        <v>0</v>
      </c>
      <c r="FF22" s="208" t="s">
        <v>21313</v>
      </c>
      <c r="FG22" s="208">
        <v>0</v>
      </c>
      <c r="FH22" s="208" t="s">
        <v>21313</v>
      </c>
      <c r="FI22" s="208">
        <v>0</v>
      </c>
      <c r="FJ22" s="208">
        <v>0</v>
      </c>
      <c r="FK22" s="208">
        <v>0</v>
      </c>
      <c r="FL22" s="208">
        <v>0</v>
      </c>
      <c r="FM22" s="208">
        <v>0</v>
      </c>
      <c r="FN22" s="208">
        <v>0</v>
      </c>
      <c r="FO22" s="208" t="s">
        <v>21313</v>
      </c>
      <c r="FP22" s="208">
        <v>0</v>
      </c>
      <c r="FQ22" s="208">
        <v>80</v>
      </c>
      <c r="FR22" s="208" t="s">
        <v>19816</v>
      </c>
      <c r="FS22" s="208" t="s">
        <v>21329</v>
      </c>
      <c r="FT22" s="208" t="s">
        <v>21330</v>
      </c>
      <c r="FU22" s="208" t="s">
        <v>21313</v>
      </c>
      <c r="FV22" s="208" t="s">
        <v>21313</v>
      </c>
      <c r="FW22" s="208" t="s">
        <v>21313</v>
      </c>
      <c r="FX22" s="208" t="s">
        <v>21455</v>
      </c>
      <c r="FY22" s="208">
        <v>21</v>
      </c>
      <c r="FZ22" s="208">
        <v>21</v>
      </c>
      <c r="GA22" s="208">
        <v>21</v>
      </c>
      <c r="GB22" s="208">
        <v>0</v>
      </c>
      <c r="GC22" s="208">
        <v>0</v>
      </c>
      <c r="GD22" s="208">
        <v>0</v>
      </c>
      <c r="GE22" s="208" t="s">
        <v>21456</v>
      </c>
      <c r="GF22" s="208" t="s">
        <v>21457</v>
      </c>
      <c r="GG22" s="208">
        <v>19</v>
      </c>
      <c r="GH22" s="208">
        <v>19</v>
      </c>
      <c r="GI22" s="208">
        <v>19</v>
      </c>
      <c r="GJ22" s="208">
        <v>0</v>
      </c>
      <c r="GK22" s="208">
        <v>0</v>
      </c>
      <c r="GL22" s="208">
        <v>0</v>
      </c>
      <c r="GM22" s="208" t="s">
        <v>21458</v>
      </c>
      <c r="GN22" s="208" t="s">
        <v>21455</v>
      </c>
      <c r="GO22" s="208">
        <v>21</v>
      </c>
      <c r="GP22" s="208">
        <v>21</v>
      </c>
      <c r="GQ22" s="208">
        <v>21</v>
      </c>
      <c r="GR22" s="208">
        <v>0</v>
      </c>
      <c r="GS22" s="208">
        <v>0</v>
      </c>
      <c r="GT22" s="208">
        <v>0</v>
      </c>
      <c r="GU22" s="208" t="s">
        <v>21456</v>
      </c>
      <c r="GV22" s="208" t="s">
        <v>21313</v>
      </c>
      <c r="GW22" s="208">
        <v>0</v>
      </c>
      <c r="GX22" s="208">
        <v>0</v>
      </c>
      <c r="GY22" s="208">
        <v>0</v>
      </c>
      <c r="GZ22" s="208">
        <v>0</v>
      </c>
      <c r="HA22" s="208">
        <v>0</v>
      </c>
      <c r="HB22" s="208">
        <v>0</v>
      </c>
      <c r="HC22" s="208" t="s">
        <v>21313</v>
      </c>
      <c r="HD22" s="208" t="s">
        <v>21313</v>
      </c>
      <c r="HE22" s="208">
        <v>0</v>
      </c>
      <c r="HF22" s="208">
        <v>0</v>
      </c>
      <c r="HG22" s="208">
        <v>0</v>
      </c>
      <c r="HH22" s="208">
        <v>0</v>
      </c>
      <c r="HI22" s="208">
        <v>0</v>
      </c>
      <c r="HJ22" s="208">
        <v>0</v>
      </c>
      <c r="HK22" s="208" t="s">
        <v>21313</v>
      </c>
      <c r="HL22" s="208" t="s">
        <v>21313</v>
      </c>
      <c r="HM22" s="208">
        <v>0</v>
      </c>
      <c r="HN22" s="208">
        <v>0</v>
      </c>
      <c r="HO22" s="208">
        <v>0</v>
      </c>
      <c r="HP22" s="208">
        <v>0</v>
      </c>
      <c r="HQ22" s="208">
        <v>0</v>
      </c>
      <c r="HR22" s="208">
        <v>0</v>
      </c>
      <c r="HS22" s="208" t="s">
        <v>21313</v>
      </c>
      <c r="HT22" s="208" t="s">
        <v>21333</v>
      </c>
      <c r="HU22" s="208">
        <v>21</v>
      </c>
      <c r="HV22" s="208">
        <v>19</v>
      </c>
      <c r="HW22" s="208">
        <v>21</v>
      </c>
      <c r="HX22" s="208">
        <v>0</v>
      </c>
      <c r="HY22" s="208">
        <v>0</v>
      </c>
      <c r="HZ22" s="208">
        <v>0</v>
      </c>
      <c r="IA22" s="600">
        <v>19</v>
      </c>
      <c r="IB22" s="600">
        <v>7</v>
      </c>
      <c r="IC22" s="343" t="s">
        <v>21035</v>
      </c>
      <c r="ID22" s="343" t="s">
        <v>3641</v>
      </c>
      <c r="IE22" s="343" t="s">
        <v>21335</v>
      </c>
      <c r="IF22" s="343" t="s">
        <v>21336</v>
      </c>
      <c r="IG22" s="383">
        <v>43756</v>
      </c>
      <c r="IH22" s="383">
        <v>45583</v>
      </c>
      <c r="II22" s="208">
        <v>37</v>
      </c>
    </row>
    <row r="23" ht="153">
      <c r="A23" s="207">
        <v>22</v>
      </c>
      <c r="B23" s="343" t="s">
        <v>21298</v>
      </c>
      <c r="C23" s="343" t="s">
        <v>21298</v>
      </c>
      <c r="D23" s="600" t="s">
        <v>21181</v>
      </c>
      <c r="E23" s="317" t="s">
        <v>21182</v>
      </c>
      <c r="F23" s="207" t="s">
        <v>20855</v>
      </c>
      <c r="G23" s="600">
        <v>105.830701</v>
      </c>
      <c r="H23" s="600">
        <v>20.93644</v>
      </c>
      <c r="I23" s="207">
        <v>1</v>
      </c>
      <c r="J23" s="207">
        <v>4</v>
      </c>
      <c r="K23" s="207" t="s">
        <v>21459</v>
      </c>
      <c r="L23" s="207" t="s">
        <v>21460</v>
      </c>
      <c r="M23" s="207" t="s">
        <v>21461</v>
      </c>
      <c r="N23" s="207" t="s">
        <v>21462</v>
      </c>
      <c r="O23" s="207" t="s">
        <v>21463</v>
      </c>
      <c r="P23" s="207" t="s">
        <v>21464</v>
      </c>
      <c r="Q23" s="207" t="s">
        <v>21465</v>
      </c>
      <c r="R23" s="207" t="s">
        <v>21466</v>
      </c>
      <c r="S23" s="364" t="b">
        <v>1</v>
      </c>
      <c r="T23" s="207" t="s">
        <v>21183</v>
      </c>
      <c r="U23" s="207">
        <v>0</v>
      </c>
      <c r="V23" s="207" t="s">
        <v>21307</v>
      </c>
      <c r="W23" s="207" t="s">
        <v>21184</v>
      </c>
      <c r="X23" s="209" t="s">
        <v>21308</v>
      </c>
      <c r="Y23" s="207" t="b">
        <v>0</v>
      </c>
      <c r="Z23" s="364" t="b">
        <v>0</v>
      </c>
      <c r="AA23" s="600">
        <v>26</v>
      </c>
      <c r="AB23" s="364" t="b">
        <v>1</v>
      </c>
      <c r="AC23" s="600">
        <v>8</v>
      </c>
      <c r="AD23" s="207" t="b">
        <v>0</v>
      </c>
      <c r="AE23" s="207" t="s">
        <v>21309</v>
      </c>
      <c r="AF23" s="207" t="s">
        <v>21310</v>
      </c>
      <c r="AG23" s="343" t="s">
        <v>21311</v>
      </c>
      <c r="AH23" s="343" t="s">
        <v>21312</v>
      </c>
      <c r="AI23" s="343" t="s">
        <v>21054</v>
      </c>
      <c r="AJ23" s="343" t="s">
        <v>21313</v>
      </c>
      <c r="AK23" s="343" t="s">
        <v>21314</v>
      </c>
      <c r="AL23" s="208"/>
      <c r="AM23" s="208" t="s">
        <v>21315</v>
      </c>
      <c r="AN23" s="208" t="s">
        <v>21316</v>
      </c>
      <c r="AO23" s="207">
        <v>3</v>
      </c>
      <c r="AP23" s="287" t="s">
        <v>21317</v>
      </c>
      <c r="AQ23" s="448" t="s">
        <v>21448</v>
      </c>
      <c r="AR23" s="448" t="s">
        <v>21467</v>
      </c>
      <c r="AS23" s="449" t="s">
        <v>10</v>
      </c>
      <c r="AT23" s="208" t="s">
        <v>21316</v>
      </c>
      <c r="AU23" s="208" t="s">
        <v>21316</v>
      </c>
      <c r="AV23" s="208" t="s">
        <v>21316</v>
      </c>
      <c r="AW23" s="208" t="s">
        <v>21316</v>
      </c>
      <c r="AX23" s="208" t="s">
        <v>21313</v>
      </c>
      <c r="AY23" s="208" t="s">
        <v>21313</v>
      </c>
      <c r="AZ23" s="208" t="s">
        <v>21298</v>
      </c>
      <c r="BA23" s="208" t="s">
        <v>21298</v>
      </c>
      <c r="BB23" s="208" t="s">
        <v>21298</v>
      </c>
      <c r="BC23" s="208" t="s">
        <v>21298</v>
      </c>
      <c r="BD23" s="208" t="s">
        <v>21313</v>
      </c>
      <c r="BE23" s="208" t="s">
        <v>21313</v>
      </c>
      <c r="BF23" s="208" t="s">
        <v>21468</v>
      </c>
      <c r="BG23" s="208" t="s">
        <v>21181</v>
      </c>
      <c r="BH23" s="208" t="s">
        <v>21181</v>
      </c>
      <c r="BI23" s="208" t="s">
        <v>21181</v>
      </c>
      <c r="BJ23" s="208" t="s">
        <v>21181</v>
      </c>
      <c r="BK23" s="208" t="s">
        <v>21313</v>
      </c>
      <c r="BL23" s="208" t="s">
        <v>21313</v>
      </c>
      <c r="BM23" s="208" t="s">
        <v>21371</v>
      </c>
      <c r="BN23" s="208" t="s">
        <v>21371</v>
      </c>
      <c r="BO23" s="208" t="s">
        <v>21372</v>
      </c>
      <c r="BP23" s="208" t="s">
        <v>21323</v>
      </c>
      <c r="BQ23" s="208" t="s">
        <v>21313</v>
      </c>
      <c r="BR23" s="208" t="s">
        <v>21313</v>
      </c>
      <c r="BS23" s="208">
        <v>3</v>
      </c>
      <c r="BT23" s="208">
        <v>3</v>
      </c>
      <c r="BU23" s="208">
        <v>3</v>
      </c>
      <c r="BV23" s="208">
        <v>3</v>
      </c>
      <c r="BW23" s="208">
        <v>0</v>
      </c>
      <c r="BX23" s="208">
        <v>0</v>
      </c>
      <c r="BY23" s="208" t="s">
        <v>21042</v>
      </c>
      <c r="BZ23" s="208">
        <v>2</v>
      </c>
      <c r="CA23" s="208">
        <v>2</v>
      </c>
      <c r="CB23" s="208">
        <v>2</v>
      </c>
      <c r="CC23" s="208">
        <v>0</v>
      </c>
      <c r="CD23" s="208">
        <v>0</v>
      </c>
      <c r="CE23" s="208">
        <v>0</v>
      </c>
      <c r="CF23" s="208" t="s">
        <v>21042</v>
      </c>
      <c r="CG23" s="208">
        <v>2</v>
      </c>
      <c r="CH23" s="208">
        <v>2</v>
      </c>
      <c r="CI23" s="208">
        <v>2</v>
      </c>
      <c r="CJ23" s="208">
        <v>0</v>
      </c>
      <c r="CK23" s="208">
        <v>0</v>
      </c>
      <c r="CL23" s="208">
        <v>0</v>
      </c>
      <c r="CM23" s="208" t="s">
        <v>21042</v>
      </c>
      <c r="CN23" s="208">
        <v>2</v>
      </c>
      <c r="CO23" s="208">
        <v>2</v>
      </c>
      <c r="CP23" s="208">
        <v>2</v>
      </c>
      <c r="CQ23" s="208">
        <v>0</v>
      </c>
      <c r="CR23" s="208">
        <v>0</v>
      </c>
      <c r="CS23" s="208">
        <v>0</v>
      </c>
      <c r="CT23" s="208" t="s">
        <v>21324</v>
      </c>
      <c r="CU23" s="208">
        <v>1</v>
      </c>
      <c r="CV23" s="208">
        <v>1</v>
      </c>
      <c r="CW23" s="208">
        <v>1</v>
      </c>
      <c r="CX23" s="208">
        <v>0</v>
      </c>
      <c r="CY23" s="208">
        <v>0</v>
      </c>
      <c r="CZ23" s="208">
        <v>0</v>
      </c>
      <c r="DA23" s="208" t="s">
        <v>21313</v>
      </c>
      <c r="DB23" s="208">
        <v>0</v>
      </c>
      <c r="DC23" s="208">
        <v>0</v>
      </c>
      <c r="DD23" s="208">
        <v>0</v>
      </c>
      <c r="DE23" s="208">
        <v>0</v>
      </c>
      <c r="DF23" s="208">
        <v>0</v>
      </c>
      <c r="DG23" s="208">
        <v>0</v>
      </c>
      <c r="DH23" s="208" t="s">
        <v>21313</v>
      </c>
      <c r="DI23" s="208">
        <v>0</v>
      </c>
      <c r="DJ23" s="208">
        <v>0</v>
      </c>
      <c r="DK23" s="208">
        <v>0</v>
      </c>
      <c r="DL23" s="208">
        <v>0</v>
      </c>
      <c r="DM23" s="208">
        <v>0</v>
      </c>
      <c r="DN23" s="208">
        <v>0</v>
      </c>
      <c r="DO23" s="208" t="s">
        <v>21325</v>
      </c>
      <c r="DP23" s="208">
        <v>80</v>
      </c>
      <c r="DQ23" s="208">
        <v>80</v>
      </c>
      <c r="DR23" s="208">
        <v>80</v>
      </c>
      <c r="DS23" s="208">
        <v>0</v>
      </c>
      <c r="DT23" s="208">
        <v>0</v>
      </c>
      <c r="DU23" s="208">
        <v>0</v>
      </c>
      <c r="DV23" s="208" t="s">
        <v>21326</v>
      </c>
      <c r="DW23" s="208">
        <v>80</v>
      </c>
      <c r="DX23" s="208" t="s">
        <v>21325</v>
      </c>
      <c r="DY23" s="208">
        <v>80</v>
      </c>
      <c r="DZ23" s="208">
        <v>80</v>
      </c>
      <c r="EA23" s="208">
        <v>80</v>
      </c>
      <c r="EB23" s="208">
        <v>0</v>
      </c>
      <c r="EC23" s="208">
        <v>0</v>
      </c>
      <c r="ED23" s="208">
        <v>0</v>
      </c>
      <c r="EE23" s="208" t="s">
        <v>21326</v>
      </c>
      <c r="EF23" s="208">
        <v>80</v>
      </c>
      <c r="EG23" s="208" t="s">
        <v>21327</v>
      </c>
      <c r="EH23" s="208">
        <v>60</v>
      </c>
      <c r="EI23" s="208">
        <v>60</v>
      </c>
      <c r="EJ23" s="208">
        <v>60</v>
      </c>
      <c r="EK23" s="208">
        <v>0</v>
      </c>
      <c r="EL23" s="208">
        <v>0</v>
      </c>
      <c r="EM23" s="208">
        <v>0</v>
      </c>
      <c r="EN23" s="208" t="s">
        <v>21328</v>
      </c>
      <c r="EO23" s="208">
        <v>60</v>
      </c>
      <c r="EP23" s="208" t="s">
        <v>21327</v>
      </c>
      <c r="EQ23" s="208">
        <v>60</v>
      </c>
      <c r="ER23" s="208">
        <v>60</v>
      </c>
      <c r="ES23" s="208">
        <v>60</v>
      </c>
      <c r="ET23" s="208">
        <v>0</v>
      </c>
      <c r="EU23" s="208">
        <v>0</v>
      </c>
      <c r="EV23" s="208">
        <v>0</v>
      </c>
      <c r="EW23" s="208" t="s">
        <v>21328</v>
      </c>
      <c r="EX23" s="208">
        <v>60</v>
      </c>
      <c r="EY23" s="208" t="s">
        <v>21313</v>
      </c>
      <c r="EZ23" s="208">
        <v>0</v>
      </c>
      <c r="FA23" s="208">
        <v>0</v>
      </c>
      <c r="FB23" s="208">
        <v>0</v>
      </c>
      <c r="FC23" s="208">
        <v>0</v>
      </c>
      <c r="FD23" s="208">
        <v>0</v>
      </c>
      <c r="FE23" s="208">
        <v>0</v>
      </c>
      <c r="FF23" s="208" t="s">
        <v>21313</v>
      </c>
      <c r="FG23" s="208">
        <v>0</v>
      </c>
      <c r="FH23" s="208" t="s">
        <v>21313</v>
      </c>
      <c r="FI23" s="208">
        <v>0</v>
      </c>
      <c r="FJ23" s="208">
        <v>0</v>
      </c>
      <c r="FK23" s="208">
        <v>0</v>
      </c>
      <c r="FL23" s="208">
        <v>0</v>
      </c>
      <c r="FM23" s="208">
        <v>0</v>
      </c>
      <c r="FN23" s="208">
        <v>0</v>
      </c>
      <c r="FO23" s="208" t="s">
        <v>21313</v>
      </c>
      <c r="FP23" s="208">
        <v>0</v>
      </c>
      <c r="FQ23" s="208">
        <v>80</v>
      </c>
      <c r="FR23" s="208" t="s">
        <v>19816</v>
      </c>
      <c r="FS23" s="208" t="s">
        <v>21330</v>
      </c>
      <c r="FT23" s="208" t="s">
        <v>21329</v>
      </c>
      <c r="FU23" s="208" t="s">
        <v>21330</v>
      </c>
      <c r="FV23" s="208" t="s">
        <v>21313</v>
      </c>
      <c r="FW23" s="208" t="s">
        <v>21313</v>
      </c>
      <c r="FX23" s="208" t="s">
        <v>21373</v>
      </c>
      <c r="FY23" s="208">
        <v>26</v>
      </c>
      <c r="FZ23" s="208">
        <v>26</v>
      </c>
      <c r="GA23" s="208">
        <v>26</v>
      </c>
      <c r="GB23" s="208">
        <v>0</v>
      </c>
      <c r="GC23" s="208">
        <v>0</v>
      </c>
      <c r="GD23" s="208">
        <v>0</v>
      </c>
      <c r="GE23" s="208" t="s">
        <v>21374</v>
      </c>
      <c r="GF23" s="208" t="s">
        <v>21373</v>
      </c>
      <c r="GG23" s="208">
        <v>26</v>
      </c>
      <c r="GH23" s="208">
        <v>26</v>
      </c>
      <c r="GI23" s="208">
        <v>26</v>
      </c>
      <c r="GJ23" s="208">
        <v>0</v>
      </c>
      <c r="GK23" s="208">
        <v>0</v>
      </c>
      <c r="GL23" s="208">
        <v>0</v>
      </c>
      <c r="GM23" s="208" t="s">
        <v>21374</v>
      </c>
      <c r="GN23" s="208" t="s">
        <v>21373</v>
      </c>
      <c r="GO23" s="208">
        <v>26</v>
      </c>
      <c r="GP23" s="208">
        <v>26</v>
      </c>
      <c r="GQ23" s="208">
        <v>26</v>
      </c>
      <c r="GR23" s="208">
        <v>0</v>
      </c>
      <c r="GS23" s="208">
        <v>0</v>
      </c>
      <c r="GT23" s="208">
        <v>0</v>
      </c>
      <c r="GU23" s="208" t="s">
        <v>21374</v>
      </c>
      <c r="GV23" s="208" t="s">
        <v>21373</v>
      </c>
      <c r="GW23" s="208">
        <v>26</v>
      </c>
      <c r="GX23" s="208">
        <v>26</v>
      </c>
      <c r="GY23" s="208">
        <v>26</v>
      </c>
      <c r="GZ23" s="208">
        <v>0</v>
      </c>
      <c r="HA23" s="208">
        <v>0</v>
      </c>
      <c r="HB23" s="208">
        <v>0</v>
      </c>
      <c r="HC23" s="208" t="s">
        <v>21374</v>
      </c>
      <c r="HD23" s="208" t="s">
        <v>21313</v>
      </c>
      <c r="HE23" s="208">
        <v>0</v>
      </c>
      <c r="HF23" s="208">
        <v>0</v>
      </c>
      <c r="HG23" s="208">
        <v>0</v>
      </c>
      <c r="HH23" s="208">
        <v>0</v>
      </c>
      <c r="HI23" s="208">
        <v>0</v>
      </c>
      <c r="HJ23" s="208">
        <v>0</v>
      </c>
      <c r="HK23" s="208" t="s">
        <v>21313</v>
      </c>
      <c r="HL23" s="208" t="s">
        <v>21313</v>
      </c>
      <c r="HM23" s="208">
        <v>0</v>
      </c>
      <c r="HN23" s="208">
        <v>0</v>
      </c>
      <c r="HO23" s="208">
        <v>0</v>
      </c>
      <c r="HP23" s="208">
        <v>0</v>
      </c>
      <c r="HQ23" s="208">
        <v>0</v>
      </c>
      <c r="HR23" s="208">
        <v>0</v>
      </c>
      <c r="HS23" s="208" t="s">
        <v>21313</v>
      </c>
      <c r="HT23" s="208" t="s">
        <v>21333</v>
      </c>
      <c r="HU23" s="208">
        <v>26</v>
      </c>
      <c r="HV23" s="208">
        <v>26</v>
      </c>
      <c r="HW23" s="208">
        <v>26</v>
      </c>
      <c r="HX23" s="208">
        <v>26</v>
      </c>
      <c r="HY23" s="208">
        <v>0</v>
      </c>
      <c r="HZ23" s="208">
        <v>0</v>
      </c>
      <c r="IA23" s="600">
        <v>26</v>
      </c>
      <c r="IB23" s="600">
        <v>18</v>
      </c>
      <c r="IC23" s="343" t="s">
        <v>21035</v>
      </c>
      <c r="ID23" s="343" t="s">
        <v>21469</v>
      </c>
      <c r="IE23" s="343" t="s">
        <v>21335</v>
      </c>
      <c r="IF23" s="343" t="s">
        <v>21336</v>
      </c>
      <c r="IG23" s="383">
        <v>43756</v>
      </c>
      <c r="IH23" s="383">
        <v>45583</v>
      </c>
      <c r="II23" s="208">
        <v>37</v>
      </c>
    </row>
    <row r="24" ht="165.75">
      <c r="A24" s="207">
        <v>23</v>
      </c>
      <c r="B24" s="343" t="s">
        <v>21298</v>
      </c>
      <c r="C24" s="343" t="s">
        <v>21298</v>
      </c>
      <c r="D24" s="600" t="s">
        <v>21185</v>
      </c>
      <c r="E24" s="317" t="s">
        <v>21186</v>
      </c>
      <c r="F24" s="207" t="s">
        <v>20855</v>
      </c>
      <c r="G24" s="600">
        <v>105.735023</v>
      </c>
      <c r="H24" s="600">
        <v>20.964811</v>
      </c>
      <c r="I24" s="207">
        <v>1</v>
      </c>
      <c r="J24" s="207">
        <v>2</v>
      </c>
      <c r="K24" s="207" t="s">
        <v>21337</v>
      </c>
      <c r="L24" s="207" t="s">
        <v>21470</v>
      </c>
      <c r="M24" s="207" t="s">
        <v>21339</v>
      </c>
      <c r="N24" s="207" t="s">
        <v>21340</v>
      </c>
      <c r="O24" s="207" t="s">
        <v>21341</v>
      </c>
      <c r="P24" s="207" t="s">
        <v>21342</v>
      </c>
      <c r="Q24" s="207" t="s">
        <v>21343</v>
      </c>
      <c r="R24" s="207" t="s">
        <v>21471</v>
      </c>
      <c r="S24" s="364" t="b">
        <v>1</v>
      </c>
      <c r="T24" s="207" t="s">
        <v>21187</v>
      </c>
      <c r="U24" s="207">
        <v>0</v>
      </c>
      <c r="V24" s="207" t="s">
        <v>21307</v>
      </c>
      <c r="W24" s="207" t="s">
        <v>21188</v>
      </c>
      <c r="X24" s="209" t="s">
        <v>21308</v>
      </c>
      <c r="Y24" s="207" t="b">
        <v>1</v>
      </c>
      <c r="Z24" s="364" t="b">
        <v>1</v>
      </c>
      <c r="AA24" s="600">
        <v>43</v>
      </c>
      <c r="AB24" s="364" t="b">
        <v>1</v>
      </c>
      <c r="AC24" s="600">
        <v>5</v>
      </c>
      <c r="AD24" s="207" t="b">
        <v>0</v>
      </c>
      <c r="AE24" s="207" t="s">
        <v>21309</v>
      </c>
      <c r="AF24" s="207" t="s">
        <v>21310</v>
      </c>
      <c r="AG24" s="343" t="s">
        <v>21311</v>
      </c>
      <c r="AH24" s="343" t="s">
        <v>21312</v>
      </c>
      <c r="AI24" s="343" t="s">
        <v>21054</v>
      </c>
      <c r="AJ24" s="343" t="s">
        <v>21313</v>
      </c>
      <c r="AK24" s="343" t="s">
        <v>21314</v>
      </c>
      <c r="AL24" s="208"/>
      <c r="AM24" s="208" t="s">
        <v>21315</v>
      </c>
      <c r="AN24" s="208" t="s">
        <v>21316</v>
      </c>
      <c r="AO24" s="207">
        <v>3</v>
      </c>
      <c r="AP24" s="287" t="s">
        <v>21317</v>
      </c>
      <c r="AQ24" s="448" t="s">
        <v>21472</v>
      </c>
      <c r="AR24" s="448" t="s">
        <v>21473</v>
      </c>
      <c r="AS24" s="449" t="s">
        <v>10</v>
      </c>
      <c r="AT24" s="208" t="s">
        <v>21316</v>
      </c>
      <c r="AU24" s="208" t="s">
        <v>21316</v>
      </c>
      <c r="AV24" s="208" t="s">
        <v>21313</v>
      </c>
      <c r="AW24" s="208" t="s">
        <v>21313</v>
      </c>
      <c r="AX24" s="208" t="s">
        <v>21313</v>
      </c>
      <c r="AY24" s="208" t="s">
        <v>21313</v>
      </c>
      <c r="AZ24" s="208" t="s">
        <v>21298</v>
      </c>
      <c r="BA24" s="208" t="s">
        <v>21298</v>
      </c>
      <c r="BB24" s="208" t="s">
        <v>21313</v>
      </c>
      <c r="BC24" s="208" t="s">
        <v>21313</v>
      </c>
      <c r="BD24" s="208" t="s">
        <v>21313</v>
      </c>
      <c r="BE24" s="208" t="s">
        <v>21313</v>
      </c>
      <c r="BF24" s="208" t="s">
        <v>21346</v>
      </c>
      <c r="BG24" s="208" t="s">
        <v>21185</v>
      </c>
      <c r="BH24" s="208" t="s">
        <v>21185</v>
      </c>
      <c r="BI24" s="208" t="s">
        <v>21313</v>
      </c>
      <c r="BJ24" s="208" t="s">
        <v>21313</v>
      </c>
      <c r="BK24" s="208" t="s">
        <v>21313</v>
      </c>
      <c r="BL24" s="208" t="s">
        <v>21313</v>
      </c>
      <c r="BM24" s="208" t="s">
        <v>21322</v>
      </c>
      <c r="BN24" s="208" t="s">
        <v>21323</v>
      </c>
      <c r="BO24" s="208" t="s">
        <v>21313</v>
      </c>
      <c r="BP24" s="208" t="s">
        <v>21313</v>
      </c>
      <c r="BQ24" s="208" t="s">
        <v>21313</v>
      </c>
      <c r="BR24" s="208" t="s">
        <v>21313</v>
      </c>
      <c r="BS24" s="208">
        <v>3</v>
      </c>
      <c r="BT24" s="208">
        <v>3</v>
      </c>
      <c r="BU24" s="208">
        <v>0</v>
      </c>
      <c r="BV24" s="208">
        <v>0</v>
      </c>
      <c r="BW24" s="208">
        <v>0</v>
      </c>
      <c r="BX24" s="208">
        <v>0</v>
      </c>
      <c r="BY24" s="208" t="s">
        <v>21042</v>
      </c>
      <c r="BZ24" s="208">
        <v>2</v>
      </c>
      <c r="CA24" s="208">
        <v>2</v>
      </c>
      <c r="CB24" s="208">
        <v>2</v>
      </c>
      <c r="CC24" s="208">
        <v>0</v>
      </c>
      <c r="CD24" s="208">
        <v>0</v>
      </c>
      <c r="CE24" s="208">
        <v>0</v>
      </c>
      <c r="CF24" s="208" t="s">
        <v>21324</v>
      </c>
      <c r="CG24" s="208">
        <v>1</v>
      </c>
      <c r="CH24" s="208">
        <v>1</v>
      </c>
      <c r="CI24" s="208">
        <v>1</v>
      </c>
      <c r="CJ24" s="208">
        <v>0</v>
      </c>
      <c r="CK24" s="208">
        <v>0</v>
      </c>
      <c r="CL24" s="208">
        <v>0</v>
      </c>
      <c r="CM24" s="208" t="s">
        <v>21313</v>
      </c>
      <c r="CN24" s="208">
        <v>0</v>
      </c>
      <c r="CO24" s="208">
        <v>0</v>
      </c>
      <c r="CP24" s="208">
        <v>0</v>
      </c>
      <c r="CQ24" s="208">
        <v>0</v>
      </c>
      <c r="CR24" s="208">
        <v>0</v>
      </c>
      <c r="CS24" s="208">
        <v>0</v>
      </c>
      <c r="CT24" s="208" t="s">
        <v>21313</v>
      </c>
      <c r="CU24" s="208">
        <v>0</v>
      </c>
      <c r="CV24" s="208">
        <v>0</v>
      </c>
      <c r="CW24" s="208">
        <v>0</v>
      </c>
      <c r="CX24" s="208">
        <v>0</v>
      </c>
      <c r="CY24" s="208">
        <v>0</v>
      </c>
      <c r="CZ24" s="208">
        <v>0</v>
      </c>
      <c r="DA24" s="208" t="s">
        <v>21313</v>
      </c>
      <c r="DB24" s="208">
        <v>0</v>
      </c>
      <c r="DC24" s="208">
        <v>0</v>
      </c>
      <c r="DD24" s="208">
        <v>0</v>
      </c>
      <c r="DE24" s="208">
        <v>0</v>
      </c>
      <c r="DF24" s="208">
        <v>0</v>
      </c>
      <c r="DG24" s="208">
        <v>0</v>
      </c>
      <c r="DH24" s="208" t="s">
        <v>21313</v>
      </c>
      <c r="DI24" s="208">
        <v>0</v>
      </c>
      <c r="DJ24" s="208">
        <v>0</v>
      </c>
      <c r="DK24" s="208">
        <v>0</v>
      </c>
      <c r="DL24" s="208">
        <v>0</v>
      </c>
      <c r="DM24" s="208">
        <v>0</v>
      </c>
      <c r="DN24" s="208">
        <v>0</v>
      </c>
      <c r="DO24" s="208" t="s">
        <v>21327</v>
      </c>
      <c r="DP24" s="208">
        <v>60</v>
      </c>
      <c r="DQ24" s="208">
        <v>60</v>
      </c>
      <c r="DR24" s="208">
        <v>60</v>
      </c>
      <c r="DS24" s="208">
        <v>0</v>
      </c>
      <c r="DT24" s="208">
        <v>0</v>
      </c>
      <c r="DU24" s="208">
        <v>0</v>
      </c>
      <c r="DV24" s="208" t="s">
        <v>21328</v>
      </c>
      <c r="DW24" s="208">
        <v>60</v>
      </c>
      <c r="DX24" s="208" t="s">
        <v>21327</v>
      </c>
      <c r="DY24" s="208">
        <v>60</v>
      </c>
      <c r="DZ24" s="208">
        <v>60</v>
      </c>
      <c r="EA24" s="208">
        <v>60</v>
      </c>
      <c r="EB24" s="208">
        <v>0</v>
      </c>
      <c r="EC24" s="208">
        <v>0</v>
      </c>
      <c r="ED24" s="208">
        <v>0</v>
      </c>
      <c r="EE24" s="208" t="s">
        <v>21328</v>
      </c>
      <c r="EF24" s="208">
        <v>60</v>
      </c>
      <c r="EG24" s="208" t="s">
        <v>21313</v>
      </c>
      <c r="EH24" s="208">
        <v>0</v>
      </c>
      <c r="EI24" s="208">
        <v>0</v>
      </c>
      <c r="EJ24" s="208">
        <v>0</v>
      </c>
      <c r="EK24" s="208">
        <v>0</v>
      </c>
      <c r="EL24" s="208">
        <v>0</v>
      </c>
      <c r="EM24" s="208">
        <v>0</v>
      </c>
      <c r="EN24" s="208" t="s">
        <v>21313</v>
      </c>
      <c r="EO24" s="208">
        <v>0</v>
      </c>
      <c r="EP24" s="208" t="s">
        <v>21313</v>
      </c>
      <c r="EQ24" s="208">
        <v>0</v>
      </c>
      <c r="ER24" s="208">
        <v>0</v>
      </c>
      <c r="ES24" s="208">
        <v>0</v>
      </c>
      <c r="ET24" s="208">
        <v>0</v>
      </c>
      <c r="EU24" s="208">
        <v>0</v>
      </c>
      <c r="EV24" s="208">
        <v>0</v>
      </c>
      <c r="EW24" s="208" t="s">
        <v>21313</v>
      </c>
      <c r="EX24" s="208">
        <v>0</v>
      </c>
      <c r="EY24" s="208" t="s">
        <v>21313</v>
      </c>
      <c r="EZ24" s="208">
        <v>0</v>
      </c>
      <c r="FA24" s="208">
        <v>0</v>
      </c>
      <c r="FB24" s="208">
        <v>0</v>
      </c>
      <c r="FC24" s="208">
        <v>0</v>
      </c>
      <c r="FD24" s="208">
        <v>0</v>
      </c>
      <c r="FE24" s="208">
        <v>0</v>
      </c>
      <c r="FF24" s="208" t="s">
        <v>21313</v>
      </c>
      <c r="FG24" s="208">
        <v>0</v>
      </c>
      <c r="FH24" s="208" t="s">
        <v>21313</v>
      </c>
      <c r="FI24" s="208">
        <v>0</v>
      </c>
      <c r="FJ24" s="208">
        <v>0</v>
      </c>
      <c r="FK24" s="208">
        <v>0</v>
      </c>
      <c r="FL24" s="208">
        <v>0</v>
      </c>
      <c r="FM24" s="208">
        <v>0</v>
      </c>
      <c r="FN24" s="208">
        <v>0</v>
      </c>
      <c r="FO24" s="208" t="s">
        <v>21313</v>
      </c>
      <c r="FP24" s="208">
        <v>0</v>
      </c>
      <c r="FQ24" s="208">
        <v>60</v>
      </c>
      <c r="FR24" s="208" t="s">
        <v>21329</v>
      </c>
      <c r="FS24" s="208" t="s">
        <v>21330</v>
      </c>
      <c r="FT24" s="208" t="s">
        <v>21313</v>
      </c>
      <c r="FU24" s="208" t="s">
        <v>21313</v>
      </c>
      <c r="FV24" s="208" t="s">
        <v>21313</v>
      </c>
      <c r="FW24" s="208" t="s">
        <v>21313</v>
      </c>
      <c r="FX24" s="208" t="s">
        <v>21474</v>
      </c>
      <c r="FY24" s="208">
        <v>43</v>
      </c>
      <c r="FZ24" s="208">
        <v>43</v>
      </c>
      <c r="GA24" s="208">
        <v>43</v>
      </c>
      <c r="GB24" s="208">
        <v>0</v>
      </c>
      <c r="GC24" s="208">
        <v>0</v>
      </c>
      <c r="GD24" s="208">
        <v>0</v>
      </c>
      <c r="GE24" s="208" t="s">
        <v>21475</v>
      </c>
      <c r="GF24" s="208" t="s">
        <v>21474</v>
      </c>
      <c r="GG24" s="208">
        <v>43</v>
      </c>
      <c r="GH24" s="208">
        <v>43</v>
      </c>
      <c r="GI24" s="208">
        <v>43</v>
      </c>
      <c r="GJ24" s="208">
        <v>0</v>
      </c>
      <c r="GK24" s="208">
        <v>0</v>
      </c>
      <c r="GL24" s="208">
        <v>0</v>
      </c>
      <c r="GM24" s="208" t="s">
        <v>21475</v>
      </c>
      <c r="GN24" s="208" t="s">
        <v>21313</v>
      </c>
      <c r="GO24" s="208">
        <v>0</v>
      </c>
      <c r="GP24" s="208">
        <v>0</v>
      </c>
      <c r="GQ24" s="208">
        <v>0</v>
      </c>
      <c r="GR24" s="208">
        <v>0</v>
      </c>
      <c r="GS24" s="208">
        <v>0</v>
      </c>
      <c r="GT24" s="208">
        <v>0</v>
      </c>
      <c r="GU24" s="208" t="s">
        <v>21313</v>
      </c>
      <c r="GV24" s="208" t="s">
        <v>21313</v>
      </c>
      <c r="GW24" s="208">
        <v>0</v>
      </c>
      <c r="GX24" s="208">
        <v>0</v>
      </c>
      <c r="GY24" s="208">
        <v>0</v>
      </c>
      <c r="GZ24" s="208">
        <v>0</v>
      </c>
      <c r="HA24" s="208">
        <v>0</v>
      </c>
      <c r="HB24" s="208">
        <v>0</v>
      </c>
      <c r="HC24" s="208" t="s">
        <v>21313</v>
      </c>
      <c r="HD24" s="208" t="s">
        <v>21313</v>
      </c>
      <c r="HE24" s="208">
        <v>0</v>
      </c>
      <c r="HF24" s="208">
        <v>0</v>
      </c>
      <c r="HG24" s="208">
        <v>0</v>
      </c>
      <c r="HH24" s="208">
        <v>0</v>
      </c>
      <c r="HI24" s="208">
        <v>0</v>
      </c>
      <c r="HJ24" s="208">
        <v>0</v>
      </c>
      <c r="HK24" s="208" t="s">
        <v>21313</v>
      </c>
      <c r="HL24" s="208" t="s">
        <v>21313</v>
      </c>
      <c r="HM24" s="208">
        <v>0</v>
      </c>
      <c r="HN24" s="208">
        <v>0</v>
      </c>
      <c r="HO24" s="208">
        <v>0</v>
      </c>
      <c r="HP24" s="208">
        <v>0</v>
      </c>
      <c r="HQ24" s="208">
        <v>0</v>
      </c>
      <c r="HR24" s="208">
        <v>0</v>
      </c>
      <c r="HS24" s="208" t="s">
        <v>21313</v>
      </c>
      <c r="HT24" s="208" t="s">
        <v>21333</v>
      </c>
      <c r="HU24" s="208">
        <v>43</v>
      </c>
      <c r="HV24" s="208">
        <v>43</v>
      </c>
      <c r="HW24" s="208">
        <v>0</v>
      </c>
      <c r="HX24" s="208">
        <v>0</v>
      </c>
      <c r="HY24" s="208">
        <v>0</v>
      </c>
      <c r="HZ24" s="208">
        <v>0</v>
      </c>
      <c r="IA24" s="600">
        <v>43</v>
      </c>
      <c r="IB24" s="600">
        <v>38</v>
      </c>
      <c r="IC24" s="343" t="s">
        <v>21035</v>
      </c>
      <c r="ID24" s="343" t="s">
        <v>21476</v>
      </c>
      <c r="IE24" s="343" t="s">
        <v>21335</v>
      </c>
      <c r="IF24" s="343" t="s">
        <v>21336</v>
      </c>
      <c r="IG24" s="383">
        <v>43756</v>
      </c>
      <c r="IH24" s="383">
        <v>45583</v>
      </c>
      <c r="II24" s="208">
        <v>37</v>
      </c>
    </row>
    <row r="25" ht="165.75">
      <c r="A25" s="207">
        <v>24</v>
      </c>
      <c r="B25" s="343" t="s">
        <v>21298</v>
      </c>
      <c r="C25" s="343" t="s">
        <v>21298</v>
      </c>
      <c r="D25" s="600" t="s">
        <v>21189</v>
      </c>
      <c r="E25" s="317" t="s">
        <v>21190</v>
      </c>
      <c r="F25" s="207" t="s">
        <v>20855</v>
      </c>
      <c r="G25" s="600">
        <v>105.713595</v>
      </c>
      <c r="H25" s="600">
        <v>20.997391</v>
      </c>
      <c r="I25" s="207">
        <v>1</v>
      </c>
      <c r="J25" s="207">
        <v>2</v>
      </c>
      <c r="K25" s="207" t="s">
        <v>21337</v>
      </c>
      <c r="L25" s="207" t="s">
        <v>21477</v>
      </c>
      <c r="M25" s="207" t="s">
        <v>21339</v>
      </c>
      <c r="N25" s="207" t="s">
        <v>21340</v>
      </c>
      <c r="O25" s="207" t="s">
        <v>21341</v>
      </c>
      <c r="P25" s="207" t="s">
        <v>21342</v>
      </c>
      <c r="Q25" s="207" t="s">
        <v>21343</v>
      </c>
      <c r="R25" s="207" t="s">
        <v>21478</v>
      </c>
      <c r="S25" s="364" t="b">
        <v>1</v>
      </c>
      <c r="T25" s="207" t="s">
        <v>21191</v>
      </c>
      <c r="U25" s="207">
        <v>0</v>
      </c>
      <c r="V25" s="207" t="s">
        <v>21307</v>
      </c>
      <c r="W25" s="207" t="s">
        <v>21192</v>
      </c>
      <c r="X25" s="209" t="s">
        <v>21308</v>
      </c>
      <c r="Y25" s="207" t="b">
        <v>1</v>
      </c>
      <c r="Z25" s="364" t="b">
        <v>0</v>
      </c>
      <c r="AA25" s="600">
        <v>28</v>
      </c>
      <c r="AB25" s="364" t="b">
        <v>0</v>
      </c>
      <c r="AC25" s="600">
        <v>0</v>
      </c>
      <c r="AD25" s="207" t="b">
        <v>0</v>
      </c>
      <c r="AE25" s="207" t="s">
        <v>21309</v>
      </c>
      <c r="AF25" s="207" t="s">
        <v>21310</v>
      </c>
      <c r="AG25" s="343" t="s">
        <v>21311</v>
      </c>
      <c r="AH25" s="343" t="s">
        <v>21312</v>
      </c>
      <c r="AI25" s="343" t="s">
        <v>21054</v>
      </c>
      <c r="AJ25" s="343" t="s">
        <v>21313</v>
      </c>
      <c r="AK25" s="343" t="s">
        <v>21314</v>
      </c>
      <c r="AL25" s="208"/>
      <c r="AM25" s="208" t="s">
        <v>21315</v>
      </c>
      <c r="AN25" s="208" t="s">
        <v>21316</v>
      </c>
      <c r="AO25" s="207">
        <v>4</v>
      </c>
      <c r="AP25" s="287" t="s">
        <v>21317</v>
      </c>
      <c r="AQ25" s="448" t="s">
        <v>21472</v>
      </c>
      <c r="AR25" s="448" t="s">
        <v>21479</v>
      </c>
      <c r="AS25" s="449" t="s">
        <v>10</v>
      </c>
      <c r="AT25" s="208" t="s">
        <v>21316</v>
      </c>
      <c r="AU25" s="208" t="s">
        <v>21316</v>
      </c>
      <c r="AV25" s="208" t="s">
        <v>21313</v>
      </c>
      <c r="AW25" s="208" t="s">
        <v>21313</v>
      </c>
      <c r="AX25" s="208" t="s">
        <v>21313</v>
      </c>
      <c r="AY25" s="208" t="s">
        <v>21313</v>
      </c>
      <c r="AZ25" s="208" t="s">
        <v>21298</v>
      </c>
      <c r="BA25" s="208" t="s">
        <v>21298</v>
      </c>
      <c r="BB25" s="208" t="s">
        <v>21313</v>
      </c>
      <c r="BC25" s="208" t="s">
        <v>21313</v>
      </c>
      <c r="BD25" s="208" t="s">
        <v>21313</v>
      </c>
      <c r="BE25" s="208" t="s">
        <v>21313</v>
      </c>
      <c r="BF25" s="208" t="s">
        <v>21346</v>
      </c>
      <c r="BG25" s="208" t="s">
        <v>21189</v>
      </c>
      <c r="BH25" s="208" t="s">
        <v>21189</v>
      </c>
      <c r="BI25" s="208" t="s">
        <v>21313</v>
      </c>
      <c r="BJ25" s="208" t="s">
        <v>21313</v>
      </c>
      <c r="BK25" s="208" t="s">
        <v>21313</v>
      </c>
      <c r="BL25" s="208" t="s">
        <v>21313</v>
      </c>
      <c r="BM25" s="208" t="s">
        <v>21322</v>
      </c>
      <c r="BN25" s="208" t="s">
        <v>21323</v>
      </c>
      <c r="BO25" s="208" t="s">
        <v>21313</v>
      </c>
      <c r="BP25" s="208" t="s">
        <v>21313</v>
      </c>
      <c r="BQ25" s="208" t="s">
        <v>21313</v>
      </c>
      <c r="BR25" s="208" t="s">
        <v>21313</v>
      </c>
      <c r="BS25" s="208">
        <v>3</v>
      </c>
      <c r="BT25" s="208">
        <v>3</v>
      </c>
      <c r="BU25" s="208">
        <v>0</v>
      </c>
      <c r="BV25" s="208">
        <v>0</v>
      </c>
      <c r="BW25" s="208">
        <v>0</v>
      </c>
      <c r="BX25" s="208">
        <v>0</v>
      </c>
      <c r="BY25" s="208" t="s">
        <v>21042</v>
      </c>
      <c r="BZ25" s="208">
        <v>2</v>
      </c>
      <c r="CA25" s="208">
        <v>2</v>
      </c>
      <c r="CB25" s="208">
        <v>2</v>
      </c>
      <c r="CC25" s="208">
        <v>0</v>
      </c>
      <c r="CD25" s="208">
        <v>0</v>
      </c>
      <c r="CE25" s="208">
        <v>0</v>
      </c>
      <c r="CF25" s="208" t="s">
        <v>21324</v>
      </c>
      <c r="CG25" s="208">
        <v>1</v>
      </c>
      <c r="CH25" s="208">
        <v>1</v>
      </c>
      <c r="CI25" s="208">
        <v>1</v>
      </c>
      <c r="CJ25" s="208">
        <v>0</v>
      </c>
      <c r="CK25" s="208">
        <v>0</v>
      </c>
      <c r="CL25" s="208">
        <v>0</v>
      </c>
      <c r="CM25" s="208" t="s">
        <v>21313</v>
      </c>
      <c r="CN25" s="208">
        <v>0</v>
      </c>
      <c r="CO25" s="208">
        <v>0</v>
      </c>
      <c r="CP25" s="208">
        <v>0</v>
      </c>
      <c r="CQ25" s="208">
        <v>0</v>
      </c>
      <c r="CR25" s="208">
        <v>0</v>
      </c>
      <c r="CS25" s="208">
        <v>0</v>
      </c>
      <c r="CT25" s="208" t="s">
        <v>21313</v>
      </c>
      <c r="CU25" s="208">
        <v>0</v>
      </c>
      <c r="CV25" s="208">
        <v>0</v>
      </c>
      <c r="CW25" s="208">
        <v>0</v>
      </c>
      <c r="CX25" s="208">
        <v>0</v>
      </c>
      <c r="CY25" s="208">
        <v>0</v>
      </c>
      <c r="CZ25" s="208">
        <v>0</v>
      </c>
      <c r="DA25" s="208" t="s">
        <v>21313</v>
      </c>
      <c r="DB25" s="208">
        <v>0</v>
      </c>
      <c r="DC25" s="208">
        <v>0</v>
      </c>
      <c r="DD25" s="208">
        <v>0</v>
      </c>
      <c r="DE25" s="208">
        <v>0</v>
      </c>
      <c r="DF25" s="208">
        <v>0</v>
      </c>
      <c r="DG25" s="208">
        <v>0</v>
      </c>
      <c r="DH25" s="208" t="s">
        <v>21313</v>
      </c>
      <c r="DI25" s="208">
        <v>0</v>
      </c>
      <c r="DJ25" s="208">
        <v>0</v>
      </c>
      <c r="DK25" s="208">
        <v>0</v>
      </c>
      <c r="DL25" s="208">
        <v>0</v>
      </c>
      <c r="DM25" s="208">
        <v>0</v>
      </c>
      <c r="DN25" s="208">
        <v>0</v>
      </c>
      <c r="DO25" s="208" t="s">
        <v>21327</v>
      </c>
      <c r="DP25" s="208">
        <v>60</v>
      </c>
      <c r="DQ25" s="208">
        <v>60</v>
      </c>
      <c r="DR25" s="208">
        <v>60</v>
      </c>
      <c r="DS25" s="208">
        <v>0</v>
      </c>
      <c r="DT25" s="208">
        <v>0</v>
      </c>
      <c r="DU25" s="208">
        <v>0</v>
      </c>
      <c r="DV25" s="208" t="s">
        <v>21328</v>
      </c>
      <c r="DW25" s="208">
        <v>60</v>
      </c>
      <c r="DX25" s="208" t="s">
        <v>21327</v>
      </c>
      <c r="DY25" s="208">
        <v>60</v>
      </c>
      <c r="DZ25" s="208">
        <v>60</v>
      </c>
      <c r="EA25" s="208">
        <v>60</v>
      </c>
      <c r="EB25" s="208">
        <v>0</v>
      </c>
      <c r="EC25" s="208">
        <v>0</v>
      </c>
      <c r="ED25" s="208">
        <v>0</v>
      </c>
      <c r="EE25" s="208" t="s">
        <v>21328</v>
      </c>
      <c r="EF25" s="208">
        <v>60</v>
      </c>
      <c r="EG25" s="208" t="s">
        <v>21313</v>
      </c>
      <c r="EH25" s="208">
        <v>0</v>
      </c>
      <c r="EI25" s="208">
        <v>0</v>
      </c>
      <c r="EJ25" s="208">
        <v>0</v>
      </c>
      <c r="EK25" s="208">
        <v>0</v>
      </c>
      <c r="EL25" s="208">
        <v>0</v>
      </c>
      <c r="EM25" s="208">
        <v>0</v>
      </c>
      <c r="EN25" s="208" t="s">
        <v>21313</v>
      </c>
      <c r="EO25" s="208">
        <v>0</v>
      </c>
      <c r="EP25" s="208" t="s">
        <v>21313</v>
      </c>
      <c r="EQ25" s="208">
        <v>0</v>
      </c>
      <c r="ER25" s="208">
        <v>0</v>
      </c>
      <c r="ES25" s="208">
        <v>0</v>
      </c>
      <c r="ET25" s="208">
        <v>0</v>
      </c>
      <c r="EU25" s="208">
        <v>0</v>
      </c>
      <c r="EV25" s="208">
        <v>0</v>
      </c>
      <c r="EW25" s="208" t="s">
        <v>21313</v>
      </c>
      <c r="EX25" s="208">
        <v>0</v>
      </c>
      <c r="EY25" s="208" t="s">
        <v>21313</v>
      </c>
      <c r="EZ25" s="208">
        <v>0</v>
      </c>
      <c r="FA25" s="208">
        <v>0</v>
      </c>
      <c r="FB25" s="208">
        <v>0</v>
      </c>
      <c r="FC25" s="208">
        <v>0</v>
      </c>
      <c r="FD25" s="208">
        <v>0</v>
      </c>
      <c r="FE25" s="208">
        <v>0</v>
      </c>
      <c r="FF25" s="208" t="s">
        <v>21313</v>
      </c>
      <c r="FG25" s="208">
        <v>0</v>
      </c>
      <c r="FH25" s="208" t="s">
        <v>21313</v>
      </c>
      <c r="FI25" s="208">
        <v>0</v>
      </c>
      <c r="FJ25" s="208">
        <v>0</v>
      </c>
      <c r="FK25" s="208">
        <v>0</v>
      </c>
      <c r="FL25" s="208">
        <v>0</v>
      </c>
      <c r="FM25" s="208">
        <v>0</v>
      </c>
      <c r="FN25" s="208">
        <v>0</v>
      </c>
      <c r="FO25" s="208" t="s">
        <v>21313</v>
      </c>
      <c r="FP25" s="208">
        <v>0</v>
      </c>
      <c r="FQ25" s="208">
        <v>60</v>
      </c>
      <c r="FR25" s="208" t="s">
        <v>21329</v>
      </c>
      <c r="FS25" s="208" t="s">
        <v>21330</v>
      </c>
      <c r="FT25" s="208" t="s">
        <v>21313</v>
      </c>
      <c r="FU25" s="208" t="s">
        <v>21313</v>
      </c>
      <c r="FV25" s="208" t="s">
        <v>21313</v>
      </c>
      <c r="FW25" s="208" t="s">
        <v>21313</v>
      </c>
      <c r="FX25" s="208" t="s">
        <v>21480</v>
      </c>
      <c r="FY25" s="208">
        <v>28</v>
      </c>
      <c r="FZ25" s="208">
        <v>28</v>
      </c>
      <c r="GA25" s="208">
        <v>28</v>
      </c>
      <c r="GB25" s="208">
        <v>0</v>
      </c>
      <c r="GC25" s="208">
        <v>0</v>
      </c>
      <c r="GD25" s="208">
        <v>0</v>
      </c>
      <c r="GE25" s="208" t="s">
        <v>21481</v>
      </c>
      <c r="GF25" s="208" t="s">
        <v>21480</v>
      </c>
      <c r="GG25" s="208">
        <v>28</v>
      </c>
      <c r="GH25" s="208">
        <v>28</v>
      </c>
      <c r="GI25" s="208">
        <v>28</v>
      </c>
      <c r="GJ25" s="208">
        <v>0</v>
      </c>
      <c r="GK25" s="208">
        <v>0</v>
      </c>
      <c r="GL25" s="208">
        <v>0</v>
      </c>
      <c r="GM25" s="208" t="s">
        <v>21481</v>
      </c>
      <c r="GN25" s="208" t="s">
        <v>21313</v>
      </c>
      <c r="GO25" s="208">
        <v>0</v>
      </c>
      <c r="GP25" s="208">
        <v>0</v>
      </c>
      <c r="GQ25" s="208">
        <v>0</v>
      </c>
      <c r="GR25" s="208">
        <v>0</v>
      </c>
      <c r="GS25" s="208">
        <v>0</v>
      </c>
      <c r="GT25" s="208">
        <v>0</v>
      </c>
      <c r="GU25" s="208" t="s">
        <v>21313</v>
      </c>
      <c r="GV25" s="208" t="s">
        <v>21313</v>
      </c>
      <c r="GW25" s="208">
        <v>0</v>
      </c>
      <c r="GX25" s="208">
        <v>0</v>
      </c>
      <c r="GY25" s="208">
        <v>0</v>
      </c>
      <c r="GZ25" s="208">
        <v>0</v>
      </c>
      <c r="HA25" s="208">
        <v>0</v>
      </c>
      <c r="HB25" s="208">
        <v>0</v>
      </c>
      <c r="HC25" s="208" t="s">
        <v>21313</v>
      </c>
      <c r="HD25" s="208" t="s">
        <v>21313</v>
      </c>
      <c r="HE25" s="208">
        <v>0</v>
      </c>
      <c r="HF25" s="208">
        <v>0</v>
      </c>
      <c r="HG25" s="208">
        <v>0</v>
      </c>
      <c r="HH25" s="208">
        <v>0</v>
      </c>
      <c r="HI25" s="208">
        <v>0</v>
      </c>
      <c r="HJ25" s="208">
        <v>0</v>
      </c>
      <c r="HK25" s="208" t="s">
        <v>21313</v>
      </c>
      <c r="HL25" s="208" t="s">
        <v>21313</v>
      </c>
      <c r="HM25" s="208">
        <v>0</v>
      </c>
      <c r="HN25" s="208">
        <v>0</v>
      </c>
      <c r="HO25" s="208">
        <v>0</v>
      </c>
      <c r="HP25" s="208">
        <v>0</v>
      </c>
      <c r="HQ25" s="208">
        <v>0</v>
      </c>
      <c r="HR25" s="208">
        <v>0</v>
      </c>
      <c r="HS25" s="208" t="s">
        <v>21313</v>
      </c>
      <c r="HT25" s="208" t="s">
        <v>21333</v>
      </c>
      <c r="HU25" s="208">
        <v>28</v>
      </c>
      <c r="HV25" s="208">
        <v>28</v>
      </c>
      <c r="HW25" s="208">
        <v>0</v>
      </c>
      <c r="HX25" s="208">
        <v>0</v>
      </c>
      <c r="HY25" s="208">
        <v>0</v>
      </c>
      <c r="HZ25" s="208">
        <v>0</v>
      </c>
      <c r="IA25" s="600">
        <v>28</v>
      </c>
      <c r="IB25" s="600">
        <v>28</v>
      </c>
      <c r="IC25" s="343" t="s">
        <v>21035</v>
      </c>
      <c r="ID25" s="343" t="s">
        <v>3792</v>
      </c>
      <c r="IE25" s="343" t="s">
        <v>21335</v>
      </c>
      <c r="IF25" s="343" t="s">
        <v>21336</v>
      </c>
      <c r="IG25" s="383">
        <v>43756</v>
      </c>
      <c r="IH25" s="383">
        <v>45583</v>
      </c>
      <c r="II25" s="208">
        <v>37</v>
      </c>
    </row>
    <row r="26" ht="242.25">
      <c r="A26" s="207">
        <v>25</v>
      </c>
      <c r="B26" s="343" t="s">
        <v>21298</v>
      </c>
      <c r="C26" s="343" t="s">
        <v>21298</v>
      </c>
      <c r="D26" s="600" t="s">
        <v>21193</v>
      </c>
      <c r="E26" s="317" t="s">
        <v>21194</v>
      </c>
      <c r="F26" s="207" t="s">
        <v>20855</v>
      </c>
      <c r="G26" s="600">
        <v>105.798988</v>
      </c>
      <c r="H26" s="600">
        <v>20.999661</v>
      </c>
      <c r="I26" s="207">
        <v>1</v>
      </c>
      <c r="J26" s="207">
        <v>3</v>
      </c>
      <c r="K26" s="207" t="s">
        <v>21299</v>
      </c>
      <c r="L26" s="207" t="s">
        <v>21482</v>
      </c>
      <c r="M26" s="207" t="s">
        <v>21301</v>
      </c>
      <c r="N26" s="207" t="s">
        <v>21302</v>
      </c>
      <c r="O26" s="207" t="s">
        <v>21303</v>
      </c>
      <c r="P26" s="207" t="s">
        <v>21304</v>
      </c>
      <c r="Q26" s="207" t="s">
        <v>21305</v>
      </c>
      <c r="R26" s="207" t="s">
        <v>21483</v>
      </c>
      <c r="S26" s="364" t="b">
        <v>1</v>
      </c>
      <c r="T26" s="207" t="s">
        <v>21195</v>
      </c>
      <c r="U26" s="207">
        <v>0</v>
      </c>
      <c r="V26" s="207" t="s">
        <v>21307</v>
      </c>
      <c r="W26" s="207" t="s">
        <v>21196</v>
      </c>
      <c r="X26" s="209" t="s">
        <v>21308</v>
      </c>
      <c r="Y26" s="207" t="b">
        <v>0</v>
      </c>
      <c r="Z26" s="364" t="b">
        <v>0</v>
      </c>
      <c r="AA26" s="600">
        <v>51</v>
      </c>
      <c r="AB26" s="364" t="b">
        <v>1</v>
      </c>
      <c r="AC26" s="600">
        <v>50</v>
      </c>
      <c r="AD26" s="207" t="b">
        <v>0</v>
      </c>
      <c r="AE26" s="207" t="s">
        <v>21309</v>
      </c>
      <c r="AF26" s="207" t="s">
        <v>21310</v>
      </c>
      <c r="AG26" s="343" t="s">
        <v>21311</v>
      </c>
      <c r="AH26" s="343" t="s">
        <v>21312</v>
      </c>
      <c r="AI26" s="343" t="s">
        <v>21054</v>
      </c>
      <c r="AJ26" s="343" t="s">
        <v>21313</v>
      </c>
      <c r="AK26" s="343" t="s">
        <v>21314</v>
      </c>
      <c r="AL26" s="208"/>
      <c r="AM26" s="208" t="s">
        <v>21315</v>
      </c>
      <c r="AN26" s="208" t="s">
        <v>21316</v>
      </c>
      <c r="AO26" s="207">
        <v>4</v>
      </c>
      <c r="AP26" s="287" t="s">
        <v>21317</v>
      </c>
      <c r="AQ26" s="448" t="s">
        <v>21484</v>
      </c>
      <c r="AR26" s="448" t="s">
        <v>21485</v>
      </c>
      <c r="AS26" s="449" t="s">
        <v>10</v>
      </c>
      <c r="AT26" s="208" t="s">
        <v>21316</v>
      </c>
      <c r="AU26" s="208" t="s">
        <v>21316</v>
      </c>
      <c r="AV26" s="208" t="s">
        <v>21316</v>
      </c>
      <c r="AW26" s="208" t="s">
        <v>21313</v>
      </c>
      <c r="AX26" s="208" t="s">
        <v>21313</v>
      </c>
      <c r="AY26" s="208" t="s">
        <v>21313</v>
      </c>
      <c r="AZ26" s="208" t="s">
        <v>21298</v>
      </c>
      <c r="BA26" s="208" t="s">
        <v>21298</v>
      </c>
      <c r="BB26" s="208" t="s">
        <v>21298</v>
      </c>
      <c r="BC26" s="208" t="s">
        <v>21313</v>
      </c>
      <c r="BD26" s="208" t="s">
        <v>21313</v>
      </c>
      <c r="BE26" s="208" t="s">
        <v>21313</v>
      </c>
      <c r="BF26" s="208" t="s">
        <v>21320</v>
      </c>
      <c r="BG26" s="208" t="s">
        <v>21193</v>
      </c>
      <c r="BH26" s="208" t="s">
        <v>21193</v>
      </c>
      <c r="BI26" s="208" t="s">
        <v>21193</v>
      </c>
      <c r="BJ26" s="208" t="s">
        <v>21313</v>
      </c>
      <c r="BK26" s="208" t="s">
        <v>21313</v>
      </c>
      <c r="BL26" s="208" t="s">
        <v>21313</v>
      </c>
      <c r="BM26" s="208" t="s">
        <v>21321</v>
      </c>
      <c r="BN26" s="208" t="s">
        <v>21322</v>
      </c>
      <c r="BO26" s="208" t="s">
        <v>21323</v>
      </c>
      <c r="BP26" s="208" t="s">
        <v>21313</v>
      </c>
      <c r="BQ26" s="208" t="s">
        <v>21313</v>
      </c>
      <c r="BR26" s="208" t="s">
        <v>21313</v>
      </c>
      <c r="BS26" s="208">
        <v>3</v>
      </c>
      <c r="BT26" s="208">
        <v>3</v>
      </c>
      <c r="BU26" s="208">
        <v>3</v>
      </c>
      <c r="BV26" s="208">
        <v>0</v>
      </c>
      <c r="BW26" s="208">
        <v>0</v>
      </c>
      <c r="BX26" s="208">
        <v>0</v>
      </c>
      <c r="BY26" s="208" t="s">
        <v>21042</v>
      </c>
      <c r="BZ26" s="208">
        <v>2</v>
      </c>
      <c r="CA26" s="208">
        <v>2</v>
      </c>
      <c r="CB26" s="208">
        <v>2</v>
      </c>
      <c r="CC26" s="208">
        <v>0</v>
      </c>
      <c r="CD26" s="208">
        <v>0</v>
      </c>
      <c r="CE26" s="208">
        <v>0</v>
      </c>
      <c r="CF26" s="208" t="s">
        <v>21042</v>
      </c>
      <c r="CG26" s="208">
        <v>2</v>
      </c>
      <c r="CH26" s="208">
        <v>2</v>
      </c>
      <c r="CI26" s="208">
        <v>2</v>
      </c>
      <c r="CJ26" s="208">
        <v>0</v>
      </c>
      <c r="CK26" s="208">
        <v>0</v>
      </c>
      <c r="CL26" s="208">
        <v>0</v>
      </c>
      <c r="CM26" s="208" t="s">
        <v>21324</v>
      </c>
      <c r="CN26" s="208">
        <v>1</v>
      </c>
      <c r="CO26" s="208">
        <v>1</v>
      </c>
      <c r="CP26" s="208">
        <v>1</v>
      </c>
      <c r="CQ26" s="208">
        <v>0</v>
      </c>
      <c r="CR26" s="208">
        <v>0</v>
      </c>
      <c r="CS26" s="208">
        <v>0</v>
      </c>
      <c r="CT26" s="208" t="s">
        <v>21313</v>
      </c>
      <c r="CU26" s="208">
        <v>0</v>
      </c>
      <c r="CV26" s="208">
        <v>0</v>
      </c>
      <c r="CW26" s="208">
        <v>0</v>
      </c>
      <c r="CX26" s="208">
        <v>0</v>
      </c>
      <c r="CY26" s="208">
        <v>0</v>
      </c>
      <c r="CZ26" s="208">
        <v>0</v>
      </c>
      <c r="DA26" s="208" t="s">
        <v>21313</v>
      </c>
      <c r="DB26" s="208">
        <v>0</v>
      </c>
      <c r="DC26" s="208">
        <v>0</v>
      </c>
      <c r="DD26" s="208">
        <v>0</v>
      </c>
      <c r="DE26" s="208">
        <v>0</v>
      </c>
      <c r="DF26" s="208">
        <v>0</v>
      </c>
      <c r="DG26" s="208">
        <v>0</v>
      </c>
      <c r="DH26" s="208" t="s">
        <v>21313</v>
      </c>
      <c r="DI26" s="208">
        <v>0</v>
      </c>
      <c r="DJ26" s="208">
        <v>0</v>
      </c>
      <c r="DK26" s="208">
        <v>0</v>
      </c>
      <c r="DL26" s="208">
        <v>0</v>
      </c>
      <c r="DM26" s="208">
        <v>0</v>
      </c>
      <c r="DN26" s="208">
        <v>0</v>
      </c>
      <c r="DO26" s="208" t="s">
        <v>21325</v>
      </c>
      <c r="DP26" s="208">
        <v>80</v>
      </c>
      <c r="DQ26" s="208">
        <v>80</v>
      </c>
      <c r="DR26" s="208">
        <v>80</v>
      </c>
      <c r="DS26" s="208">
        <v>0</v>
      </c>
      <c r="DT26" s="208">
        <v>0</v>
      </c>
      <c r="DU26" s="208">
        <v>0</v>
      </c>
      <c r="DV26" s="208" t="s">
        <v>21326</v>
      </c>
      <c r="DW26" s="208">
        <v>80</v>
      </c>
      <c r="DX26" s="208" t="s">
        <v>21327</v>
      </c>
      <c r="DY26" s="208">
        <v>60</v>
      </c>
      <c r="DZ26" s="208">
        <v>60</v>
      </c>
      <c r="EA26" s="208">
        <v>60</v>
      </c>
      <c r="EB26" s="208">
        <v>0</v>
      </c>
      <c r="EC26" s="208">
        <v>0</v>
      </c>
      <c r="ED26" s="208">
        <v>0</v>
      </c>
      <c r="EE26" s="208" t="s">
        <v>21328</v>
      </c>
      <c r="EF26" s="208">
        <v>60</v>
      </c>
      <c r="EG26" s="208" t="s">
        <v>21327</v>
      </c>
      <c r="EH26" s="208">
        <v>60</v>
      </c>
      <c r="EI26" s="208">
        <v>60</v>
      </c>
      <c r="EJ26" s="208">
        <v>60</v>
      </c>
      <c r="EK26" s="208">
        <v>0</v>
      </c>
      <c r="EL26" s="208">
        <v>0</v>
      </c>
      <c r="EM26" s="208">
        <v>0</v>
      </c>
      <c r="EN26" s="208" t="s">
        <v>21328</v>
      </c>
      <c r="EO26" s="208">
        <v>60</v>
      </c>
      <c r="EP26" s="208" t="s">
        <v>21313</v>
      </c>
      <c r="EQ26" s="208">
        <v>0</v>
      </c>
      <c r="ER26" s="208">
        <v>0</v>
      </c>
      <c r="ES26" s="208">
        <v>0</v>
      </c>
      <c r="ET26" s="208">
        <v>0</v>
      </c>
      <c r="EU26" s="208">
        <v>0</v>
      </c>
      <c r="EV26" s="208">
        <v>0</v>
      </c>
      <c r="EW26" s="208" t="s">
        <v>21313</v>
      </c>
      <c r="EX26" s="208">
        <v>0</v>
      </c>
      <c r="EY26" s="208" t="s">
        <v>21313</v>
      </c>
      <c r="EZ26" s="208">
        <v>0</v>
      </c>
      <c r="FA26" s="208">
        <v>0</v>
      </c>
      <c r="FB26" s="208">
        <v>0</v>
      </c>
      <c r="FC26" s="208">
        <v>0</v>
      </c>
      <c r="FD26" s="208">
        <v>0</v>
      </c>
      <c r="FE26" s="208">
        <v>0</v>
      </c>
      <c r="FF26" s="208" t="s">
        <v>21313</v>
      </c>
      <c r="FG26" s="208">
        <v>0</v>
      </c>
      <c r="FH26" s="208" t="s">
        <v>21313</v>
      </c>
      <c r="FI26" s="208">
        <v>0</v>
      </c>
      <c r="FJ26" s="208">
        <v>0</v>
      </c>
      <c r="FK26" s="208">
        <v>0</v>
      </c>
      <c r="FL26" s="208">
        <v>0</v>
      </c>
      <c r="FM26" s="208">
        <v>0</v>
      </c>
      <c r="FN26" s="208">
        <v>0</v>
      </c>
      <c r="FO26" s="208" t="s">
        <v>21313</v>
      </c>
      <c r="FP26" s="208">
        <v>0</v>
      </c>
      <c r="FQ26" s="208">
        <v>80</v>
      </c>
      <c r="FR26" s="208" t="s">
        <v>19816</v>
      </c>
      <c r="FS26" s="208" t="s">
        <v>21329</v>
      </c>
      <c r="FT26" s="208" t="s">
        <v>21330</v>
      </c>
      <c r="FU26" s="208" t="s">
        <v>21313</v>
      </c>
      <c r="FV26" s="208" t="s">
        <v>21313</v>
      </c>
      <c r="FW26" s="208" t="s">
        <v>21313</v>
      </c>
      <c r="FX26" s="208" t="s">
        <v>21486</v>
      </c>
      <c r="FY26" s="208">
        <v>51</v>
      </c>
      <c r="FZ26" s="208">
        <v>51</v>
      </c>
      <c r="GA26" s="208">
        <v>51</v>
      </c>
      <c r="GB26" s="208">
        <v>0</v>
      </c>
      <c r="GC26" s="208">
        <v>0</v>
      </c>
      <c r="GD26" s="208">
        <v>0</v>
      </c>
      <c r="GE26" s="208" t="s">
        <v>21487</v>
      </c>
      <c r="GF26" s="208" t="s">
        <v>21486</v>
      </c>
      <c r="GG26" s="208">
        <v>51</v>
      </c>
      <c r="GH26" s="208">
        <v>51</v>
      </c>
      <c r="GI26" s="208">
        <v>51</v>
      </c>
      <c r="GJ26" s="208">
        <v>0</v>
      </c>
      <c r="GK26" s="208">
        <v>0</v>
      </c>
      <c r="GL26" s="208">
        <v>0</v>
      </c>
      <c r="GM26" s="208" t="s">
        <v>21487</v>
      </c>
      <c r="GN26" s="208" t="s">
        <v>21486</v>
      </c>
      <c r="GO26" s="208">
        <v>51</v>
      </c>
      <c r="GP26" s="208">
        <v>51</v>
      </c>
      <c r="GQ26" s="208">
        <v>51</v>
      </c>
      <c r="GR26" s="208">
        <v>0</v>
      </c>
      <c r="GS26" s="208">
        <v>0</v>
      </c>
      <c r="GT26" s="208">
        <v>0</v>
      </c>
      <c r="GU26" s="208" t="s">
        <v>21487</v>
      </c>
      <c r="GV26" s="208" t="s">
        <v>21313</v>
      </c>
      <c r="GW26" s="208">
        <v>0</v>
      </c>
      <c r="GX26" s="208">
        <v>0</v>
      </c>
      <c r="GY26" s="208">
        <v>0</v>
      </c>
      <c r="GZ26" s="208">
        <v>0</v>
      </c>
      <c r="HA26" s="208">
        <v>0</v>
      </c>
      <c r="HB26" s="208">
        <v>0</v>
      </c>
      <c r="HC26" s="208" t="s">
        <v>21313</v>
      </c>
      <c r="HD26" s="208" t="s">
        <v>21313</v>
      </c>
      <c r="HE26" s="208">
        <v>0</v>
      </c>
      <c r="HF26" s="208">
        <v>0</v>
      </c>
      <c r="HG26" s="208">
        <v>0</v>
      </c>
      <c r="HH26" s="208">
        <v>0</v>
      </c>
      <c r="HI26" s="208">
        <v>0</v>
      </c>
      <c r="HJ26" s="208">
        <v>0</v>
      </c>
      <c r="HK26" s="208" t="s">
        <v>21313</v>
      </c>
      <c r="HL26" s="208" t="s">
        <v>21313</v>
      </c>
      <c r="HM26" s="208">
        <v>0</v>
      </c>
      <c r="HN26" s="208">
        <v>0</v>
      </c>
      <c r="HO26" s="208">
        <v>0</v>
      </c>
      <c r="HP26" s="208">
        <v>0</v>
      </c>
      <c r="HQ26" s="208">
        <v>0</v>
      </c>
      <c r="HR26" s="208">
        <v>0</v>
      </c>
      <c r="HS26" s="208" t="s">
        <v>21313</v>
      </c>
      <c r="HT26" s="208" t="s">
        <v>21333</v>
      </c>
      <c r="HU26" s="208">
        <v>51</v>
      </c>
      <c r="HV26" s="208">
        <v>51</v>
      </c>
      <c r="HW26" s="208">
        <v>51</v>
      </c>
      <c r="HX26" s="208">
        <v>0</v>
      </c>
      <c r="HY26" s="208">
        <v>0</v>
      </c>
      <c r="HZ26" s="208">
        <v>0</v>
      </c>
      <c r="IA26" s="600">
        <v>51</v>
      </c>
      <c r="IB26" s="600">
        <v>1</v>
      </c>
      <c r="IC26" s="343" t="s">
        <v>21035</v>
      </c>
      <c r="ID26" s="343" t="s">
        <v>21488</v>
      </c>
      <c r="IE26" s="343" t="s">
        <v>21335</v>
      </c>
      <c r="IF26" s="343" t="s">
        <v>21336</v>
      </c>
      <c r="IG26" s="383">
        <v>43756</v>
      </c>
      <c r="IH26" s="383">
        <v>45583</v>
      </c>
      <c r="II26" s="208">
        <v>37</v>
      </c>
    </row>
    <row r="27" ht="165.75">
      <c r="A27" s="207">
        <v>26</v>
      </c>
      <c r="B27" s="343" t="s">
        <v>21298</v>
      </c>
      <c r="C27" s="343" t="s">
        <v>21298</v>
      </c>
      <c r="D27" s="600" t="s">
        <v>21197</v>
      </c>
      <c r="E27" s="317" t="s">
        <v>21198</v>
      </c>
      <c r="F27" s="207" t="s">
        <v>20855</v>
      </c>
      <c r="G27" s="600">
        <v>105.813943</v>
      </c>
      <c r="H27" s="600">
        <v>20.996429</v>
      </c>
      <c r="I27" s="207">
        <v>1</v>
      </c>
      <c r="J27" s="207">
        <v>2</v>
      </c>
      <c r="K27" s="207" t="s">
        <v>21337</v>
      </c>
      <c r="L27" s="207" t="s">
        <v>21489</v>
      </c>
      <c r="M27" s="207" t="s">
        <v>21339</v>
      </c>
      <c r="N27" s="207" t="s">
        <v>21340</v>
      </c>
      <c r="O27" s="207" t="s">
        <v>21341</v>
      </c>
      <c r="P27" s="207" t="s">
        <v>21342</v>
      </c>
      <c r="Q27" s="207" t="s">
        <v>21343</v>
      </c>
      <c r="R27" s="207" t="s">
        <v>21440</v>
      </c>
      <c r="S27" s="364" t="b">
        <v>1</v>
      </c>
      <c r="T27" s="207" t="s">
        <v>21199</v>
      </c>
      <c r="U27" s="207">
        <v>0</v>
      </c>
      <c r="V27" s="207" t="s">
        <v>21307</v>
      </c>
      <c r="W27" s="207" t="s">
        <v>21200</v>
      </c>
      <c r="X27" s="209" t="s">
        <v>21308</v>
      </c>
      <c r="Y27" s="207" t="b">
        <v>0</v>
      </c>
      <c r="Z27" s="364" t="b">
        <v>0</v>
      </c>
      <c r="AA27" s="600">
        <v>22</v>
      </c>
      <c r="AB27" s="364" t="b">
        <v>1</v>
      </c>
      <c r="AC27" s="600">
        <v>20</v>
      </c>
      <c r="AD27" s="207" t="b">
        <v>0</v>
      </c>
      <c r="AE27" s="207" t="s">
        <v>21309</v>
      </c>
      <c r="AF27" s="207" t="s">
        <v>21310</v>
      </c>
      <c r="AG27" s="343" t="s">
        <v>21311</v>
      </c>
      <c r="AH27" s="343" t="s">
        <v>21312</v>
      </c>
      <c r="AI27" s="343" t="s">
        <v>21054</v>
      </c>
      <c r="AJ27" s="343" t="s">
        <v>21313</v>
      </c>
      <c r="AK27" s="343" t="s">
        <v>21314</v>
      </c>
      <c r="AL27" s="208"/>
      <c r="AM27" s="208" t="s">
        <v>21315</v>
      </c>
      <c r="AN27" s="208" t="s">
        <v>21316</v>
      </c>
      <c r="AO27" s="207">
        <v>5</v>
      </c>
      <c r="AP27" s="287" t="s">
        <v>21317</v>
      </c>
      <c r="AQ27" s="448" t="s">
        <v>21484</v>
      </c>
      <c r="AR27" s="448" t="s">
        <v>21490</v>
      </c>
      <c r="AS27" s="449" t="s">
        <v>10</v>
      </c>
      <c r="AT27" s="208" t="s">
        <v>21316</v>
      </c>
      <c r="AU27" s="208" t="s">
        <v>21316</v>
      </c>
      <c r="AV27" s="208" t="s">
        <v>21313</v>
      </c>
      <c r="AW27" s="208" t="s">
        <v>21313</v>
      </c>
      <c r="AX27" s="208" t="s">
        <v>21313</v>
      </c>
      <c r="AY27" s="208" t="s">
        <v>21313</v>
      </c>
      <c r="AZ27" s="208" t="s">
        <v>21298</v>
      </c>
      <c r="BA27" s="208" t="s">
        <v>21298</v>
      </c>
      <c r="BB27" s="208" t="s">
        <v>21313</v>
      </c>
      <c r="BC27" s="208" t="s">
        <v>21313</v>
      </c>
      <c r="BD27" s="208" t="s">
        <v>21313</v>
      </c>
      <c r="BE27" s="208" t="s">
        <v>21313</v>
      </c>
      <c r="BF27" s="208" t="s">
        <v>21346</v>
      </c>
      <c r="BG27" s="208" t="s">
        <v>21197</v>
      </c>
      <c r="BH27" s="208" t="s">
        <v>21197</v>
      </c>
      <c r="BI27" s="208" t="s">
        <v>21313</v>
      </c>
      <c r="BJ27" s="208" t="s">
        <v>21313</v>
      </c>
      <c r="BK27" s="208" t="s">
        <v>21313</v>
      </c>
      <c r="BL27" s="208" t="s">
        <v>21313</v>
      </c>
      <c r="BM27" s="208" t="s">
        <v>21322</v>
      </c>
      <c r="BN27" s="208" t="s">
        <v>21323</v>
      </c>
      <c r="BO27" s="208" t="s">
        <v>21313</v>
      </c>
      <c r="BP27" s="208" t="s">
        <v>21313</v>
      </c>
      <c r="BQ27" s="208" t="s">
        <v>21313</v>
      </c>
      <c r="BR27" s="208" t="s">
        <v>21313</v>
      </c>
      <c r="BS27" s="208">
        <v>3</v>
      </c>
      <c r="BT27" s="208">
        <v>3</v>
      </c>
      <c r="BU27" s="208">
        <v>0</v>
      </c>
      <c r="BV27" s="208">
        <v>0</v>
      </c>
      <c r="BW27" s="208">
        <v>0</v>
      </c>
      <c r="BX27" s="208">
        <v>0</v>
      </c>
      <c r="BY27" s="208" t="s">
        <v>21042</v>
      </c>
      <c r="BZ27" s="208">
        <v>2</v>
      </c>
      <c r="CA27" s="208">
        <v>2</v>
      </c>
      <c r="CB27" s="208">
        <v>2</v>
      </c>
      <c r="CC27" s="208">
        <v>0</v>
      </c>
      <c r="CD27" s="208">
        <v>0</v>
      </c>
      <c r="CE27" s="208">
        <v>0</v>
      </c>
      <c r="CF27" s="208" t="s">
        <v>21324</v>
      </c>
      <c r="CG27" s="208">
        <v>1</v>
      </c>
      <c r="CH27" s="208">
        <v>1</v>
      </c>
      <c r="CI27" s="208">
        <v>1</v>
      </c>
      <c r="CJ27" s="208">
        <v>0</v>
      </c>
      <c r="CK27" s="208">
        <v>0</v>
      </c>
      <c r="CL27" s="208">
        <v>0</v>
      </c>
      <c r="CM27" s="208" t="s">
        <v>21313</v>
      </c>
      <c r="CN27" s="208">
        <v>0</v>
      </c>
      <c r="CO27" s="208">
        <v>0</v>
      </c>
      <c r="CP27" s="208">
        <v>0</v>
      </c>
      <c r="CQ27" s="208">
        <v>0</v>
      </c>
      <c r="CR27" s="208">
        <v>0</v>
      </c>
      <c r="CS27" s="208">
        <v>0</v>
      </c>
      <c r="CT27" s="208" t="s">
        <v>21313</v>
      </c>
      <c r="CU27" s="208">
        <v>0</v>
      </c>
      <c r="CV27" s="208">
        <v>0</v>
      </c>
      <c r="CW27" s="208">
        <v>0</v>
      </c>
      <c r="CX27" s="208">
        <v>0</v>
      </c>
      <c r="CY27" s="208">
        <v>0</v>
      </c>
      <c r="CZ27" s="208">
        <v>0</v>
      </c>
      <c r="DA27" s="208" t="s">
        <v>21313</v>
      </c>
      <c r="DB27" s="208">
        <v>0</v>
      </c>
      <c r="DC27" s="208">
        <v>0</v>
      </c>
      <c r="DD27" s="208">
        <v>0</v>
      </c>
      <c r="DE27" s="208">
        <v>0</v>
      </c>
      <c r="DF27" s="208">
        <v>0</v>
      </c>
      <c r="DG27" s="208">
        <v>0</v>
      </c>
      <c r="DH27" s="208" t="s">
        <v>21313</v>
      </c>
      <c r="DI27" s="208">
        <v>0</v>
      </c>
      <c r="DJ27" s="208">
        <v>0</v>
      </c>
      <c r="DK27" s="208">
        <v>0</v>
      </c>
      <c r="DL27" s="208">
        <v>0</v>
      </c>
      <c r="DM27" s="208">
        <v>0</v>
      </c>
      <c r="DN27" s="208">
        <v>0</v>
      </c>
      <c r="DO27" s="208" t="s">
        <v>21327</v>
      </c>
      <c r="DP27" s="208">
        <v>60</v>
      </c>
      <c r="DQ27" s="208">
        <v>60</v>
      </c>
      <c r="DR27" s="208">
        <v>60</v>
      </c>
      <c r="DS27" s="208">
        <v>0</v>
      </c>
      <c r="DT27" s="208">
        <v>0</v>
      </c>
      <c r="DU27" s="208">
        <v>0</v>
      </c>
      <c r="DV27" s="208" t="s">
        <v>21328</v>
      </c>
      <c r="DW27" s="208">
        <v>60</v>
      </c>
      <c r="DX27" s="208" t="s">
        <v>21327</v>
      </c>
      <c r="DY27" s="208">
        <v>60</v>
      </c>
      <c r="DZ27" s="208">
        <v>60</v>
      </c>
      <c r="EA27" s="208">
        <v>60</v>
      </c>
      <c r="EB27" s="208">
        <v>0</v>
      </c>
      <c r="EC27" s="208">
        <v>0</v>
      </c>
      <c r="ED27" s="208">
        <v>0</v>
      </c>
      <c r="EE27" s="208" t="s">
        <v>21328</v>
      </c>
      <c r="EF27" s="208">
        <v>60</v>
      </c>
      <c r="EG27" s="208" t="s">
        <v>21313</v>
      </c>
      <c r="EH27" s="208">
        <v>0</v>
      </c>
      <c r="EI27" s="208">
        <v>0</v>
      </c>
      <c r="EJ27" s="208">
        <v>0</v>
      </c>
      <c r="EK27" s="208">
        <v>0</v>
      </c>
      <c r="EL27" s="208">
        <v>0</v>
      </c>
      <c r="EM27" s="208">
        <v>0</v>
      </c>
      <c r="EN27" s="208" t="s">
        <v>21313</v>
      </c>
      <c r="EO27" s="208">
        <v>0</v>
      </c>
      <c r="EP27" s="208" t="s">
        <v>21313</v>
      </c>
      <c r="EQ27" s="208">
        <v>0</v>
      </c>
      <c r="ER27" s="208">
        <v>0</v>
      </c>
      <c r="ES27" s="208">
        <v>0</v>
      </c>
      <c r="ET27" s="208">
        <v>0</v>
      </c>
      <c r="EU27" s="208">
        <v>0</v>
      </c>
      <c r="EV27" s="208">
        <v>0</v>
      </c>
      <c r="EW27" s="208" t="s">
        <v>21313</v>
      </c>
      <c r="EX27" s="208">
        <v>0</v>
      </c>
      <c r="EY27" s="208" t="s">
        <v>21313</v>
      </c>
      <c r="EZ27" s="208">
        <v>0</v>
      </c>
      <c r="FA27" s="208">
        <v>0</v>
      </c>
      <c r="FB27" s="208">
        <v>0</v>
      </c>
      <c r="FC27" s="208">
        <v>0</v>
      </c>
      <c r="FD27" s="208">
        <v>0</v>
      </c>
      <c r="FE27" s="208">
        <v>0</v>
      </c>
      <c r="FF27" s="208" t="s">
        <v>21313</v>
      </c>
      <c r="FG27" s="208">
        <v>0</v>
      </c>
      <c r="FH27" s="208" t="s">
        <v>21313</v>
      </c>
      <c r="FI27" s="208">
        <v>0</v>
      </c>
      <c r="FJ27" s="208">
        <v>0</v>
      </c>
      <c r="FK27" s="208">
        <v>0</v>
      </c>
      <c r="FL27" s="208">
        <v>0</v>
      </c>
      <c r="FM27" s="208">
        <v>0</v>
      </c>
      <c r="FN27" s="208">
        <v>0</v>
      </c>
      <c r="FO27" s="208" t="s">
        <v>21313</v>
      </c>
      <c r="FP27" s="208">
        <v>0</v>
      </c>
      <c r="FQ27" s="208">
        <v>60</v>
      </c>
      <c r="FR27" s="208" t="s">
        <v>21329</v>
      </c>
      <c r="FS27" s="208" t="s">
        <v>21330</v>
      </c>
      <c r="FT27" s="208" t="s">
        <v>21313</v>
      </c>
      <c r="FU27" s="208" t="s">
        <v>21313</v>
      </c>
      <c r="FV27" s="208" t="s">
        <v>21313</v>
      </c>
      <c r="FW27" s="208" t="s">
        <v>21313</v>
      </c>
      <c r="FX27" s="208" t="s">
        <v>21441</v>
      </c>
      <c r="FY27" s="208">
        <v>22</v>
      </c>
      <c r="FZ27" s="208">
        <v>22</v>
      </c>
      <c r="GA27" s="208">
        <v>22</v>
      </c>
      <c r="GB27" s="208">
        <v>0</v>
      </c>
      <c r="GC27" s="208">
        <v>0</v>
      </c>
      <c r="GD27" s="208">
        <v>0</v>
      </c>
      <c r="GE27" s="208" t="s">
        <v>21442</v>
      </c>
      <c r="GF27" s="208" t="s">
        <v>21441</v>
      </c>
      <c r="GG27" s="208">
        <v>22</v>
      </c>
      <c r="GH27" s="208">
        <v>22</v>
      </c>
      <c r="GI27" s="208">
        <v>22</v>
      </c>
      <c r="GJ27" s="208">
        <v>0</v>
      </c>
      <c r="GK27" s="208">
        <v>0</v>
      </c>
      <c r="GL27" s="208">
        <v>0</v>
      </c>
      <c r="GM27" s="208" t="s">
        <v>21442</v>
      </c>
      <c r="GN27" s="208" t="s">
        <v>21313</v>
      </c>
      <c r="GO27" s="208">
        <v>0</v>
      </c>
      <c r="GP27" s="208">
        <v>0</v>
      </c>
      <c r="GQ27" s="208">
        <v>0</v>
      </c>
      <c r="GR27" s="208">
        <v>0</v>
      </c>
      <c r="GS27" s="208">
        <v>0</v>
      </c>
      <c r="GT27" s="208">
        <v>0</v>
      </c>
      <c r="GU27" s="208" t="s">
        <v>21313</v>
      </c>
      <c r="GV27" s="208" t="s">
        <v>21313</v>
      </c>
      <c r="GW27" s="208">
        <v>0</v>
      </c>
      <c r="GX27" s="208">
        <v>0</v>
      </c>
      <c r="GY27" s="208">
        <v>0</v>
      </c>
      <c r="GZ27" s="208">
        <v>0</v>
      </c>
      <c r="HA27" s="208">
        <v>0</v>
      </c>
      <c r="HB27" s="208">
        <v>0</v>
      </c>
      <c r="HC27" s="208" t="s">
        <v>21313</v>
      </c>
      <c r="HD27" s="208" t="s">
        <v>21313</v>
      </c>
      <c r="HE27" s="208">
        <v>0</v>
      </c>
      <c r="HF27" s="208">
        <v>0</v>
      </c>
      <c r="HG27" s="208">
        <v>0</v>
      </c>
      <c r="HH27" s="208">
        <v>0</v>
      </c>
      <c r="HI27" s="208">
        <v>0</v>
      </c>
      <c r="HJ27" s="208">
        <v>0</v>
      </c>
      <c r="HK27" s="208" t="s">
        <v>21313</v>
      </c>
      <c r="HL27" s="208" t="s">
        <v>21313</v>
      </c>
      <c r="HM27" s="208">
        <v>0</v>
      </c>
      <c r="HN27" s="208">
        <v>0</v>
      </c>
      <c r="HO27" s="208">
        <v>0</v>
      </c>
      <c r="HP27" s="208">
        <v>0</v>
      </c>
      <c r="HQ27" s="208">
        <v>0</v>
      </c>
      <c r="HR27" s="208">
        <v>0</v>
      </c>
      <c r="HS27" s="208" t="s">
        <v>21313</v>
      </c>
      <c r="HT27" s="208" t="s">
        <v>21333</v>
      </c>
      <c r="HU27" s="208">
        <v>22</v>
      </c>
      <c r="HV27" s="208">
        <v>22</v>
      </c>
      <c r="HW27" s="208">
        <v>0</v>
      </c>
      <c r="HX27" s="208">
        <v>0</v>
      </c>
      <c r="HY27" s="208">
        <v>0</v>
      </c>
      <c r="HZ27" s="208">
        <v>0</v>
      </c>
      <c r="IA27" s="600">
        <v>22</v>
      </c>
      <c r="IB27" s="600">
        <v>2</v>
      </c>
      <c r="IC27" s="343" t="s">
        <v>21035</v>
      </c>
      <c r="ID27" s="343" t="s">
        <v>21491</v>
      </c>
      <c r="IE27" s="343" t="s">
        <v>21335</v>
      </c>
      <c r="IF27" s="343" t="s">
        <v>21336</v>
      </c>
      <c r="IG27" s="383">
        <v>43756</v>
      </c>
      <c r="IH27" s="383">
        <v>45583</v>
      </c>
      <c r="II27" s="208">
        <v>37</v>
      </c>
    </row>
    <row r="28" ht="165.75">
      <c r="A28" s="207">
        <v>27</v>
      </c>
      <c r="B28" s="343" t="s">
        <v>21298</v>
      </c>
      <c r="C28" s="343" t="s">
        <v>21298</v>
      </c>
      <c r="D28" s="600" t="s">
        <v>21201</v>
      </c>
      <c r="E28" s="317" t="s">
        <v>21202</v>
      </c>
      <c r="F28" s="207" t="s">
        <v>20855</v>
      </c>
      <c r="G28" s="600">
        <v>105.830771</v>
      </c>
      <c r="H28" s="600">
        <v>20.993583</v>
      </c>
      <c r="I28" s="207">
        <v>1</v>
      </c>
      <c r="J28" s="207">
        <v>2</v>
      </c>
      <c r="K28" s="207" t="s">
        <v>21337</v>
      </c>
      <c r="L28" s="207" t="s">
        <v>21492</v>
      </c>
      <c r="M28" s="207" t="s">
        <v>21339</v>
      </c>
      <c r="N28" s="207" t="s">
        <v>21340</v>
      </c>
      <c r="O28" s="207" t="s">
        <v>21341</v>
      </c>
      <c r="P28" s="207" t="s">
        <v>21342</v>
      </c>
      <c r="Q28" s="207" t="s">
        <v>21343</v>
      </c>
      <c r="R28" s="207" t="s">
        <v>21493</v>
      </c>
      <c r="S28" s="364" t="b">
        <v>1</v>
      </c>
      <c r="T28" s="207" t="s">
        <v>21203</v>
      </c>
      <c r="U28" s="207">
        <v>0</v>
      </c>
      <c r="V28" s="207" t="s">
        <v>21307</v>
      </c>
      <c r="W28" s="207" t="s">
        <v>21204</v>
      </c>
      <c r="X28" s="209" t="s">
        <v>21308</v>
      </c>
      <c r="Y28" s="207" t="b">
        <v>0</v>
      </c>
      <c r="Z28" s="364" t="b">
        <v>0</v>
      </c>
      <c r="AA28" s="600">
        <v>19</v>
      </c>
      <c r="AB28" s="364" t="b">
        <v>1</v>
      </c>
      <c r="AC28" s="600">
        <v>16</v>
      </c>
      <c r="AD28" s="207" t="b">
        <v>0</v>
      </c>
      <c r="AE28" s="207" t="s">
        <v>21309</v>
      </c>
      <c r="AF28" s="207" t="s">
        <v>21310</v>
      </c>
      <c r="AG28" s="343" t="s">
        <v>21311</v>
      </c>
      <c r="AH28" s="343" t="s">
        <v>21312</v>
      </c>
      <c r="AI28" s="343" t="s">
        <v>21054</v>
      </c>
      <c r="AJ28" s="343" t="s">
        <v>21313</v>
      </c>
      <c r="AK28" s="343" t="s">
        <v>21314</v>
      </c>
      <c r="AL28" s="208"/>
      <c r="AM28" s="208" t="s">
        <v>21315</v>
      </c>
      <c r="AN28" s="208" t="s">
        <v>21316</v>
      </c>
      <c r="AO28" s="207">
        <v>5</v>
      </c>
      <c r="AP28" s="287" t="s">
        <v>21317</v>
      </c>
      <c r="AQ28" s="448" t="s">
        <v>21484</v>
      </c>
      <c r="AR28" s="448" t="s">
        <v>21494</v>
      </c>
      <c r="AS28" s="449" t="s">
        <v>10</v>
      </c>
      <c r="AT28" s="208" t="s">
        <v>21316</v>
      </c>
      <c r="AU28" s="208" t="s">
        <v>21316</v>
      </c>
      <c r="AV28" s="208" t="s">
        <v>21313</v>
      </c>
      <c r="AW28" s="208" t="s">
        <v>21313</v>
      </c>
      <c r="AX28" s="208" t="s">
        <v>21313</v>
      </c>
      <c r="AY28" s="208" t="s">
        <v>21313</v>
      </c>
      <c r="AZ28" s="208" t="s">
        <v>21298</v>
      </c>
      <c r="BA28" s="208" t="s">
        <v>21298</v>
      </c>
      <c r="BB28" s="208" t="s">
        <v>21313</v>
      </c>
      <c r="BC28" s="208" t="s">
        <v>21313</v>
      </c>
      <c r="BD28" s="208" t="s">
        <v>21313</v>
      </c>
      <c r="BE28" s="208" t="s">
        <v>21313</v>
      </c>
      <c r="BF28" s="208" t="s">
        <v>21346</v>
      </c>
      <c r="BG28" s="208" t="s">
        <v>21201</v>
      </c>
      <c r="BH28" s="208" t="s">
        <v>21201</v>
      </c>
      <c r="BI28" s="208" t="s">
        <v>21313</v>
      </c>
      <c r="BJ28" s="208" t="s">
        <v>21313</v>
      </c>
      <c r="BK28" s="208" t="s">
        <v>21313</v>
      </c>
      <c r="BL28" s="208" t="s">
        <v>21313</v>
      </c>
      <c r="BM28" s="208" t="s">
        <v>21322</v>
      </c>
      <c r="BN28" s="208" t="s">
        <v>21323</v>
      </c>
      <c r="BO28" s="208" t="s">
        <v>21313</v>
      </c>
      <c r="BP28" s="208" t="s">
        <v>21313</v>
      </c>
      <c r="BQ28" s="208" t="s">
        <v>21313</v>
      </c>
      <c r="BR28" s="208" t="s">
        <v>21313</v>
      </c>
      <c r="BS28" s="208">
        <v>3</v>
      </c>
      <c r="BT28" s="208">
        <v>3</v>
      </c>
      <c r="BU28" s="208">
        <v>0</v>
      </c>
      <c r="BV28" s="208">
        <v>0</v>
      </c>
      <c r="BW28" s="208">
        <v>0</v>
      </c>
      <c r="BX28" s="208">
        <v>0</v>
      </c>
      <c r="BY28" s="208" t="s">
        <v>21042</v>
      </c>
      <c r="BZ28" s="208">
        <v>2</v>
      </c>
      <c r="CA28" s="208">
        <v>2</v>
      </c>
      <c r="CB28" s="208">
        <v>2</v>
      </c>
      <c r="CC28" s="208">
        <v>0</v>
      </c>
      <c r="CD28" s="208">
        <v>0</v>
      </c>
      <c r="CE28" s="208">
        <v>0</v>
      </c>
      <c r="CF28" s="208" t="s">
        <v>21324</v>
      </c>
      <c r="CG28" s="208">
        <v>1</v>
      </c>
      <c r="CH28" s="208">
        <v>1</v>
      </c>
      <c r="CI28" s="208">
        <v>1</v>
      </c>
      <c r="CJ28" s="208">
        <v>0</v>
      </c>
      <c r="CK28" s="208">
        <v>0</v>
      </c>
      <c r="CL28" s="208">
        <v>0</v>
      </c>
      <c r="CM28" s="208" t="s">
        <v>21313</v>
      </c>
      <c r="CN28" s="208">
        <v>0</v>
      </c>
      <c r="CO28" s="208">
        <v>0</v>
      </c>
      <c r="CP28" s="208">
        <v>0</v>
      </c>
      <c r="CQ28" s="208">
        <v>0</v>
      </c>
      <c r="CR28" s="208">
        <v>0</v>
      </c>
      <c r="CS28" s="208">
        <v>0</v>
      </c>
      <c r="CT28" s="208" t="s">
        <v>21313</v>
      </c>
      <c r="CU28" s="208">
        <v>0</v>
      </c>
      <c r="CV28" s="208">
        <v>0</v>
      </c>
      <c r="CW28" s="208">
        <v>0</v>
      </c>
      <c r="CX28" s="208">
        <v>0</v>
      </c>
      <c r="CY28" s="208">
        <v>0</v>
      </c>
      <c r="CZ28" s="208">
        <v>0</v>
      </c>
      <c r="DA28" s="208" t="s">
        <v>21313</v>
      </c>
      <c r="DB28" s="208">
        <v>0</v>
      </c>
      <c r="DC28" s="208">
        <v>0</v>
      </c>
      <c r="DD28" s="208">
        <v>0</v>
      </c>
      <c r="DE28" s="208">
        <v>0</v>
      </c>
      <c r="DF28" s="208">
        <v>0</v>
      </c>
      <c r="DG28" s="208">
        <v>0</v>
      </c>
      <c r="DH28" s="208" t="s">
        <v>21313</v>
      </c>
      <c r="DI28" s="208">
        <v>0</v>
      </c>
      <c r="DJ28" s="208">
        <v>0</v>
      </c>
      <c r="DK28" s="208">
        <v>0</v>
      </c>
      <c r="DL28" s="208">
        <v>0</v>
      </c>
      <c r="DM28" s="208">
        <v>0</v>
      </c>
      <c r="DN28" s="208">
        <v>0</v>
      </c>
      <c r="DO28" s="208" t="s">
        <v>21327</v>
      </c>
      <c r="DP28" s="208">
        <v>60</v>
      </c>
      <c r="DQ28" s="208">
        <v>60</v>
      </c>
      <c r="DR28" s="208">
        <v>60</v>
      </c>
      <c r="DS28" s="208">
        <v>0</v>
      </c>
      <c r="DT28" s="208">
        <v>0</v>
      </c>
      <c r="DU28" s="208">
        <v>0</v>
      </c>
      <c r="DV28" s="208" t="s">
        <v>21328</v>
      </c>
      <c r="DW28" s="208">
        <v>60</v>
      </c>
      <c r="DX28" s="208" t="s">
        <v>21327</v>
      </c>
      <c r="DY28" s="208">
        <v>60</v>
      </c>
      <c r="DZ28" s="208">
        <v>60</v>
      </c>
      <c r="EA28" s="208">
        <v>60</v>
      </c>
      <c r="EB28" s="208">
        <v>0</v>
      </c>
      <c r="EC28" s="208">
        <v>0</v>
      </c>
      <c r="ED28" s="208">
        <v>0</v>
      </c>
      <c r="EE28" s="208" t="s">
        <v>21328</v>
      </c>
      <c r="EF28" s="208">
        <v>60</v>
      </c>
      <c r="EG28" s="208" t="s">
        <v>21313</v>
      </c>
      <c r="EH28" s="208">
        <v>0</v>
      </c>
      <c r="EI28" s="208">
        <v>0</v>
      </c>
      <c r="EJ28" s="208">
        <v>0</v>
      </c>
      <c r="EK28" s="208">
        <v>0</v>
      </c>
      <c r="EL28" s="208">
        <v>0</v>
      </c>
      <c r="EM28" s="208">
        <v>0</v>
      </c>
      <c r="EN28" s="208" t="s">
        <v>21313</v>
      </c>
      <c r="EO28" s="208">
        <v>0</v>
      </c>
      <c r="EP28" s="208" t="s">
        <v>21313</v>
      </c>
      <c r="EQ28" s="208">
        <v>0</v>
      </c>
      <c r="ER28" s="208">
        <v>0</v>
      </c>
      <c r="ES28" s="208">
        <v>0</v>
      </c>
      <c r="ET28" s="208">
        <v>0</v>
      </c>
      <c r="EU28" s="208">
        <v>0</v>
      </c>
      <c r="EV28" s="208">
        <v>0</v>
      </c>
      <c r="EW28" s="208" t="s">
        <v>21313</v>
      </c>
      <c r="EX28" s="208">
        <v>0</v>
      </c>
      <c r="EY28" s="208" t="s">
        <v>21313</v>
      </c>
      <c r="EZ28" s="208">
        <v>0</v>
      </c>
      <c r="FA28" s="208">
        <v>0</v>
      </c>
      <c r="FB28" s="208">
        <v>0</v>
      </c>
      <c r="FC28" s="208">
        <v>0</v>
      </c>
      <c r="FD28" s="208">
        <v>0</v>
      </c>
      <c r="FE28" s="208">
        <v>0</v>
      </c>
      <c r="FF28" s="208" t="s">
        <v>21313</v>
      </c>
      <c r="FG28" s="208">
        <v>0</v>
      </c>
      <c r="FH28" s="208" t="s">
        <v>21313</v>
      </c>
      <c r="FI28" s="208">
        <v>0</v>
      </c>
      <c r="FJ28" s="208">
        <v>0</v>
      </c>
      <c r="FK28" s="208">
        <v>0</v>
      </c>
      <c r="FL28" s="208">
        <v>0</v>
      </c>
      <c r="FM28" s="208">
        <v>0</v>
      </c>
      <c r="FN28" s="208">
        <v>0</v>
      </c>
      <c r="FO28" s="208" t="s">
        <v>21313</v>
      </c>
      <c r="FP28" s="208">
        <v>0</v>
      </c>
      <c r="FQ28" s="208">
        <v>60</v>
      </c>
      <c r="FR28" s="208" t="s">
        <v>21329</v>
      </c>
      <c r="FS28" s="208" t="s">
        <v>21330</v>
      </c>
      <c r="FT28" s="208" t="s">
        <v>21313</v>
      </c>
      <c r="FU28" s="208" t="s">
        <v>21313</v>
      </c>
      <c r="FV28" s="208" t="s">
        <v>21313</v>
      </c>
      <c r="FW28" s="208" t="s">
        <v>21313</v>
      </c>
      <c r="FX28" s="208" t="s">
        <v>21457</v>
      </c>
      <c r="FY28" s="208">
        <v>19</v>
      </c>
      <c r="FZ28" s="208">
        <v>19</v>
      </c>
      <c r="GA28" s="208">
        <v>19</v>
      </c>
      <c r="GB28" s="208">
        <v>0</v>
      </c>
      <c r="GC28" s="208">
        <v>0</v>
      </c>
      <c r="GD28" s="208">
        <v>0</v>
      </c>
      <c r="GE28" s="208" t="s">
        <v>21458</v>
      </c>
      <c r="GF28" s="208" t="s">
        <v>21457</v>
      </c>
      <c r="GG28" s="208">
        <v>19</v>
      </c>
      <c r="GH28" s="208">
        <v>19</v>
      </c>
      <c r="GI28" s="208">
        <v>19</v>
      </c>
      <c r="GJ28" s="208">
        <v>0</v>
      </c>
      <c r="GK28" s="208">
        <v>0</v>
      </c>
      <c r="GL28" s="208">
        <v>0</v>
      </c>
      <c r="GM28" s="208" t="s">
        <v>21458</v>
      </c>
      <c r="GN28" s="208" t="s">
        <v>21313</v>
      </c>
      <c r="GO28" s="208">
        <v>0</v>
      </c>
      <c r="GP28" s="208">
        <v>0</v>
      </c>
      <c r="GQ28" s="208">
        <v>0</v>
      </c>
      <c r="GR28" s="208">
        <v>0</v>
      </c>
      <c r="GS28" s="208">
        <v>0</v>
      </c>
      <c r="GT28" s="208">
        <v>0</v>
      </c>
      <c r="GU28" s="208" t="s">
        <v>21313</v>
      </c>
      <c r="GV28" s="208" t="s">
        <v>21313</v>
      </c>
      <c r="GW28" s="208">
        <v>0</v>
      </c>
      <c r="GX28" s="208">
        <v>0</v>
      </c>
      <c r="GY28" s="208">
        <v>0</v>
      </c>
      <c r="GZ28" s="208">
        <v>0</v>
      </c>
      <c r="HA28" s="208">
        <v>0</v>
      </c>
      <c r="HB28" s="208">
        <v>0</v>
      </c>
      <c r="HC28" s="208" t="s">
        <v>21313</v>
      </c>
      <c r="HD28" s="208" t="s">
        <v>21313</v>
      </c>
      <c r="HE28" s="208">
        <v>0</v>
      </c>
      <c r="HF28" s="208">
        <v>0</v>
      </c>
      <c r="HG28" s="208">
        <v>0</v>
      </c>
      <c r="HH28" s="208">
        <v>0</v>
      </c>
      <c r="HI28" s="208">
        <v>0</v>
      </c>
      <c r="HJ28" s="208">
        <v>0</v>
      </c>
      <c r="HK28" s="208" t="s">
        <v>21313</v>
      </c>
      <c r="HL28" s="208" t="s">
        <v>21313</v>
      </c>
      <c r="HM28" s="208">
        <v>0</v>
      </c>
      <c r="HN28" s="208">
        <v>0</v>
      </c>
      <c r="HO28" s="208">
        <v>0</v>
      </c>
      <c r="HP28" s="208">
        <v>0</v>
      </c>
      <c r="HQ28" s="208">
        <v>0</v>
      </c>
      <c r="HR28" s="208">
        <v>0</v>
      </c>
      <c r="HS28" s="208" t="s">
        <v>21313</v>
      </c>
      <c r="HT28" s="208" t="s">
        <v>21333</v>
      </c>
      <c r="HU28" s="208">
        <v>19</v>
      </c>
      <c r="HV28" s="208">
        <v>19</v>
      </c>
      <c r="HW28" s="208">
        <v>0</v>
      </c>
      <c r="HX28" s="208">
        <v>0</v>
      </c>
      <c r="HY28" s="208">
        <v>0</v>
      </c>
      <c r="HZ28" s="208">
        <v>0</v>
      </c>
      <c r="IA28" s="600">
        <v>19</v>
      </c>
      <c r="IB28" s="600">
        <v>3</v>
      </c>
      <c r="IC28" s="343" t="s">
        <v>21035</v>
      </c>
      <c r="ID28" s="343" t="s">
        <v>3794</v>
      </c>
      <c r="IE28" s="343" t="s">
        <v>21335</v>
      </c>
      <c r="IF28" s="343" t="s">
        <v>21336</v>
      </c>
      <c r="IG28" s="383">
        <v>43756</v>
      </c>
      <c r="IH28" s="383">
        <v>45583</v>
      </c>
      <c r="II28" s="208">
        <v>37</v>
      </c>
    </row>
    <row r="29" ht="165.75">
      <c r="A29" s="207">
        <v>28</v>
      </c>
      <c r="B29" s="343" t="s">
        <v>21298</v>
      </c>
      <c r="C29" s="343" t="s">
        <v>21298</v>
      </c>
      <c r="D29" s="600" t="s">
        <v>21205</v>
      </c>
      <c r="E29" s="317" t="s">
        <v>21206</v>
      </c>
      <c r="F29" s="207" t="s">
        <v>20855</v>
      </c>
      <c r="G29" s="600">
        <v>105.811422</v>
      </c>
      <c r="H29" s="600">
        <v>21.047256</v>
      </c>
      <c r="I29" s="207">
        <v>1</v>
      </c>
      <c r="J29" s="207">
        <v>2</v>
      </c>
      <c r="K29" s="207" t="s">
        <v>21337</v>
      </c>
      <c r="L29" s="207" t="s">
        <v>21495</v>
      </c>
      <c r="M29" s="207" t="s">
        <v>21339</v>
      </c>
      <c r="N29" s="207" t="s">
        <v>21340</v>
      </c>
      <c r="O29" s="207" t="s">
        <v>21341</v>
      </c>
      <c r="P29" s="207" t="s">
        <v>21342</v>
      </c>
      <c r="Q29" s="207" t="s">
        <v>21343</v>
      </c>
      <c r="R29" s="207" t="s">
        <v>21447</v>
      </c>
      <c r="S29" s="364" t="b">
        <v>1</v>
      </c>
      <c r="T29" s="207" t="s">
        <v>21207</v>
      </c>
      <c r="U29" s="207">
        <v>0</v>
      </c>
      <c r="V29" s="207" t="s">
        <v>21307</v>
      </c>
      <c r="W29" s="207" t="s">
        <v>21208</v>
      </c>
      <c r="X29" s="209" t="s">
        <v>21308</v>
      </c>
      <c r="Y29" s="207" t="b">
        <v>0</v>
      </c>
      <c r="Z29" s="364" t="b">
        <v>0</v>
      </c>
      <c r="AA29" s="600">
        <v>27</v>
      </c>
      <c r="AB29" s="364" t="b">
        <v>1</v>
      </c>
      <c r="AC29" s="600">
        <v>25</v>
      </c>
      <c r="AD29" s="207" t="b">
        <v>0</v>
      </c>
      <c r="AE29" s="207" t="s">
        <v>21309</v>
      </c>
      <c r="AF29" s="207" t="s">
        <v>21310</v>
      </c>
      <c r="AG29" s="343" t="s">
        <v>21311</v>
      </c>
      <c r="AH29" s="343" t="s">
        <v>21312</v>
      </c>
      <c r="AI29" s="343" t="s">
        <v>21054</v>
      </c>
      <c r="AJ29" s="343" t="s">
        <v>21313</v>
      </c>
      <c r="AK29" s="343" t="s">
        <v>21314</v>
      </c>
      <c r="AL29" s="208"/>
      <c r="AM29" s="208" t="s">
        <v>21315</v>
      </c>
      <c r="AN29" s="208" t="s">
        <v>21316</v>
      </c>
      <c r="AO29" s="207">
        <v>5</v>
      </c>
      <c r="AP29" s="287" t="s">
        <v>21317</v>
      </c>
      <c r="AQ29" s="448" t="s">
        <v>21496</v>
      </c>
      <c r="AR29" s="448" t="s">
        <v>21497</v>
      </c>
      <c r="AS29" s="449" t="s">
        <v>10</v>
      </c>
      <c r="AT29" s="208" t="s">
        <v>21316</v>
      </c>
      <c r="AU29" s="208" t="s">
        <v>21316</v>
      </c>
      <c r="AV29" s="208" t="s">
        <v>21313</v>
      </c>
      <c r="AW29" s="208" t="s">
        <v>21313</v>
      </c>
      <c r="AX29" s="208" t="s">
        <v>21313</v>
      </c>
      <c r="AY29" s="208" t="s">
        <v>21313</v>
      </c>
      <c r="AZ29" s="208" t="s">
        <v>21298</v>
      </c>
      <c r="BA29" s="208" t="s">
        <v>21298</v>
      </c>
      <c r="BB29" s="208" t="s">
        <v>21313</v>
      </c>
      <c r="BC29" s="208" t="s">
        <v>21313</v>
      </c>
      <c r="BD29" s="208" t="s">
        <v>21313</v>
      </c>
      <c r="BE29" s="208" t="s">
        <v>21313</v>
      </c>
      <c r="BF29" s="208" t="s">
        <v>21346</v>
      </c>
      <c r="BG29" s="208" t="s">
        <v>21205</v>
      </c>
      <c r="BH29" s="208" t="s">
        <v>21205</v>
      </c>
      <c r="BI29" s="208" t="s">
        <v>21313</v>
      </c>
      <c r="BJ29" s="208" t="s">
        <v>21313</v>
      </c>
      <c r="BK29" s="208" t="s">
        <v>21313</v>
      </c>
      <c r="BL29" s="208" t="s">
        <v>21313</v>
      </c>
      <c r="BM29" s="208" t="s">
        <v>21322</v>
      </c>
      <c r="BN29" s="208" t="s">
        <v>21323</v>
      </c>
      <c r="BO29" s="208" t="s">
        <v>21313</v>
      </c>
      <c r="BP29" s="208" t="s">
        <v>21313</v>
      </c>
      <c r="BQ29" s="208" t="s">
        <v>21313</v>
      </c>
      <c r="BR29" s="208" t="s">
        <v>21313</v>
      </c>
      <c r="BS29" s="208">
        <v>3</v>
      </c>
      <c r="BT29" s="208">
        <v>3</v>
      </c>
      <c r="BU29" s="208">
        <v>0</v>
      </c>
      <c r="BV29" s="208">
        <v>0</v>
      </c>
      <c r="BW29" s="208">
        <v>0</v>
      </c>
      <c r="BX29" s="208">
        <v>0</v>
      </c>
      <c r="BY29" s="208" t="s">
        <v>21042</v>
      </c>
      <c r="BZ29" s="208">
        <v>2</v>
      </c>
      <c r="CA29" s="208">
        <v>2</v>
      </c>
      <c r="CB29" s="208">
        <v>2</v>
      </c>
      <c r="CC29" s="208">
        <v>0</v>
      </c>
      <c r="CD29" s="208">
        <v>0</v>
      </c>
      <c r="CE29" s="208">
        <v>0</v>
      </c>
      <c r="CF29" s="208" t="s">
        <v>21324</v>
      </c>
      <c r="CG29" s="208">
        <v>1</v>
      </c>
      <c r="CH29" s="208">
        <v>1</v>
      </c>
      <c r="CI29" s="208">
        <v>1</v>
      </c>
      <c r="CJ29" s="208">
        <v>0</v>
      </c>
      <c r="CK29" s="208">
        <v>0</v>
      </c>
      <c r="CL29" s="208">
        <v>0</v>
      </c>
      <c r="CM29" s="208" t="s">
        <v>21313</v>
      </c>
      <c r="CN29" s="208">
        <v>0</v>
      </c>
      <c r="CO29" s="208">
        <v>0</v>
      </c>
      <c r="CP29" s="208">
        <v>0</v>
      </c>
      <c r="CQ29" s="208">
        <v>0</v>
      </c>
      <c r="CR29" s="208">
        <v>0</v>
      </c>
      <c r="CS29" s="208">
        <v>0</v>
      </c>
      <c r="CT29" s="208" t="s">
        <v>21313</v>
      </c>
      <c r="CU29" s="208">
        <v>0</v>
      </c>
      <c r="CV29" s="208">
        <v>0</v>
      </c>
      <c r="CW29" s="208">
        <v>0</v>
      </c>
      <c r="CX29" s="208">
        <v>0</v>
      </c>
      <c r="CY29" s="208">
        <v>0</v>
      </c>
      <c r="CZ29" s="208">
        <v>0</v>
      </c>
      <c r="DA29" s="208" t="s">
        <v>21313</v>
      </c>
      <c r="DB29" s="208">
        <v>0</v>
      </c>
      <c r="DC29" s="208">
        <v>0</v>
      </c>
      <c r="DD29" s="208">
        <v>0</v>
      </c>
      <c r="DE29" s="208">
        <v>0</v>
      </c>
      <c r="DF29" s="208">
        <v>0</v>
      </c>
      <c r="DG29" s="208">
        <v>0</v>
      </c>
      <c r="DH29" s="208" t="s">
        <v>21313</v>
      </c>
      <c r="DI29" s="208">
        <v>0</v>
      </c>
      <c r="DJ29" s="208">
        <v>0</v>
      </c>
      <c r="DK29" s="208">
        <v>0</v>
      </c>
      <c r="DL29" s="208">
        <v>0</v>
      </c>
      <c r="DM29" s="208">
        <v>0</v>
      </c>
      <c r="DN29" s="208">
        <v>0</v>
      </c>
      <c r="DO29" s="208" t="s">
        <v>21327</v>
      </c>
      <c r="DP29" s="208">
        <v>60</v>
      </c>
      <c r="DQ29" s="208">
        <v>60</v>
      </c>
      <c r="DR29" s="208">
        <v>60</v>
      </c>
      <c r="DS29" s="208">
        <v>0</v>
      </c>
      <c r="DT29" s="208">
        <v>0</v>
      </c>
      <c r="DU29" s="208">
        <v>0</v>
      </c>
      <c r="DV29" s="208" t="s">
        <v>21328</v>
      </c>
      <c r="DW29" s="208">
        <v>60</v>
      </c>
      <c r="DX29" s="208" t="s">
        <v>21327</v>
      </c>
      <c r="DY29" s="208">
        <v>60</v>
      </c>
      <c r="DZ29" s="208">
        <v>60</v>
      </c>
      <c r="EA29" s="208">
        <v>60</v>
      </c>
      <c r="EB29" s="208">
        <v>0</v>
      </c>
      <c r="EC29" s="208">
        <v>0</v>
      </c>
      <c r="ED29" s="208">
        <v>0</v>
      </c>
      <c r="EE29" s="208" t="s">
        <v>21328</v>
      </c>
      <c r="EF29" s="208">
        <v>60</v>
      </c>
      <c r="EG29" s="208" t="s">
        <v>21313</v>
      </c>
      <c r="EH29" s="208">
        <v>0</v>
      </c>
      <c r="EI29" s="208">
        <v>0</v>
      </c>
      <c r="EJ29" s="208">
        <v>0</v>
      </c>
      <c r="EK29" s="208">
        <v>0</v>
      </c>
      <c r="EL29" s="208">
        <v>0</v>
      </c>
      <c r="EM29" s="208">
        <v>0</v>
      </c>
      <c r="EN29" s="208" t="s">
        <v>21313</v>
      </c>
      <c r="EO29" s="208">
        <v>0</v>
      </c>
      <c r="EP29" s="208" t="s">
        <v>21313</v>
      </c>
      <c r="EQ29" s="208">
        <v>0</v>
      </c>
      <c r="ER29" s="208">
        <v>0</v>
      </c>
      <c r="ES29" s="208">
        <v>0</v>
      </c>
      <c r="ET29" s="208">
        <v>0</v>
      </c>
      <c r="EU29" s="208">
        <v>0</v>
      </c>
      <c r="EV29" s="208">
        <v>0</v>
      </c>
      <c r="EW29" s="208" t="s">
        <v>21313</v>
      </c>
      <c r="EX29" s="208">
        <v>0</v>
      </c>
      <c r="EY29" s="208" t="s">
        <v>21313</v>
      </c>
      <c r="EZ29" s="208">
        <v>0</v>
      </c>
      <c r="FA29" s="208">
        <v>0</v>
      </c>
      <c r="FB29" s="208">
        <v>0</v>
      </c>
      <c r="FC29" s="208">
        <v>0</v>
      </c>
      <c r="FD29" s="208">
        <v>0</v>
      </c>
      <c r="FE29" s="208">
        <v>0</v>
      </c>
      <c r="FF29" s="208" t="s">
        <v>21313</v>
      </c>
      <c r="FG29" s="208">
        <v>0</v>
      </c>
      <c r="FH29" s="208" t="s">
        <v>21313</v>
      </c>
      <c r="FI29" s="208">
        <v>0</v>
      </c>
      <c r="FJ29" s="208">
        <v>0</v>
      </c>
      <c r="FK29" s="208">
        <v>0</v>
      </c>
      <c r="FL29" s="208">
        <v>0</v>
      </c>
      <c r="FM29" s="208">
        <v>0</v>
      </c>
      <c r="FN29" s="208">
        <v>0</v>
      </c>
      <c r="FO29" s="208" t="s">
        <v>21313</v>
      </c>
      <c r="FP29" s="208">
        <v>0</v>
      </c>
      <c r="FQ29" s="208">
        <v>60</v>
      </c>
      <c r="FR29" s="208" t="s">
        <v>21329</v>
      </c>
      <c r="FS29" s="208" t="s">
        <v>21330</v>
      </c>
      <c r="FT29" s="208" t="s">
        <v>21313</v>
      </c>
      <c r="FU29" s="208" t="s">
        <v>21313</v>
      </c>
      <c r="FV29" s="208" t="s">
        <v>21313</v>
      </c>
      <c r="FW29" s="208" t="s">
        <v>21313</v>
      </c>
      <c r="FX29" s="208" t="s">
        <v>21450</v>
      </c>
      <c r="FY29" s="208">
        <v>27</v>
      </c>
      <c r="FZ29" s="208">
        <v>27</v>
      </c>
      <c r="GA29" s="208">
        <v>27</v>
      </c>
      <c r="GB29" s="208">
        <v>0</v>
      </c>
      <c r="GC29" s="208">
        <v>0</v>
      </c>
      <c r="GD29" s="208">
        <v>0</v>
      </c>
      <c r="GE29" s="208" t="s">
        <v>21451</v>
      </c>
      <c r="GF29" s="208" t="s">
        <v>21450</v>
      </c>
      <c r="GG29" s="208">
        <v>27</v>
      </c>
      <c r="GH29" s="208">
        <v>27</v>
      </c>
      <c r="GI29" s="208">
        <v>27</v>
      </c>
      <c r="GJ29" s="208">
        <v>0</v>
      </c>
      <c r="GK29" s="208">
        <v>0</v>
      </c>
      <c r="GL29" s="208">
        <v>0</v>
      </c>
      <c r="GM29" s="208" t="s">
        <v>21451</v>
      </c>
      <c r="GN29" s="208" t="s">
        <v>21313</v>
      </c>
      <c r="GO29" s="208">
        <v>0</v>
      </c>
      <c r="GP29" s="208">
        <v>0</v>
      </c>
      <c r="GQ29" s="208">
        <v>0</v>
      </c>
      <c r="GR29" s="208">
        <v>0</v>
      </c>
      <c r="GS29" s="208">
        <v>0</v>
      </c>
      <c r="GT29" s="208">
        <v>0</v>
      </c>
      <c r="GU29" s="208" t="s">
        <v>21313</v>
      </c>
      <c r="GV29" s="208" t="s">
        <v>21313</v>
      </c>
      <c r="GW29" s="208">
        <v>0</v>
      </c>
      <c r="GX29" s="208">
        <v>0</v>
      </c>
      <c r="GY29" s="208">
        <v>0</v>
      </c>
      <c r="GZ29" s="208">
        <v>0</v>
      </c>
      <c r="HA29" s="208">
        <v>0</v>
      </c>
      <c r="HB29" s="208">
        <v>0</v>
      </c>
      <c r="HC29" s="208" t="s">
        <v>21313</v>
      </c>
      <c r="HD29" s="208" t="s">
        <v>21313</v>
      </c>
      <c r="HE29" s="208">
        <v>0</v>
      </c>
      <c r="HF29" s="208">
        <v>0</v>
      </c>
      <c r="HG29" s="208">
        <v>0</v>
      </c>
      <c r="HH29" s="208">
        <v>0</v>
      </c>
      <c r="HI29" s="208">
        <v>0</v>
      </c>
      <c r="HJ29" s="208">
        <v>0</v>
      </c>
      <c r="HK29" s="208" t="s">
        <v>21313</v>
      </c>
      <c r="HL29" s="208" t="s">
        <v>21313</v>
      </c>
      <c r="HM29" s="208">
        <v>0</v>
      </c>
      <c r="HN29" s="208">
        <v>0</v>
      </c>
      <c r="HO29" s="208">
        <v>0</v>
      </c>
      <c r="HP29" s="208">
        <v>0</v>
      </c>
      <c r="HQ29" s="208">
        <v>0</v>
      </c>
      <c r="HR29" s="208">
        <v>0</v>
      </c>
      <c r="HS29" s="208" t="s">
        <v>21313</v>
      </c>
      <c r="HT29" s="208" t="s">
        <v>21333</v>
      </c>
      <c r="HU29" s="208">
        <v>27</v>
      </c>
      <c r="HV29" s="208">
        <v>27</v>
      </c>
      <c r="HW29" s="208">
        <v>0</v>
      </c>
      <c r="HX29" s="208">
        <v>0</v>
      </c>
      <c r="HY29" s="208">
        <v>0</v>
      </c>
      <c r="HZ29" s="208">
        <v>0</v>
      </c>
      <c r="IA29" s="600">
        <v>27</v>
      </c>
      <c r="IB29" s="600">
        <v>2</v>
      </c>
      <c r="IC29" s="343" t="s">
        <v>21035</v>
      </c>
      <c r="ID29" s="343" t="s">
        <v>21498</v>
      </c>
      <c r="IE29" s="343" t="s">
        <v>21335</v>
      </c>
      <c r="IF29" s="343" t="s">
        <v>21336</v>
      </c>
      <c r="IG29" s="383">
        <v>43756</v>
      </c>
      <c r="IH29" s="383">
        <v>45583</v>
      </c>
      <c r="II29" s="208">
        <v>37</v>
      </c>
    </row>
    <row r="30" ht="165.75">
      <c r="A30" s="207">
        <v>29</v>
      </c>
      <c r="B30" s="343" t="s">
        <v>21298</v>
      </c>
      <c r="C30" s="343" t="s">
        <v>21298</v>
      </c>
      <c r="D30" s="600" t="s">
        <v>21209</v>
      </c>
      <c r="E30" s="317" t="s">
        <v>21210</v>
      </c>
      <c r="F30" s="207" t="s">
        <v>20855</v>
      </c>
      <c r="G30" s="600">
        <v>105.787131</v>
      </c>
      <c r="H30" s="600">
        <v>21.001691</v>
      </c>
      <c r="I30" s="207">
        <v>1</v>
      </c>
      <c r="J30" s="207">
        <v>2</v>
      </c>
      <c r="K30" s="207" t="s">
        <v>21337</v>
      </c>
      <c r="L30" s="207" t="s">
        <v>21499</v>
      </c>
      <c r="M30" s="207" t="s">
        <v>21339</v>
      </c>
      <c r="N30" s="207" t="s">
        <v>21340</v>
      </c>
      <c r="O30" s="207" t="s">
        <v>21341</v>
      </c>
      <c r="P30" s="207" t="s">
        <v>21342</v>
      </c>
      <c r="Q30" s="207" t="s">
        <v>21343</v>
      </c>
      <c r="R30" s="207" t="s">
        <v>21478</v>
      </c>
      <c r="S30" s="364" t="b">
        <v>1</v>
      </c>
      <c r="T30" s="207" t="s">
        <v>21211</v>
      </c>
      <c r="U30" s="207">
        <v>0</v>
      </c>
      <c r="V30" s="207" t="s">
        <v>21307</v>
      </c>
      <c r="W30" s="207" t="s">
        <v>21212</v>
      </c>
      <c r="X30" s="209" t="s">
        <v>21308</v>
      </c>
      <c r="Y30" s="207" t="b">
        <v>1</v>
      </c>
      <c r="Z30" s="364" t="b">
        <v>0</v>
      </c>
      <c r="AA30" s="600">
        <v>28</v>
      </c>
      <c r="AB30" s="364" t="b">
        <v>0</v>
      </c>
      <c r="AC30" s="600">
        <v>0</v>
      </c>
      <c r="AD30" s="207" t="b">
        <v>0</v>
      </c>
      <c r="AE30" s="207" t="s">
        <v>21309</v>
      </c>
      <c r="AF30" s="207" t="s">
        <v>21310</v>
      </c>
      <c r="AG30" s="343" t="s">
        <v>21311</v>
      </c>
      <c r="AH30" s="343" t="s">
        <v>21312</v>
      </c>
      <c r="AI30" s="343" t="s">
        <v>21054</v>
      </c>
      <c r="AJ30" s="343" t="s">
        <v>21313</v>
      </c>
      <c r="AK30" s="343" t="s">
        <v>21314</v>
      </c>
      <c r="AL30" s="208"/>
      <c r="AM30" s="208" t="s">
        <v>21315</v>
      </c>
      <c r="AN30" s="208" t="s">
        <v>21316</v>
      </c>
      <c r="AO30" s="207">
        <v>3</v>
      </c>
      <c r="AP30" s="287" t="s">
        <v>21317</v>
      </c>
      <c r="AQ30" s="448" t="s">
        <v>21318</v>
      </c>
      <c r="AR30" s="448" t="s">
        <v>21364</v>
      </c>
      <c r="AS30" s="449" t="s">
        <v>10</v>
      </c>
      <c r="AT30" s="208" t="s">
        <v>21316</v>
      </c>
      <c r="AU30" s="208" t="s">
        <v>21316</v>
      </c>
      <c r="AV30" s="208" t="s">
        <v>21313</v>
      </c>
      <c r="AW30" s="208" t="s">
        <v>21313</v>
      </c>
      <c r="AX30" s="208" t="s">
        <v>21313</v>
      </c>
      <c r="AY30" s="208" t="s">
        <v>21313</v>
      </c>
      <c r="AZ30" s="208" t="s">
        <v>21298</v>
      </c>
      <c r="BA30" s="208" t="s">
        <v>21298</v>
      </c>
      <c r="BB30" s="208" t="s">
        <v>21313</v>
      </c>
      <c r="BC30" s="208" t="s">
        <v>21313</v>
      </c>
      <c r="BD30" s="208" t="s">
        <v>21313</v>
      </c>
      <c r="BE30" s="208" t="s">
        <v>21313</v>
      </c>
      <c r="BF30" s="208" t="s">
        <v>21346</v>
      </c>
      <c r="BG30" s="208" t="s">
        <v>21209</v>
      </c>
      <c r="BH30" s="208" t="s">
        <v>21209</v>
      </c>
      <c r="BI30" s="208" t="s">
        <v>21313</v>
      </c>
      <c r="BJ30" s="208" t="s">
        <v>21313</v>
      </c>
      <c r="BK30" s="208" t="s">
        <v>21313</v>
      </c>
      <c r="BL30" s="208" t="s">
        <v>21313</v>
      </c>
      <c r="BM30" s="208" t="s">
        <v>21322</v>
      </c>
      <c r="BN30" s="208" t="s">
        <v>21323</v>
      </c>
      <c r="BO30" s="208" t="s">
        <v>21313</v>
      </c>
      <c r="BP30" s="208" t="s">
        <v>21313</v>
      </c>
      <c r="BQ30" s="208" t="s">
        <v>21313</v>
      </c>
      <c r="BR30" s="208" t="s">
        <v>21313</v>
      </c>
      <c r="BS30" s="208">
        <v>3</v>
      </c>
      <c r="BT30" s="208">
        <v>3</v>
      </c>
      <c r="BU30" s="208">
        <v>0</v>
      </c>
      <c r="BV30" s="208">
        <v>0</v>
      </c>
      <c r="BW30" s="208">
        <v>0</v>
      </c>
      <c r="BX30" s="208">
        <v>0</v>
      </c>
      <c r="BY30" s="208" t="s">
        <v>21042</v>
      </c>
      <c r="BZ30" s="208">
        <v>2</v>
      </c>
      <c r="CA30" s="208">
        <v>2</v>
      </c>
      <c r="CB30" s="208">
        <v>2</v>
      </c>
      <c r="CC30" s="208">
        <v>0</v>
      </c>
      <c r="CD30" s="208">
        <v>0</v>
      </c>
      <c r="CE30" s="208">
        <v>0</v>
      </c>
      <c r="CF30" s="208" t="s">
        <v>21324</v>
      </c>
      <c r="CG30" s="208">
        <v>1</v>
      </c>
      <c r="CH30" s="208">
        <v>1</v>
      </c>
      <c r="CI30" s="208">
        <v>1</v>
      </c>
      <c r="CJ30" s="208">
        <v>0</v>
      </c>
      <c r="CK30" s="208">
        <v>0</v>
      </c>
      <c r="CL30" s="208">
        <v>0</v>
      </c>
      <c r="CM30" s="208" t="s">
        <v>21313</v>
      </c>
      <c r="CN30" s="208">
        <v>0</v>
      </c>
      <c r="CO30" s="208">
        <v>0</v>
      </c>
      <c r="CP30" s="208">
        <v>0</v>
      </c>
      <c r="CQ30" s="208">
        <v>0</v>
      </c>
      <c r="CR30" s="208">
        <v>0</v>
      </c>
      <c r="CS30" s="208">
        <v>0</v>
      </c>
      <c r="CT30" s="208" t="s">
        <v>21313</v>
      </c>
      <c r="CU30" s="208">
        <v>0</v>
      </c>
      <c r="CV30" s="208">
        <v>0</v>
      </c>
      <c r="CW30" s="208">
        <v>0</v>
      </c>
      <c r="CX30" s="208">
        <v>0</v>
      </c>
      <c r="CY30" s="208">
        <v>0</v>
      </c>
      <c r="CZ30" s="208">
        <v>0</v>
      </c>
      <c r="DA30" s="208" t="s">
        <v>21313</v>
      </c>
      <c r="DB30" s="208">
        <v>0</v>
      </c>
      <c r="DC30" s="208">
        <v>0</v>
      </c>
      <c r="DD30" s="208">
        <v>0</v>
      </c>
      <c r="DE30" s="208">
        <v>0</v>
      </c>
      <c r="DF30" s="208">
        <v>0</v>
      </c>
      <c r="DG30" s="208">
        <v>0</v>
      </c>
      <c r="DH30" s="208" t="s">
        <v>21313</v>
      </c>
      <c r="DI30" s="208">
        <v>0</v>
      </c>
      <c r="DJ30" s="208">
        <v>0</v>
      </c>
      <c r="DK30" s="208">
        <v>0</v>
      </c>
      <c r="DL30" s="208">
        <v>0</v>
      </c>
      <c r="DM30" s="208">
        <v>0</v>
      </c>
      <c r="DN30" s="208">
        <v>0</v>
      </c>
      <c r="DO30" s="208" t="s">
        <v>21327</v>
      </c>
      <c r="DP30" s="208">
        <v>60</v>
      </c>
      <c r="DQ30" s="208">
        <v>60</v>
      </c>
      <c r="DR30" s="208">
        <v>60</v>
      </c>
      <c r="DS30" s="208">
        <v>0</v>
      </c>
      <c r="DT30" s="208">
        <v>0</v>
      </c>
      <c r="DU30" s="208">
        <v>0</v>
      </c>
      <c r="DV30" s="208" t="s">
        <v>21328</v>
      </c>
      <c r="DW30" s="208">
        <v>60</v>
      </c>
      <c r="DX30" s="208" t="s">
        <v>21327</v>
      </c>
      <c r="DY30" s="208">
        <v>60</v>
      </c>
      <c r="DZ30" s="208">
        <v>60</v>
      </c>
      <c r="EA30" s="208">
        <v>60</v>
      </c>
      <c r="EB30" s="208">
        <v>0</v>
      </c>
      <c r="EC30" s="208">
        <v>0</v>
      </c>
      <c r="ED30" s="208">
        <v>0</v>
      </c>
      <c r="EE30" s="208" t="s">
        <v>21328</v>
      </c>
      <c r="EF30" s="208">
        <v>60</v>
      </c>
      <c r="EG30" s="208" t="s">
        <v>21313</v>
      </c>
      <c r="EH30" s="208">
        <v>0</v>
      </c>
      <c r="EI30" s="208">
        <v>0</v>
      </c>
      <c r="EJ30" s="208">
        <v>0</v>
      </c>
      <c r="EK30" s="208">
        <v>0</v>
      </c>
      <c r="EL30" s="208">
        <v>0</v>
      </c>
      <c r="EM30" s="208">
        <v>0</v>
      </c>
      <c r="EN30" s="208" t="s">
        <v>21313</v>
      </c>
      <c r="EO30" s="208">
        <v>0</v>
      </c>
      <c r="EP30" s="208" t="s">
        <v>21313</v>
      </c>
      <c r="EQ30" s="208">
        <v>0</v>
      </c>
      <c r="ER30" s="208">
        <v>0</v>
      </c>
      <c r="ES30" s="208">
        <v>0</v>
      </c>
      <c r="ET30" s="208">
        <v>0</v>
      </c>
      <c r="EU30" s="208">
        <v>0</v>
      </c>
      <c r="EV30" s="208">
        <v>0</v>
      </c>
      <c r="EW30" s="208" t="s">
        <v>21313</v>
      </c>
      <c r="EX30" s="208">
        <v>0</v>
      </c>
      <c r="EY30" s="208" t="s">
        <v>21313</v>
      </c>
      <c r="EZ30" s="208">
        <v>0</v>
      </c>
      <c r="FA30" s="208">
        <v>0</v>
      </c>
      <c r="FB30" s="208">
        <v>0</v>
      </c>
      <c r="FC30" s="208">
        <v>0</v>
      </c>
      <c r="FD30" s="208">
        <v>0</v>
      </c>
      <c r="FE30" s="208">
        <v>0</v>
      </c>
      <c r="FF30" s="208" t="s">
        <v>21313</v>
      </c>
      <c r="FG30" s="208">
        <v>0</v>
      </c>
      <c r="FH30" s="208" t="s">
        <v>21313</v>
      </c>
      <c r="FI30" s="208">
        <v>0</v>
      </c>
      <c r="FJ30" s="208">
        <v>0</v>
      </c>
      <c r="FK30" s="208">
        <v>0</v>
      </c>
      <c r="FL30" s="208">
        <v>0</v>
      </c>
      <c r="FM30" s="208">
        <v>0</v>
      </c>
      <c r="FN30" s="208">
        <v>0</v>
      </c>
      <c r="FO30" s="208" t="s">
        <v>21313</v>
      </c>
      <c r="FP30" s="208">
        <v>0</v>
      </c>
      <c r="FQ30" s="208">
        <v>60</v>
      </c>
      <c r="FR30" s="208" t="s">
        <v>21329</v>
      </c>
      <c r="FS30" s="208" t="s">
        <v>21330</v>
      </c>
      <c r="FT30" s="208" t="s">
        <v>21313</v>
      </c>
      <c r="FU30" s="208" t="s">
        <v>21313</v>
      </c>
      <c r="FV30" s="208" t="s">
        <v>21313</v>
      </c>
      <c r="FW30" s="208" t="s">
        <v>21313</v>
      </c>
      <c r="FX30" s="208" t="s">
        <v>21480</v>
      </c>
      <c r="FY30" s="208">
        <v>28</v>
      </c>
      <c r="FZ30" s="208">
        <v>28</v>
      </c>
      <c r="GA30" s="208">
        <v>28</v>
      </c>
      <c r="GB30" s="208">
        <v>0</v>
      </c>
      <c r="GC30" s="208">
        <v>0</v>
      </c>
      <c r="GD30" s="208">
        <v>0</v>
      </c>
      <c r="GE30" s="208" t="s">
        <v>21481</v>
      </c>
      <c r="GF30" s="208" t="s">
        <v>21480</v>
      </c>
      <c r="GG30" s="208">
        <v>28</v>
      </c>
      <c r="GH30" s="208">
        <v>28</v>
      </c>
      <c r="GI30" s="208">
        <v>28</v>
      </c>
      <c r="GJ30" s="208">
        <v>0</v>
      </c>
      <c r="GK30" s="208">
        <v>0</v>
      </c>
      <c r="GL30" s="208">
        <v>0</v>
      </c>
      <c r="GM30" s="208" t="s">
        <v>21481</v>
      </c>
      <c r="GN30" s="208" t="s">
        <v>21313</v>
      </c>
      <c r="GO30" s="208">
        <v>0</v>
      </c>
      <c r="GP30" s="208">
        <v>0</v>
      </c>
      <c r="GQ30" s="208">
        <v>0</v>
      </c>
      <c r="GR30" s="208">
        <v>0</v>
      </c>
      <c r="GS30" s="208">
        <v>0</v>
      </c>
      <c r="GT30" s="208">
        <v>0</v>
      </c>
      <c r="GU30" s="208" t="s">
        <v>21313</v>
      </c>
      <c r="GV30" s="208" t="s">
        <v>21313</v>
      </c>
      <c r="GW30" s="208">
        <v>0</v>
      </c>
      <c r="GX30" s="208">
        <v>0</v>
      </c>
      <c r="GY30" s="208">
        <v>0</v>
      </c>
      <c r="GZ30" s="208">
        <v>0</v>
      </c>
      <c r="HA30" s="208">
        <v>0</v>
      </c>
      <c r="HB30" s="208">
        <v>0</v>
      </c>
      <c r="HC30" s="208" t="s">
        <v>21313</v>
      </c>
      <c r="HD30" s="208" t="s">
        <v>21313</v>
      </c>
      <c r="HE30" s="208">
        <v>0</v>
      </c>
      <c r="HF30" s="208">
        <v>0</v>
      </c>
      <c r="HG30" s="208">
        <v>0</v>
      </c>
      <c r="HH30" s="208">
        <v>0</v>
      </c>
      <c r="HI30" s="208">
        <v>0</v>
      </c>
      <c r="HJ30" s="208">
        <v>0</v>
      </c>
      <c r="HK30" s="208" t="s">
        <v>21313</v>
      </c>
      <c r="HL30" s="208" t="s">
        <v>21313</v>
      </c>
      <c r="HM30" s="208">
        <v>0</v>
      </c>
      <c r="HN30" s="208">
        <v>0</v>
      </c>
      <c r="HO30" s="208">
        <v>0</v>
      </c>
      <c r="HP30" s="208">
        <v>0</v>
      </c>
      <c r="HQ30" s="208">
        <v>0</v>
      </c>
      <c r="HR30" s="208">
        <v>0</v>
      </c>
      <c r="HS30" s="208" t="s">
        <v>21313</v>
      </c>
      <c r="HT30" s="208" t="s">
        <v>21333</v>
      </c>
      <c r="HU30" s="208">
        <v>28</v>
      </c>
      <c r="HV30" s="208">
        <v>28</v>
      </c>
      <c r="HW30" s="208">
        <v>0</v>
      </c>
      <c r="HX30" s="208">
        <v>0</v>
      </c>
      <c r="HY30" s="208">
        <v>0</v>
      </c>
      <c r="HZ30" s="208">
        <v>0</v>
      </c>
      <c r="IA30" s="600">
        <v>28</v>
      </c>
      <c r="IB30" s="600">
        <v>28</v>
      </c>
      <c r="IC30" s="343" t="s">
        <v>21035</v>
      </c>
      <c r="ID30" s="343" t="s">
        <v>21500</v>
      </c>
      <c r="IE30" s="343" t="s">
        <v>21335</v>
      </c>
      <c r="IF30" s="343" t="s">
        <v>21336</v>
      </c>
      <c r="IG30" s="383">
        <v>43756</v>
      </c>
      <c r="IH30" s="383">
        <v>45583</v>
      </c>
      <c r="II30" s="208">
        <v>37</v>
      </c>
    </row>
    <row r="31" ht="165.75">
      <c r="A31" s="207">
        <v>30</v>
      </c>
      <c r="B31" s="343" t="s">
        <v>21298</v>
      </c>
      <c r="C31" s="343" t="s">
        <v>21298</v>
      </c>
      <c r="D31" s="600" t="s">
        <v>21213</v>
      </c>
      <c r="E31" s="317" t="s">
        <v>21214</v>
      </c>
      <c r="F31" s="207" t="s">
        <v>20855</v>
      </c>
      <c r="G31" s="600">
        <v>105.853985</v>
      </c>
      <c r="H31" s="600">
        <v>21.026803</v>
      </c>
      <c r="I31" s="207">
        <v>1</v>
      </c>
      <c r="J31" s="207">
        <v>2</v>
      </c>
      <c r="K31" s="207" t="s">
        <v>21337</v>
      </c>
      <c r="L31" s="207" t="s">
        <v>21501</v>
      </c>
      <c r="M31" s="207" t="s">
        <v>21339</v>
      </c>
      <c r="N31" s="207" t="s">
        <v>21340</v>
      </c>
      <c r="O31" s="207" t="s">
        <v>21341</v>
      </c>
      <c r="P31" s="207" t="s">
        <v>21342</v>
      </c>
      <c r="Q31" s="207" t="s">
        <v>21343</v>
      </c>
      <c r="R31" s="207" t="s">
        <v>21447</v>
      </c>
      <c r="S31" s="364" t="b">
        <v>1</v>
      </c>
      <c r="T31" s="207" t="s">
        <v>21215</v>
      </c>
      <c r="U31" s="207">
        <v>0</v>
      </c>
      <c r="V31" s="207" t="s">
        <v>21307</v>
      </c>
      <c r="W31" s="207" t="s">
        <v>21216</v>
      </c>
      <c r="X31" s="209" t="s">
        <v>21308</v>
      </c>
      <c r="Y31" s="207" t="b">
        <v>0</v>
      </c>
      <c r="Z31" s="364" t="b">
        <v>0</v>
      </c>
      <c r="AA31" s="600">
        <v>27</v>
      </c>
      <c r="AB31" s="364" t="b">
        <v>1</v>
      </c>
      <c r="AC31" s="600">
        <v>24</v>
      </c>
      <c r="AD31" s="207" t="b">
        <v>0</v>
      </c>
      <c r="AE31" s="207" t="s">
        <v>21309</v>
      </c>
      <c r="AF31" s="207" t="s">
        <v>21310</v>
      </c>
      <c r="AG31" s="343" t="s">
        <v>21311</v>
      </c>
      <c r="AH31" s="343" t="s">
        <v>21312</v>
      </c>
      <c r="AI31" s="343" t="s">
        <v>21054</v>
      </c>
      <c r="AJ31" s="343" t="s">
        <v>21313</v>
      </c>
      <c r="AK31" s="343" t="s">
        <v>21314</v>
      </c>
      <c r="AL31" s="208"/>
      <c r="AM31" s="208" t="s">
        <v>21315</v>
      </c>
      <c r="AN31" s="208" t="s">
        <v>21316</v>
      </c>
      <c r="AO31" s="207">
        <v>4</v>
      </c>
      <c r="AP31" s="287" t="s">
        <v>21317</v>
      </c>
      <c r="AQ31" s="448" t="s">
        <v>21502</v>
      </c>
      <c r="AR31" s="448" t="s">
        <v>21503</v>
      </c>
      <c r="AS31" s="449" t="s">
        <v>10</v>
      </c>
      <c r="AT31" s="208" t="s">
        <v>21316</v>
      </c>
      <c r="AU31" s="208" t="s">
        <v>21316</v>
      </c>
      <c r="AV31" s="208" t="s">
        <v>21313</v>
      </c>
      <c r="AW31" s="208" t="s">
        <v>21313</v>
      </c>
      <c r="AX31" s="208" t="s">
        <v>21313</v>
      </c>
      <c r="AY31" s="208" t="s">
        <v>21313</v>
      </c>
      <c r="AZ31" s="208" t="s">
        <v>21298</v>
      </c>
      <c r="BA31" s="208" t="s">
        <v>21298</v>
      </c>
      <c r="BB31" s="208" t="s">
        <v>21313</v>
      </c>
      <c r="BC31" s="208" t="s">
        <v>21313</v>
      </c>
      <c r="BD31" s="208" t="s">
        <v>21313</v>
      </c>
      <c r="BE31" s="208" t="s">
        <v>21313</v>
      </c>
      <c r="BF31" s="208" t="s">
        <v>21346</v>
      </c>
      <c r="BG31" s="208" t="s">
        <v>21213</v>
      </c>
      <c r="BH31" s="208" t="s">
        <v>21213</v>
      </c>
      <c r="BI31" s="208" t="s">
        <v>21313</v>
      </c>
      <c r="BJ31" s="208" t="s">
        <v>21313</v>
      </c>
      <c r="BK31" s="208" t="s">
        <v>21313</v>
      </c>
      <c r="BL31" s="208" t="s">
        <v>21313</v>
      </c>
      <c r="BM31" s="208" t="s">
        <v>21322</v>
      </c>
      <c r="BN31" s="208" t="s">
        <v>21323</v>
      </c>
      <c r="BO31" s="208" t="s">
        <v>21313</v>
      </c>
      <c r="BP31" s="208" t="s">
        <v>21313</v>
      </c>
      <c r="BQ31" s="208" t="s">
        <v>21313</v>
      </c>
      <c r="BR31" s="208" t="s">
        <v>21313</v>
      </c>
      <c r="BS31" s="208">
        <v>3</v>
      </c>
      <c r="BT31" s="208">
        <v>3</v>
      </c>
      <c r="BU31" s="208">
        <v>0</v>
      </c>
      <c r="BV31" s="208">
        <v>0</v>
      </c>
      <c r="BW31" s="208">
        <v>0</v>
      </c>
      <c r="BX31" s="208">
        <v>0</v>
      </c>
      <c r="BY31" s="208" t="s">
        <v>21042</v>
      </c>
      <c r="BZ31" s="208">
        <v>2</v>
      </c>
      <c r="CA31" s="208">
        <v>2</v>
      </c>
      <c r="CB31" s="208">
        <v>2</v>
      </c>
      <c r="CC31" s="208">
        <v>0</v>
      </c>
      <c r="CD31" s="208">
        <v>0</v>
      </c>
      <c r="CE31" s="208">
        <v>0</v>
      </c>
      <c r="CF31" s="208" t="s">
        <v>21324</v>
      </c>
      <c r="CG31" s="208">
        <v>1</v>
      </c>
      <c r="CH31" s="208">
        <v>1</v>
      </c>
      <c r="CI31" s="208">
        <v>1</v>
      </c>
      <c r="CJ31" s="208">
        <v>0</v>
      </c>
      <c r="CK31" s="208">
        <v>0</v>
      </c>
      <c r="CL31" s="208">
        <v>0</v>
      </c>
      <c r="CM31" s="208" t="s">
        <v>21313</v>
      </c>
      <c r="CN31" s="208">
        <v>0</v>
      </c>
      <c r="CO31" s="208">
        <v>0</v>
      </c>
      <c r="CP31" s="208">
        <v>0</v>
      </c>
      <c r="CQ31" s="208">
        <v>0</v>
      </c>
      <c r="CR31" s="208">
        <v>0</v>
      </c>
      <c r="CS31" s="208">
        <v>0</v>
      </c>
      <c r="CT31" s="208" t="s">
        <v>21313</v>
      </c>
      <c r="CU31" s="208">
        <v>0</v>
      </c>
      <c r="CV31" s="208">
        <v>0</v>
      </c>
      <c r="CW31" s="208">
        <v>0</v>
      </c>
      <c r="CX31" s="208">
        <v>0</v>
      </c>
      <c r="CY31" s="208">
        <v>0</v>
      </c>
      <c r="CZ31" s="208">
        <v>0</v>
      </c>
      <c r="DA31" s="208" t="s">
        <v>21313</v>
      </c>
      <c r="DB31" s="208">
        <v>0</v>
      </c>
      <c r="DC31" s="208">
        <v>0</v>
      </c>
      <c r="DD31" s="208">
        <v>0</v>
      </c>
      <c r="DE31" s="208">
        <v>0</v>
      </c>
      <c r="DF31" s="208">
        <v>0</v>
      </c>
      <c r="DG31" s="208">
        <v>0</v>
      </c>
      <c r="DH31" s="208" t="s">
        <v>21313</v>
      </c>
      <c r="DI31" s="208">
        <v>0</v>
      </c>
      <c r="DJ31" s="208">
        <v>0</v>
      </c>
      <c r="DK31" s="208">
        <v>0</v>
      </c>
      <c r="DL31" s="208">
        <v>0</v>
      </c>
      <c r="DM31" s="208">
        <v>0</v>
      </c>
      <c r="DN31" s="208">
        <v>0</v>
      </c>
      <c r="DO31" s="208" t="s">
        <v>21327</v>
      </c>
      <c r="DP31" s="208">
        <v>60</v>
      </c>
      <c r="DQ31" s="208">
        <v>60</v>
      </c>
      <c r="DR31" s="208">
        <v>60</v>
      </c>
      <c r="DS31" s="208">
        <v>0</v>
      </c>
      <c r="DT31" s="208">
        <v>0</v>
      </c>
      <c r="DU31" s="208">
        <v>0</v>
      </c>
      <c r="DV31" s="208" t="s">
        <v>21328</v>
      </c>
      <c r="DW31" s="208">
        <v>60</v>
      </c>
      <c r="DX31" s="208" t="s">
        <v>21327</v>
      </c>
      <c r="DY31" s="208">
        <v>60</v>
      </c>
      <c r="DZ31" s="208">
        <v>60</v>
      </c>
      <c r="EA31" s="208">
        <v>60</v>
      </c>
      <c r="EB31" s="208">
        <v>0</v>
      </c>
      <c r="EC31" s="208">
        <v>0</v>
      </c>
      <c r="ED31" s="208">
        <v>0</v>
      </c>
      <c r="EE31" s="208" t="s">
        <v>21328</v>
      </c>
      <c r="EF31" s="208">
        <v>60</v>
      </c>
      <c r="EG31" s="208" t="s">
        <v>21313</v>
      </c>
      <c r="EH31" s="208">
        <v>0</v>
      </c>
      <c r="EI31" s="208">
        <v>0</v>
      </c>
      <c r="EJ31" s="208">
        <v>0</v>
      </c>
      <c r="EK31" s="208">
        <v>0</v>
      </c>
      <c r="EL31" s="208">
        <v>0</v>
      </c>
      <c r="EM31" s="208">
        <v>0</v>
      </c>
      <c r="EN31" s="208" t="s">
        <v>21313</v>
      </c>
      <c r="EO31" s="208">
        <v>0</v>
      </c>
      <c r="EP31" s="208" t="s">
        <v>21313</v>
      </c>
      <c r="EQ31" s="208">
        <v>0</v>
      </c>
      <c r="ER31" s="208">
        <v>0</v>
      </c>
      <c r="ES31" s="208">
        <v>0</v>
      </c>
      <c r="ET31" s="208">
        <v>0</v>
      </c>
      <c r="EU31" s="208">
        <v>0</v>
      </c>
      <c r="EV31" s="208">
        <v>0</v>
      </c>
      <c r="EW31" s="208" t="s">
        <v>21313</v>
      </c>
      <c r="EX31" s="208">
        <v>0</v>
      </c>
      <c r="EY31" s="208" t="s">
        <v>21313</v>
      </c>
      <c r="EZ31" s="208">
        <v>0</v>
      </c>
      <c r="FA31" s="208">
        <v>0</v>
      </c>
      <c r="FB31" s="208">
        <v>0</v>
      </c>
      <c r="FC31" s="208">
        <v>0</v>
      </c>
      <c r="FD31" s="208">
        <v>0</v>
      </c>
      <c r="FE31" s="208">
        <v>0</v>
      </c>
      <c r="FF31" s="208" t="s">
        <v>21313</v>
      </c>
      <c r="FG31" s="208">
        <v>0</v>
      </c>
      <c r="FH31" s="208" t="s">
        <v>21313</v>
      </c>
      <c r="FI31" s="208">
        <v>0</v>
      </c>
      <c r="FJ31" s="208">
        <v>0</v>
      </c>
      <c r="FK31" s="208">
        <v>0</v>
      </c>
      <c r="FL31" s="208">
        <v>0</v>
      </c>
      <c r="FM31" s="208">
        <v>0</v>
      </c>
      <c r="FN31" s="208">
        <v>0</v>
      </c>
      <c r="FO31" s="208" t="s">
        <v>21313</v>
      </c>
      <c r="FP31" s="208">
        <v>0</v>
      </c>
      <c r="FQ31" s="208">
        <v>60</v>
      </c>
      <c r="FR31" s="208" t="s">
        <v>21329</v>
      </c>
      <c r="FS31" s="208" t="s">
        <v>21330</v>
      </c>
      <c r="FT31" s="208" t="s">
        <v>21313</v>
      </c>
      <c r="FU31" s="208" t="s">
        <v>21313</v>
      </c>
      <c r="FV31" s="208" t="s">
        <v>21313</v>
      </c>
      <c r="FW31" s="208" t="s">
        <v>21313</v>
      </c>
      <c r="FX31" s="208" t="s">
        <v>21450</v>
      </c>
      <c r="FY31" s="208">
        <v>27</v>
      </c>
      <c r="FZ31" s="208">
        <v>27</v>
      </c>
      <c r="GA31" s="208">
        <v>27</v>
      </c>
      <c r="GB31" s="208">
        <v>0</v>
      </c>
      <c r="GC31" s="208">
        <v>0</v>
      </c>
      <c r="GD31" s="208">
        <v>0</v>
      </c>
      <c r="GE31" s="208" t="s">
        <v>21451</v>
      </c>
      <c r="GF31" s="208" t="s">
        <v>21450</v>
      </c>
      <c r="GG31" s="208">
        <v>27</v>
      </c>
      <c r="GH31" s="208">
        <v>27</v>
      </c>
      <c r="GI31" s="208">
        <v>27</v>
      </c>
      <c r="GJ31" s="208">
        <v>0</v>
      </c>
      <c r="GK31" s="208">
        <v>0</v>
      </c>
      <c r="GL31" s="208">
        <v>0</v>
      </c>
      <c r="GM31" s="208" t="s">
        <v>21451</v>
      </c>
      <c r="GN31" s="208" t="s">
        <v>21313</v>
      </c>
      <c r="GO31" s="208">
        <v>0</v>
      </c>
      <c r="GP31" s="208">
        <v>0</v>
      </c>
      <c r="GQ31" s="208">
        <v>0</v>
      </c>
      <c r="GR31" s="208">
        <v>0</v>
      </c>
      <c r="GS31" s="208">
        <v>0</v>
      </c>
      <c r="GT31" s="208">
        <v>0</v>
      </c>
      <c r="GU31" s="208" t="s">
        <v>21313</v>
      </c>
      <c r="GV31" s="208" t="s">
        <v>21313</v>
      </c>
      <c r="GW31" s="208">
        <v>0</v>
      </c>
      <c r="GX31" s="208">
        <v>0</v>
      </c>
      <c r="GY31" s="208">
        <v>0</v>
      </c>
      <c r="GZ31" s="208">
        <v>0</v>
      </c>
      <c r="HA31" s="208">
        <v>0</v>
      </c>
      <c r="HB31" s="208">
        <v>0</v>
      </c>
      <c r="HC31" s="208" t="s">
        <v>21313</v>
      </c>
      <c r="HD31" s="208" t="s">
        <v>21313</v>
      </c>
      <c r="HE31" s="208">
        <v>0</v>
      </c>
      <c r="HF31" s="208">
        <v>0</v>
      </c>
      <c r="HG31" s="208">
        <v>0</v>
      </c>
      <c r="HH31" s="208">
        <v>0</v>
      </c>
      <c r="HI31" s="208">
        <v>0</v>
      </c>
      <c r="HJ31" s="208">
        <v>0</v>
      </c>
      <c r="HK31" s="208" t="s">
        <v>21313</v>
      </c>
      <c r="HL31" s="208" t="s">
        <v>21313</v>
      </c>
      <c r="HM31" s="208">
        <v>0</v>
      </c>
      <c r="HN31" s="208">
        <v>0</v>
      </c>
      <c r="HO31" s="208">
        <v>0</v>
      </c>
      <c r="HP31" s="208">
        <v>0</v>
      </c>
      <c r="HQ31" s="208">
        <v>0</v>
      </c>
      <c r="HR31" s="208">
        <v>0</v>
      </c>
      <c r="HS31" s="208" t="s">
        <v>21313</v>
      </c>
      <c r="HT31" s="208" t="s">
        <v>21333</v>
      </c>
      <c r="HU31" s="208">
        <v>27</v>
      </c>
      <c r="HV31" s="208">
        <v>27</v>
      </c>
      <c r="HW31" s="208">
        <v>0</v>
      </c>
      <c r="HX31" s="208">
        <v>0</v>
      </c>
      <c r="HY31" s="208">
        <v>0</v>
      </c>
      <c r="HZ31" s="208">
        <v>0</v>
      </c>
      <c r="IA31" s="600">
        <v>27</v>
      </c>
      <c r="IB31" s="600">
        <v>3</v>
      </c>
      <c r="IC31" s="343" t="s">
        <v>21035</v>
      </c>
      <c r="ID31" s="343" t="s">
        <v>3643</v>
      </c>
      <c r="IE31" s="343" t="s">
        <v>21335</v>
      </c>
      <c r="IF31" s="343" t="s">
        <v>21336</v>
      </c>
      <c r="IG31" s="383">
        <v>43756</v>
      </c>
      <c r="IH31" s="383">
        <v>45583</v>
      </c>
      <c r="II31" s="208">
        <v>37</v>
      </c>
    </row>
    <row r="32" ht="165.75">
      <c r="A32" s="207">
        <v>31</v>
      </c>
      <c r="B32" s="343" t="s">
        <v>21298</v>
      </c>
      <c r="C32" s="343" t="s">
        <v>21298</v>
      </c>
      <c r="D32" s="600" t="s">
        <v>21217</v>
      </c>
      <c r="E32" s="317" t="s">
        <v>21218</v>
      </c>
      <c r="F32" s="207" t="s">
        <v>20855</v>
      </c>
      <c r="G32" s="600">
        <v>105.876561</v>
      </c>
      <c r="H32" s="600">
        <v>21.049645</v>
      </c>
      <c r="I32" s="207">
        <v>1</v>
      </c>
      <c r="J32" s="207">
        <v>2</v>
      </c>
      <c r="K32" s="207" t="s">
        <v>21337</v>
      </c>
      <c r="L32" s="207" t="s">
        <v>21504</v>
      </c>
      <c r="M32" s="207" t="s">
        <v>21339</v>
      </c>
      <c r="N32" s="207" t="s">
        <v>21340</v>
      </c>
      <c r="O32" s="207" t="s">
        <v>21341</v>
      </c>
      <c r="P32" s="207" t="s">
        <v>21342</v>
      </c>
      <c r="Q32" s="207" t="s">
        <v>21343</v>
      </c>
      <c r="R32" s="207" t="s">
        <v>21447</v>
      </c>
      <c r="S32" s="364" t="b">
        <v>1</v>
      </c>
      <c r="T32" s="207" t="s">
        <v>21219</v>
      </c>
      <c r="U32" s="207">
        <v>0</v>
      </c>
      <c r="V32" s="207" t="s">
        <v>21307</v>
      </c>
      <c r="W32" s="207" t="s">
        <v>21220</v>
      </c>
      <c r="X32" s="209" t="s">
        <v>21308</v>
      </c>
      <c r="Y32" s="207" t="b">
        <v>0</v>
      </c>
      <c r="Z32" s="364" t="b">
        <v>0</v>
      </c>
      <c r="AA32" s="600">
        <v>27</v>
      </c>
      <c r="AB32" s="364" t="b">
        <v>1</v>
      </c>
      <c r="AC32" s="600">
        <v>20</v>
      </c>
      <c r="AD32" s="207" t="b">
        <v>0</v>
      </c>
      <c r="AE32" s="207" t="s">
        <v>21309</v>
      </c>
      <c r="AF32" s="207" t="s">
        <v>21310</v>
      </c>
      <c r="AG32" s="343" t="s">
        <v>21311</v>
      </c>
      <c r="AH32" s="343" t="s">
        <v>21312</v>
      </c>
      <c r="AI32" s="343" t="s">
        <v>21054</v>
      </c>
      <c r="AJ32" s="343" t="s">
        <v>21313</v>
      </c>
      <c r="AK32" s="343" t="s">
        <v>21314</v>
      </c>
      <c r="AL32" s="208"/>
      <c r="AM32" s="208" t="s">
        <v>21315</v>
      </c>
      <c r="AN32" s="208" t="s">
        <v>21316</v>
      </c>
      <c r="AO32" s="207">
        <v>4</v>
      </c>
      <c r="AP32" s="287" t="s">
        <v>21317</v>
      </c>
      <c r="AQ32" s="448" t="s">
        <v>21502</v>
      </c>
      <c r="AR32" s="448" t="s">
        <v>21505</v>
      </c>
      <c r="AS32" s="449" t="s">
        <v>10</v>
      </c>
      <c r="AT32" s="208" t="s">
        <v>21316</v>
      </c>
      <c r="AU32" s="208" t="s">
        <v>21316</v>
      </c>
      <c r="AV32" s="208" t="s">
        <v>21313</v>
      </c>
      <c r="AW32" s="208" t="s">
        <v>21313</v>
      </c>
      <c r="AX32" s="208" t="s">
        <v>21313</v>
      </c>
      <c r="AY32" s="208" t="s">
        <v>21313</v>
      </c>
      <c r="AZ32" s="208" t="s">
        <v>21298</v>
      </c>
      <c r="BA32" s="208" t="s">
        <v>21298</v>
      </c>
      <c r="BB32" s="208" t="s">
        <v>21313</v>
      </c>
      <c r="BC32" s="208" t="s">
        <v>21313</v>
      </c>
      <c r="BD32" s="208" t="s">
        <v>21313</v>
      </c>
      <c r="BE32" s="208" t="s">
        <v>21313</v>
      </c>
      <c r="BF32" s="208" t="s">
        <v>21346</v>
      </c>
      <c r="BG32" s="208" t="s">
        <v>21217</v>
      </c>
      <c r="BH32" s="208" t="s">
        <v>21217</v>
      </c>
      <c r="BI32" s="208" t="s">
        <v>21313</v>
      </c>
      <c r="BJ32" s="208" t="s">
        <v>21313</v>
      </c>
      <c r="BK32" s="208" t="s">
        <v>21313</v>
      </c>
      <c r="BL32" s="208" t="s">
        <v>21313</v>
      </c>
      <c r="BM32" s="208" t="s">
        <v>21322</v>
      </c>
      <c r="BN32" s="208" t="s">
        <v>21323</v>
      </c>
      <c r="BO32" s="208" t="s">
        <v>21313</v>
      </c>
      <c r="BP32" s="208" t="s">
        <v>21313</v>
      </c>
      <c r="BQ32" s="208" t="s">
        <v>21313</v>
      </c>
      <c r="BR32" s="208" t="s">
        <v>21313</v>
      </c>
      <c r="BS32" s="208">
        <v>3</v>
      </c>
      <c r="BT32" s="208">
        <v>3</v>
      </c>
      <c r="BU32" s="208">
        <v>0</v>
      </c>
      <c r="BV32" s="208">
        <v>0</v>
      </c>
      <c r="BW32" s="208">
        <v>0</v>
      </c>
      <c r="BX32" s="208">
        <v>0</v>
      </c>
      <c r="BY32" s="208" t="s">
        <v>21042</v>
      </c>
      <c r="BZ32" s="208">
        <v>2</v>
      </c>
      <c r="CA32" s="208">
        <v>2</v>
      </c>
      <c r="CB32" s="208">
        <v>2</v>
      </c>
      <c r="CC32" s="208">
        <v>0</v>
      </c>
      <c r="CD32" s="208">
        <v>0</v>
      </c>
      <c r="CE32" s="208">
        <v>0</v>
      </c>
      <c r="CF32" s="208" t="s">
        <v>21324</v>
      </c>
      <c r="CG32" s="208">
        <v>1</v>
      </c>
      <c r="CH32" s="208">
        <v>1</v>
      </c>
      <c r="CI32" s="208">
        <v>1</v>
      </c>
      <c r="CJ32" s="208">
        <v>0</v>
      </c>
      <c r="CK32" s="208">
        <v>0</v>
      </c>
      <c r="CL32" s="208">
        <v>0</v>
      </c>
      <c r="CM32" s="208" t="s">
        <v>21313</v>
      </c>
      <c r="CN32" s="208">
        <v>0</v>
      </c>
      <c r="CO32" s="208">
        <v>0</v>
      </c>
      <c r="CP32" s="208">
        <v>0</v>
      </c>
      <c r="CQ32" s="208">
        <v>0</v>
      </c>
      <c r="CR32" s="208">
        <v>0</v>
      </c>
      <c r="CS32" s="208">
        <v>0</v>
      </c>
      <c r="CT32" s="208" t="s">
        <v>21313</v>
      </c>
      <c r="CU32" s="208">
        <v>0</v>
      </c>
      <c r="CV32" s="208">
        <v>0</v>
      </c>
      <c r="CW32" s="208">
        <v>0</v>
      </c>
      <c r="CX32" s="208">
        <v>0</v>
      </c>
      <c r="CY32" s="208">
        <v>0</v>
      </c>
      <c r="CZ32" s="208">
        <v>0</v>
      </c>
      <c r="DA32" s="208" t="s">
        <v>21313</v>
      </c>
      <c r="DB32" s="208">
        <v>0</v>
      </c>
      <c r="DC32" s="208">
        <v>0</v>
      </c>
      <c r="DD32" s="208">
        <v>0</v>
      </c>
      <c r="DE32" s="208">
        <v>0</v>
      </c>
      <c r="DF32" s="208">
        <v>0</v>
      </c>
      <c r="DG32" s="208">
        <v>0</v>
      </c>
      <c r="DH32" s="208" t="s">
        <v>21313</v>
      </c>
      <c r="DI32" s="208">
        <v>0</v>
      </c>
      <c r="DJ32" s="208">
        <v>0</v>
      </c>
      <c r="DK32" s="208">
        <v>0</v>
      </c>
      <c r="DL32" s="208">
        <v>0</v>
      </c>
      <c r="DM32" s="208">
        <v>0</v>
      </c>
      <c r="DN32" s="208">
        <v>0</v>
      </c>
      <c r="DO32" s="208" t="s">
        <v>21327</v>
      </c>
      <c r="DP32" s="208">
        <v>60</v>
      </c>
      <c r="DQ32" s="208">
        <v>60</v>
      </c>
      <c r="DR32" s="208">
        <v>60</v>
      </c>
      <c r="DS32" s="208">
        <v>0</v>
      </c>
      <c r="DT32" s="208">
        <v>0</v>
      </c>
      <c r="DU32" s="208">
        <v>0</v>
      </c>
      <c r="DV32" s="208" t="s">
        <v>21328</v>
      </c>
      <c r="DW32" s="208">
        <v>60</v>
      </c>
      <c r="DX32" s="208" t="s">
        <v>21327</v>
      </c>
      <c r="DY32" s="208">
        <v>60</v>
      </c>
      <c r="DZ32" s="208">
        <v>60</v>
      </c>
      <c r="EA32" s="208">
        <v>60</v>
      </c>
      <c r="EB32" s="208">
        <v>0</v>
      </c>
      <c r="EC32" s="208">
        <v>0</v>
      </c>
      <c r="ED32" s="208">
        <v>0</v>
      </c>
      <c r="EE32" s="208" t="s">
        <v>21328</v>
      </c>
      <c r="EF32" s="208">
        <v>60</v>
      </c>
      <c r="EG32" s="208" t="s">
        <v>21313</v>
      </c>
      <c r="EH32" s="208">
        <v>0</v>
      </c>
      <c r="EI32" s="208">
        <v>0</v>
      </c>
      <c r="EJ32" s="208">
        <v>0</v>
      </c>
      <c r="EK32" s="208">
        <v>0</v>
      </c>
      <c r="EL32" s="208">
        <v>0</v>
      </c>
      <c r="EM32" s="208">
        <v>0</v>
      </c>
      <c r="EN32" s="208" t="s">
        <v>21313</v>
      </c>
      <c r="EO32" s="208">
        <v>0</v>
      </c>
      <c r="EP32" s="208" t="s">
        <v>21313</v>
      </c>
      <c r="EQ32" s="208">
        <v>0</v>
      </c>
      <c r="ER32" s="208">
        <v>0</v>
      </c>
      <c r="ES32" s="208">
        <v>0</v>
      </c>
      <c r="ET32" s="208">
        <v>0</v>
      </c>
      <c r="EU32" s="208">
        <v>0</v>
      </c>
      <c r="EV32" s="208">
        <v>0</v>
      </c>
      <c r="EW32" s="208" t="s">
        <v>21313</v>
      </c>
      <c r="EX32" s="208">
        <v>0</v>
      </c>
      <c r="EY32" s="208" t="s">
        <v>21313</v>
      </c>
      <c r="EZ32" s="208">
        <v>0</v>
      </c>
      <c r="FA32" s="208">
        <v>0</v>
      </c>
      <c r="FB32" s="208">
        <v>0</v>
      </c>
      <c r="FC32" s="208">
        <v>0</v>
      </c>
      <c r="FD32" s="208">
        <v>0</v>
      </c>
      <c r="FE32" s="208">
        <v>0</v>
      </c>
      <c r="FF32" s="208" t="s">
        <v>21313</v>
      </c>
      <c r="FG32" s="208">
        <v>0</v>
      </c>
      <c r="FH32" s="208" t="s">
        <v>21313</v>
      </c>
      <c r="FI32" s="208">
        <v>0</v>
      </c>
      <c r="FJ32" s="208">
        <v>0</v>
      </c>
      <c r="FK32" s="208">
        <v>0</v>
      </c>
      <c r="FL32" s="208">
        <v>0</v>
      </c>
      <c r="FM32" s="208">
        <v>0</v>
      </c>
      <c r="FN32" s="208">
        <v>0</v>
      </c>
      <c r="FO32" s="208" t="s">
        <v>21313</v>
      </c>
      <c r="FP32" s="208">
        <v>0</v>
      </c>
      <c r="FQ32" s="208">
        <v>60</v>
      </c>
      <c r="FR32" s="208" t="s">
        <v>21329</v>
      </c>
      <c r="FS32" s="208" t="s">
        <v>21330</v>
      </c>
      <c r="FT32" s="208" t="s">
        <v>21313</v>
      </c>
      <c r="FU32" s="208" t="s">
        <v>21313</v>
      </c>
      <c r="FV32" s="208" t="s">
        <v>21313</v>
      </c>
      <c r="FW32" s="208" t="s">
        <v>21313</v>
      </c>
      <c r="FX32" s="208" t="s">
        <v>21450</v>
      </c>
      <c r="FY32" s="208">
        <v>27</v>
      </c>
      <c r="FZ32" s="208">
        <v>27</v>
      </c>
      <c r="GA32" s="208">
        <v>27</v>
      </c>
      <c r="GB32" s="208">
        <v>0</v>
      </c>
      <c r="GC32" s="208">
        <v>0</v>
      </c>
      <c r="GD32" s="208">
        <v>0</v>
      </c>
      <c r="GE32" s="208" t="s">
        <v>21451</v>
      </c>
      <c r="GF32" s="208" t="s">
        <v>21450</v>
      </c>
      <c r="GG32" s="208">
        <v>27</v>
      </c>
      <c r="GH32" s="208">
        <v>27</v>
      </c>
      <c r="GI32" s="208">
        <v>27</v>
      </c>
      <c r="GJ32" s="208">
        <v>0</v>
      </c>
      <c r="GK32" s="208">
        <v>0</v>
      </c>
      <c r="GL32" s="208">
        <v>0</v>
      </c>
      <c r="GM32" s="208" t="s">
        <v>21451</v>
      </c>
      <c r="GN32" s="208" t="s">
        <v>21313</v>
      </c>
      <c r="GO32" s="208">
        <v>0</v>
      </c>
      <c r="GP32" s="208">
        <v>0</v>
      </c>
      <c r="GQ32" s="208">
        <v>0</v>
      </c>
      <c r="GR32" s="208">
        <v>0</v>
      </c>
      <c r="GS32" s="208">
        <v>0</v>
      </c>
      <c r="GT32" s="208">
        <v>0</v>
      </c>
      <c r="GU32" s="208" t="s">
        <v>21313</v>
      </c>
      <c r="GV32" s="208" t="s">
        <v>21313</v>
      </c>
      <c r="GW32" s="208">
        <v>0</v>
      </c>
      <c r="GX32" s="208">
        <v>0</v>
      </c>
      <c r="GY32" s="208">
        <v>0</v>
      </c>
      <c r="GZ32" s="208">
        <v>0</v>
      </c>
      <c r="HA32" s="208">
        <v>0</v>
      </c>
      <c r="HB32" s="208">
        <v>0</v>
      </c>
      <c r="HC32" s="208" t="s">
        <v>21313</v>
      </c>
      <c r="HD32" s="208" t="s">
        <v>21313</v>
      </c>
      <c r="HE32" s="208">
        <v>0</v>
      </c>
      <c r="HF32" s="208">
        <v>0</v>
      </c>
      <c r="HG32" s="208">
        <v>0</v>
      </c>
      <c r="HH32" s="208">
        <v>0</v>
      </c>
      <c r="HI32" s="208">
        <v>0</v>
      </c>
      <c r="HJ32" s="208">
        <v>0</v>
      </c>
      <c r="HK32" s="208" t="s">
        <v>21313</v>
      </c>
      <c r="HL32" s="208" t="s">
        <v>21313</v>
      </c>
      <c r="HM32" s="208">
        <v>0</v>
      </c>
      <c r="HN32" s="208">
        <v>0</v>
      </c>
      <c r="HO32" s="208">
        <v>0</v>
      </c>
      <c r="HP32" s="208">
        <v>0</v>
      </c>
      <c r="HQ32" s="208">
        <v>0</v>
      </c>
      <c r="HR32" s="208">
        <v>0</v>
      </c>
      <c r="HS32" s="208" t="s">
        <v>21313</v>
      </c>
      <c r="HT32" s="208" t="s">
        <v>21333</v>
      </c>
      <c r="HU32" s="208">
        <v>27</v>
      </c>
      <c r="HV32" s="208">
        <v>27</v>
      </c>
      <c r="HW32" s="208">
        <v>0</v>
      </c>
      <c r="HX32" s="208">
        <v>0</v>
      </c>
      <c r="HY32" s="208">
        <v>0</v>
      </c>
      <c r="HZ32" s="208">
        <v>0</v>
      </c>
      <c r="IA32" s="600">
        <v>27</v>
      </c>
      <c r="IB32" s="600">
        <v>7</v>
      </c>
      <c r="IC32" s="343" t="s">
        <v>21035</v>
      </c>
      <c r="ID32" s="343" t="s">
        <v>21506</v>
      </c>
      <c r="IE32" s="343" t="s">
        <v>21335</v>
      </c>
      <c r="IF32" s="343" t="s">
        <v>21336</v>
      </c>
      <c r="IG32" s="383">
        <v>43756</v>
      </c>
      <c r="IH32" s="383">
        <v>45583</v>
      </c>
      <c r="II32" s="208">
        <v>37</v>
      </c>
    </row>
    <row r="33" ht="165.75">
      <c r="A33" s="207">
        <v>32</v>
      </c>
      <c r="B33" s="343" t="s">
        <v>21298</v>
      </c>
      <c r="C33" s="343" t="s">
        <v>21298</v>
      </c>
      <c r="D33" s="600" t="s">
        <v>21221</v>
      </c>
      <c r="E33" s="317" t="s">
        <v>21222</v>
      </c>
      <c r="F33" s="207" t="s">
        <v>20855</v>
      </c>
      <c r="G33" s="600">
        <v>105.937558</v>
      </c>
      <c r="H33" s="600">
        <v>21.021868</v>
      </c>
      <c r="I33" s="207">
        <v>1</v>
      </c>
      <c r="J33" s="207">
        <v>2</v>
      </c>
      <c r="K33" s="207" t="s">
        <v>21337</v>
      </c>
      <c r="L33" s="207" t="s">
        <v>21507</v>
      </c>
      <c r="M33" s="207" t="s">
        <v>21339</v>
      </c>
      <c r="N33" s="207" t="s">
        <v>21340</v>
      </c>
      <c r="O33" s="207" t="s">
        <v>21341</v>
      </c>
      <c r="P33" s="207" t="s">
        <v>21342</v>
      </c>
      <c r="Q33" s="207" t="s">
        <v>21343</v>
      </c>
      <c r="R33" s="207" t="s">
        <v>21508</v>
      </c>
      <c r="S33" s="364" t="b">
        <v>1</v>
      </c>
      <c r="T33" s="207" t="s">
        <v>21223</v>
      </c>
      <c r="U33" s="207">
        <v>0</v>
      </c>
      <c r="V33" s="207" t="s">
        <v>21307</v>
      </c>
      <c r="W33" s="207" t="s">
        <v>21224</v>
      </c>
      <c r="X33" s="209" t="s">
        <v>21308</v>
      </c>
      <c r="Y33" s="207" t="b">
        <v>0</v>
      </c>
      <c r="Z33" s="364" t="b">
        <v>0</v>
      </c>
      <c r="AA33" s="600">
        <v>25</v>
      </c>
      <c r="AB33" s="364" t="b">
        <v>1</v>
      </c>
      <c r="AC33" s="600">
        <v>12</v>
      </c>
      <c r="AD33" s="207" t="b">
        <v>0</v>
      </c>
      <c r="AE33" s="207" t="s">
        <v>21309</v>
      </c>
      <c r="AF33" s="207" t="s">
        <v>21310</v>
      </c>
      <c r="AG33" s="343" t="s">
        <v>21311</v>
      </c>
      <c r="AH33" s="343" t="s">
        <v>21312</v>
      </c>
      <c r="AI33" s="343" t="s">
        <v>21054</v>
      </c>
      <c r="AJ33" s="343" t="s">
        <v>21313</v>
      </c>
      <c r="AK33" s="343" t="s">
        <v>21314</v>
      </c>
      <c r="AL33" s="208"/>
      <c r="AM33" s="208" t="s">
        <v>21315</v>
      </c>
      <c r="AN33" s="208" t="s">
        <v>21316</v>
      </c>
      <c r="AO33" s="207">
        <v>4</v>
      </c>
      <c r="AP33" s="287" t="s">
        <v>21317</v>
      </c>
      <c r="AQ33" s="448" t="s">
        <v>21509</v>
      </c>
      <c r="AR33" s="448" t="s">
        <v>21510</v>
      </c>
      <c r="AS33" s="449" t="s">
        <v>10</v>
      </c>
      <c r="AT33" s="208" t="s">
        <v>21316</v>
      </c>
      <c r="AU33" s="208" t="s">
        <v>21316</v>
      </c>
      <c r="AV33" s="208" t="s">
        <v>21313</v>
      </c>
      <c r="AW33" s="208" t="s">
        <v>21313</v>
      </c>
      <c r="AX33" s="208" t="s">
        <v>21313</v>
      </c>
      <c r="AY33" s="208" t="s">
        <v>21313</v>
      </c>
      <c r="AZ33" s="208" t="s">
        <v>21298</v>
      </c>
      <c r="BA33" s="208" t="s">
        <v>21298</v>
      </c>
      <c r="BB33" s="208" t="s">
        <v>21313</v>
      </c>
      <c r="BC33" s="208" t="s">
        <v>21313</v>
      </c>
      <c r="BD33" s="208" t="s">
        <v>21313</v>
      </c>
      <c r="BE33" s="208" t="s">
        <v>21313</v>
      </c>
      <c r="BF33" s="208" t="s">
        <v>21346</v>
      </c>
      <c r="BG33" s="208" t="s">
        <v>21221</v>
      </c>
      <c r="BH33" s="208" t="s">
        <v>21221</v>
      </c>
      <c r="BI33" s="208" t="s">
        <v>21313</v>
      </c>
      <c r="BJ33" s="208" t="s">
        <v>21313</v>
      </c>
      <c r="BK33" s="208" t="s">
        <v>21313</v>
      </c>
      <c r="BL33" s="208" t="s">
        <v>21313</v>
      </c>
      <c r="BM33" s="208" t="s">
        <v>21322</v>
      </c>
      <c r="BN33" s="208" t="s">
        <v>21323</v>
      </c>
      <c r="BO33" s="208" t="s">
        <v>21313</v>
      </c>
      <c r="BP33" s="208" t="s">
        <v>21313</v>
      </c>
      <c r="BQ33" s="208" t="s">
        <v>21313</v>
      </c>
      <c r="BR33" s="208" t="s">
        <v>21313</v>
      </c>
      <c r="BS33" s="208">
        <v>3</v>
      </c>
      <c r="BT33" s="208">
        <v>3</v>
      </c>
      <c r="BU33" s="208">
        <v>0</v>
      </c>
      <c r="BV33" s="208">
        <v>0</v>
      </c>
      <c r="BW33" s="208">
        <v>0</v>
      </c>
      <c r="BX33" s="208">
        <v>0</v>
      </c>
      <c r="BY33" s="208" t="s">
        <v>21042</v>
      </c>
      <c r="BZ33" s="208">
        <v>2</v>
      </c>
      <c r="CA33" s="208">
        <v>2</v>
      </c>
      <c r="CB33" s="208">
        <v>2</v>
      </c>
      <c r="CC33" s="208">
        <v>0</v>
      </c>
      <c r="CD33" s="208">
        <v>0</v>
      </c>
      <c r="CE33" s="208">
        <v>0</v>
      </c>
      <c r="CF33" s="208" t="s">
        <v>21324</v>
      </c>
      <c r="CG33" s="208">
        <v>1</v>
      </c>
      <c r="CH33" s="208">
        <v>1</v>
      </c>
      <c r="CI33" s="208">
        <v>1</v>
      </c>
      <c r="CJ33" s="208">
        <v>0</v>
      </c>
      <c r="CK33" s="208">
        <v>0</v>
      </c>
      <c r="CL33" s="208">
        <v>0</v>
      </c>
      <c r="CM33" s="208" t="s">
        <v>21313</v>
      </c>
      <c r="CN33" s="208">
        <v>0</v>
      </c>
      <c r="CO33" s="208">
        <v>0</v>
      </c>
      <c r="CP33" s="208">
        <v>0</v>
      </c>
      <c r="CQ33" s="208">
        <v>0</v>
      </c>
      <c r="CR33" s="208">
        <v>0</v>
      </c>
      <c r="CS33" s="208">
        <v>0</v>
      </c>
      <c r="CT33" s="208" t="s">
        <v>21313</v>
      </c>
      <c r="CU33" s="208">
        <v>0</v>
      </c>
      <c r="CV33" s="208">
        <v>0</v>
      </c>
      <c r="CW33" s="208">
        <v>0</v>
      </c>
      <c r="CX33" s="208">
        <v>0</v>
      </c>
      <c r="CY33" s="208">
        <v>0</v>
      </c>
      <c r="CZ33" s="208">
        <v>0</v>
      </c>
      <c r="DA33" s="208" t="s">
        <v>21313</v>
      </c>
      <c r="DB33" s="208">
        <v>0</v>
      </c>
      <c r="DC33" s="208">
        <v>0</v>
      </c>
      <c r="DD33" s="208">
        <v>0</v>
      </c>
      <c r="DE33" s="208">
        <v>0</v>
      </c>
      <c r="DF33" s="208">
        <v>0</v>
      </c>
      <c r="DG33" s="208">
        <v>0</v>
      </c>
      <c r="DH33" s="208" t="s">
        <v>21313</v>
      </c>
      <c r="DI33" s="208">
        <v>0</v>
      </c>
      <c r="DJ33" s="208">
        <v>0</v>
      </c>
      <c r="DK33" s="208">
        <v>0</v>
      </c>
      <c r="DL33" s="208">
        <v>0</v>
      </c>
      <c r="DM33" s="208">
        <v>0</v>
      </c>
      <c r="DN33" s="208">
        <v>0</v>
      </c>
      <c r="DO33" s="208" t="s">
        <v>21327</v>
      </c>
      <c r="DP33" s="208">
        <v>60</v>
      </c>
      <c r="DQ33" s="208">
        <v>60</v>
      </c>
      <c r="DR33" s="208">
        <v>60</v>
      </c>
      <c r="DS33" s="208">
        <v>0</v>
      </c>
      <c r="DT33" s="208">
        <v>0</v>
      </c>
      <c r="DU33" s="208">
        <v>0</v>
      </c>
      <c r="DV33" s="208" t="s">
        <v>21328</v>
      </c>
      <c r="DW33" s="208">
        <v>60</v>
      </c>
      <c r="DX33" s="208" t="s">
        <v>21327</v>
      </c>
      <c r="DY33" s="208">
        <v>60</v>
      </c>
      <c r="DZ33" s="208">
        <v>60</v>
      </c>
      <c r="EA33" s="208">
        <v>60</v>
      </c>
      <c r="EB33" s="208">
        <v>0</v>
      </c>
      <c r="EC33" s="208">
        <v>0</v>
      </c>
      <c r="ED33" s="208">
        <v>0</v>
      </c>
      <c r="EE33" s="208" t="s">
        <v>21328</v>
      </c>
      <c r="EF33" s="208">
        <v>60</v>
      </c>
      <c r="EG33" s="208" t="s">
        <v>21313</v>
      </c>
      <c r="EH33" s="208">
        <v>0</v>
      </c>
      <c r="EI33" s="208">
        <v>0</v>
      </c>
      <c r="EJ33" s="208">
        <v>0</v>
      </c>
      <c r="EK33" s="208">
        <v>0</v>
      </c>
      <c r="EL33" s="208">
        <v>0</v>
      </c>
      <c r="EM33" s="208">
        <v>0</v>
      </c>
      <c r="EN33" s="208" t="s">
        <v>21313</v>
      </c>
      <c r="EO33" s="208">
        <v>0</v>
      </c>
      <c r="EP33" s="208" t="s">
        <v>21313</v>
      </c>
      <c r="EQ33" s="208">
        <v>0</v>
      </c>
      <c r="ER33" s="208">
        <v>0</v>
      </c>
      <c r="ES33" s="208">
        <v>0</v>
      </c>
      <c r="ET33" s="208">
        <v>0</v>
      </c>
      <c r="EU33" s="208">
        <v>0</v>
      </c>
      <c r="EV33" s="208">
        <v>0</v>
      </c>
      <c r="EW33" s="208" t="s">
        <v>21313</v>
      </c>
      <c r="EX33" s="208">
        <v>0</v>
      </c>
      <c r="EY33" s="208" t="s">
        <v>21313</v>
      </c>
      <c r="EZ33" s="208">
        <v>0</v>
      </c>
      <c r="FA33" s="208">
        <v>0</v>
      </c>
      <c r="FB33" s="208">
        <v>0</v>
      </c>
      <c r="FC33" s="208">
        <v>0</v>
      </c>
      <c r="FD33" s="208">
        <v>0</v>
      </c>
      <c r="FE33" s="208">
        <v>0</v>
      </c>
      <c r="FF33" s="208" t="s">
        <v>21313</v>
      </c>
      <c r="FG33" s="208">
        <v>0</v>
      </c>
      <c r="FH33" s="208" t="s">
        <v>21313</v>
      </c>
      <c r="FI33" s="208">
        <v>0</v>
      </c>
      <c r="FJ33" s="208">
        <v>0</v>
      </c>
      <c r="FK33" s="208">
        <v>0</v>
      </c>
      <c r="FL33" s="208">
        <v>0</v>
      </c>
      <c r="FM33" s="208">
        <v>0</v>
      </c>
      <c r="FN33" s="208">
        <v>0</v>
      </c>
      <c r="FO33" s="208" t="s">
        <v>21313</v>
      </c>
      <c r="FP33" s="208">
        <v>0</v>
      </c>
      <c r="FQ33" s="208">
        <v>60</v>
      </c>
      <c r="FR33" s="208" t="s">
        <v>21329</v>
      </c>
      <c r="FS33" s="208" t="s">
        <v>21330</v>
      </c>
      <c r="FT33" s="208" t="s">
        <v>21313</v>
      </c>
      <c r="FU33" s="208" t="s">
        <v>21313</v>
      </c>
      <c r="FV33" s="208" t="s">
        <v>21313</v>
      </c>
      <c r="FW33" s="208" t="s">
        <v>21313</v>
      </c>
      <c r="FX33" s="208" t="s">
        <v>21511</v>
      </c>
      <c r="FY33" s="208">
        <v>25</v>
      </c>
      <c r="FZ33" s="208">
        <v>25</v>
      </c>
      <c r="GA33" s="208">
        <v>25</v>
      </c>
      <c r="GB33" s="208">
        <v>0</v>
      </c>
      <c r="GC33" s="208">
        <v>0</v>
      </c>
      <c r="GD33" s="208">
        <v>0</v>
      </c>
      <c r="GE33" s="208" t="s">
        <v>21512</v>
      </c>
      <c r="GF33" s="208" t="s">
        <v>21511</v>
      </c>
      <c r="GG33" s="208">
        <v>25</v>
      </c>
      <c r="GH33" s="208">
        <v>25</v>
      </c>
      <c r="GI33" s="208">
        <v>25</v>
      </c>
      <c r="GJ33" s="208">
        <v>0</v>
      </c>
      <c r="GK33" s="208">
        <v>0</v>
      </c>
      <c r="GL33" s="208">
        <v>0</v>
      </c>
      <c r="GM33" s="208" t="s">
        <v>21512</v>
      </c>
      <c r="GN33" s="208" t="s">
        <v>21313</v>
      </c>
      <c r="GO33" s="208">
        <v>0</v>
      </c>
      <c r="GP33" s="208">
        <v>0</v>
      </c>
      <c r="GQ33" s="208">
        <v>0</v>
      </c>
      <c r="GR33" s="208">
        <v>0</v>
      </c>
      <c r="GS33" s="208">
        <v>0</v>
      </c>
      <c r="GT33" s="208">
        <v>0</v>
      </c>
      <c r="GU33" s="208" t="s">
        <v>21313</v>
      </c>
      <c r="GV33" s="208" t="s">
        <v>21313</v>
      </c>
      <c r="GW33" s="208">
        <v>0</v>
      </c>
      <c r="GX33" s="208">
        <v>0</v>
      </c>
      <c r="GY33" s="208">
        <v>0</v>
      </c>
      <c r="GZ33" s="208">
        <v>0</v>
      </c>
      <c r="HA33" s="208">
        <v>0</v>
      </c>
      <c r="HB33" s="208">
        <v>0</v>
      </c>
      <c r="HC33" s="208" t="s">
        <v>21313</v>
      </c>
      <c r="HD33" s="208" t="s">
        <v>21313</v>
      </c>
      <c r="HE33" s="208">
        <v>0</v>
      </c>
      <c r="HF33" s="208">
        <v>0</v>
      </c>
      <c r="HG33" s="208">
        <v>0</v>
      </c>
      <c r="HH33" s="208">
        <v>0</v>
      </c>
      <c r="HI33" s="208">
        <v>0</v>
      </c>
      <c r="HJ33" s="208">
        <v>0</v>
      </c>
      <c r="HK33" s="208" t="s">
        <v>21313</v>
      </c>
      <c r="HL33" s="208" t="s">
        <v>21313</v>
      </c>
      <c r="HM33" s="208">
        <v>0</v>
      </c>
      <c r="HN33" s="208">
        <v>0</v>
      </c>
      <c r="HO33" s="208">
        <v>0</v>
      </c>
      <c r="HP33" s="208">
        <v>0</v>
      </c>
      <c r="HQ33" s="208">
        <v>0</v>
      </c>
      <c r="HR33" s="208">
        <v>0</v>
      </c>
      <c r="HS33" s="208" t="s">
        <v>21313</v>
      </c>
      <c r="HT33" s="208" t="s">
        <v>21333</v>
      </c>
      <c r="HU33" s="208">
        <v>25</v>
      </c>
      <c r="HV33" s="208">
        <v>25</v>
      </c>
      <c r="HW33" s="208">
        <v>0</v>
      </c>
      <c r="HX33" s="208">
        <v>0</v>
      </c>
      <c r="HY33" s="208">
        <v>0</v>
      </c>
      <c r="HZ33" s="208">
        <v>0</v>
      </c>
      <c r="IA33" s="600">
        <v>25</v>
      </c>
      <c r="IB33" s="600">
        <v>13</v>
      </c>
      <c r="IC33" s="343" t="s">
        <v>21035</v>
      </c>
      <c r="ID33" s="343" t="s">
        <v>21513</v>
      </c>
      <c r="IE33" s="343" t="s">
        <v>21335</v>
      </c>
      <c r="IF33" s="343" t="s">
        <v>21336</v>
      </c>
      <c r="IG33" s="383">
        <v>43756</v>
      </c>
      <c r="IH33" s="383">
        <v>45583</v>
      </c>
      <c r="II33" s="208">
        <v>37</v>
      </c>
    </row>
    <row r="34" ht="165.75">
      <c r="A34" s="207">
        <v>33</v>
      </c>
      <c r="B34" s="343" t="s">
        <v>21298</v>
      </c>
      <c r="C34" s="343" t="s">
        <v>21298</v>
      </c>
      <c r="D34" s="600" t="s">
        <v>21225</v>
      </c>
      <c r="E34" s="317" t="s">
        <v>21226</v>
      </c>
      <c r="F34" s="207" t="s">
        <v>20855</v>
      </c>
      <c r="G34" s="600">
        <v>105.916195</v>
      </c>
      <c r="H34" s="600">
        <v>21.057921</v>
      </c>
      <c r="I34" s="207">
        <v>1</v>
      </c>
      <c r="J34" s="207">
        <v>2</v>
      </c>
      <c r="K34" s="207" t="s">
        <v>21337</v>
      </c>
      <c r="L34" s="207" t="s">
        <v>21514</v>
      </c>
      <c r="M34" s="207" t="s">
        <v>21339</v>
      </c>
      <c r="N34" s="207" t="s">
        <v>21340</v>
      </c>
      <c r="O34" s="207" t="s">
        <v>21341</v>
      </c>
      <c r="P34" s="207" t="s">
        <v>21342</v>
      </c>
      <c r="Q34" s="207" t="s">
        <v>21343</v>
      </c>
      <c r="R34" s="207" t="s">
        <v>21351</v>
      </c>
      <c r="S34" s="364" t="b">
        <v>1</v>
      </c>
      <c r="T34" s="207" t="s">
        <v>21227</v>
      </c>
      <c r="U34" s="207">
        <v>0</v>
      </c>
      <c r="V34" s="207" t="s">
        <v>21307</v>
      </c>
      <c r="W34" s="207" t="s">
        <v>21228</v>
      </c>
      <c r="X34" s="209" t="s">
        <v>21308</v>
      </c>
      <c r="Y34" s="207" t="b">
        <v>0</v>
      </c>
      <c r="Z34" s="364" t="b">
        <v>0</v>
      </c>
      <c r="AA34" s="600">
        <v>16.5</v>
      </c>
      <c r="AB34" s="364" t="b">
        <v>1</v>
      </c>
      <c r="AC34" s="600">
        <v>12</v>
      </c>
      <c r="AD34" s="207" t="b">
        <v>0</v>
      </c>
      <c r="AE34" s="207" t="s">
        <v>21309</v>
      </c>
      <c r="AF34" s="207" t="s">
        <v>21310</v>
      </c>
      <c r="AG34" s="343" t="s">
        <v>21311</v>
      </c>
      <c r="AH34" s="343" t="s">
        <v>21312</v>
      </c>
      <c r="AI34" s="343" t="s">
        <v>21054</v>
      </c>
      <c r="AJ34" s="343" t="s">
        <v>21313</v>
      </c>
      <c r="AK34" s="343" t="s">
        <v>21314</v>
      </c>
      <c r="AL34" s="208"/>
      <c r="AM34" s="208" t="s">
        <v>21315</v>
      </c>
      <c r="AN34" s="208" t="s">
        <v>21316</v>
      </c>
      <c r="AO34" s="207">
        <v>4</v>
      </c>
      <c r="AP34" s="287" t="s">
        <v>21317</v>
      </c>
      <c r="AQ34" s="448" t="s">
        <v>21502</v>
      </c>
      <c r="AR34" s="448" t="s">
        <v>21515</v>
      </c>
      <c r="AS34" s="449" t="s">
        <v>10</v>
      </c>
      <c r="AT34" s="208" t="s">
        <v>21316</v>
      </c>
      <c r="AU34" s="208" t="s">
        <v>21316</v>
      </c>
      <c r="AV34" s="208" t="s">
        <v>21313</v>
      </c>
      <c r="AW34" s="208" t="s">
        <v>21313</v>
      </c>
      <c r="AX34" s="208" t="s">
        <v>21313</v>
      </c>
      <c r="AY34" s="208" t="s">
        <v>21313</v>
      </c>
      <c r="AZ34" s="208" t="s">
        <v>21298</v>
      </c>
      <c r="BA34" s="208" t="s">
        <v>21298</v>
      </c>
      <c r="BB34" s="208" t="s">
        <v>21313</v>
      </c>
      <c r="BC34" s="208" t="s">
        <v>21313</v>
      </c>
      <c r="BD34" s="208" t="s">
        <v>21313</v>
      </c>
      <c r="BE34" s="208" t="s">
        <v>21313</v>
      </c>
      <c r="BF34" s="208" t="s">
        <v>21346</v>
      </c>
      <c r="BG34" s="208" t="s">
        <v>21225</v>
      </c>
      <c r="BH34" s="208" t="s">
        <v>21225</v>
      </c>
      <c r="BI34" s="208" t="s">
        <v>21313</v>
      </c>
      <c r="BJ34" s="208" t="s">
        <v>21313</v>
      </c>
      <c r="BK34" s="208" t="s">
        <v>21313</v>
      </c>
      <c r="BL34" s="208" t="s">
        <v>21313</v>
      </c>
      <c r="BM34" s="208" t="s">
        <v>21322</v>
      </c>
      <c r="BN34" s="208" t="s">
        <v>21323</v>
      </c>
      <c r="BO34" s="208" t="s">
        <v>21313</v>
      </c>
      <c r="BP34" s="208" t="s">
        <v>21313</v>
      </c>
      <c r="BQ34" s="208" t="s">
        <v>21313</v>
      </c>
      <c r="BR34" s="208" t="s">
        <v>21313</v>
      </c>
      <c r="BS34" s="208">
        <v>3</v>
      </c>
      <c r="BT34" s="208">
        <v>3</v>
      </c>
      <c r="BU34" s="208">
        <v>0</v>
      </c>
      <c r="BV34" s="208">
        <v>0</v>
      </c>
      <c r="BW34" s="208">
        <v>0</v>
      </c>
      <c r="BX34" s="208">
        <v>0</v>
      </c>
      <c r="BY34" s="208" t="s">
        <v>21042</v>
      </c>
      <c r="BZ34" s="208">
        <v>2</v>
      </c>
      <c r="CA34" s="208">
        <v>2</v>
      </c>
      <c r="CB34" s="208">
        <v>2</v>
      </c>
      <c r="CC34" s="208">
        <v>0</v>
      </c>
      <c r="CD34" s="208">
        <v>0</v>
      </c>
      <c r="CE34" s="208">
        <v>0</v>
      </c>
      <c r="CF34" s="208" t="s">
        <v>21324</v>
      </c>
      <c r="CG34" s="208">
        <v>1</v>
      </c>
      <c r="CH34" s="208">
        <v>1</v>
      </c>
      <c r="CI34" s="208">
        <v>1</v>
      </c>
      <c r="CJ34" s="208">
        <v>0</v>
      </c>
      <c r="CK34" s="208">
        <v>0</v>
      </c>
      <c r="CL34" s="208">
        <v>0</v>
      </c>
      <c r="CM34" s="208" t="s">
        <v>21313</v>
      </c>
      <c r="CN34" s="208">
        <v>0</v>
      </c>
      <c r="CO34" s="208">
        <v>0</v>
      </c>
      <c r="CP34" s="208">
        <v>0</v>
      </c>
      <c r="CQ34" s="208">
        <v>0</v>
      </c>
      <c r="CR34" s="208">
        <v>0</v>
      </c>
      <c r="CS34" s="208">
        <v>0</v>
      </c>
      <c r="CT34" s="208" t="s">
        <v>21313</v>
      </c>
      <c r="CU34" s="208">
        <v>0</v>
      </c>
      <c r="CV34" s="208">
        <v>0</v>
      </c>
      <c r="CW34" s="208">
        <v>0</v>
      </c>
      <c r="CX34" s="208">
        <v>0</v>
      </c>
      <c r="CY34" s="208">
        <v>0</v>
      </c>
      <c r="CZ34" s="208">
        <v>0</v>
      </c>
      <c r="DA34" s="208" t="s">
        <v>21313</v>
      </c>
      <c r="DB34" s="208">
        <v>0</v>
      </c>
      <c r="DC34" s="208">
        <v>0</v>
      </c>
      <c r="DD34" s="208">
        <v>0</v>
      </c>
      <c r="DE34" s="208">
        <v>0</v>
      </c>
      <c r="DF34" s="208">
        <v>0</v>
      </c>
      <c r="DG34" s="208">
        <v>0</v>
      </c>
      <c r="DH34" s="208" t="s">
        <v>21313</v>
      </c>
      <c r="DI34" s="208">
        <v>0</v>
      </c>
      <c r="DJ34" s="208">
        <v>0</v>
      </c>
      <c r="DK34" s="208">
        <v>0</v>
      </c>
      <c r="DL34" s="208">
        <v>0</v>
      </c>
      <c r="DM34" s="208">
        <v>0</v>
      </c>
      <c r="DN34" s="208">
        <v>0</v>
      </c>
      <c r="DO34" s="208" t="s">
        <v>21327</v>
      </c>
      <c r="DP34" s="208">
        <v>60</v>
      </c>
      <c r="DQ34" s="208">
        <v>60</v>
      </c>
      <c r="DR34" s="208">
        <v>60</v>
      </c>
      <c r="DS34" s="208">
        <v>0</v>
      </c>
      <c r="DT34" s="208">
        <v>0</v>
      </c>
      <c r="DU34" s="208">
        <v>0</v>
      </c>
      <c r="DV34" s="208" t="s">
        <v>21328</v>
      </c>
      <c r="DW34" s="208">
        <v>60</v>
      </c>
      <c r="DX34" s="208" t="s">
        <v>21327</v>
      </c>
      <c r="DY34" s="208">
        <v>60</v>
      </c>
      <c r="DZ34" s="208">
        <v>60</v>
      </c>
      <c r="EA34" s="208">
        <v>60</v>
      </c>
      <c r="EB34" s="208">
        <v>0</v>
      </c>
      <c r="EC34" s="208">
        <v>0</v>
      </c>
      <c r="ED34" s="208">
        <v>0</v>
      </c>
      <c r="EE34" s="208" t="s">
        <v>21328</v>
      </c>
      <c r="EF34" s="208">
        <v>60</v>
      </c>
      <c r="EG34" s="208" t="s">
        <v>21313</v>
      </c>
      <c r="EH34" s="208">
        <v>0</v>
      </c>
      <c r="EI34" s="208">
        <v>0</v>
      </c>
      <c r="EJ34" s="208">
        <v>0</v>
      </c>
      <c r="EK34" s="208">
        <v>0</v>
      </c>
      <c r="EL34" s="208">
        <v>0</v>
      </c>
      <c r="EM34" s="208">
        <v>0</v>
      </c>
      <c r="EN34" s="208" t="s">
        <v>21313</v>
      </c>
      <c r="EO34" s="208">
        <v>0</v>
      </c>
      <c r="EP34" s="208" t="s">
        <v>21313</v>
      </c>
      <c r="EQ34" s="208">
        <v>0</v>
      </c>
      <c r="ER34" s="208">
        <v>0</v>
      </c>
      <c r="ES34" s="208">
        <v>0</v>
      </c>
      <c r="ET34" s="208">
        <v>0</v>
      </c>
      <c r="EU34" s="208">
        <v>0</v>
      </c>
      <c r="EV34" s="208">
        <v>0</v>
      </c>
      <c r="EW34" s="208" t="s">
        <v>21313</v>
      </c>
      <c r="EX34" s="208">
        <v>0</v>
      </c>
      <c r="EY34" s="208" t="s">
        <v>21313</v>
      </c>
      <c r="EZ34" s="208">
        <v>0</v>
      </c>
      <c r="FA34" s="208">
        <v>0</v>
      </c>
      <c r="FB34" s="208">
        <v>0</v>
      </c>
      <c r="FC34" s="208">
        <v>0</v>
      </c>
      <c r="FD34" s="208">
        <v>0</v>
      </c>
      <c r="FE34" s="208">
        <v>0</v>
      </c>
      <c r="FF34" s="208" t="s">
        <v>21313</v>
      </c>
      <c r="FG34" s="208">
        <v>0</v>
      </c>
      <c r="FH34" s="208" t="s">
        <v>21313</v>
      </c>
      <c r="FI34" s="208">
        <v>0</v>
      </c>
      <c r="FJ34" s="208">
        <v>0</v>
      </c>
      <c r="FK34" s="208">
        <v>0</v>
      </c>
      <c r="FL34" s="208">
        <v>0</v>
      </c>
      <c r="FM34" s="208">
        <v>0</v>
      </c>
      <c r="FN34" s="208">
        <v>0</v>
      </c>
      <c r="FO34" s="208" t="s">
        <v>21313</v>
      </c>
      <c r="FP34" s="208">
        <v>0</v>
      </c>
      <c r="FQ34" s="208">
        <v>60</v>
      </c>
      <c r="FR34" s="208" t="s">
        <v>21329</v>
      </c>
      <c r="FS34" s="208" t="s">
        <v>21330</v>
      </c>
      <c r="FT34" s="208" t="s">
        <v>21313</v>
      </c>
      <c r="FU34" s="208" t="s">
        <v>21313</v>
      </c>
      <c r="FV34" s="208" t="s">
        <v>21313</v>
      </c>
      <c r="FW34" s="208" t="s">
        <v>21313</v>
      </c>
      <c r="FX34" s="208" t="s">
        <v>21352</v>
      </c>
      <c r="FY34" s="208">
        <v>16.5</v>
      </c>
      <c r="FZ34" s="208">
        <v>16.5</v>
      </c>
      <c r="GA34" s="208">
        <v>16.5</v>
      </c>
      <c r="GB34" s="208">
        <v>0</v>
      </c>
      <c r="GC34" s="208">
        <v>0</v>
      </c>
      <c r="GD34" s="208">
        <v>0</v>
      </c>
      <c r="GE34" s="208" t="s">
        <v>21353</v>
      </c>
      <c r="GF34" s="208" t="s">
        <v>21352</v>
      </c>
      <c r="GG34" s="208">
        <v>16.5</v>
      </c>
      <c r="GH34" s="208">
        <v>16.5</v>
      </c>
      <c r="GI34" s="208">
        <v>16.5</v>
      </c>
      <c r="GJ34" s="208">
        <v>0</v>
      </c>
      <c r="GK34" s="208">
        <v>0</v>
      </c>
      <c r="GL34" s="208">
        <v>0</v>
      </c>
      <c r="GM34" s="208" t="s">
        <v>21353</v>
      </c>
      <c r="GN34" s="208" t="s">
        <v>21313</v>
      </c>
      <c r="GO34" s="208">
        <v>0</v>
      </c>
      <c r="GP34" s="208">
        <v>0</v>
      </c>
      <c r="GQ34" s="208">
        <v>0</v>
      </c>
      <c r="GR34" s="208">
        <v>0</v>
      </c>
      <c r="GS34" s="208">
        <v>0</v>
      </c>
      <c r="GT34" s="208">
        <v>0</v>
      </c>
      <c r="GU34" s="208" t="s">
        <v>21313</v>
      </c>
      <c r="GV34" s="208" t="s">
        <v>21313</v>
      </c>
      <c r="GW34" s="208">
        <v>0</v>
      </c>
      <c r="GX34" s="208">
        <v>0</v>
      </c>
      <c r="GY34" s="208">
        <v>0</v>
      </c>
      <c r="GZ34" s="208">
        <v>0</v>
      </c>
      <c r="HA34" s="208">
        <v>0</v>
      </c>
      <c r="HB34" s="208">
        <v>0</v>
      </c>
      <c r="HC34" s="208" t="s">
        <v>21313</v>
      </c>
      <c r="HD34" s="208" t="s">
        <v>21313</v>
      </c>
      <c r="HE34" s="208">
        <v>0</v>
      </c>
      <c r="HF34" s="208">
        <v>0</v>
      </c>
      <c r="HG34" s="208">
        <v>0</v>
      </c>
      <c r="HH34" s="208">
        <v>0</v>
      </c>
      <c r="HI34" s="208">
        <v>0</v>
      </c>
      <c r="HJ34" s="208">
        <v>0</v>
      </c>
      <c r="HK34" s="208" t="s">
        <v>21313</v>
      </c>
      <c r="HL34" s="208" t="s">
        <v>21313</v>
      </c>
      <c r="HM34" s="208">
        <v>0</v>
      </c>
      <c r="HN34" s="208">
        <v>0</v>
      </c>
      <c r="HO34" s="208">
        <v>0</v>
      </c>
      <c r="HP34" s="208">
        <v>0</v>
      </c>
      <c r="HQ34" s="208">
        <v>0</v>
      </c>
      <c r="HR34" s="208">
        <v>0</v>
      </c>
      <c r="HS34" s="208" t="s">
        <v>21313</v>
      </c>
      <c r="HT34" s="208" t="s">
        <v>21333</v>
      </c>
      <c r="HU34" s="208">
        <v>16.5</v>
      </c>
      <c r="HV34" s="208">
        <v>16.5</v>
      </c>
      <c r="HW34" s="208">
        <v>0</v>
      </c>
      <c r="HX34" s="208">
        <v>0</v>
      </c>
      <c r="HY34" s="208">
        <v>0</v>
      </c>
      <c r="HZ34" s="208">
        <v>0</v>
      </c>
      <c r="IA34" s="600">
        <v>16.5</v>
      </c>
      <c r="IB34" s="600">
        <v>4.5</v>
      </c>
      <c r="IC34" s="343" t="s">
        <v>21035</v>
      </c>
      <c r="ID34" s="343" t="s">
        <v>3645</v>
      </c>
      <c r="IE34" s="343" t="s">
        <v>21335</v>
      </c>
      <c r="IF34" s="343" t="s">
        <v>21336</v>
      </c>
      <c r="IG34" s="383">
        <v>43756</v>
      </c>
      <c r="IH34" s="383">
        <v>45583</v>
      </c>
      <c r="II34" s="208">
        <v>37</v>
      </c>
    </row>
    <row r="35" ht="165.75">
      <c r="A35" s="207">
        <v>34</v>
      </c>
      <c r="B35" s="343" t="s">
        <v>21298</v>
      </c>
      <c r="C35" s="343" t="s">
        <v>21298</v>
      </c>
      <c r="D35" s="600" t="s">
        <v>21229</v>
      </c>
      <c r="E35" s="317" t="s">
        <v>21230</v>
      </c>
      <c r="F35" s="207" t="s">
        <v>20855</v>
      </c>
      <c r="G35" s="600">
        <v>105.776841</v>
      </c>
      <c r="H35" s="600">
        <v>21.110002</v>
      </c>
      <c r="I35" s="207">
        <v>1</v>
      </c>
      <c r="J35" s="207">
        <v>2</v>
      </c>
      <c r="K35" s="207" t="s">
        <v>21337</v>
      </c>
      <c r="L35" s="207" t="s">
        <v>21516</v>
      </c>
      <c r="M35" s="207" t="s">
        <v>21339</v>
      </c>
      <c r="N35" s="207" t="s">
        <v>21340</v>
      </c>
      <c r="O35" s="207" t="s">
        <v>21341</v>
      </c>
      <c r="P35" s="207" t="s">
        <v>21342</v>
      </c>
      <c r="Q35" s="207" t="s">
        <v>21343</v>
      </c>
      <c r="R35" s="207" t="s">
        <v>21508</v>
      </c>
      <c r="S35" s="364" t="b">
        <v>1</v>
      </c>
      <c r="T35" s="207" t="s">
        <v>21231</v>
      </c>
      <c r="U35" s="207">
        <v>0</v>
      </c>
      <c r="V35" s="207" t="s">
        <v>21307</v>
      </c>
      <c r="W35" s="207" t="s">
        <v>21232</v>
      </c>
      <c r="X35" s="209" t="s">
        <v>21308</v>
      </c>
      <c r="Y35" s="207" t="b">
        <v>0</v>
      </c>
      <c r="Z35" s="364" t="b">
        <v>0</v>
      </c>
      <c r="AA35" s="600">
        <v>25</v>
      </c>
      <c r="AB35" s="364" t="b">
        <v>1</v>
      </c>
      <c r="AC35" s="600">
        <v>12</v>
      </c>
      <c r="AD35" s="207" t="b">
        <v>0</v>
      </c>
      <c r="AE35" s="207" t="s">
        <v>21309</v>
      </c>
      <c r="AF35" s="207" t="s">
        <v>21310</v>
      </c>
      <c r="AG35" s="343" t="s">
        <v>21311</v>
      </c>
      <c r="AH35" s="343" t="s">
        <v>21312</v>
      </c>
      <c r="AI35" s="343" t="s">
        <v>21054</v>
      </c>
      <c r="AJ35" s="343" t="s">
        <v>21313</v>
      </c>
      <c r="AK35" s="343" t="s">
        <v>21314</v>
      </c>
      <c r="AL35" s="208"/>
      <c r="AM35" s="208" t="s">
        <v>21315</v>
      </c>
      <c r="AN35" s="208" t="s">
        <v>21316</v>
      </c>
      <c r="AO35" s="207">
        <v>3</v>
      </c>
      <c r="AP35" s="287" t="s">
        <v>21317</v>
      </c>
      <c r="AQ35" s="448" t="s">
        <v>21517</v>
      </c>
      <c r="AR35" s="448" t="s">
        <v>21518</v>
      </c>
      <c r="AS35" s="449" t="s">
        <v>10</v>
      </c>
      <c r="AT35" s="208" t="s">
        <v>21316</v>
      </c>
      <c r="AU35" s="208" t="s">
        <v>21316</v>
      </c>
      <c r="AV35" s="208" t="s">
        <v>21313</v>
      </c>
      <c r="AW35" s="208" t="s">
        <v>21313</v>
      </c>
      <c r="AX35" s="208" t="s">
        <v>21313</v>
      </c>
      <c r="AY35" s="208" t="s">
        <v>21313</v>
      </c>
      <c r="AZ35" s="208" t="s">
        <v>21298</v>
      </c>
      <c r="BA35" s="208" t="s">
        <v>21298</v>
      </c>
      <c r="BB35" s="208" t="s">
        <v>21313</v>
      </c>
      <c r="BC35" s="208" t="s">
        <v>21313</v>
      </c>
      <c r="BD35" s="208" t="s">
        <v>21313</v>
      </c>
      <c r="BE35" s="208" t="s">
        <v>21313</v>
      </c>
      <c r="BF35" s="208" t="s">
        <v>21346</v>
      </c>
      <c r="BG35" s="208" t="s">
        <v>21229</v>
      </c>
      <c r="BH35" s="208" t="s">
        <v>21229</v>
      </c>
      <c r="BI35" s="208" t="s">
        <v>21313</v>
      </c>
      <c r="BJ35" s="208" t="s">
        <v>21313</v>
      </c>
      <c r="BK35" s="208" t="s">
        <v>21313</v>
      </c>
      <c r="BL35" s="208" t="s">
        <v>21313</v>
      </c>
      <c r="BM35" s="208" t="s">
        <v>21322</v>
      </c>
      <c r="BN35" s="208" t="s">
        <v>21323</v>
      </c>
      <c r="BO35" s="208" t="s">
        <v>21313</v>
      </c>
      <c r="BP35" s="208" t="s">
        <v>21313</v>
      </c>
      <c r="BQ35" s="208" t="s">
        <v>21313</v>
      </c>
      <c r="BR35" s="208" t="s">
        <v>21313</v>
      </c>
      <c r="BS35" s="208">
        <v>3</v>
      </c>
      <c r="BT35" s="208">
        <v>3</v>
      </c>
      <c r="BU35" s="208">
        <v>0</v>
      </c>
      <c r="BV35" s="208">
        <v>0</v>
      </c>
      <c r="BW35" s="208">
        <v>0</v>
      </c>
      <c r="BX35" s="208">
        <v>0</v>
      </c>
      <c r="BY35" s="208" t="s">
        <v>21042</v>
      </c>
      <c r="BZ35" s="208">
        <v>2</v>
      </c>
      <c r="CA35" s="208">
        <v>2</v>
      </c>
      <c r="CB35" s="208">
        <v>2</v>
      </c>
      <c r="CC35" s="208">
        <v>0</v>
      </c>
      <c r="CD35" s="208">
        <v>0</v>
      </c>
      <c r="CE35" s="208">
        <v>0</v>
      </c>
      <c r="CF35" s="208" t="s">
        <v>21324</v>
      </c>
      <c r="CG35" s="208">
        <v>1</v>
      </c>
      <c r="CH35" s="208">
        <v>1</v>
      </c>
      <c r="CI35" s="208">
        <v>1</v>
      </c>
      <c r="CJ35" s="208">
        <v>0</v>
      </c>
      <c r="CK35" s="208">
        <v>0</v>
      </c>
      <c r="CL35" s="208">
        <v>0</v>
      </c>
      <c r="CM35" s="208" t="s">
        <v>21313</v>
      </c>
      <c r="CN35" s="208">
        <v>0</v>
      </c>
      <c r="CO35" s="208">
        <v>0</v>
      </c>
      <c r="CP35" s="208">
        <v>0</v>
      </c>
      <c r="CQ35" s="208">
        <v>0</v>
      </c>
      <c r="CR35" s="208">
        <v>0</v>
      </c>
      <c r="CS35" s="208">
        <v>0</v>
      </c>
      <c r="CT35" s="208" t="s">
        <v>21313</v>
      </c>
      <c r="CU35" s="208">
        <v>0</v>
      </c>
      <c r="CV35" s="208">
        <v>0</v>
      </c>
      <c r="CW35" s="208">
        <v>0</v>
      </c>
      <c r="CX35" s="208">
        <v>0</v>
      </c>
      <c r="CY35" s="208">
        <v>0</v>
      </c>
      <c r="CZ35" s="208">
        <v>0</v>
      </c>
      <c r="DA35" s="208" t="s">
        <v>21313</v>
      </c>
      <c r="DB35" s="208">
        <v>0</v>
      </c>
      <c r="DC35" s="208">
        <v>0</v>
      </c>
      <c r="DD35" s="208">
        <v>0</v>
      </c>
      <c r="DE35" s="208">
        <v>0</v>
      </c>
      <c r="DF35" s="208">
        <v>0</v>
      </c>
      <c r="DG35" s="208">
        <v>0</v>
      </c>
      <c r="DH35" s="208" t="s">
        <v>21313</v>
      </c>
      <c r="DI35" s="208">
        <v>0</v>
      </c>
      <c r="DJ35" s="208">
        <v>0</v>
      </c>
      <c r="DK35" s="208">
        <v>0</v>
      </c>
      <c r="DL35" s="208">
        <v>0</v>
      </c>
      <c r="DM35" s="208">
        <v>0</v>
      </c>
      <c r="DN35" s="208">
        <v>0</v>
      </c>
      <c r="DO35" s="208" t="s">
        <v>21327</v>
      </c>
      <c r="DP35" s="208">
        <v>60</v>
      </c>
      <c r="DQ35" s="208">
        <v>60</v>
      </c>
      <c r="DR35" s="208">
        <v>60</v>
      </c>
      <c r="DS35" s="208">
        <v>0</v>
      </c>
      <c r="DT35" s="208">
        <v>0</v>
      </c>
      <c r="DU35" s="208">
        <v>0</v>
      </c>
      <c r="DV35" s="208" t="s">
        <v>21328</v>
      </c>
      <c r="DW35" s="208">
        <v>60</v>
      </c>
      <c r="DX35" s="208" t="s">
        <v>21327</v>
      </c>
      <c r="DY35" s="208">
        <v>60</v>
      </c>
      <c r="DZ35" s="208">
        <v>60</v>
      </c>
      <c r="EA35" s="208">
        <v>60</v>
      </c>
      <c r="EB35" s="208">
        <v>0</v>
      </c>
      <c r="EC35" s="208">
        <v>0</v>
      </c>
      <c r="ED35" s="208">
        <v>0</v>
      </c>
      <c r="EE35" s="208" t="s">
        <v>21328</v>
      </c>
      <c r="EF35" s="208">
        <v>60</v>
      </c>
      <c r="EG35" s="208" t="s">
        <v>21313</v>
      </c>
      <c r="EH35" s="208">
        <v>0</v>
      </c>
      <c r="EI35" s="208">
        <v>0</v>
      </c>
      <c r="EJ35" s="208">
        <v>0</v>
      </c>
      <c r="EK35" s="208">
        <v>0</v>
      </c>
      <c r="EL35" s="208">
        <v>0</v>
      </c>
      <c r="EM35" s="208">
        <v>0</v>
      </c>
      <c r="EN35" s="208" t="s">
        <v>21313</v>
      </c>
      <c r="EO35" s="208">
        <v>0</v>
      </c>
      <c r="EP35" s="208" t="s">
        <v>21313</v>
      </c>
      <c r="EQ35" s="208">
        <v>0</v>
      </c>
      <c r="ER35" s="208">
        <v>0</v>
      </c>
      <c r="ES35" s="208">
        <v>0</v>
      </c>
      <c r="ET35" s="208">
        <v>0</v>
      </c>
      <c r="EU35" s="208">
        <v>0</v>
      </c>
      <c r="EV35" s="208">
        <v>0</v>
      </c>
      <c r="EW35" s="208" t="s">
        <v>21313</v>
      </c>
      <c r="EX35" s="208">
        <v>0</v>
      </c>
      <c r="EY35" s="208" t="s">
        <v>21313</v>
      </c>
      <c r="EZ35" s="208">
        <v>0</v>
      </c>
      <c r="FA35" s="208">
        <v>0</v>
      </c>
      <c r="FB35" s="208">
        <v>0</v>
      </c>
      <c r="FC35" s="208">
        <v>0</v>
      </c>
      <c r="FD35" s="208">
        <v>0</v>
      </c>
      <c r="FE35" s="208">
        <v>0</v>
      </c>
      <c r="FF35" s="208" t="s">
        <v>21313</v>
      </c>
      <c r="FG35" s="208">
        <v>0</v>
      </c>
      <c r="FH35" s="208" t="s">
        <v>21313</v>
      </c>
      <c r="FI35" s="208">
        <v>0</v>
      </c>
      <c r="FJ35" s="208">
        <v>0</v>
      </c>
      <c r="FK35" s="208">
        <v>0</v>
      </c>
      <c r="FL35" s="208">
        <v>0</v>
      </c>
      <c r="FM35" s="208">
        <v>0</v>
      </c>
      <c r="FN35" s="208">
        <v>0</v>
      </c>
      <c r="FO35" s="208" t="s">
        <v>21313</v>
      </c>
      <c r="FP35" s="208">
        <v>0</v>
      </c>
      <c r="FQ35" s="208">
        <v>60</v>
      </c>
      <c r="FR35" s="208" t="s">
        <v>21329</v>
      </c>
      <c r="FS35" s="208" t="s">
        <v>21330</v>
      </c>
      <c r="FT35" s="208" t="s">
        <v>21313</v>
      </c>
      <c r="FU35" s="208" t="s">
        <v>21313</v>
      </c>
      <c r="FV35" s="208" t="s">
        <v>21313</v>
      </c>
      <c r="FW35" s="208" t="s">
        <v>21313</v>
      </c>
      <c r="FX35" s="208" t="s">
        <v>21511</v>
      </c>
      <c r="FY35" s="208">
        <v>25</v>
      </c>
      <c r="FZ35" s="208">
        <v>25</v>
      </c>
      <c r="GA35" s="208">
        <v>25</v>
      </c>
      <c r="GB35" s="208">
        <v>0</v>
      </c>
      <c r="GC35" s="208">
        <v>0</v>
      </c>
      <c r="GD35" s="208">
        <v>0</v>
      </c>
      <c r="GE35" s="208" t="s">
        <v>21512</v>
      </c>
      <c r="GF35" s="208" t="s">
        <v>21511</v>
      </c>
      <c r="GG35" s="208">
        <v>25</v>
      </c>
      <c r="GH35" s="208">
        <v>25</v>
      </c>
      <c r="GI35" s="208">
        <v>25</v>
      </c>
      <c r="GJ35" s="208">
        <v>0</v>
      </c>
      <c r="GK35" s="208">
        <v>0</v>
      </c>
      <c r="GL35" s="208">
        <v>0</v>
      </c>
      <c r="GM35" s="208" t="s">
        <v>21512</v>
      </c>
      <c r="GN35" s="208" t="s">
        <v>21313</v>
      </c>
      <c r="GO35" s="208">
        <v>0</v>
      </c>
      <c r="GP35" s="208">
        <v>0</v>
      </c>
      <c r="GQ35" s="208">
        <v>0</v>
      </c>
      <c r="GR35" s="208">
        <v>0</v>
      </c>
      <c r="GS35" s="208">
        <v>0</v>
      </c>
      <c r="GT35" s="208">
        <v>0</v>
      </c>
      <c r="GU35" s="208" t="s">
        <v>21313</v>
      </c>
      <c r="GV35" s="208" t="s">
        <v>21313</v>
      </c>
      <c r="GW35" s="208">
        <v>0</v>
      </c>
      <c r="GX35" s="208">
        <v>0</v>
      </c>
      <c r="GY35" s="208">
        <v>0</v>
      </c>
      <c r="GZ35" s="208">
        <v>0</v>
      </c>
      <c r="HA35" s="208">
        <v>0</v>
      </c>
      <c r="HB35" s="208">
        <v>0</v>
      </c>
      <c r="HC35" s="208" t="s">
        <v>21313</v>
      </c>
      <c r="HD35" s="208" t="s">
        <v>21313</v>
      </c>
      <c r="HE35" s="208">
        <v>0</v>
      </c>
      <c r="HF35" s="208">
        <v>0</v>
      </c>
      <c r="HG35" s="208">
        <v>0</v>
      </c>
      <c r="HH35" s="208">
        <v>0</v>
      </c>
      <c r="HI35" s="208">
        <v>0</v>
      </c>
      <c r="HJ35" s="208">
        <v>0</v>
      </c>
      <c r="HK35" s="208" t="s">
        <v>21313</v>
      </c>
      <c r="HL35" s="208" t="s">
        <v>21313</v>
      </c>
      <c r="HM35" s="208">
        <v>0</v>
      </c>
      <c r="HN35" s="208">
        <v>0</v>
      </c>
      <c r="HO35" s="208">
        <v>0</v>
      </c>
      <c r="HP35" s="208">
        <v>0</v>
      </c>
      <c r="HQ35" s="208">
        <v>0</v>
      </c>
      <c r="HR35" s="208">
        <v>0</v>
      </c>
      <c r="HS35" s="208" t="s">
        <v>21313</v>
      </c>
      <c r="HT35" s="208" t="s">
        <v>21333</v>
      </c>
      <c r="HU35" s="208">
        <v>25</v>
      </c>
      <c r="HV35" s="208">
        <v>25</v>
      </c>
      <c r="HW35" s="208">
        <v>0</v>
      </c>
      <c r="HX35" s="208">
        <v>0</v>
      </c>
      <c r="HY35" s="208">
        <v>0</v>
      </c>
      <c r="HZ35" s="208">
        <v>0</v>
      </c>
      <c r="IA35" s="600">
        <v>25</v>
      </c>
      <c r="IB35" s="600">
        <v>13</v>
      </c>
      <c r="IC35" s="343" t="s">
        <v>21035</v>
      </c>
      <c r="ID35" s="343" t="s">
        <v>21519</v>
      </c>
      <c r="IE35" s="343" t="s">
        <v>21335</v>
      </c>
      <c r="IF35" s="343" t="s">
        <v>21336</v>
      </c>
      <c r="IG35" s="383">
        <v>43756</v>
      </c>
      <c r="IH35" s="383">
        <v>45583</v>
      </c>
      <c r="II35" s="208">
        <v>37</v>
      </c>
    </row>
    <row r="36" ht="165.75">
      <c r="A36" s="207">
        <v>35</v>
      </c>
      <c r="B36" s="343" t="s">
        <v>21298</v>
      </c>
      <c r="C36" s="343" t="s">
        <v>21298</v>
      </c>
      <c r="D36" s="600" t="s">
        <v>21233</v>
      </c>
      <c r="E36" s="317" t="s">
        <v>21234</v>
      </c>
      <c r="F36" s="207" t="s">
        <v>20855</v>
      </c>
      <c r="G36" s="600">
        <v>105.755618</v>
      </c>
      <c r="H36" s="600">
        <v>21.110651</v>
      </c>
      <c r="I36" s="207">
        <v>1</v>
      </c>
      <c r="J36" s="207">
        <v>2</v>
      </c>
      <c r="K36" s="207" t="s">
        <v>21337</v>
      </c>
      <c r="L36" s="207" t="s">
        <v>21520</v>
      </c>
      <c r="M36" s="207" t="s">
        <v>21339</v>
      </c>
      <c r="N36" s="207" t="s">
        <v>21340</v>
      </c>
      <c r="O36" s="207" t="s">
        <v>21341</v>
      </c>
      <c r="P36" s="207" t="s">
        <v>21342</v>
      </c>
      <c r="Q36" s="207" t="s">
        <v>21343</v>
      </c>
      <c r="R36" s="207" t="s">
        <v>21521</v>
      </c>
      <c r="S36" s="364" t="b">
        <v>1</v>
      </c>
      <c r="T36" s="207" t="s">
        <v>21235</v>
      </c>
      <c r="U36" s="207">
        <v>0</v>
      </c>
      <c r="V36" s="207" t="s">
        <v>21307</v>
      </c>
      <c r="W36" s="207" t="s">
        <v>21236</v>
      </c>
      <c r="X36" s="209" t="s">
        <v>21308</v>
      </c>
      <c r="Y36" s="207" t="b">
        <v>1</v>
      </c>
      <c r="Z36" s="364" t="b">
        <v>1</v>
      </c>
      <c r="AA36" s="600">
        <v>37</v>
      </c>
      <c r="AB36" s="364" t="b">
        <v>0</v>
      </c>
      <c r="AC36" s="600">
        <v>0</v>
      </c>
      <c r="AD36" s="207" t="b">
        <v>0</v>
      </c>
      <c r="AE36" s="207" t="s">
        <v>21309</v>
      </c>
      <c r="AF36" s="207" t="s">
        <v>21310</v>
      </c>
      <c r="AG36" s="343" t="s">
        <v>21311</v>
      </c>
      <c r="AH36" s="343" t="s">
        <v>21312</v>
      </c>
      <c r="AI36" s="343" t="s">
        <v>21054</v>
      </c>
      <c r="AJ36" s="343" t="s">
        <v>21313</v>
      </c>
      <c r="AK36" s="343" t="s">
        <v>21314</v>
      </c>
      <c r="AL36" s="208"/>
      <c r="AM36" s="208" t="s">
        <v>21315</v>
      </c>
      <c r="AN36" s="208" t="s">
        <v>21316</v>
      </c>
      <c r="AO36" s="207">
        <v>3</v>
      </c>
      <c r="AP36" s="287" t="s">
        <v>21317</v>
      </c>
      <c r="AQ36" s="448" t="s">
        <v>21517</v>
      </c>
      <c r="AR36" s="448" t="s">
        <v>21518</v>
      </c>
      <c r="AS36" s="449" t="s">
        <v>10</v>
      </c>
      <c r="AT36" s="208" t="s">
        <v>21316</v>
      </c>
      <c r="AU36" s="208" t="s">
        <v>21316</v>
      </c>
      <c r="AV36" s="208" t="s">
        <v>21313</v>
      </c>
      <c r="AW36" s="208" t="s">
        <v>21313</v>
      </c>
      <c r="AX36" s="208" t="s">
        <v>21313</v>
      </c>
      <c r="AY36" s="208" t="s">
        <v>21313</v>
      </c>
      <c r="AZ36" s="208" t="s">
        <v>21298</v>
      </c>
      <c r="BA36" s="208" t="s">
        <v>21298</v>
      </c>
      <c r="BB36" s="208" t="s">
        <v>21313</v>
      </c>
      <c r="BC36" s="208" t="s">
        <v>21313</v>
      </c>
      <c r="BD36" s="208" t="s">
        <v>21313</v>
      </c>
      <c r="BE36" s="208" t="s">
        <v>21313</v>
      </c>
      <c r="BF36" s="208" t="s">
        <v>21346</v>
      </c>
      <c r="BG36" s="208" t="s">
        <v>21233</v>
      </c>
      <c r="BH36" s="208" t="s">
        <v>21233</v>
      </c>
      <c r="BI36" s="208" t="s">
        <v>21313</v>
      </c>
      <c r="BJ36" s="208" t="s">
        <v>21313</v>
      </c>
      <c r="BK36" s="208" t="s">
        <v>21313</v>
      </c>
      <c r="BL36" s="208" t="s">
        <v>21313</v>
      </c>
      <c r="BM36" s="208" t="s">
        <v>21322</v>
      </c>
      <c r="BN36" s="208" t="s">
        <v>21323</v>
      </c>
      <c r="BO36" s="208" t="s">
        <v>21313</v>
      </c>
      <c r="BP36" s="208" t="s">
        <v>21313</v>
      </c>
      <c r="BQ36" s="208" t="s">
        <v>21313</v>
      </c>
      <c r="BR36" s="208" t="s">
        <v>21313</v>
      </c>
      <c r="BS36" s="208">
        <v>3</v>
      </c>
      <c r="BT36" s="208">
        <v>3</v>
      </c>
      <c r="BU36" s="208">
        <v>0</v>
      </c>
      <c r="BV36" s="208">
        <v>0</v>
      </c>
      <c r="BW36" s="208">
        <v>0</v>
      </c>
      <c r="BX36" s="208">
        <v>0</v>
      </c>
      <c r="BY36" s="208" t="s">
        <v>21042</v>
      </c>
      <c r="BZ36" s="208">
        <v>2</v>
      </c>
      <c r="CA36" s="208">
        <v>2</v>
      </c>
      <c r="CB36" s="208">
        <v>2</v>
      </c>
      <c r="CC36" s="208">
        <v>0</v>
      </c>
      <c r="CD36" s="208">
        <v>0</v>
      </c>
      <c r="CE36" s="208">
        <v>0</v>
      </c>
      <c r="CF36" s="208" t="s">
        <v>21324</v>
      </c>
      <c r="CG36" s="208">
        <v>1</v>
      </c>
      <c r="CH36" s="208">
        <v>1</v>
      </c>
      <c r="CI36" s="208">
        <v>1</v>
      </c>
      <c r="CJ36" s="208">
        <v>0</v>
      </c>
      <c r="CK36" s="208">
        <v>0</v>
      </c>
      <c r="CL36" s="208">
        <v>0</v>
      </c>
      <c r="CM36" s="208" t="s">
        <v>21313</v>
      </c>
      <c r="CN36" s="208">
        <v>0</v>
      </c>
      <c r="CO36" s="208">
        <v>0</v>
      </c>
      <c r="CP36" s="208">
        <v>0</v>
      </c>
      <c r="CQ36" s="208">
        <v>0</v>
      </c>
      <c r="CR36" s="208">
        <v>0</v>
      </c>
      <c r="CS36" s="208">
        <v>0</v>
      </c>
      <c r="CT36" s="208" t="s">
        <v>21313</v>
      </c>
      <c r="CU36" s="208">
        <v>0</v>
      </c>
      <c r="CV36" s="208">
        <v>0</v>
      </c>
      <c r="CW36" s="208">
        <v>0</v>
      </c>
      <c r="CX36" s="208">
        <v>0</v>
      </c>
      <c r="CY36" s="208">
        <v>0</v>
      </c>
      <c r="CZ36" s="208">
        <v>0</v>
      </c>
      <c r="DA36" s="208" t="s">
        <v>21313</v>
      </c>
      <c r="DB36" s="208">
        <v>0</v>
      </c>
      <c r="DC36" s="208">
        <v>0</v>
      </c>
      <c r="DD36" s="208">
        <v>0</v>
      </c>
      <c r="DE36" s="208">
        <v>0</v>
      </c>
      <c r="DF36" s="208">
        <v>0</v>
      </c>
      <c r="DG36" s="208">
        <v>0</v>
      </c>
      <c r="DH36" s="208" t="s">
        <v>21313</v>
      </c>
      <c r="DI36" s="208">
        <v>0</v>
      </c>
      <c r="DJ36" s="208">
        <v>0</v>
      </c>
      <c r="DK36" s="208">
        <v>0</v>
      </c>
      <c r="DL36" s="208">
        <v>0</v>
      </c>
      <c r="DM36" s="208">
        <v>0</v>
      </c>
      <c r="DN36" s="208">
        <v>0</v>
      </c>
      <c r="DO36" s="208" t="s">
        <v>21327</v>
      </c>
      <c r="DP36" s="208">
        <v>60</v>
      </c>
      <c r="DQ36" s="208">
        <v>60</v>
      </c>
      <c r="DR36" s="208">
        <v>60</v>
      </c>
      <c r="DS36" s="208">
        <v>0</v>
      </c>
      <c r="DT36" s="208">
        <v>0</v>
      </c>
      <c r="DU36" s="208">
        <v>0</v>
      </c>
      <c r="DV36" s="208" t="s">
        <v>21328</v>
      </c>
      <c r="DW36" s="208">
        <v>60</v>
      </c>
      <c r="DX36" s="208" t="s">
        <v>21327</v>
      </c>
      <c r="DY36" s="208">
        <v>60</v>
      </c>
      <c r="DZ36" s="208">
        <v>60</v>
      </c>
      <c r="EA36" s="208">
        <v>60</v>
      </c>
      <c r="EB36" s="208">
        <v>0</v>
      </c>
      <c r="EC36" s="208">
        <v>0</v>
      </c>
      <c r="ED36" s="208">
        <v>0</v>
      </c>
      <c r="EE36" s="208" t="s">
        <v>21328</v>
      </c>
      <c r="EF36" s="208">
        <v>60</v>
      </c>
      <c r="EG36" s="208" t="s">
        <v>21313</v>
      </c>
      <c r="EH36" s="208">
        <v>0</v>
      </c>
      <c r="EI36" s="208">
        <v>0</v>
      </c>
      <c r="EJ36" s="208">
        <v>0</v>
      </c>
      <c r="EK36" s="208">
        <v>0</v>
      </c>
      <c r="EL36" s="208">
        <v>0</v>
      </c>
      <c r="EM36" s="208">
        <v>0</v>
      </c>
      <c r="EN36" s="208" t="s">
        <v>21313</v>
      </c>
      <c r="EO36" s="208">
        <v>0</v>
      </c>
      <c r="EP36" s="208" t="s">
        <v>21313</v>
      </c>
      <c r="EQ36" s="208">
        <v>0</v>
      </c>
      <c r="ER36" s="208">
        <v>0</v>
      </c>
      <c r="ES36" s="208">
        <v>0</v>
      </c>
      <c r="ET36" s="208">
        <v>0</v>
      </c>
      <c r="EU36" s="208">
        <v>0</v>
      </c>
      <c r="EV36" s="208">
        <v>0</v>
      </c>
      <c r="EW36" s="208" t="s">
        <v>21313</v>
      </c>
      <c r="EX36" s="208">
        <v>0</v>
      </c>
      <c r="EY36" s="208" t="s">
        <v>21313</v>
      </c>
      <c r="EZ36" s="208">
        <v>0</v>
      </c>
      <c r="FA36" s="208">
        <v>0</v>
      </c>
      <c r="FB36" s="208">
        <v>0</v>
      </c>
      <c r="FC36" s="208">
        <v>0</v>
      </c>
      <c r="FD36" s="208">
        <v>0</v>
      </c>
      <c r="FE36" s="208">
        <v>0</v>
      </c>
      <c r="FF36" s="208" t="s">
        <v>21313</v>
      </c>
      <c r="FG36" s="208">
        <v>0</v>
      </c>
      <c r="FH36" s="208" t="s">
        <v>21313</v>
      </c>
      <c r="FI36" s="208">
        <v>0</v>
      </c>
      <c r="FJ36" s="208">
        <v>0</v>
      </c>
      <c r="FK36" s="208">
        <v>0</v>
      </c>
      <c r="FL36" s="208">
        <v>0</v>
      </c>
      <c r="FM36" s="208">
        <v>0</v>
      </c>
      <c r="FN36" s="208">
        <v>0</v>
      </c>
      <c r="FO36" s="208" t="s">
        <v>21313</v>
      </c>
      <c r="FP36" s="208">
        <v>0</v>
      </c>
      <c r="FQ36" s="208">
        <v>60</v>
      </c>
      <c r="FR36" s="208" t="s">
        <v>21329</v>
      </c>
      <c r="FS36" s="208" t="s">
        <v>21330</v>
      </c>
      <c r="FT36" s="208" t="s">
        <v>21313</v>
      </c>
      <c r="FU36" s="208" t="s">
        <v>21313</v>
      </c>
      <c r="FV36" s="208" t="s">
        <v>21313</v>
      </c>
      <c r="FW36" s="208" t="s">
        <v>21313</v>
      </c>
      <c r="FX36" s="208" t="s">
        <v>21522</v>
      </c>
      <c r="FY36" s="208">
        <v>37</v>
      </c>
      <c r="FZ36" s="208">
        <v>37</v>
      </c>
      <c r="GA36" s="208">
        <v>37</v>
      </c>
      <c r="GB36" s="208">
        <v>0</v>
      </c>
      <c r="GC36" s="208">
        <v>0</v>
      </c>
      <c r="GD36" s="208">
        <v>0</v>
      </c>
      <c r="GE36" s="208" t="s">
        <v>21523</v>
      </c>
      <c r="GF36" s="208" t="s">
        <v>21522</v>
      </c>
      <c r="GG36" s="208">
        <v>37</v>
      </c>
      <c r="GH36" s="208">
        <v>37</v>
      </c>
      <c r="GI36" s="208">
        <v>37</v>
      </c>
      <c r="GJ36" s="208">
        <v>0</v>
      </c>
      <c r="GK36" s="208">
        <v>0</v>
      </c>
      <c r="GL36" s="208">
        <v>0</v>
      </c>
      <c r="GM36" s="208" t="s">
        <v>21523</v>
      </c>
      <c r="GN36" s="208" t="s">
        <v>21313</v>
      </c>
      <c r="GO36" s="208">
        <v>0</v>
      </c>
      <c r="GP36" s="208">
        <v>0</v>
      </c>
      <c r="GQ36" s="208">
        <v>0</v>
      </c>
      <c r="GR36" s="208">
        <v>0</v>
      </c>
      <c r="GS36" s="208">
        <v>0</v>
      </c>
      <c r="GT36" s="208">
        <v>0</v>
      </c>
      <c r="GU36" s="208" t="s">
        <v>21313</v>
      </c>
      <c r="GV36" s="208" t="s">
        <v>21313</v>
      </c>
      <c r="GW36" s="208">
        <v>0</v>
      </c>
      <c r="GX36" s="208">
        <v>0</v>
      </c>
      <c r="GY36" s="208">
        <v>0</v>
      </c>
      <c r="GZ36" s="208">
        <v>0</v>
      </c>
      <c r="HA36" s="208">
        <v>0</v>
      </c>
      <c r="HB36" s="208">
        <v>0</v>
      </c>
      <c r="HC36" s="208" t="s">
        <v>21313</v>
      </c>
      <c r="HD36" s="208" t="s">
        <v>21313</v>
      </c>
      <c r="HE36" s="208">
        <v>0</v>
      </c>
      <c r="HF36" s="208">
        <v>0</v>
      </c>
      <c r="HG36" s="208">
        <v>0</v>
      </c>
      <c r="HH36" s="208">
        <v>0</v>
      </c>
      <c r="HI36" s="208">
        <v>0</v>
      </c>
      <c r="HJ36" s="208">
        <v>0</v>
      </c>
      <c r="HK36" s="208" t="s">
        <v>21313</v>
      </c>
      <c r="HL36" s="208" t="s">
        <v>21313</v>
      </c>
      <c r="HM36" s="208">
        <v>0</v>
      </c>
      <c r="HN36" s="208">
        <v>0</v>
      </c>
      <c r="HO36" s="208">
        <v>0</v>
      </c>
      <c r="HP36" s="208">
        <v>0</v>
      </c>
      <c r="HQ36" s="208">
        <v>0</v>
      </c>
      <c r="HR36" s="208">
        <v>0</v>
      </c>
      <c r="HS36" s="208" t="s">
        <v>21313</v>
      </c>
      <c r="HT36" s="208" t="s">
        <v>21333</v>
      </c>
      <c r="HU36" s="208">
        <v>37</v>
      </c>
      <c r="HV36" s="208">
        <v>37</v>
      </c>
      <c r="HW36" s="208">
        <v>0</v>
      </c>
      <c r="HX36" s="208">
        <v>0</v>
      </c>
      <c r="HY36" s="208">
        <v>0</v>
      </c>
      <c r="HZ36" s="208">
        <v>0</v>
      </c>
      <c r="IA36" s="600">
        <v>37</v>
      </c>
      <c r="IB36" s="600">
        <v>37</v>
      </c>
      <c r="IC36" s="343" t="s">
        <v>21035</v>
      </c>
      <c r="ID36" s="343" t="s">
        <v>21524</v>
      </c>
      <c r="IE36" s="343" t="s">
        <v>21335</v>
      </c>
      <c r="IF36" s="343" t="s">
        <v>21336</v>
      </c>
      <c r="IG36" s="383">
        <v>43756</v>
      </c>
      <c r="IH36" s="383">
        <v>45583</v>
      </c>
      <c r="II36" s="208">
        <v>37</v>
      </c>
    </row>
    <row r="37" ht="165.75">
      <c r="A37" s="207">
        <v>36</v>
      </c>
      <c r="B37" s="343" t="s">
        <v>21298</v>
      </c>
      <c r="C37" s="343" t="s">
        <v>21298</v>
      </c>
      <c r="D37" s="600" t="s">
        <v>21237</v>
      </c>
      <c r="E37" s="317" t="s">
        <v>21238</v>
      </c>
      <c r="F37" s="207" t="s">
        <v>20855</v>
      </c>
      <c r="G37" s="600">
        <v>105.768676</v>
      </c>
      <c r="H37" s="600">
        <v>21.195116</v>
      </c>
      <c r="I37" s="207">
        <v>1</v>
      </c>
      <c r="J37" s="207">
        <v>2</v>
      </c>
      <c r="K37" s="207" t="s">
        <v>21337</v>
      </c>
      <c r="L37" s="207" t="s">
        <v>21525</v>
      </c>
      <c r="M37" s="207" t="s">
        <v>21339</v>
      </c>
      <c r="N37" s="207" t="s">
        <v>21340</v>
      </c>
      <c r="O37" s="207" t="s">
        <v>21341</v>
      </c>
      <c r="P37" s="207" t="s">
        <v>21342</v>
      </c>
      <c r="Q37" s="207" t="s">
        <v>21343</v>
      </c>
      <c r="R37" s="207" t="s">
        <v>21526</v>
      </c>
      <c r="S37" s="364" t="b">
        <v>1</v>
      </c>
      <c r="T37" s="207" t="s">
        <v>21239</v>
      </c>
      <c r="U37" s="207">
        <v>0</v>
      </c>
      <c r="V37" s="207" t="s">
        <v>21307</v>
      </c>
      <c r="W37" s="207" t="s">
        <v>21240</v>
      </c>
      <c r="X37" s="209" t="s">
        <v>21308</v>
      </c>
      <c r="Y37" s="207" t="b">
        <v>0</v>
      </c>
      <c r="Z37" s="364" t="b">
        <v>0</v>
      </c>
      <c r="AA37" s="600">
        <v>26</v>
      </c>
      <c r="AB37" s="364" t="b">
        <v>1</v>
      </c>
      <c r="AC37" s="600">
        <v>16</v>
      </c>
      <c r="AD37" s="207" t="b">
        <v>0</v>
      </c>
      <c r="AE37" s="207" t="s">
        <v>21309</v>
      </c>
      <c r="AF37" s="207" t="s">
        <v>21310</v>
      </c>
      <c r="AG37" s="343" t="s">
        <v>21311</v>
      </c>
      <c r="AH37" s="343" t="s">
        <v>21312</v>
      </c>
      <c r="AI37" s="343" t="s">
        <v>21054</v>
      </c>
      <c r="AJ37" s="343" t="s">
        <v>21313</v>
      </c>
      <c r="AK37" s="343" t="s">
        <v>21314</v>
      </c>
      <c r="AL37" s="208"/>
      <c r="AM37" s="208" t="s">
        <v>21315</v>
      </c>
      <c r="AN37" s="208" t="s">
        <v>21316</v>
      </c>
      <c r="AO37" s="207">
        <v>3</v>
      </c>
      <c r="AP37" s="287" t="s">
        <v>21317</v>
      </c>
      <c r="AQ37" s="448" t="s">
        <v>21527</v>
      </c>
      <c r="AR37" s="448" t="s">
        <v>21528</v>
      </c>
      <c r="AS37" s="449" t="s">
        <v>10</v>
      </c>
      <c r="AT37" s="208" t="s">
        <v>21316</v>
      </c>
      <c r="AU37" s="208" t="s">
        <v>21316</v>
      </c>
      <c r="AV37" s="208" t="s">
        <v>21313</v>
      </c>
      <c r="AW37" s="208" t="s">
        <v>21313</v>
      </c>
      <c r="AX37" s="208" t="s">
        <v>21313</v>
      </c>
      <c r="AY37" s="208" t="s">
        <v>21313</v>
      </c>
      <c r="AZ37" s="208" t="s">
        <v>21298</v>
      </c>
      <c r="BA37" s="208" t="s">
        <v>21298</v>
      </c>
      <c r="BB37" s="208" t="s">
        <v>21313</v>
      </c>
      <c r="BC37" s="208" t="s">
        <v>21313</v>
      </c>
      <c r="BD37" s="208" t="s">
        <v>21313</v>
      </c>
      <c r="BE37" s="208" t="s">
        <v>21313</v>
      </c>
      <c r="BF37" s="208" t="s">
        <v>21346</v>
      </c>
      <c r="BG37" s="208" t="s">
        <v>21237</v>
      </c>
      <c r="BH37" s="208" t="s">
        <v>21237</v>
      </c>
      <c r="BI37" s="208" t="s">
        <v>21313</v>
      </c>
      <c r="BJ37" s="208" t="s">
        <v>21313</v>
      </c>
      <c r="BK37" s="208" t="s">
        <v>21313</v>
      </c>
      <c r="BL37" s="208" t="s">
        <v>21313</v>
      </c>
      <c r="BM37" s="208" t="s">
        <v>21322</v>
      </c>
      <c r="BN37" s="208" t="s">
        <v>21323</v>
      </c>
      <c r="BO37" s="208" t="s">
        <v>21313</v>
      </c>
      <c r="BP37" s="208" t="s">
        <v>21313</v>
      </c>
      <c r="BQ37" s="208" t="s">
        <v>21313</v>
      </c>
      <c r="BR37" s="208" t="s">
        <v>21313</v>
      </c>
      <c r="BS37" s="208">
        <v>3</v>
      </c>
      <c r="BT37" s="208">
        <v>3</v>
      </c>
      <c r="BU37" s="208">
        <v>0</v>
      </c>
      <c r="BV37" s="208">
        <v>0</v>
      </c>
      <c r="BW37" s="208">
        <v>0</v>
      </c>
      <c r="BX37" s="208">
        <v>0</v>
      </c>
      <c r="BY37" s="208" t="s">
        <v>21042</v>
      </c>
      <c r="BZ37" s="208">
        <v>2</v>
      </c>
      <c r="CA37" s="208">
        <v>2</v>
      </c>
      <c r="CB37" s="208">
        <v>2</v>
      </c>
      <c r="CC37" s="208">
        <v>0</v>
      </c>
      <c r="CD37" s="208">
        <v>0</v>
      </c>
      <c r="CE37" s="208">
        <v>0</v>
      </c>
      <c r="CF37" s="208" t="s">
        <v>21324</v>
      </c>
      <c r="CG37" s="208">
        <v>1</v>
      </c>
      <c r="CH37" s="208">
        <v>1</v>
      </c>
      <c r="CI37" s="208">
        <v>1</v>
      </c>
      <c r="CJ37" s="208">
        <v>0</v>
      </c>
      <c r="CK37" s="208">
        <v>0</v>
      </c>
      <c r="CL37" s="208">
        <v>0</v>
      </c>
      <c r="CM37" s="208" t="s">
        <v>21313</v>
      </c>
      <c r="CN37" s="208">
        <v>0</v>
      </c>
      <c r="CO37" s="208">
        <v>0</v>
      </c>
      <c r="CP37" s="208">
        <v>0</v>
      </c>
      <c r="CQ37" s="208">
        <v>0</v>
      </c>
      <c r="CR37" s="208">
        <v>0</v>
      </c>
      <c r="CS37" s="208">
        <v>0</v>
      </c>
      <c r="CT37" s="208" t="s">
        <v>21313</v>
      </c>
      <c r="CU37" s="208">
        <v>0</v>
      </c>
      <c r="CV37" s="208">
        <v>0</v>
      </c>
      <c r="CW37" s="208">
        <v>0</v>
      </c>
      <c r="CX37" s="208">
        <v>0</v>
      </c>
      <c r="CY37" s="208">
        <v>0</v>
      </c>
      <c r="CZ37" s="208">
        <v>0</v>
      </c>
      <c r="DA37" s="208" t="s">
        <v>21313</v>
      </c>
      <c r="DB37" s="208">
        <v>0</v>
      </c>
      <c r="DC37" s="208">
        <v>0</v>
      </c>
      <c r="DD37" s="208">
        <v>0</v>
      </c>
      <c r="DE37" s="208">
        <v>0</v>
      </c>
      <c r="DF37" s="208">
        <v>0</v>
      </c>
      <c r="DG37" s="208">
        <v>0</v>
      </c>
      <c r="DH37" s="208" t="s">
        <v>21313</v>
      </c>
      <c r="DI37" s="208">
        <v>0</v>
      </c>
      <c r="DJ37" s="208">
        <v>0</v>
      </c>
      <c r="DK37" s="208">
        <v>0</v>
      </c>
      <c r="DL37" s="208">
        <v>0</v>
      </c>
      <c r="DM37" s="208">
        <v>0</v>
      </c>
      <c r="DN37" s="208">
        <v>0</v>
      </c>
      <c r="DO37" s="208" t="s">
        <v>21327</v>
      </c>
      <c r="DP37" s="208">
        <v>60</v>
      </c>
      <c r="DQ37" s="208">
        <v>60</v>
      </c>
      <c r="DR37" s="208">
        <v>60</v>
      </c>
      <c r="DS37" s="208">
        <v>0</v>
      </c>
      <c r="DT37" s="208">
        <v>0</v>
      </c>
      <c r="DU37" s="208">
        <v>0</v>
      </c>
      <c r="DV37" s="208" t="s">
        <v>21328</v>
      </c>
      <c r="DW37" s="208">
        <v>60</v>
      </c>
      <c r="DX37" s="208" t="s">
        <v>21327</v>
      </c>
      <c r="DY37" s="208">
        <v>60</v>
      </c>
      <c r="DZ37" s="208">
        <v>60</v>
      </c>
      <c r="EA37" s="208">
        <v>60</v>
      </c>
      <c r="EB37" s="208">
        <v>0</v>
      </c>
      <c r="EC37" s="208">
        <v>0</v>
      </c>
      <c r="ED37" s="208">
        <v>0</v>
      </c>
      <c r="EE37" s="208" t="s">
        <v>21328</v>
      </c>
      <c r="EF37" s="208">
        <v>60</v>
      </c>
      <c r="EG37" s="208" t="s">
        <v>21313</v>
      </c>
      <c r="EH37" s="208">
        <v>0</v>
      </c>
      <c r="EI37" s="208">
        <v>0</v>
      </c>
      <c r="EJ37" s="208">
        <v>0</v>
      </c>
      <c r="EK37" s="208">
        <v>0</v>
      </c>
      <c r="EL37" s="208">
        <v>0</v>
      </c>
      <c r="EM37" s="208">
        <v>0</v>
      </c>
      <c r="EN37" s="208" t="s">
        <v>21313</v>
      </c>
      <c r="EO37" s="208">
        <v>0</v>
      </c>
      <c r="EP37" s="208" t="s">
        <v>21313</v>
      </c>
      <c r="EQ37" s="208">
        <v>0</v>
      </c>
      <c r="ER37" s="208">
        <v>0</v>
      </c>
      <c r="ES37" s="208">
        <v>0</v>
      </c>
      <c r="ET37" s="208">
        <v>0</v>
      </c>
      <c r="EU37" s="208">
        <v>0</v>
      </c>
      <c r="EV37" s="208">
        <v>0</v>
      </c>
      <c r="EW37" s="208" t="s">
        <v>21313</v>
      </c>
      <c r="EX37" s="208">
        <v>0</v>
      </c>
      <c r="EY37" s="208" t="s">
        <v>21313</v>
      </c>
      <c r="EZ37" s="208">
        <v>0</v>
      </c>
      <c r="FA37" s="208">
        <v>0</v>
      </c>
      <c r="FB37" s="208">
        <v>0</v>
      </c>
      <c r="FC37" s="208">
        <v>0</v>
      </c>
      <c r="FD37" s="208">
        <v>0</v>
      </c>
      <c r="FE37" s="208">
        <v>0</v>
      </c>
      <c r="FF37" s="208" t="s">
        <v>21313</v>
      </c>
      <c r="FG37" s="208">
        <v>0</v>
      </c>
      <c r="FH37" s="208" t="s">
        <v>21313</v>
      </c>
      <c r="FI37" s="208">
        <v>0</v>
      </c>
      <c r="FJ37" s="208">
        <v>0</v>
      </c>
      <c r="FK37" s="208">
        <v>0</v>
      </c>
      <c r="FL37" s="208">
        <v>0</v>
      </c>
      <c r="FM37" s="208">
        <v>0</v>
      </c>
      <c r="FN37" s="208">
        <v>0</v>
      </c>
      <c r="FO37" s="208" t="s">
        <v>21313</v>
      </c>
      <c r="FP37" s="208">
        <v>0</v>
      </c>
      <c r="FQ37" s="208">
        <v>60</v>
      </c>
      <c r="FR37" s="208" t="s">
        <v>21329</v>
      </c>
      <c r="FS37" s="208" t="s">
        <v>21330</v>
      </c>
      <c r="FT37" s="208" t="s">
        <v>21313</v>
      </c>
      <c r="FU37" s="208" t="s">
        <v>21313</v>
      </c>
      <c r="FV37" s="208" t="s">
        <v>21313</v>
      </c>
      <c r="FW37" s="208" t="s">
        <v>21313</v>
      </c>
      <c r="FX37" s="208" t="s">
        <v>21373</v>
      </c>
      <c r="FY37" s="208">
        <v>26</v>
      </c>
      <c r="FZ37" s="208">
        <v>26</v>
      </c>
      <c r="GA37" s="208">
        <v>26</v>
      </c>
      <c r="GB37" s="208">
        <v>0</v>
      </c>
      <c r="GC37" s="208">
        <v>0</v>
      </c>
      <c r="GD37" s="208">
        <v>0</v>
      </c>
      <c r="GE37" s="208" t="s">
        <v>21374</v>
      </c>
      <c r="GF37" s="208" t="s">
        <v>21373</v>
      </c>
      <c r="GG37" s="208">
        <v>26</v>
      </c>
      <c r="GH37" s="208">
        <v>26</v>
      </c>
      <c r="GI37" s="208">
        <v>26</v>
      </c>
      <c r="GJ37" s="208">
        <v>0</v>
      </c>
      <c r="GK37" s="208">
        <v>0</v>
      </c>
      <c r="GL37" s="208">
        <v>0</v>
      </c>
      <c r="GM37" s="208" t="s">
        <v>21374</v>
      </c>
      <c r="GN37" s="208" t="s">
        <v>21313</v>
      </c>
      <c r="GO37" s="208">
        <v>0</v>
      </c>
      <c r="GP37" s="208">
        <v>0</v>
      </c>
      <c r="GQ37" s="208">
        <v>0</v>
      </c>
      <c r="GR37" s="208">
        <v>0</v>
      </c>
      <c r="GS37" s="208">
        <v>0</v>
      </c>
      <c r="GT37" s="208">
        <v>0</v>
      </c>
      <c r="GU37" s="208" t="s">
        <v>21313</v>
      </c>
      <c r="GV37" s="208" t="s">
        <v>21313</v>
      </c>
      <c r="GW37" s="208">
        <v>0</v>
      </c>
      <c r="GX37" s="208">
        <v>0</v>
      </c>
      <c r="GY37" s="208">
        <v>0</v>
      </c>
      <c r="GZ37" s="208">
        <v>0</v>
      </c>
      <c r="HA37" s="208">
        <v>0</v>
      </c>
      <c r="HB37" s="208">
        <v>0</v>
      </c>
      <c r="HC37" s="208" t="s">
        <v>21313</v>
      </c>
      <c r="HD37" s="208" t="s">
        <v>21313</v>
      </c>
      <c r="HE37" s="208">
        <v>0</v>
      </c>
      <c r="HF37" s="208">
        <v>0</v>
      </c>
      <c r="HG37" s="208">
        <v>0</v>
      </c>
      <c r="HH37" s="208">
        <v>0</v>
      </c>
      <c r="HI37" s="208">
        <v>0</v>
      </c>
      <c r="HJ37" s="208">
        <v>0</v>
      </c>
      <c r="HK37" s="208" t="s">
        <v>21313</v>
      </c>
      <c r="HL37" s="208" t="s">
        <v>21313</v>
      </c>
      <c r="HM37" s="208">
        <v>0</v>
      </c>
      <c r="HN37" s="208">
        <v>0</v>
      </c>
      <c r="HO37" s="208">
        <v>0</v>
      </c>
      <c r="HP37" s="208">
        <v>0</v>
      </c>
      <c r="HQ37" s="208">
        <v>0</v>
      </c>
      <c r="HR37" s="208">
        <v>0</v>
      </c>
      <c r="HS37" s="208" t="s">
        <v>21313</v>
      </c>
      <c r="HT37" s="208" t="s">
        <v>21333</v>
      </c>
      <c r="HU37" s="208">
        <v>26</v>
      </c>
      <c r="HV37" s="208">
        <v>26</v>
      </c>
      <c r="HW37" s="208">
        <v>0</v>
      </c>
      <c r="HX37" s="208">
        <v>0</v>
      </c>
      <c r="HY37" s="208">
        <v>0</v>
      </c>
      <c r="HZ37" s="208">
        <v>0</v>
      </c>
      <c r="IA37" s="600">
        <v>26</v>
      </c>
      <c r="IB37" s="600">
        <v>10</v>
      </c>
      <c r="IC37" s="343" t="s">
        <v>21035</v>
      </c>
      <c r="ID37" s="343" t="s">
        <v>3796</v>
      </c>
      <c r="IE37" s="343" t="s">
        <v>21335</v>
      </c>
      <c r="IF37" s="343" t="s">
        <v>21336</v>
      </c>
      <c r="IG37" s="383">
        <v>43756</v>
      </c>
      <c r="IH37" s="383">
        <v>45583</v>
      </c>
      <c r="II37" s="208">
        <v>37</v>
      </c>
    </row>
    <row r="38" ht="409.5">
      <c r="A38" s="207">
        <v>37</v>
      </c>
      <c r="B38" s="343" t="s">
        <v>21298</v>
      </c>
      <c r="C38" s="343" t="s">
        <v>21298</v>
      </c>
      <c r="D38" s="600" t="s">
        <v>21241</v>
      </c>
      <c r="E38" s="317" t="s">
        <v>21242</v>
      </c>
      <c r="F38" s="207" t="s">
        <v>20855</v>
      </c>
      <c r="G38" s="600">
        <v>105.723142</v>
      </c>
      <c r="H38" s="600">
        <v>21.184451</v>
      </c>
      <c r="I38" s="207">
        <v>1</v>
      </c>
      <c r="J38" s="207">
        <v>3</v>
      </c>
      <c r="K38" s="207" t="s">
        <v>21299</v>
      </c>
      <c r="L38" s="207" t="s">
        <v>21529</v>
      </c>
      <c r="M38" s="207" t="s">
        <v>21530</v>
      </c>
      <c r="N38" s="207" t="s">
        <v>21531</v>
      </c>
      <c r="O38" s="207" t="s">
        <v>21532</v>
      </c>
      <c r="P38" s="207" t="s">
        <v>21533</v>
      </c>
      <c r="Q38" s="207" t="s">
        <v>21534</v>
      </c>
      <c r="R38" s="207" t="s">
        <v>21535</v>
      </c>
      <c r="S38" s="364" t="b">
        <v>1</v>
      </c>
      <c r="T38" s="207" t="s">
        <v>21243</v>
      </c>
      <c r="U38" s="207">
        <v>0</v>
      </c>
      <c r="V38" s="207" t="s">
        <v>21307</v>
      </c>
      <c r="W38" s="207" t="s">
        <v>21244</v>
      </c>
      <c r="X38" s="209" t="s">
        <v>21308</v>
      </c>
      <c r="Y38" s="207" t="b">
        <v>1</v>
      </c>
      <c r="Z38" s="364" t="b">
        <v>0</v>
      </c>
      <c r="AA38" s="600">
        <v>42</v>
      </c>
      <c r="AB38" s="364" t="b">
        <v>1</v>
      </c>
      <c r="AC38" s="600">
        <v>20</v>
      </c>
      <c r="AD38" s="207" t="b">
        <v>0</v>
      </c>
      <c r="AE38" s="207" t="s">
        <v>21309</v>
      </c>
      <c r="AF38" s="207" t="s">
        <v>21310</v>
      </c>
      <c r="AG38" s="343" t="s">
        <v>21311</v>
      </c>
      <c r="AH38" s="343" t="s">
        <v>21312</v>
      </c>
      <c r="AI38" s="343" t="s">
        <v>21054</v>
      </c>
      <c r="AJ38" s="343" t="s">
        <v>21313</v>
      </c>
      <c r="AK38" s="343" t="s">
        <v>21314</v>
      </c>
      <c r="AL38" s="208"/>
      <c r="AM38" s="208" t="s">
        <v>21315</v>
      </c>
      <c r="AN38" s="208" t="s">
        <v>21316</v>
      </c>
      <c r="AO38" s="207">
        <v>3</v>
      </c>
      <c r="AP38" s="287" t="s">
        <v>21317</v>
      </c>
      <c r="AQ38" s="448" t="s">
        <v>21527</v>
      </c>
      <c r="AR38" s="448" t="s">
        <v>21536</v>
      </c>
      <c r="AS38" s="449" t="s">
        <v>10</v>
      </c>
      <c r="AT38" s="208" t="s">
        <v>21316</v>
      </c>
      <c r="AU38" s="208" t="s">
        <v>21316</v>
      </c>
      <c r="AV38" s="208" t="s">
        <v>21316</v>
      </c>
      <c r="AW38" s="208" t="s">
        <v>21313</v>
      </c>
      <c r="AX38" s="208" t="s">
        <v>21313</v>
      </c>
      <c r="AY38" s="208" t="s">
        <v>21313</v>
      </c>
      <c r="AZ38" s="208" t="s">
        <v>21298</v>
      </c>
      <c r="BA38" s="208" t="s">
        <v>21298</v>
      </c>
      <c r="BB38" s="208" t="s">
        <v>21298</v>
      </c>
      <c r="BC38" s="208" t="s">
        <v>21313</v>
      </c>
      <c r="BD38" s="208" t="s">
        <v>21313</v>
      </c>
      <c r="BE38" s="208" t="s">
        <v>21313</v>
      </c>
      <c r="BF38" s="208" t="s">
        <v>21537</v>
      </c>
      <c r="BG38" s="208" t="s">
        <v>21241</v>
      </c>
      <c r="BH38" s="208" t="s">
        <v>21241</v>
      </c>
      <c r="BI38" s="208" t="s">
        <v>21241</v>
      </c>
      <c r="BJ38" s="208" t="s">
        <v>21313</v>
      </c>
      <c r="BK38" s="208" t="s">
        <v>21313</v>
      </c>
      <c r="BL38" s="208" t="s">
        <v>21313</v>
      </c>
      <c r="BM38" s="208" t="s">
        <v>21371</v>
      </c>
      <c r="BN38" s="208" t="s">
        <v>21372</v>
      </c>
      <c r="BO38" s="208" t="s">
        <v>21323</v>
      </c>
      <c r="BP38" s="208" t="s">
        <v>21313</v>
      </c>
      <c r="BQ38" s="208" t="s">
        <v>21313</v>
      </c>
      <c r="BR38" s="208" t="s">
        <v>21313</v>
      </c>
      <c r="BS38" s="208">
        <v>3</v>
      </c>
      <c r="BT38" s="208">
        <v>3</v>
      </c>
      <c r="BU38" s="208">
        <v>3</v>
      </c>
      <c r="BV38" s="208">
        <v>0</v>
      </c>
      <c r="BW38" s="208">
        <v>0</v>
      </c>
      <c r="BX38" s="208">
        <v>0</v>
      </c>
      <c r="BY38" s="208" t="s">
        <v>21042</v>
      </c>
      <c r="BZ38" s="208">
        <v>2</v>
      </c>
      <c r="CA38" s="208">
        <v>2</v>
      </c>
      <c r="CB38" s="208">
        <v>2</v>
      </c>
      <c r="CC38" s="208">
        <v>0</v>
      </c>
      <c r="CD38" s="208">
        <v>0</v>
      </c>
      <c r="CE38" s="208">
        <v>0</v>
      </c>
      <c r="CF38" s="208" t="s">
        <v>21042</v>
      </c>
      <c r="CG38" s="208">
        <v>2</v>
      </c>
      <c r="CH38" s="208">
        <v>2</v>
      </c>
      <c r="CI38" s="208">
        <v>2</v>
      </c>
      <c r="CJ38" s="208">
        <v>0</v>
      </c>
      <c r="CK38" s="208">
        <v>0</v>
      </c>
      <c r="CL38" s="208">
        <v>0</v>
      </c>
      <c r="CM38" s="208" t="s">
        <v>21324</v>
      </c>
      <c r="CN38" s="208">
        <v>1</v>
      </c>
      <c r="CO38" s="208">
        <v>1</v>
      </c>
      <c r="CP38" s="208">
        <v>1</v>
      </c>
      <c r="CQ38" s="208">
        <v>0</v>
      </c>
      <c r="CR38" s="208">
        <v>0</v>
      </c>
      <c r="CS38" s="208">
        <v>0</v>
      </c>
      <c r="CT38" s="208" t="s">
        <v>21313</v>
      </c>
      <c r="CU38" s="208">
        <v>0</v>
      </c>
      <c r="CV38" s="208">
        <v>0</v>
      </c>
      <c r="CW38" s="208">
        <v>0</v>
      </c>
      <c r="CX38" s="208">
        <v>0</v>
      </c>
      <c r="CY38" s="208">
        <v>0</v>
      </c>
      <c r="CZ38" s="208">
        <v>0</v>
      </c>
      <c r="DA38" s="208" t="s">
        <v>21313</v>
      </c>
      <c r="DB38" s="208">
        <v>0</v>
      </c>
      <c r="DC38" s="208">
        <v>0</v>
      </c>
      <c r="DD38" s="208">
        <v>0</v>
      </c>
      <c r="DE38" s="208">
        <v>0</v>
      </c>
      <c r="DF38" s="208">
        <v>0</v>
      </c>
      <c r="DG38" s="208">
        <v>0</v>
      </c>
      <c r="DH38" s="208" t="s">
        <v>21313</v>
      </c>
      <c r="DI38" s="208">
        <v>0</v>
      </c>
      <c r="DJ38" s="208">
        <v>0</v>
      </c>
      <c r="DK38" s="208">
        <v>0</v>
      </c>
      <c r="DL38" s="208">
        <v>0</v>
      </c>
      <c r="DM38" s="208">
        <v>0</v>
      </c>
      <c r="DN38" s="208">
        <v>0</v>
      </c>
      <c r="DO38" s="208" t="s">
        <v>21325</v>
      </c>
      <c r="DP38" s="208">
        <v>80</v>
      </c>
      <c r="DQ38" s="208">
        <v>80</v>
      </c>
      <c r="DR38" s="208">
        <v>80</v>
      </c>
      <c r="DS38" s="208">
        <v>0</v>
      </c>
      <c r="DT38" s="208">
        <v>0</v>
      </c>
      <c r="DU38" s="208">
        <v>0</v>
      </c>
      <c r="DV38" s="208" t="s">
        <v>21326</v>
      </c>
      <c r="DW38" s="208">
        <v>80</v>
      </c>
      <c r="DX38" s="208" t="s">
        <v>21327</v>
      </c>
      <c r="DY38" s="208">
        <v>60</v>
      </c>
      <c r="DZ38" s="208">
        <v>60</v>
      </c>
      <c r="EA38" s="208">
        <v>60</v>
      </c>
      <c r="EB38" s="208">
        <v>0</v>
      </c>
      <c r="EC38" s="208">
        <v>0</v>
      </c>
      <c r="ED38" s="208">
        <v>0</v>
      </c>
      <c r="EE38" s="208" t="s">
        <v>21328</v>
      </c>
      <c r="EF38" s="208">
        <v>60</v>
      </c>
      <c r="EG38" s="208" t="s">
        <v>21327</v>
      </c>
      <c r="EH38" s="208">
        <v>60</v>
      </c>
      <c r="EI38" s="208">
        <v>60</v>
      </c>
      <c r="EJ38" s="208">
        <v>60</v>
      </c>
      <c r="EK38" s="208">
        <v>0</v>
      </c>
      <c r="EL38" s="208">
        <v>0</v>
      </c>
      <c r="EM38" s="208">
        <v>0</v>
      </c>
      <c r="EN38" s="208" t="s">
        <v>21328</v>
      </c>
      <c r="EO38" s="208">
        <v>60</v>
      </c>
      <c r="EP38" s="208" t="s">
        <v>21313</v>
      </c>
      <c r="EQ38" s="208">
        <v>0</v>
      </c>
      <c r="ER38" s="208">
        <v>0</v>
      </c>
      <c r="ES38" s="208">
        <v>0</v>
      </c>
      <c r="ET38" s="208">
        <v>0</v>
      </c>
      <c r="EU38" s="208">
        <v>0</v>
      </c>
      <c r="EV38" s="208">
        <v>0</v>
      </c>
      <c r="EW38" s="208" t="s">
        <v>21313</v>
      </c>
      <c r="EX38" s="208">
        <v>0</v>
      </c>
      <c r="EY38" s="208" t="s">
        <v>21313</v>
      </c>
      <c r="EZ38" s="208">
        <v>0</v>
      </c>
      <c r="FA38" s="208">
        <v>0</v>
      </c>
      <c r="FB38" s="208">
        <v>0</v>
      </c>
      <c r="FC38" s="208">
        <v>0</v>
      </c>
      <c r="FD38" s="208">
        <v>0</v>
      </c>
      <c r="FE38" s="208">
        <v>0</v>
      </c>
      <c r="FF38" s="208" t="s">
        <v>21313</v>
      </c>
      <c r="FG38" s="208">
        <v>0</v>
      </c>
      <c r="FH38" s="208" t="s">
        <v>21313</v>
      </c>
      <c r="FI38" s="208">
        <v>0</v>
      </c>
      <c r="FJ38" s="208">
        <v>0</v>
      </c>
      <c r="FK38" s="208">
        <v>0</v>
      </c>
      <c r="FL38" s="208">
        <v>0</v>
      </c>
      <c r="FM38" s="208">
        <v>0</v>
      </c>
      <c r="FN38" s="208">
        <v>0</v>
      </c>
      <c r="FO38" s="208" t="s">
        <v>21313</v>
      </c>
      <c r="FP38" s="208">
        <v>0</v>
      </c>
      <c r="FQ38" s="208">
        <v>80</v>
      </c>
      <c r="FR38" s="208" t="s">
        <v>19816</v>
      </c>
      <c r="FS38" s="208" t="s">
        <v>21329</v>
      </c>
      <c r="FT38" s="208" t="s">
        <v>21330</v>
      </c>
      <c r="FU38" s="208" t="s">
        <v>21313</v>
      </c>
      <c r="FV38" s="208" t="s">
        <v>21313</v>
      </c>
      <c r="FW38" s="208" t="s">
        <v>21313</v>
      </c>
      <c r="FX38" s="208" t="s">
        <v>21538</v>
      </c>
      <c r="FY38" s="208">
        <v>42</v>
      </c>
      <c r="FZ38" s="208">
        <v>42</v>
      </c>
      <c r="GA38" s="208">
        <v>42</v>
      </c>
      <c r="GB38" s="208">
        <v>0</v>
      </c>
      <c r="GC38" s="208">
        <v>0</v>
      </c>
      <c r="GD38" s="208">
        <v>0</v>
      </c>
      <c r="GE38" s="208" t="s">
        <v>21539</v>
      </c>
      <c r="GF38" s="208" t="s">
        <v>21538</v>
      </c>
      <c r="GG38" s="208">
        <v>42</v>
      </c>
      <c r="GH38" s="208">
        <v>42</v>
      </c>
      <c r="GI38" s="208">
        <v>42</v>
      </c>
      <c r="GJ38" s="208">
        <v>0</v>
      </c>
      <c r="GK38" s="208">
        <v>0</v>
      </c>
      <c r="GL38" s="208">
        <v>0</v>
      </c>
      <c r="GM38" s="208" t="s">
        <v>21539</v>
      </c>
      <c r="GN38" s="208" t="s">
        <v>21538</v>
      </c>
      <c r="GO38" s="208">
        <v>42</v>
      </c>
      <c r="GP38" s="208">
        <v>42</v>
      </c>
      <c r="GQ38" s="208">
        <v>42</v>
      </c>
      <c r="GR38" s="208">
        <v>0</v>
      </c>
      <c r="GS38" s="208">
        <v>0</v>
      </c>
      <c r="GT38" s="208">
        <v>0</v>
      </c>
      <c r="GU38" s="208" t="s">
        <v>21539</v>
      </c>
      <c r="GV38" s="208" t="s">
        <v>21313</v>
      </c>
      <c r="GW38" s="208">
        <v>0</v>
      </c>
      <c r="GX38" s="208">
        <v>0</v>
      </c>
      <c r="GY38" s="208">
        <v>0</v>
      </c>
      <c r="GZ38" s="208">
        <v>0</v>
      </c>
      <c r="HA38" s="208">
        <v>0</v>
      </c>
      <c r="HB38" s="208">
        <v>0</v>
      </c>
      <c r="HC38" s="208" t="s">
        <v>21313</v>
      </c>
      <c r="HD38" s="208" t="s">
        <v>21313</v>
      </c>
      <c r="HE38" s="208">
        <v>0</v>
      </c>
      <c r="HF38" s="208">
        <v>0</v>
      </c>
      <c r="HG38" s="208">
        <v>0</v>
      </c>
      <c r="HH38" s="208">
        <v>0</v>
      </c>
      <c r="HI38" s="208">
        <v>0</v>
      </c>
      <c r="HJ38" s="208">
        <v>0</v>
      </c>
      <c r="HK38" s="208" t="s">
        <v>21313</v>
      </c>
      <c r="HL38" s="208" t="s">
        <v>21313</v>
      </c>
      <c r="HM38" s="208">
        <v>0</v>
      </c>
      <c r="HN38" s="208">
        <v>0</v>
      </c>
      <c r="HO38" s="208">
        <v>0</v>
      </c>
      <c r="HP38" s="208">
        <v>0</v>
      </c>
      <c r="HQ38" s="208">
        <v>0</v>
      </c>
      <c r="HR38" s="208">
        <v>0</v>
      </c>
      <c r="HS38" s="208" t="s">
        <v>21313</v>
      </c>
      <c r="HT38" s="208" t="s">
        <v>21333</v>
      </c>
      <c r="HU38" s="208">
        <v>42</v>
      </c>
      <c r="HV38" s="208">
        <v>42</v>
      </c>
      <c r="HW38" s="208">
        <v>42</v>
      </c>
      <c r="HX38" s="208">
        <v>0</v>
      </c>
      <c r="HY38" s="208">
        <v>0</v>
      </c>
      <c r="HZ38" s="208">
        <v>0</v>
      </c>
      <c r="IA38" s="600">
        <v>42</v>
      </c>
      <c r="IB38" s="600">
        <v>22</v>
      </c>
      <c r="IC38" s="343" t="s">
        <v>21035</v>
      </c>
      <c r="ID38" s="343" t="s">
        <v>21540</v>
      </c>
      <c r="IE38" s="343" t="s">
        <v>21335</v>
      </c>
      <c r="IF38" s="343" t="s">
        <v>21336</v>
      </c>
      <c r="IG38" s="383">
        <v>43756</v>
      </c>
      <c r="IH38" s="383">
        <v>45583</v>
      </c>
      <c r="II38" s="208">
        <v>37</v>
      </c>
    </row>
  </sheetData>
  <sheetProtection sheet="1" objects="1" scenarios="1" formatCells="0" formatColumns="0" formatRows="0" sort="0" autoFilter="0" pivotTables="0"/>
  <autoFilter ref="A1:IJ1"/>
  <conditionalFormatting sqref="F2">
    <cfRule type="expression" dxfId="72" priority="2924">
      <formula>F2&lt;&gt;RIGHT(SUBSTITUTE(TRIM(E2),".",""),LEN(F2))</formula>
    </cfRule>
  </conditionalFormatting>
  <conditionalFormatting sqref="BS2">
    <cfRule type="expression" dxfId="72" priority="2923">
      <formula>AND(J2&gt;=1,BS2&lt;1)</formula>
    </cfRule>
  </conditionalFormatting>
  <conditionalFormatting sqref="BT2">
    <cfRule type="expression" dxfId="72" priority="2922">
      <formula>AND(J2&gt;=2,BT2&lt;1)</formula>
    </cfRule>
  </conditionalFormatting>
  <conditionalFormatting sqref="BU2">
    <cfRule type="expression" dxfId="72" priority="2920">
      <formula>AND(J2&gt;=3,BU2&lt;1)</formula>
    </cfRule>
  </conditionalFormatting>
  <conditionalFormatting sqref="BV2">
    <cfRule type="expression" dxfId="72" priority="2919">
      <formula>AND(J2&gt;=4,BV2&lt;1)</formula>
    </cfRule>
  </conditionalFormatting>
  <conditionalFormatting sqref="BW2">
    <cfRule type="expression" dxfId="72" priority="2921">
      <formula>AND(J2&gt;=5,BW2&lt;1)</formula>
    </cfRule>
  </conditionalFormatting>
  <conditionalFormatting sqref="BX2">
    <cfRule type="expression" dxfId="72" priority="2918">
      <formula>AND(J2&gt;=6,BX2&lt;1)</formula>
    </cfRule>
  </conditionalFormatting>
  <conditionalFormatting sqref="IC2">
    <cfRule type="expression" dxfId="72" priority="2997">
      <formula>AND($S2 = TRUE, $IC2&lt;&gt;OptionsUnitCode)</formula>
    </cfRule>
  </conditionalFormatting>
  <conditionalFormatting sqref="A2:II2 A3:A38">
    <cfRule type="containsErrors" dxfId="72" priority="2917">
      <formula>ISERROR(A2)</formula>
    </cfRule>
  </conditionalFormatting>
  <conditionalFormatting sqref="DP2">
    <cfRule type="expression" dxfId="1" priority="2925">
      <formula>AND(BS2&gt;=1,DP2&lt;&gt;0, GetEquPower(AZ2,BM2, BZ2, FR2)=0)</formula>
    </cfRule>
    <cfRule type="expression" dxfId="0" priority="2926">
      <formula>AND(BS2&gt;=1,DP2&lt;&gt;GetEquPower(AZ2,BM2, BZ2, FR2))</formula>
    </cfRule>
  </conditionalFormatting>
  <conditionalFormatting sqref="DQ2">
    <cfRule type="expression" dxfId="1" priority="2927">
      <formula>AND(BS2&gt;=2,DQ2&lt;&gt;0, GetEquPower(AZ2,BM2, CA2, FR2)=0)</formula>
    </cfRule>
    <cfRule type="expression" dxfId="0" priority="2928">
      <formula>AND(BS2&gt;=2,DQ2&lt;&gt;GetEquPower(AZ2,BM2, CA2, FR2))</formula>
    </cfRule>
  </conditionalFormatting>
  <conditionalFormatting sqref="DR2">
    <cfRule type="expression" dxfId="1" priority="2929">
      <formula>AND(BS2&gt;=3,DR2&lt;&gt;0, GetEquPower(AZ2,BM2, CB2, FR2)=0)</formula>
    </cfRule>
    <cfRule type="expression" dxfId="0" priority="2930">
      <formula>AND(BS2&gt;=3,DR2&lt;&gt;GetEquPower(AZ2,BM2, CB2, FR2))</formula>
    </cfRule>
  </conditionalFormatting>
  <conditionalFormatting sqref="DS2">
    <cfRule type="expression" dxfId="1" priority="2961">
      <formula>AND(BS2&gt;=4,DS2&lt;&gt;0, GetEquPower(AZ2,BM2, CC2, FR2)=0)</formula>
    </cfRule>
    <cfRule type="expression" dxfId="0" priority="2962">
      <formula>AND(BS2&gt;=4, DS2&lt;&gt;GetEquPower(AZ2,BM2, CC2, FR2))</formula>
    </cfRule>
  </conditionalFormatting>
  <conditionalFormatting sqref="DT2">
    <cfRule type="expression" dxfId="1" priority="2973">
      <formula>AND(BS2&gt;=5,DT2&lt;&gt;0, GetEquPower(AZ2,BM2, CD2, FR2)=0)</formula>
    </cfRule>
    <cfRule type="expression" dxfId="0" priority="2974">
      <formula>AND(BS2&gt;=5, DT2&lt;&gt;GetEquPower(AZ2,BM2, CD2, FR2))</formula>
    </cfRule>
  </conditionalFormatting>
  <conditionalFormatting sqref="DU2">
    <cfRule type="expression" dxfId="1" priority="2975">
      <formula>AND(BS2&gt;=6,DU2&lt;&gt;0, GetEquPower(AZ2,BM2, CE2, FR2)=0)</formula>
    </cfRule>
    <cfRule type="expression" dxfId="0" priority="2976">
      <formula>AND(BS2&gt;=6, DU2&lt;&gt;GetEquPower(AZ2,BM2, CE2, FR2))</formula>
    </cfRule>
  </conditionalFormatting>
  <conditionalFormatting sqref="DY2">
    <cfRule type="expression" dxfId="1" priority="2931">
      <formula>AND(BT2&gt;=1,DY2&lt;&gt;0, GetEquPower(BA2,BN2, CG2, FS2)=0)</formula>
    </cfRule>
    <cfRule type="expression" dxfId="0" priority="2932">
      <formula>AND(BT2&gt;=1,DY2&lt;&gt;GetEquPower(BA2,BN2, CG2, FS2))</formula>
    </cfRule>
  </conditionalFormatting>
  <conditionalFormatting sqref="DZ2">
    <cfRule type="expression" dxfId="1" priority="2933">
      <formula>AND(BT2&gt;=2,DZ2&lt;&gt;0, GetEquPower(BA2,BN2, CH2, FS2)=0)</formula>
    </cfRule>
    <cfRule type="expression" dxfId="0" priority="2934">
      <formula>AND(BT2&gt;=2,DZ2&lt;&gt;GetEquPower(BA2,BN2, CH2, FS2))</formula>
    </cfRule>
  </conditionalFormatting>
  <conditionalFormatting sqref="EA2">
    <cfRule type="expression" dxfId="1" priority="2935">
      <formula>AND(BT2&gt;=3,EA2&lt;&gt;0, GetEquPower(BA2,BN2, CI2, FS2)=0)</formula>
    </cfRule>
    <cfRule type="expression" dxfId="0" priority="2936">
      <formula>AND(BT2&gt;=3,EA2&lt;&gt;GetEquPower(BA2,BN2, CI2, FS2))</formula>
    </cfRule>
  </conditionalFormatting>
  <conditionalFormatting sqref="EB2">
    <cfRule type="expression" dxfId="1" priority="2963">
      <formula>AND(BT2&gt;=4,EB2&lt;&gt;0, GetEquPower(BA2,BN2, CJ2, FS2)=0)</formula>
    </cfRule>
    <cfRule type="expression" dxfId="0" priority="2964">
      <formula>AND(BT2&gt;=4,EB2&lt;&gt;GetEquPower(BA2,BN2, CJ2, FS2))</formula>
    </cfRule>
  </conditionalFormatting>
  <conditionalFormatting sqref="EC2">
    <cfRule type="expression" dxfId="1" priority="2977">
      <formula>AND(BT2&gt;=5,EC2&lt;&gt;0, GetEquPower(BA2,BN2, CK2, FS2)=0)</formula>
    </cfRule>
    <cfRule type="expression" dxfId="0" priority="2978">
      <formula>AND(BT2&gt;=5,EC2&lt;&gt;GetEquPower(BA2,BN2, CK2, FS2))</formula>
    </cfRule>
  </conditionalFormatting>
  <conditionalFormatting sqref="ED2">
    <cfRule type="expression" dxfId="1" priority="2979">
      <formula>AND(BT2&gt;=6,ED2&lt;&gt;0, GetEquPower(BA2,BN2, CL2, FS2)=0)</formula>
    </cfRule>
    <cfRule type="expression" dxfId="0" priority="2980">
      <formula>AND(BT2&gt;=6,ED2&lt;&gt;GetEquPower(BA2,BN2, CL2, FS2))</formula>
    </cfRule>
  </conditionalFormatting>
  <conditionalFormatting sqref="EH2">
    <cfRule type="expression" dxfId="1" priority="2937">
      <formula>AND(BU2&gt;=1,EH2&lt;&gt;0, GetEquPower(BB2,BO2, CN2, FT2)=0)</formula>
    </cfRule>
    <cfRule type="expression" dxfId="0" priority="2938">
      <formula>AND(BU2&gt;=1,EH2&lt;&gt;GetEquPower(BB2,BO2, CN2, FT2))</formula>
    </cfRule>
  </conditionalFormatting>
  <conditionalFormatting sqref="EI2">
    <cfRule type="expression" dxfId="1" priority="2939">
      <formula>AND(BU2&gt;=2,EI2&lt;&gt;0, GetEquPower(BB2,BO2, CO2, FT2)=0)</formula>
    </cfRule>
    <cfRule type="expression" dxfId="0" priority="2940">
      <formula xml:space="preserve"> AND(BU2&gt;=2,EI2&lt;&gt;GetEquPower(BB2,BO2, CO2, FT2))</formula>
    </cfRule>
  </conditionalFormatting>
  <conditionalFormatting sqref="EJ2">
    <cfRule type="expression" dxfId="1" priority="2941">
      <formula>AND(BU2&gt;=3,EJ2&lt;&gt;0, GetEquPower(BB2,BO2, CP2, FT2)=0)</formula>
    </cfRule>
    <cfRule type="expression" dxfId="0" priority="2942">
      <formula xml:space="preserve"> AND(BU2&gt;=3,EJ2&lt;&gt;GetEquPower(BB2,BO2, CP2, FT2))</formula>
    </cfRule>
  </conditionalFormatting>
  <conditionalFormatting sqref="EK2">
    <cfRule type="expression" dxfId="1" priority="2965">
      <formula>AND(BU2&gt;=4,EK2&lt;&gt;0, GetEquPower(BB2,BO2, CQ2, FT2)=0)</formula>
    </cfRule>
    <cfRule type="expression" dxfId="0" priority="2966">
      <formula xml:space="preserve"> AND(BU2&gt;=4,EK2&lt;&gt;GetEquPower(BB2,BO2, CQ2, FT2))</formula>
    </cfRule>
  </conditionalFormatting>
  <conditionalFormatting sqref="EL2">
    <cfRule type="expression" dxfId="1" priority="2981">
      <formula>AND(BU2&gt;=5,EL2&lt;&gt;0, GetEquPower(BB2,BO2, CR2, FT2)=0)</formula>
    </cfRule>
    <cfRule type="expression" dxfId="0" priority="2982">
      <formula xml:space="preserve"> AND(BU2&gt;=5,EL2&lt;&gt;GetEquPower(BB2,BO2, CR2, FT2))</formula>
    </cfRule>
  </conditionalFormatting>
  <conditionalFormatting sqref="EM2">
    <cfRule type="expression" dxfId="1" priority="2983">
      <formula>AND(BU2&gt;=6,EM2&lt;&gt;0, GetEquPower(BB2,BO2, CS2, FT2)=0)</formula>
    </cfRule>
    <cfRule type="expression" dxfId="0" priority="2984">
      <formula xml:space="preserve"> AND(BU2&gt;=6,EM2&lt;&gt;GetEquPower(BB2,BO2, CS2, FT2))</formula>
    </cfRule>
  </conditionalFormatting>
  <conditionalFormatting sqref="EQ2">
    <cfRule type="expression" dxfId="1" priority="2943">
      <formula>AND(BV2&gt;=1,EQ2&lt;&gt;0, GetEquPower(BC2,BP2, CU2, FU2)=0)</formula>
    </cfRule>
    <cfRule type="expression" dxfId="0" priority="2944">
      <formula>AND(BV2&gt;=1,EQ2&lt;&gt;GetEquPower(BC2,BP2, CU2, FU2))</formula>
    </cfRule>
  </conditionalFormatting>
  <conditionalFormatting sqref="ER2">
    <cfRule type="expression" dxfId="1" priority="2945">
      <formula>AND(BV2&gt;=2,ER2&lt;&gt;0, GetEquPower(BC2,BP2, CV2, FU2)=0)</formula>
    </cfRule>
    <cfRule type="expression" dxfId="0" priority="2946">
      <formula>AND(BV2&gt;=2,ER2&lt;&gt;GetEquPower(BC2,BP2, CV2, FU2))</formula>
    </cfRule>
  </conditionalFormatting>
  <conditionalFormatting sqref="ES2">
    <cfRule type="expression" dxfId="1" priority="2947">
      <formula>AND(BV2&gt;=3,ES2&lt;&gt;0, GetEquPower(BC2,BP2, CW2, FU2)=0)</formula>
    </cfRule>
    <cfRule type="expression" dxfId="0" priority="2948">
      <formula>AND(BV2&gt;=3,ES2&lt;&gt;GetEquPower(BC2,BP2, CW2, FU2))</formula>
    </cfRule>
  </conditionalFormatting>
  <conditionalFormatting sqref="ET2">
    <cfRule type="expression" dxfId="1" priority="2967">
      <formula>AND(BV2&gt;=4,ET2&lt;&gt;0, GetEquPower(BC2,BP2, CX2, FU2)=0)</formula>
    </cfRule>
    <cfRule type="expression" dxfId="0" priority="2968">
      <formula>AND(BV2&gt;=4,ET2&lt;&gt;GetEquPower(BC2,BP2, CX2, FU2))</formula>
    </cfRule>
  </conditionalFormatting>
  <conditionalFormatting sqref="EU2">
    <cfRule type="expression" dxfId="1" priority="2985">
      <formula>AND(BV2&gt;=5,EU2&lt;&gt;0, GetEquPower(BC2,BP2, CY2, FU2)=0)</formula>
    </cfRule>
    <cfRule type="expression" dxfId="0" priority="2986">
      <formula>AND(BV2&gt;=5,EU2&lt;&gt;GetEquPower(BC2,BP2, CY2, FU2))</formula>
    </cfRule>
  </conditionalFormatting>
  <conditionalFormatting sqref="EV2">
    <cfRule type="expression" dxfId="1" priority="2987">
      <formula>AND(BV2&gt;=6,EV2&lt;&gt;0, GetEquPower(BC2,BP2, CZ2, FU2)=0)</formula>
    </cfRule>
    <cfRule type="expression" dxfId="0" priority="2988">
      <formula>AND(BV2&gt;=6,EV2&lt;&gt;GetEquPower(BC2,BP2, CZ2, FU2))</formula>
    </cfRule>
  </conditionalFormatting>
  <conditionalFormatting sqref="EZ2">
    <cfRule type="expression" dxfId="1" priority="2949">
      <formula>AND(BW2&gt;=1,EZ2&lt;&gt;0, GetEquPower(BD2,BQ2, DB2, FV2)=0)</formula>
    </cfRule>
    <cfRule type="expression" dxfId="0" priority="2950">
      <formula>AND(BW2&gt;=1,EZ2&lt;&gt;GetEquPower(BD2,BQ2, DB2, FV2))</formula>
    </cfRule>
  </conditionalFormatting>
  <conditionalFormatting sqref="FA2">
    <cfRule type="expression" dxfId="1" priority="2951">
      <formula>AND(BW2&gt;=2,FA2&lt;&gt;0, GetEquPower(BD2,BQ2, DC2, FV2)=0)</formula>
    </cfRule>
    <cfRule type="expression" dxfId="0" priority="2952">
      <formula>AND(BW2&gt;=2,FA2&lt;&gt;GetEquPower(BD2,BQ2, DC2, FV2))</formula>
    </cfRule>
  </conditionalFormatting>
  <conditionalFormatting sqref="FB2">
    <cfRule type="expression" dxfId="1" priority="2953">
      <formula>AND(BW2&gt;=3,FB2&lt;&gt;0, GetEquPower(BD2,BQ2, DD2, FV2)=0)</formula>
    </cfRule>
    <cfRule type="expression" dxfId="0" priority="2954">
      <formula>AND(BW2&gt;=3,FB2&lt;&gt;GetEquPower(BD2,BQ2, DD2, FV2))</formula>
    </cfRule>
  </conditionalFormatting>
  <conditionalFormatting sqref="FC2">
    <cfRule type="expression" dxfId="1" priority="2969">
      <formula>AND(BW2&gt;=4,FC2&lt;&gt;0, GetEquPower(BD2,BQ2, DE2, FV2)=0)</formula>
    </cfRule>
    <cfRule type="expression" dxfId="0" priority="2970">
      <formula>AND(BW2&gt;=4,FC2&lt;&gt;GetEquPower(BD2,BQ2, DE2, FV2))</formula>
    </cfRule>
  </conditionalFormatting>
  <conditionalFormatting sqref="FD2">
    <cfRule type="expression" dxfId="1" priority="2989">
      <formula>AND(BW2&gt;=5,FD2&lt;&gt;0, GetEquPower(BD2,BQ2, DF2, FV2)=0)</formula>
    </cfRule>
    <cfRule type="expression" dxfId="0" priority="2990">
      <formula>AND(BW2&gt;=5,FD2&lt;&gt;GetEquPower(BD2,BQ2, DF2, FV2))</formula>
    </cfRule>
  </conditionalFormatting>
  <conditionalFormatting sqref="FE2">
    <cfRule type="expression" dxfId="1" priority="2991">
      <formula>AND(BW2&gt;=6,FE2&lt;&gt;0, GetEquPower(BD2,BQ2, DG2, FV2)=0)</formula>
    </cfRule>
    <cfRule type="expression" dxfId="0" priority="2992">
      <formula>AND(BW2&gt;=6,FE2&lt;&gt;GetEquPower(BD2,BQ2, DG2, FV2))</formula>
    </cfRule>
  </conditionalFormatting>
  <conditionalFormatting sqref="FI2">
    <cfRule type="expression" dxfId="1" priority="2955">
      <formula>AND(BX2&gt;=1,FI2&lt;&gt;0, GetEquPower(BE2,BR2, DI2, FW2)=0)</formula>
    </cfRule>
    <cfRule type="expression" dxfId="0" priority="2956">
      <formula>AND(BX2&gt;=1,FI2&lt;&gt;GetEquPower(BE2,BR2, DI2, FW2))</formula>
    </cfRule>
  </conditionalFormatting>
  <conditionalFormatting sqref="FJ2">
    <cfRule type="expression" dxfId="1" priority="2957">
      <formula>AND(BX2&gt;=2,FJ2&lt;&gt;0, GetEquPower(BE2,BR2, DJ2, FW2)=0)</formula>
    </cfRule>
    <cfRule type="expression" dxfId="0" priority="2958">
      <formula>AND(BX2&gt;=2,FJ2&lt;&gt;GetEquPower(BE2,BR2, DJ2, FW2))</formula>
    </cfRule>
  </conditionalFormatting>
  <conditionalFormatting sqref="FK2">
    <cfRule type="expression" dxfId="1" priority="2959">
      <formula>AND(BX2&gt;=3,FK2&lt;&gt;0, GetEquPower(BE2,BR2, DK2, FW2)=0)</formula>
    </cfRule>
    <cfRule type="expression" dxfId="0" priority="2960">
      <formula>AND(BX2&gt;=3,FK2&lt;&gt;GetEquPower(BE2,BR2, DK2, FW2))</formula>
    </cfRule>
  </conditionalFormatting>
  <conditionalFormatting sqref="FL2">
    <cfRule type="expression" dxfId="1" priority="2971">
      <formula>AND(BX2&gt;=4,FL2&lt;&gt;0, GetEquPower(BE2,BR2, DL2, FW2)=0)</formula>
    </cfRule>
    <cfRule type="expression" dxfId="0" priority="2972">
      <formula>AND(BX2&gt;=4,FL2&lt;&gt;GetEquPower(BE2,BR2, DL2, FW2))</formula>
    </cfRule>
  </conditionalFormatting>
  <conditionalFormatting sqref="FM2">
    <cfRule type="expression" dxfId="1" priority="2993">
      <formula>AND(BX2&gt;=5,FM2&lt;&gt;0, GetEquPower(BE2,BR2, DM2, FW2)=0)</formula>
    </cfRule>
    <cfRule type="expression" dxfId="0" priority="2994">
      <formula>AND(BX2&gt;=5,FM2&lt;&gt;GetEquPower(BE2,BR2, DM2, FW2))</formula>
    </cfRule>
  </conditionalFormatting>
  <conditionalFormatting sqref="FN2">
    <cfRule type="expression" dxfId="1" priority="2995">
      <formula>AND(BX2&gt;=6,FN2&lt;&gt;0, GetEquPower(BE2,BR2, DN2, FW2)=0)</formula>
    </cfRule>
    <cfRule type="expression" dxfId="0" priority="2996">
      <formula>AND(BX2&gt;=6,FN2&lt;&gt;GetEquPower(BE2,BR2, DN2, FW2))</formula>
    </cfRule>
  </conditionalFormatting>
  <conditionalFormatting sqref="F3">
    <cfRule type="expression" dxfId="72" priority="2843">
      <formula>F3&lt;&gt;RIGHT(SUBSTITUTE(TRIM(E3),".",""),LEN(F3))</formula>
    </cfRule>
  </conditionalFormatting>
  <conditionalFormatting sqref="BS3">
    <cfRule type="expression" dxfId="72" priority="2842">
      <formula>AND(J3&gt;=1,BS3&lt;1)</formula>
    </cfRule>
  </conditionalFormatting>
  <conditionalFormatting sqref="BT3">
    <cfRule type="expression" dxfId="72" priority="2841">
      <formula>AND(J3&gt;=2,BT3&lt;1)</formula>
    </cfRule>
  </conditionalFormatting>
  <conditionalFormatting sqref="BU3">
    <cfRule type="expression" dxfId="72" priority="2839">
      <formula>AND(J3&gt;=3,BU3&lt;1)</formula>
    </cfRule>
  </conditionalFormatting>
  <conditionalFormatting sqref="BV3">
    <cfRule type="expression" dxfId="72" priority="2838">
      <formula>AND(J3&gt;=4,BV3&lt;1)</formula>
    </cfRule>
  </conditionalFormatting>
  <conditionalFormatting sqref="BW3">
    <cfRule type="expression" dxfId="72" priority="2840">
      <formula>AND(J3&gt;=5,BW3&lt;1)</formula>
    </cfRule>
  </conditionalFormatting>
  <conditionalFormatting sqref="BX3">
    <cfRule type="expression" dxfId="72" priority="2837">
      <formula>AND(J3&gt;=6,BX3&lt;1)</formula>
    </cfRule>
  </conditionalFormatting>
  <conditionalFormatting sqref="IC3">
    <cfRule type="expression" dxfId="72" priority="2916">
      <formula>AND($S3 = TRUE, $IC3&lt;&gt;OptionsUnitCode)</formula>
    </cfRule>
  </conditionalFormatting>
  <conditionalFormatting sqref="B3:II3">
    <cfRule type="containsErrors" dxfId="72" priority="2836">
      <formula>ISERROR(B3)</formula>
    </cfRule>
  </conditionalFormatting>
  <conditionalFormatting sqref="DP3">
    <cfRule type="expression" dxfId="1" priority="2844">
      <formula>AND(BS3&gt;=1,DP3&lt;&gt;0, GetEquPower(AZ3,BM3, BZ3, FR3)=0)</formula>
    </cfRule>
    <cfRule type="expression" dxfId="0" priority="2845">
      <formula>AND(BS3&gt;=1,DP3&lt;&gt;GetEquPower(AZ3,BM3, BZ3, FR3))</formula>
    </cfRule>
  </conditionalFormatting>
  <conditionalFormatting sqref="DQ3">
    <cfRule type="expression" dxfId="1" priority="2846">
      <formula>AND(BS3&gt;=2,DQ3&lt;&gt;0, GetEquPower(AZ3,BM3, CA3, FR3)=0)</formula>
    </cfRule>
    <cfRule type="expression" dxfId="0" priority="2847">
      <formula>AND(BS3&gt;=2,DQ3&lt;&gt;GetEquPower(AZ3,BM3, CA3, FR3))</formula>
    </cfRule>
  </conditionalFormatting>
  <conditionalFormatting sqref="DR3">
    <cfRule type="expression" dxfId="1" priority="2848">
      <formula>AND(BS3&gt;=3,DR3&lt;&gt;0, GetEquPower(AZ3,BM3, CB3, FR3)=0)</formula>
    </cfRule>
    <cfRule type="expression" dxfId="0" priority="2849">
      <formula>AND(BS3&gt;=3,DR3&lt;&gt;GetEquPower(AZ3,BM3, CB3, FR3))</formula>
    </cfRule>
  </conditionalFormatting>
  <conditionalFormatting sqref="DS3">
    <cfRule type="expression" dxfId="1" priority="2880">
      <formula>AND(BS3&gt;=4,DS3&lt;&gt;0, GetEquPower(AZ3,BM3, CC3, FR3)=0)</formula>
    </cfRule>
    <cfRule type="expression" dxfId="0" priority="2881">
      <formula>AND(BS3&gt;=4, DS3&lt;&gt;GetEquPower(AZ3,BM3, CC3, FR3))</formula>
    </cfRule>
  </conditionalFormatting>
  <conditionalFormatting sqref="DT3">
    <cfRule type="expression" dxfId="1" priority="2892">
      <formula>AND(BS3&gt;=5,DT3&lt;&gt;0, GetEquPower(AZ3,BM3, CD3, FR3)=0)</formula>
    </cfRule>
    <cfRule type="expression" dxfId="0" priority="2893">
      <formula>AND(BS3&gt;=5, DT3&lt;&gt;GetEquPower(AZ3,BM3, CD3, FR3))</formula>
    </cfRule>
  </conditionalFormatting>
  <conditionalFormatting sqref="DU3">
    <cfRule type="expression" dxfId="1" priority="2894">
      <formula>AND(BS3&gt;=6,DU3&lt;&gt;0, GetEquPower(AZ3,BM3, CE3, FR3)=0)</formula>
    </cfRule>
    <cfRule type="expression" dxfId="0" priority="2895">
      <formula>AND(BS3&gt;=6, DU3&lt;&gt;GetEquPower(AZ3,BM3, CE3, FR3))</formula>
    </cfRule>
  </conditionalFormatting>
  <conditionalFormatting sqref="DY3">
    <cfRule type="expression" dxfId="1" priority="2850">
      <formula>AND(BT3&gt;=1,DY3&lt;&gt;0, GetEquPower(BA3,BN3, CG3, FS3)=0)</formula>
    </cfRule>
    <cfRule type="expression" dxfId="0" priority="2851">
      <formula>AND(BT3&gt;=1,DY3&lt;&gt;GetEquPower(BA3,BN3, CG3, FS3))</formula>
    </cfRule>
  </conditionalFormatting>
  <conditionalFormatting sqref="DZ3">
    <cfRule type="expression" dxfId="1" priority="2852">
      <formula>AND(BT3&gt;=2,DZ3&lt;&gt;0, GetEquPower(BA3,BN3, CH3, FS3)=0)</formula>
    </cfRule>
    <cfRule type="expression" dxfId="0" priority="2853">
      <formula>AND(BT3&gt;=2,DZ3&lt;&gt;GetEquPower(BA3,BN3, CH3, FS3))</formula>
    </cfRule>
  </conditionalFormatting>
  <conditionalFormatting sqref="EA3">
    <cfRule type="expression" dxfId="1" priority="2854">
      <formula>AND(BT3&gt;=3,EA3&lt;&gt;0, GetEquPower(BA3,BN3, CI3, FS3)=0)</formula>
    </cfRule>
    <cfRule type="expression" dxfId="0" priority="2855">
      <formula>AND(BT3&gt;=3,EA3&lt;&gt;GetEquPower(BA3,BN3, CI3, FS3))</formula>
    </cfRule>
  </conditionalFormatting>
  <conditionalFormatting sqref="EB3">
    <cfRule type="expression" dxfId="1" priority="2882">
      <formula>AND(BT3&gt;=4,EB3&lt;&gt;0, GetEquPower(BA3,BN3, CJ3, FS3)=0)</formula>
    </cfRule>
    <cfRule type="expression" dxfId="0" priority="2883">
      <formula>AND(BT3&gt;=4,EB3&lt;&gt;GetEquPower(BA3,BN3, CJ3, FS3))</formula>
    </cfRule>
  </conditionalFormatting>
  <conditionalFormatting sqref="EC3">
    <cfRule type="expression" dxfId="1" priority="2896">
      <formula>AND(BT3&gt;=5,EC3&lt;&gt;0, GetEquPower(BA3,BN3, CK3, FS3)=0)</formula>
    </cfRule>
    <cfRule type="expression" dxfId="0" priority="2897">
      <formula>AND(BT3&gt;=5,EC3&lt;&gt;GetEquPower(BA3,BN3, CK3, FS3))</formula>
    </cfRule>
  </conditionalFormatting>
  <conditionalFormatting sqref="ED3">
    <cfRule type="expression" dxfId="1" priority="2898">
      <formula>AND(BT3&gt;=6,ED3&lt;&gt;0, GetEquPower(BA3,BN3, CL3, FS3)=0)</formula>
    </cfRule>
    <cfRule type="expression" dxfId="0" priority="2899">
      <formula>AND(BT3&gt;=6,ED3&lt;&gt;GetEquPower(BA3,BN3, CL3, FS3))</formula>
    </cfRule>
  </conditionalFormatting>
  <conditionalFormatting sqref="EH3">
    <cfRule type="expression" dxfId="1" priority="2856">
      <formula>AND(BU3&gt;=1,EH3&lt;&gt;0, GetEquPower(BB3,BO3, CN3, FT3)=0)</formula>
    </cfRule>
    <cfRule type="expression" dxfId="0" priority="2857">
      <formula>AND(BU3&gt;=1,EH3&lt;&gt;GetEquPower(BB3,BO3, CN3, FT3))</formula>
    </cfRule>
  </conditionalFormatting>
  <conditionalFormatting sqref="EI3">
    <cfRule type="expression" dxfId="1" priority="2858">
      <formula>AND(BU3&gt;=2,EI3&lt;&gt;0, GetEquPower(BB3,BO3, CO3, FT3)=0)</formula>
    </cfRule>
    <cfRule type="expression" dxfId="0" priority="2859">
      <formula xml:space="preserve"> AND(BU3&gt;=2,EI3&lt;&gt;GetEquPower(BB3,BO3, CO3, FT3))</formula>
    </cfRule>
  </conditionalFormatting>
  <conditionalFormatting sqref="EJ3">
    <cfRule type="expression" dxfId="1" priority="2860">
      <formula>AND(BU3&gt;=3,EJ3&lt;&gt;0, GetEquPower(BB3,BO3, CP3, FT3)=0)</formula>
    </cfRule>
    <cfRule type="expression" dxfId="0" priority="2861">
      <formula xml:space="preserve"> AND(BU3&gt;=3,EJ3&lt;&gt;GetEquPower(BB3,BO3, CP3, FT3))</formula>
    </cfRule>
  </conditionalFormatting>
  <conditionalFormatting sqref="EK3">
    <cfRule type="expression" dxfId="1" priority="2884">
      <formula>AND(BU3&gt;=4,EK3&lt;&gt;0, GetEquPower(BB3,BO3, CQ3, FT3)=0)</formula>
    </cfRule>
    <cfRule type="expression" dxfId="0" priority="2885">
      <formula xml:space="preserve"> AND(BU3&gt;=4,EK3&lt;&gt;GetEquPower(BB3,BO3, CQ3, FT3))</formula>
    </cfRule>
  </conditionalFormatting>
  <conditionalFormatting sqref="EL3">
    <cfRule type="expression" dxfId="1" priority="2900">
      <formula>AND(BU3&gt;=5,EL3&lt;&gt;0, GetEquPower(BB3,BO3, CR3, FT3)=0)</formula>
    </cfRule>
    <cfRule type="expression" dxfId="0" priority="2901">
      <formula xml:space="preserve"> AND(BU3&gt;=5,EL3&lt;&gt;GetEquPower(BB3,BO3, CR3, FT3))</formula>
    </cfRule>
  </conditionalFormatting>
  <conditionalFormatting sqref="EM3">
    <cfRule type="expression" dxfId="1" priority="2902">
      <formula>AND(BU3&gt;=6,EM3&lt;&gt;0, GetEquPower(BB3,BO3, CS3, FT3)=0)</formula>
    </cfRule>
    <cfRule type="expression" dxfId="0" priority="2903">
      <formula xml:space="preserve"> AND(BU3&gt;=6,EM3&lt;&gt;GetEquPower(BB3,BO3, CS3, FT3))</formula>
    </cfRule>
  </conditionalFormatting>
  <conditionalFormatting sqref="EQ3">
    <cfRule type="expression" dxfId="1" priority="2862">
      <formula>AND(BV3&gt;=1,EQ3&lt;&gt;0, GetEquPower(BC3,BP3, CU3, FU3)=0)</formula>
    </cfRule>
    <cfRule type="expression" dxfId="0" priority="2863">
      <formula>AND(BV3&gt;=1,EQ3&lt;&gt;GetEquPower(BC3,BP3, CU3, FU3))</formula>
    </cfRule>
  </conditionalFormatting>
  <conditionalFormatting sqref="ER3">
    <cfRule type="expression" dxfId="1" priority="2864">
      <formula>AND(BV3&gt;=2,ER3&lt;&gt;0, GetEquPower(BC3,BP3, CV3, FU3)=0)</formula>
    </cfRule>
    <cfRule type="expression" dxfId="0" priority="2865">
      <formula>AND(BV3&gt;=2,ER3&lt;&gt;GetEquPower(BC3,BP3, CV3, FU3))</formula>
    </cfRule>
  </conditionalFormatting>
  <conditionalFormatting sqref="ES3">
    <cfRule type="expression" dxfId="1" priority="2866">
      <formula>AND(BV3&gt;=3,ES3&lt;&gt;0, GetEquPower(BC3,BP3, CW3, FU3)=0)</formula>
    </cfRule>
    <cfRule type="expression" dxfId="0" priority="2867">
      <formula>AND(BV3&gt;=3,ES3&lt;&gt;GetEquPower(BC3,BP3, CW3, FU3))</formula>
    </cfRule>
  </conditionalFormatting>
  <conditionalFormatting sqref="ET3">
    <cfRule type="expression" dxfId="1" priority="2886">
      <formula>AND(BV3&gt;=4,ET3&lt;&gt;0, GetEquPower(BC3,BP3, CX3, FU3)=0)</formula>
    </cfRule>
    <cfRule type="expression" dxfId="0" priority="2887">
      <formula>AND(BV3&gt;=4,ET3&lt;&gt;GetEquPower(BC3,BP3, CX3, FU3))</formula>
    </cfRule>
  </conditionalFormatting>
  <conditionalFormatting sqref="EU3">
    <cfRule type="expression" dxfId="1" priority="2904">
      <formula>AND(BV3&gt;=5,EU3&lt;&gt;0, GetEquPower(BC3,BP3, CY3, FU3)=0)</formula>
    </cfRule>
    <cfRule type="expression" dxfId="0" priority="2905">
      <formula>AND(BV3&gt;=5,EU3&lt;&gt;GetEquPower(BC3,BP3, CY3, FU3))</formula>
    </cfRule>
  </conditionalFormatting>
  <conditionalFormatting sqref="EV3">
    <cfRule type="expression" dxfId="1" priority="2906">
      <formula>AND(BV3&gt;=6,EV3&lt;&gt;0, GetEquPower(BC3,BP3, CZ3, FU3)=0)</formula>
    </cfRule>
    <cfRule type="expression" dxfId="0" priority="2907">
      <formula>AND(BV3&gt;=6,EV3&lt;&gt;GetEquPower(BC3,BP3, CZ3, FU3))</formula>
    </cfRule>
  </conditionalFormatting>
  <conditionalFormatting sqref="EZ3">
    <cfRule type="expression" dxfId="1" priority="2868">
      <formula>AND(BW3&gt;=1,EZ3&lt;&gt;0, GetEquPower(BD3,BQ3, DB3, FV3)=0)</formula>
    </cfRule>
    <cfRule type="expression" dxfId="0" priority="2869">
      <formula>AND(BW3&gt;=1,EZ3&lt;&gt;GetEquPower(BD3,BQ3, DB3, FV3))</formula>
    </cfRule>
  </conditionalFormatting>
  <conditionalFormatting sqref="FA3">
    <cfRule type="expression" dxfId="1" priority="2870">
      <formula>AND(BW3&gt;=2,FA3&lt;&gt;0, GetEquPower(BD3,BQ3, DC3, FV3)=0)</formula>
    </cfRule>
    <cfRule type="expression" dxfId="0" priority="2871">
      <formula>AND(BW3&gt;=2,FA3&lt;&gt;GetEquPower(BD3,BQ3, DC3, FV3))</formula>
    </cfRule>
  </conditionalFormatting>
  <conditionalFormatting sqref="FB3">
    <cfRule type="expression" dxfId="1" priority="2872">
      <formula>AND(BW3&gt;=3,FB3&lt;&gt;0, GetEquPower(BD3,BQ3, DD3, FV3)=0)</formula>
    </cfRule>
    <cfRule type="expression" dxfId="0" priority="2873">
      <formula>AND(BW3&gt;=3,FB3&lt;&gt;GetEquPower(BD3,BQ3, DD3, FV3))</formula>
    </cfRule>
  </conditionalFormatting>
  <conditionalFormatting sqref="FC3">
    <cfRule type="expression" dxfId="1" priority="2888">
      <formula>AND(BW3&gt;=4,FC3&lt;&gt;0, GetEquPower(BD3,BQ3, DE3, FV3)=0)</formula>
    </cfRule>
    <cfRule type="expression" dxfId="0" priority="2889">
      <formula>AND(BW3&gt;=4,FC3&lt;&gt;GetEquPower(BD3,BQ3, DE3, FV3))</formula>
    </cfRule>
  </conditionalFormatting>
  <conditionalFormatting sqref="FD3">
    <cfRule type="expression" dxfId="1" priority="2908">
      <formula>AND(BW3&gt;=5,FD3&lt;&gt;0, GetEquPower(BD3,BQ3, DF3, FV3)=0)</formula>
    </cfRule>
    <cfRule type="expression" dxfId="0" priority="2909">
      <formula>AND(BW3&gt;=5,FD3&lt;&gt;GetEquPower(BD3,BQ3, DF3, FV3))</formula>
    </cfRule>
  </conditionalFormatting>
  <conditionalFormatting sqref="FE3">
    <cfRule type="expression" dxfId="1" priority="2910">
      <formula>AND(BW3&gt;=6,FE3&lt;&gt;0, GetEquPower(BD3,BQ3, DG3, FV3)=0)</formula>
    </cfRule>
    <cfRule type="expression" dxfId="0" priority="2911">
      <formula>AND(BW3&gt;=6,FE3&lt;&gt;GetEquPower(BD3,BQ3, DG3, FV3))</formula>
    </cfRule>
  </conditionalFormatting>
  <conditionalFormatting sqref="FI3">
    <cfRule type="expression" dxfId="1" priority="2874">
      <formula>AND(BX3&gt;=1,FI3&lt;&gt;0, GetEquPower(BE3,BR3, DI3, FW3)=0)</formula>
    </cfRule>
    <cfRule type="expression" dxfId="0" priority="2875">
      <formula>AND(BX3&gt;=1,FI3&lt;&gt;GetEquPower(BE3,BR3, DI3, FW3))</formula>
    </cfRule>
  </conditionalFormatting>
  <conditionalFormatting sqref="FJ3">
    <cfRule type="expression" dxfId="1" priority="2876">
      <formula>AND(BX3&gt;=2,FJ3&lt;&gt;0, GetEquPower(BE3,BR3, DJ3, FW3)=0)</formula>
    </cfRule>
    <cfRule type="expression" dxfId="0" priority="2877">
      <formula>AND(BX3&gt;=2,FJ3&lt;&gt;GetEquPower(BE3,BR3, DJ3, FW3))</formula>
    </cfRule>
  </conditionalFormatting>
  <conditionalFormatting sqref="FK3">
    <cfRule type="expression" dxfId="1" priority="2878">
      <formula>AND(BX3&gt;=3,FK3&lt;&gt;0, GetEquPower(BE3,BR3, DK3, FW3)=0)</formula>
    </cfRule>
    <cfRule type="expression" dxfId="0" priority="2879">
      <formula>AND(BX3&gt;=3,FK3&lt;&gt;GetEquPower(BE3,BR3, DK3, FW3))</formula>
    </cfRule>
  </conditionalFormatting>
  <conditionalFormatting sqref="FL3">
    <cfRule type="expression" dxfId="1" priority="2890">
      <formula>AND(BX3&gt;=4,FL3&lt;&gt;0, GetEquPower(BE3,BR3, DL3, FW3)=0)</formula>
    </cfRule>
    <cfRule type="expression" dxfId="0" priority="2891">
      <formula>AND(BX3&gt;=4,FL3&lt;&gt;GetEquPower(BE3,BR3, DL3, FW3))</formula>
    </cfRule>
  </conditionalFormatting>
  <conditionalFormatting sqref="FM3">
    <cfRule type="expression" dxfId="1" priority="2912">
      <formula>AND(BX3&gt;=5,FM3&lt;&gt;0, GetEquPower(BE3,BR3, DM3, FW3)=0)</formula>
    </cfRule>
    <cfRule type="expression" dxfId="0" priority="2913">
      <formula>AND(BX3&gt;=5,FM3&lt;&gt;GetEquPower(BE3,BR3, DM3, FW3))</formula>
    </cfRule>
  </conditionalFormatting>
  <conditionalFormatting sqref="FN3">
    <cfRule type="expression" dxfId="1" priority="2914">
      <formula>AND(BX3&gt;=6,FN3&lt;&gt;0, GetEquPower(BE3,BR3, DN3, FW3)=0)</formula>
    </cfRule>
    <cfRule type="expression" dxfId="0" priority="2915">
      <formula>AND(BX3&gt;=6,FN3&lt;&gt;GetEquPower(BE3,BR3, DN3, FW3))</formula>
    </cfRule>
  </conditionalFormatting>
  <conditionalFormatting sqref="F4">
    <cfRule type="expression" dxfId="72" priority="2762">
      <formula>F4&lt;&gt;RIGHT(SUBSTITUTE(TRIM(E4),".",""),LEN(F4))</formula>
    </cfRule>
  </conditionalFormatting>
  <conditionalFormatting sqref="BS4">
    <cfRule type="expression" dxfId="72" priority="2761">
      <formula>AND(J4&gt;=1,BS4&lt;1)</formula>
    </cfRule>
  </conditionalFormatting>
  <conditionalFormatting sqref="BT4">
    <cfRule type="expression" dxfId="72" priority="2760">
      <formula>AND(J4&gt;=2,BT4&lt;1)</formula>
    </cfRule>
  </conditionalFormatting>
  <conditionalFormatting sqref="BU4">
    <cfRule type="expression" dxfId="72" priority="2758">
      <formula>AND(J4&gt;=3,BU4&lt;1)</formula>
    </cfRule>
  </conditionalFormatting>
  <conditionalFormatting sqref="BV4">
    <cfRule type="expression" dxfId="72" priority="2757">
      <formula>AND(J4&gt;=4,BV4&lt;1)</formula>
    </cfRule>
  </conditionalFormatting>
  <conditionalFormatting sqref="BW4">
    <cfRule type="expression" dxfId="72" priority="2759">
      <formula>AND(J4&gt;=5,BW4&lt;1)</formula>
    </cfRule>
  </conditionalFormatting>
  <conditionalFormatting sqref="BX4">
    <cfRule type="expression" dxfId="72" priority="2756">
      <formula>AND(J4&gt;=6,BX4&lt;1)</formula>
    </cfRule>
  </conditionalFormatting>
  <conditionalFormatting sqref="IC4">
    <cfRule type="expression" dxfId="72" priority="2835">
      <formula>AND($S4 = TRUE, $IC4&lt;&gt;OptionsUnitCode)</formula>
    </cfRule>
  </conditionalFormatting>
  <conditionalFormatting sqref="B4:II4">
    <cfRule type="containsErrors" dxfId="72" priority="2755">
      <formula>ISERROR(B4)</formula>
    </cfRule>
  </conditionalFormatting>
  <conditionalFormatting sqref="DP4">
    <cfRule type="expression" dxfId="1" priority="2763">
      <formula>AND(BS4&gt;=1,DP4&lt;&gt;0, GetEquPower(AZ4,BM4, BZ4, FR4)=0)</formula>
    </cfRule>
    <cfRule type="expression" dxfId="0" priority="2764">
      <formula>AND(BS4&gt;=1,DP4&lt;&gt;GetEquPower(AZ4,BM4, BZ4, FR4))</formula>
    </cfRule>
  </conditionalFormatting>
  <conditionalFormatting sqref="DQ4">
    <cfRule type="expression" dxfId="1" priority="2765">
      <formula>AND(BS4&gt;=2,DQ4&lt;&gt;0, GetEquPower(AZ4,BM4, CA4, FR4)=0)</formula>
    </cfRule>
    <cfRule type="expression" dxfId="0" priority="2766">
      <formula>AND(BS4&gt;=2,DQ4&lt;&gt;GetEquPower(AZ4,BM4, CA4, FR4))</formula>
    </cfRule>
  </conditionalFormatting>
  <conditionalFormatting sqref="DR4">
    <cfRule type="expression" dxfId="1" priority="2767">
      <formula>AND(BS4&gt;=3,DR4&lt;&gt;0, GetEquPower(AZ4,BM4, CB4, FR4)=0)</formula>
    </cfRule>
    <cfRule type="expression" dxfId="0" priority="2768">
      <formula>AND(BS4&gt;=3,DR4&lt;&gt;GetEquPower(AZ4,BM4, CB4, FR4))</formula>
    </cfRule>
  </conditionalFormatting>
  <conditionalFormatting sqref="DS4">
    <cfRule type="expression" dxfId="1" priority="2799">
      <formula>AND(BS4&gt;=4,DS4&lt;&gt;0, GetEquPower(AZ4,BM4, CC4, FR4)=0)</formula>
    </cfRule>
    <cfRule type="expression" dxfId="0" priority="2800">
      <formula>AND(BS4&gt;=4, DS4&lt;&gt;GetEquPower(AZ4,BM4, CC4, FR4))</formula>
    </cfRule>
  </conditionalFormatting>
  <conditionalFormatting sqref="DT4">
    <cfRule type="expression" dxfId="1" priority="2811">
      <formula>AND(BS4&gt;=5,DT4&lt;&gt;0, GetEquPower(AZ4,BM4, CD4, FR4)=0)</formula>
    </cfRule>
    <cfRule type="expression" dxfId="0" priority="2812">
      <formula>AND(BS4&gt;=5, DT4&lt;&gt;GetEquPower(AZ4,BM4, CD4, FR4))</formula>
    </cfRule>
  </conditionalFormatting>
  <conditionalFormatting sqref="DU4">
    <cfRule type="expression" dxfId="1" priority="2813">
      <formula>AND(BS4&gt;=6,DU4&lt;&gt;0, GetEquPower(AZ4,BM4, CE4, FR4)=0)</formula>
    </cfRule>
    <cfRule type="expression" dxfId="0" priority="2814">
      <formula>AND(BS4&gt;=6, DU4&lt;&gt;GetEquPower(AZ4,BM4, CE4, FR4))</formula>
    </cfRule>
  </conditionalFormatting>
  <conditionalFormatting sqref="DY4">
    <cfRule type="expression" dxfId="1" priority="2769">
      <formula>AND(BT4&gt;=1,DY4&lt;&gt;0, GetEquPower(BA4,BN4, CG4, FS4)=0)</formula>
    </cfRule>
    <cfRule type="expression" dxfId="0" priority="2770">
      <formula>AND(BT4&gt;=1,DY4&lt;&gt;GetEquPower(BA4,BN4, CG4, FS4))</formula>
    </cfRule>
  </conditionalFormatting>
  <conditionalFormatting sqref="DZ4">
    <cfRule type="expression" dxfId="1" priority="2771">
      <formula>AND(BT4&gt;=2,DZ4&lt;&gt;0, GetEquPower(BA4,BN4, CH4, FS4)=0)</formula>
    </cfRule>
    <cfRule type="expression" dxfId="0" priority="2772">
      <formula>AND(BT4&gt;=2,DZ4&lt;&gt;GetEquPower(BA4,BN4, CH4, FS4))</formula>
    </cfRule>
  </conditionalFormatting>
  <conditionalFormatting sqref="EA4">
    <cfRule type="expression" dxfId="1" priority="2773">
      <formula>AND(BT4&gt;=3,EA4&lt;&gt;0, GetEquPower(BA4,BN4, CI4, FS4)=0)</formula>
    </cfRule>
    <cfRule type="expression" dxfId="0" priority="2774">
      <formula>AND(BT4&gt;=3,EA4&lt;&gt;GetEquPower(BA4,BN4, CI4, FS4))</formula>
    </cfRule>
  </conditionalFormatting>
  <conditionalFormatting sqref="EB4">
    <cfRule type="expression" dxfId="1" priority="2801">
      <formula>AND(BT4&gt;=4,EB4&lt;&gt;0, GetEquPower(BA4,BN4, CJ4, FS4)=0)</formula>
    </cfRule>
    <cfRule type="expression" dxfId="0" priority="2802">
      <formula>AND(BT4&gt;=4,EB4&lt;&gt;GetEquPower(BA4,BN4, CJ4, FS4))</formula>
    </cfRule>
  </conditionalFormatting>
  <conditionalFormatting sqref="EC4">
    <cfRule type="expression" dxfId="1" priority="2815">
      <formula>AND(BT4&gt;=5,EC4&lt;&gt;0, GetEquPower(BA4,BN4, CK4, FS4)=0)</formula>
    </cfRule>
    <cfRule type="expression" dxfId="0" priority="2816">
      <formula>AND(BT4&gt;=5,EC4&lt;&gt;GetEquPower(BA4,BN4, CK4, FS4))</formula>
    </cfRule>
  </conditionalFormatting>
  <conditionalFormatting sqref="ED4">
    <cfRule type="expression" dxfId="1" priority="2817">
      <formula>AND(BT4&gt;=6,ED4&lt;&gt;0, GetEquPower(BA4,BN4, CL4, FS4)=0)</formula>
    </cfRule>
    <cfRule type="expression" dxfId="0" priority="2818">
      <formula>AND(BT4&gt;=6,ED4&lt;&gt;GetEquPower(BA4,BN4, CL4, FS4))</formula>
    </cfRule>
  </conditionalFormatting>
  <conditionalFormatting sqref="EH4">
    <cfRule type="expression" dxfId="1" priority="2775">
      <formula>AND(BU4&gt;=1,EH4&lt;&gt;0, GetEquPower(BB4,BO4, CN4, FT4)=0)</formula>
    </cfRule>
    <cfRule type="expression" dxfId="0" priority="2776">
      <formula>AND(BU4&gt;=1,EH4&lt;&gt;GetEquPower(BB4,BO4, CN4, FT4))</formula>
    </cfRule>
  </conditionalFormatting>
  <conditionalFormatting sqref="EI4">
    <cfRule type="expression" dxfId="1" priority="2777">
      <formula>AND(BU4&gt;=2,EI4&lt;&gt;0, GetEquPower(BB4,BO4, CO4, FT4)=0)</formula>
    </cfRule>
    <cfRule type="expression" dxfId="0" priority="2778">
      <formula xml:space="preserve"> AND(BU4&gt;=2,EI4&lt;&gt;GetEquPower(BB4,BO4, CO4, FT4))</formula>
    </cfRule>
  </conditionalFormatting>
  <conditionalFormatting sqref="EJ4">
    <cfRule type="expression" dxfId="1" priority="2779">
      <formula>AND(BU4&gt;=3,EJ4&lt;&gt;0, GetEquPower(BB4,BO4, CP4, FT4)=0)</formula>
    </cfRule>
    <cfRule type="expression" dxfId="0" priority="2780">
      <formula xml:space="preserve"> AND(BU4&gt;=3,EJ4&lt;&gt;GetEquPower(BB4,BO4, CP4, FT4))</formula>
    </cfRule>
  </conditionalFormatting>
  <conditionalFormatting sqref="EK4">
    <cfRule type="expression" dxfId="1" priority="2803">
      <formula>AND(BU4&gt;=4,EK4&lt;&gt;0, GetEquPower(BB4,BO4, CQ4, FT4)=0)</formula>
    </cfRule>
    <cfRule type="expression" dxfId="0" priority="2804">
      <formula xml:space="preserve"> AND(BU4&gt;=4,EK4&lt;&gt;GetEquPower(BB4,BO4, CQ4, FT4))</formula>
    </cfRule>
  </conditionalFormatting>
  <conditionalFormatting sqref="EL4">
    <cfRule type="expression" dxfId="1" priority="2819">
      <formula>AND(BU4&gt;=5,EL4&lt;&gt;0, GetEquPower(BB4,BO4, CR4, FT4)=0)</formula>
    </cfRule>
    <cfRule type="expression" dxfId="0" priority="2820">
      <formula xml:space="preserve"> AND(BU4&gt;=5,EL4&lt;&gt;GetEquPower(BB4,BO4, CR4, FT4))</formula>
    </cfRule>
  </conditionalFormatting>
  <conditionalFormatting sqref="EM4">
    <cfRule type="expression" dxfId="1" priority="2821">
      <formula>AND(BU4&gt;=6,EM4&lt;&gt;0, GetEquPower(BB4,BO4, CS4, FT4)=0)</formula>
    </cfRule>
    <cfRule type="expression" dxfId="0" priority="2822">
      <formula xml:space="preserve"> AND(BU4&gt;=6,EM4&lt;&gt;GetEquPower(BB4,BO4, CS4, FT4))</formula>
    </cfRule>
  </conditionalFormatting>
  <conditionalFormatting sqref="EQ4">
    <cfRule type="expression" dxfId="1" priority="2781">
      <formula>AND(BV4&gt;=1,EQ4&lt;&gt;0, GetEquPower(BC4,BP4, CU4, FU4)=0)</formula>
    </cfRule>
    <cfRule type="expression" dxfId="0" priority="2782">
      <formula>AND(BV4&gt;=1,EQ4&lt;&gt;GetEquPower(BC4,BP4, CU4, FU4))</formula>
    </cfRule>
  </conditionalFormatting>
  <conditionalFormatting sqref="ER4">
    <cfRule type="expression" dxfId="1" priority="2783">
      <formula>AND(BV4&gt;=2,ER4&lt;&gt;0, GetEquPower(BC4,BP4, CV4, FU4)=0)</formula>
    </cfRule>
    <cfRule type="expression" dxfId="0" priority="2784">
      <formula>AND(BV4&gt;=2,ER4&lt;&gt;GetEquPower(BC4,BP4, CV4, FU4))</formula>
    </cfRule>
  </conditionalFormatting>
  <conditionalFormatting sqref="ES4">
    <cfRule type="expression" dxfId="1" priority="2785">
      <formula>AND(BV4&gt;=3,ES4&lt;&gt;0, GetEquPower(BC4,BP4, CW4, FU4)=0)</formula>
    </cfRule>
    <cfRule type="expression" dxfId="0" priority="2786">
      <formula>AND(BV4&gt;=3,ES4&lt;&gt;GetEquPower(BC4,BP4, CW4, FU4))</formula>
    </cfRule>
  </conditionalFormatting>
  <conditionalFormatting sqref="ET4">
    <cfRule type="expression" dxfId="1" priority="2805">
      <formula>AND(BV4&gt;=4,ET4&lt;&gt;0, GetEquPower(BC4,BP4, CX4, FU4)=0)</formula>
    </cfRule>
    <cfRule type="expression" dxfId="0" priority="2806">
      <formula>AND(BV4&gt;=4,ET4&lt;&gt;GetEquPower(BC4,BP4, CX4, FU4))</formula>
    </cfRule>
  </conditionalFormatting>
  <conditionalFormatting sqref="EU4">
    <cfRule type="expression" dxfId="1" priority="2823">
      <formula>AND(BV4&gt;=5,EU4&lt;&gt;0, GetEquPower(BC4,BP4, CY4, FU4)=0)</formula>
    </cfRule>
    <cfRule type="expression" dxfId="0" priority="2824">
      <formula>AND(BV4&gt;=5,EU4&lt;&gt;GetEquPower(BC4,BP4, CY4, FU4))</formula>
    </cfRule>
  </conditionalFormatting>
  <conditionalFormatting sqref="EV4">
    <cfRule type="expression" dxfId="1" priority="2825">
      <formula>AND(BV4&gt;=6,EV4&lt;&gt;0, GetEquPower(BC4,BP4, CZ4, FU4)=0)</formula>
    </cfRule>
    <cfRule type="expression" dxfId="0" priority="2826">
      <formula>AND(BV4&gt;=6,EV4&lt;&gt;GetEquPower(BC4,BP4, CZ4, FU4))</formula>
    </cfRule>
  </conditionalFormatting>
  <conditionalFormatting sqref="EZ4">
    <cfRule type="expression" dxfId="1" priority="2787">
      <formula>AND(BW4&gt;=1,EZ4&lt;&gt;0, GetEquPower(BD4,BQ4, DB4, FV4)=0)</formula>
    </cfRule>
    <cfRule type="expression" dxfId="0" priority="2788">
      <formula>AND(BW4&gt;=1,EZ4&lt;&gt;GetEquPower(BD4,BQ4, DB4, FV4))</formula>
    </cfRule>
  </conditionalFormatting>
  <conditionalFormatting sqref="FA4">
    <cfRule type="expression" dxfId="1" priority="2789">
      <formula>AND(BW4&gt;=2,FA4&lt;&gt;0, GetEquPower(BD4,BQ4, DC4, FV4)=0)</formula>
    </cfRule>
    <cfRule type="expression" dxfId="0" priority="2790">
      <formula>AND(BW4&gt;=2,FA4&lt;&gt;GetEquPower(BD4,BQ4, DC4, FV4))</formula>
    </cfRule>
  </conditionalFormatting>
  <conditionalFormatting sqref="FB4">
    <cfRule type="expression" dxfId="1" priority="2791">
      <formula>AND(BW4&gt;=3,FB4&lt;&gt;0, GetEquPower(BD4,BQ4, DD4, FV4)=0)</formula>
    </cfRule>
    <cfRule type="expression" dxfId="0" priority="2792">
      <formula>AND(BW4&gt;=3,FB4&lt;&gt;GetEquPower(BD4,BQ4, DD4, FV4))</formula>
    </cfRule>
  </conditionalFormatting>
  <conditionalFormatting sqref="FC4">
    <cfRule type="expression" dxfId="1" priority="2807">
      <formula>AND(BW4&gt;=4,FC4&lt;&gt;0, GetEquPower(BD4,BQ4, DE4, FV4)=0)</formula>
    </cfRule>
    <cfRule type="expression" dxfId="0" priority="2808">
      <formula>AND(BW4&gt;=4,FC4&lt;&gt;GetEquPower(BD4,BQ4, DE4, FV4))</formula>
    </cfRule>
  </conditionalFormatting>
  <conditionalFormatting sqref="FD4">
    <cfRule type="expression" dxfId="1" priority="2827">
      <formula>AND(BW4&gt;=5,FD4&lt;&gt;0, GetEquPower(BD4,BQ4, DF4, FV4)=0)</formula>
    </cfRule>
    <cfRule type="expression" dxfId="0" priority="2828">
      <formula>AND(BW4&gt;=5,FD4&lt;&gt;GetEquPower(BD4,BQ4, DF4, FV4))</formula>
    </cfRule>
  </conditionalFormatting>
  <conditionalFormatting sqref="FE4">
    <cfRule type="expression" dxfId="1" priority="2829">
      <formula>AND(BW4&gt;=6,FE4&lt;&gt;0, GetEquPower(BD4,BQ4, DG4, FV4)=0)</formula>
    </cfRule>
    <cfRule type="expression" dxfId="0" priority="2830">
      <formula>AND(BW4&gt;=6,FE4&lt;&gt;GetEquPower(BD4,BQ4, DG4, FV4))</formula>
    </cfRule>
  </conditionalFormatting>
  <conditionalFormatting sqref="FI4">
    <cfRule type="expression" dxfId="1" priority="2793">
      <formula>AND(BX4&gt;=1,FI4&lt;&gt;0, GetEquPower(BE4,BR4, DI4, FW4)=0)</formula>
    </cfRule>
    <cfRule type="expression" dxfId="0" priority="2794">
      <formula>AND(BX4&gt;=1,FI4&lt;&gt;GetEquPower(BE4,BR4, DI4, FW4))</formula>
    </cfRule>
  </conditionalFormatting>
  <conditionalFormatting sqref="FJ4">
    <cfRule type="expression" dxfId="1" priority="2795">
      <formula>AND(BX4&gt;=2,FJ4&lt;&gt;0, GetEquPower(BE4,BR4, DJ4, FW4)=0)</formula>
    </cfRule>
    <cfRule type="expression" dxfId="0" priority="2796">
      <formula>AND(BX4&gt;=2,FJ4&lt;&gt;GetEquPower(BE4,BR4, DJ4, FW4))</formula>
    </cfRule>
  </conditionalFormatting>
  <conditionalFormatting sqref="FK4">
    <cfRule type="expression" dxfId="1" priority="2797">
      <formula>AND(BX4&gt;=3,FK4&lt;&gt;0, GetEquPower(BE4,BR4, DK4, FW4)=0)</formula>
    </cfRule>
    <cfRule type="expression" dxfId="0" priority="2798">
      <formula>AND(BX4&gt;=3,FK4&lt;&gt;GetEquPower(BE4,BR4, DK4, FW4))</formula>
    </cfRule>
  </conditionalFormatting>
  <conditionalFormatting sqref="FL4">
    <cfRule type="expression" dxfId="1" priority="2809">
      <formula>AND(BX4&gt;=4,FL4&lt;&gt;0, GetEquPower(BE4,BR4, DL4, FW4)=0)</formula>
    </cfRule>
    <cfRule type="expression" dxfId="0" priority="2810">
      <formula>AND(BX4&gt;=4,FL4&lt;&gt;GetEquPower(BE4,BR4, DL4, FW4))</formula>
    </cfRule>
  </conditionalFormatting>
  <conditionalFormatting sqref="FM4">
    <cfRule type="expression" dxfId="1" priority="2831">
      <formula>AND(BX4&gt;=5,FM4&lt;&gt;0, GetEquPower(BE4,BR4, DM4, FW4)=0)</formula>
    </cfRule>
    <cfRule type="expression" dxfId="0" priority="2832">
      <formula>AND(BX4&gt;=5,FM4&lt;&gt;GetEquPower(BE4,BR4, DM4, FW4))</formula>
    </cfRule>
  </conditionalFormatting>
  <conditionalFormatting sqref="FN4">
    <cfRule type="expression" dxfId="1" priority="2833">
      <formula>AND(BX4&gt;=6,FN4&lt;&gt;0, GetEquPower(BE4,BR4, DN4, FW4)=0)</formula>
    </cfRule>
    <cfRule type="expression" dxfId="0" priority="2834">
      <formula>AND(BX4&gt;=6,FN4&lt;&gt;GetEquPower(BE4,BR4, DN4, FW4))</formula>
    </cfRule>
  </conditionalFormatting>
  <conditionalFormatting sqref="F5">
    <cfRule type="expression" dxfId="72" priority="2681">
      <formula>F5&lt;&gt;RIGHT(SUBSTITUTE(TRIM(E5),".",""),LEN(F5))</formula>
    </cfRule>
  </conditionalFormatting>
  <conditionalFormatting sqref="BS5">
    <cfRule type="expression" dxfId="72" priority="2680">
      <formula>AND(J5&gt;=1,BS5&lt;1)</formula>
    </cfRule>
  </conditionalFormatting>
  <conditionalFormatting sqref="BT5">
    <cfRule type="expression" dxfId="72" priority="2679">
      <formula>AND(J5&gt;=2,BT5&lt;1)</formula>
    </cfRule>
  </conditionalFormatting>
  <conditionalFormatting sqref="BU5">
    <cfRule type="expression" dxfId="72" priority="2677">
      <formula>AND(J5&gt;=3,BU5&lt;1)</formula>
    </cfRule>
  </conditionalFormatting>
  <conditionalFormatting sqref="BV5">
    <cfRule type="expression" dxfId="72" priority="2676">
      <formula>AND(J5&gt;=4,BV5&lt;1)</formula>
    </cfRule>
  </conditionalFormatting>
  <conditionalFormatting sqref="BW5">
    <cfRule type="expression" dxfId="72" priority="2678">
      <formula>AND(J5&gt;=5,BW5&lt;1)</formula>
    </cfRule>
  </conditionalFormatting>
  <conditionalFormatting sqref="BX5">
    <cfRule type="expression" dxfId="72" priority="2675">
      <formula>AND(J5&gt;=6,BX5&lt;1)</formula>
    </cfRule>
  </conditionalFormatting>
  <conditionalFormatting sqref="IC5">
    <cfRule type="expression" dxfId="72" priority="2754">
      <formula>AND($S5 = TRUE, $IC5&lt;&gt;OptionsUnitCode)</formula>
    </cfRule>
  </conditionalFormatting>
  <conditionalFormatting sqref="B5:II5">
    <cfRule type="containsErrors" dxfId="72" priority="2674">
      <formula>ISERROR(B5)</formula>
    </cfRule>
  </conditionalFormatting>
  <conditionalFormatting sqref="DP5">
    <cfRule type="expression" dxfId="1" priority="2682">
      <formula>AND(BS5&gt;=1,DP5&lt;&gt;0, GetEquPower(AZ5,BM5, BZ5, FR5)=0)</formula>
    </cfRule>
    <cfRule type="expression" dxfId="0" priority="2683">
      <formula>AND(BS5&gt;=1,DP5&lt;&gt;GetEquPower(AZ5,BM5, BZ5, FR5))</formula>
    </cfRule>
  </conditionalFormatting>
  <conditionalFormatting sqref="DQ5">
    <cfRule type="expression" dxfId="1" priority="2684">
      <formula>AND(BS5&gt;=2,DQ5&lt;&gt;0, GetEquPower(AZ5,BM5, CA5, FR5)=0)</formula>
    </cfRule>
    <cfRule type="expression" dxfId="0" priority="2685">
      <formula>AND(BS5&gt;=2,DQ5&lt;&gt;GetEquPower(AZ5,BM5, CA5, FR5))</formula>
    </cfRule>
  </conditionalFormatting>
  <conditionalFormatting sqref="DR5">
    <cfRule type="expression" dxfId="1" priority="2686">
      <formula>AND(BS5&gt;=3,DR5&lt;&gt;0, GetEquPower(AZ5,BM5, CB5, FR5)=0)</formula>
    </cfRule>
    <cfRule type="expression" dxfId="0" priority="2687">
      <formula>AND(BS5&gt;=3,DR5&lt;&gt;GetEquPower(AZ5,BM5, CB5, FR5))</formula>
    </cfRule>
  </conditionalFormatting>
  <conditionalFormatting sqref="DS5">
    <cfRule type="expression" dxfId="1" priority="2718">
      <formula>AND(BS5&gt;=4,DS5&lt;&gt;0, GetEquPower(AZ5,BM5, CC5, FR5)=0)</formula>
    </cfRule>
    <cfRule type="expression" dxfId="0" priority="2719">
      <formula>AND(BS5&gt;=4, DS5&lt;&gt;GetEquPower(AZ5,BM5, CC5, FR5))</formula>
    </cfRule>
  </conditionalFormatting>
  <conditionalFormatting sqref="DT5">
    <cfRule type="expression" dxfId="1" priority="2730">
      <formula>AND(BS5&gt;=5,DT5&lt;&gt;0, GetEquPower(AZ5,BM5, CD5, FR5)=0)</formula>
    </cfRule>
    <cfRule type="expression" dxfId="0" priority="2731">
      <formula>AND(BS5&gt;=5, DT5&lt;&gt;GetEquPower(AZ5,BM5, CD5, FR5))</formula>
    </cfRule>
  </conditionalFormatting>
  <conditionalFormatting sqref="DU5">
    <cfRule type="expression" dxfId="1" priority="2732">
      <formula>AND(BS5&gt;=6,DU5&lt;&gt;0, GetEquPower(AZ5,BM5, CE5, FR5)=0)</formula>
    </cfRule>
    <cfRule type="expression" dxfId="0" priority="2733">
      <formula>AND(BS5&gt;=6, DU5&lt;&gt;GetEquPower(AZ5,BM5, CE5, FR5))</formula>
    </cfRule>
  </conditionalFormatting>
  <conditionalFormatting sqref="DY5">
    <cfRule type="expression" dxfId="1" priority="2688">
      <formula>AND(BT5&gt;=1,DY5&lt;&gt;0, GetEquPower(BA5,BN5, CG5, FS5)=0)</formula>
    </cfRule>
    <cfRule type="expression" dxfId="0" priority="2689">
      <formula>AND(BT5&gt;=1,DY5&lt;&gt;GetEquPower(BA5,BN5, CG5, FS5))</formula>
    </cfRule>
  </conditionalFormatting>
  <conditionalFormatting sqref="DZ5">
    <cfRule type="expression" dxfId="1" priority="2690">
      <formula>AND(BT5&gt;=2,DZ5&lt;&gt;0, GetEquPower(BA5,BN5, CH5, FS5)=0)</formula>
    </cfRule>
    <cfRule type="expression" dxfId="0" priority="2691">
      <formula>AND(BT5&gt;=2,DZ5&lt;&gt;GetEquPower(BA5,BN5, CH5, FS5))</formula>
    </cfRule>
  </conditionalFormatting>
  <conditionalFormatting sqref="EA5">
    <cfRule type="expression" dxfId="1" priority="2692">
      <formula>AND(BT5&gt;=3,EA5&lt;&gt;0, GetEquPower(BA5,BN5, CI5, FS5)=0)</formula>
    </cfRule>
    <cfRule type="expression" dxfId="0" priority="2693">
      <formula>AND(BT5&gt;=3,EA5&lt;&gt;GetEquPower(BA5,BN5, CI5, FS5))</formula>
    </cfRule>
  </conditionalFormatting>
  <conditionalFormatting sqref="EB5">
    <cfRule type="expression" dxfId="1" priority="2720">
      <formula>AND(BT5&gt;=4,EB5&lt;&gt;0, GetEquPower(BA5,BN5, CJ5, FS5)=0)</formula>
    </cfRule>
    <cfRule type="expression" dxfId="0" priority="2721">
      <formula>AND(BT5&gt;=4,EB5&lt;&gt;GetEquPower(BA5,BN5, CJ5, FS5))</formula>
    </cfRule>
  </conditionalFormatting>
  <conditionalFormatting sqref="EC5">
    <cfRule type="expression" dxfId="1" priority="2734">
      <formula>AND(BT5&gt;=5,EC5&lt;&gt;0, GetEquPower(BA5,BN5, CK5, FS5)=0)</formula>
    </cfRule>
    <cfRule type="expression" dxfId="0" priority="2735">
      <formula>AND(BT5&gt;=5,EC5&lt;&gt;GetEquPower(BA5,BN5, CK5, FS5))</formula>
    </cfRule>
  </conditionalFormatting>
  <conditionalFormatting sqref="ED5">
    <cfRule type="expression" dxfId="1" priority="2736">
      <formula>AND(BT5&gt;=6,ED5&lt;&gt;0, GetEquPower(BA5,BN5, CL5, FS5)=0)</formula>
    </cfRule>
    <cfRule type="expression" dxfId="0" priority="2737">
      <formula>AND(BT5&gt;=6,ED5&lt;&gt;GetEquPower(BA5,BN5, CL5, FS5))</formula>
    </cfRule>
  </conditionalFormatting>
  <conditionalFormatting sqref="EH5">
    <cfRule type="expression" dxfId="1" priority="2694">
      <formula>AND(BU5&gt;=1,EH5&lt;&gt;0, GetEquPower(BB5,BO5, CN5, FT5)=0)</formula>
    </cfRule>
    <cfRule type="expression" dxfId="0" priority="2695">
      <formula>AND(BU5&gt;=1,EH5&lt;&gt;GetEquPower(BB5,BO5, CN5, FT5))</formula>
    </cfRule>
  </conditionalFormatting>
  <conditionalFormatting sqref="EI5">
    <cfRule type="expression" dxfId="1" priority="2696">
      <formula>AND(BU5&gt;=2,EI5&lt;&gt;0, GetEquPower(BB5,BO5, CO5, FT5)=0)</formula>
    </cfRule>
    <cfRule type="expression" dxfId="0" priority="2697">
      <formula xml:space="preserve"> AND(BU5&gt;=2,EI5&lt;&gt;GetEquPower(BB5,BO5, CO5, FT5))</formula>
    </cfRule>
  </conditionalFormatting>
  <conditionalFormatting sqref="EJ5">
    <cfRule type="expression" dxfId="1" priority="2698">
      <formula>AND(BU5&gt;=3,EJ5&lt;&gt;0, GetEquPower(BB5,BO5, CP5, FT5)=0)</formula>
    </cfRule>
    <cfRule type="expression" dxfId="0" priority="2699">
      <formula xml:space="preserve"> AND(BU5&gt;=3,EJ5&lt;&gt;GetEquPower(BB5,BO5, CP5, FT5))</formula>
    </cfRule>
  </conditionalFormatting>
  <conditionalFormatting sqref="EK5">
    <cfRule type="expression" dxfId="1" priority="2722">
      <formula>AND(BU5&gt;=4,EK5&lt;&gt;0, GetEquPower(BB5,BO5, CQ5, FT5)=0)</formula>
    </cfRule>
    <cfRule type="expression" dxfId="0" priority="2723">
      <formula xml:space="preserve"> AND(BU5&gt;=4,EK5&lt;&gt;GetEquPower(BB5,BO5, CQ5, FT5))</formula>
    </cfRule>
  </conditionalFormatting>
  <conditionalFormatting sqref="EL5">
    <cfRule type="expression" dxfId="1" priority="2738">
      <formula>AND(BU5&gt;=5,EL5&lt;&gt;0, GetEquPower(BB5,BO5, CR5, FT5)=0)</formula>
    </cfRule>
    <cfRule type="expression" dxfId="0" priority="2739">
      <formula xml:space="preserve"> AND(BU5&gt;=5,EL5&lt;&gt;GetEquPower(BB5,BO5, CR5, FT5))</formula>
    </cfRule>
  </conditionalFormatting>
  <conditionalFormatting sqref="EM5">
    <cfRule type="expression" dxfId="1" priority="2740">
      <formula>AND(BU5&gt;=6,EM5&lt;&gt;0, GetEquPower(BB5,BO5, CS5, FT5)=0)</formula>
    </cfRule>
    <cfRule type="expression" dxfId="0" priority="2741">
      <formula xml:space="preserve"> AND(BU5&gt;=6,EM5&lt;&gt;GetEquPower(BB5,BO5, CS5, FT5))</formula>
    </cfRule>
  </conditionalFormatting>
  <conditionalFormatting sqref="EQ5">
    <cfRule type="expression" dxfId="1" priority="2700">
      <formula>AND(BV5&gt;=1,EQ5&lt;&gt;0, GetEquPower(BC5,BP5, CU5, FU5)=0)</formula>
    </cfRule>
    <cfRule type="expression" dxfId="0" priority="2701">
      <formula>AND(BV5&gt;=1,EQ5&lt;&gt;GetEquPower(BC5,BP5, CU5, FU5))</formula>
    </cfRule>
  </conditionalFormatting>
  <conditionalFormatting sqref="ER5">
    <cfRule type="expression" dxfId="1" priority="2702">
      <formula>AND(BV5&gt;=2,ER5&lt;&gt;0, GetEquPower(BC5,BP5, CV5, FU5)=0)</formula>
    </cfRule>
    <cfRule type="expression" dxfId="0" priority="2703">
      <formula>AND(BV5&gt;=2,ER5&lt;&gt;GetEquPower(BC5,BP5, CV5, FU5))</formula>
    </cfRule>
  </conditionalFormatting>
  <conditionalFormatting sqref="ES5">
    <cfRule type="expression" dxfId="1" priority="2704">
      <formula>AND(BV5&gt;=3,ES5&lt;&gt;0, GetEquPower(BC5,BP5, CW5, FU5)=0)</formula>
    </cfRule>
    <cfRule type="expression" dxfId="0" priority="2705">
      <formula>AND(BV5&gt;=3,ES5&lt;&gt;GetEquPower(BC5,BP5, CW5, FU5))</formula>
    </cfRule>
  </conditionalFormatting>
  <conditionalFormatting sqref="ET5">
    <cfRule type="expression" dxfId="1" priority="2724">
      <formula>AND(BV5&gt;=4,ET5&lt;&gt;0, GetEquPower(BC5,BP5, CX5, FU5)=0)</formula>
    </cfRule>
    <cfRule type="expression" dxfId="0" priority="2725">
      <formula>AND(BV5&gt;=4,ET5&lt;&gt;GetEquPower(BC5,BP5, CX5, FU5))</formula>
    </cfRule>
  </conditionalFormatting>
  <conditionalFormatting sqref="EU5">
    <cfRule type="expression" dxfId="1" priority="2742">
      <formula>AND(BV5&gt;=5,EU5&lt;&gt;0, GetEquPower(BC5,BP5, CY5, FU5)=0)</formula>
    </cfRule>
    <cfRule type="expression" dxfId="0" priority="2743">
      <formula>AND(BV5&gt;=5,EU5&lt;&gt;GetEquPower(BC5,BP5, CY5, FU5))</formula>
    </cfRule>
  </conditionalFormatting>
  <conditionalFormatting sqref="EV5">
    <cfRule type="expression" dxfId="1" priority="2744">
      <formula>AND(BV5&gt;=6,EV5&lt;&gt;0, GetEquPower(BC5,BP5, CZ5, FU5)=0)</formula>
    </cfRule>
    <cfRule type="expression" dxfId="0" priority="2745">
      <formula>AND(BV5&gt;=6,EV5&lt;&gt;GetEquPower(BC5,BP5, CZ5, FU5))</formula>
    </cfRule>
  </conditionalFormatting>
  <conditionalFormatting sqref="EZ5">
    <cfRule type="expression" dxfId="1" priority="2706">
      <formula>AND(BW5&gt;=1,EZ5&lt;&gt;0, GetEquPower(BD5,BQ5, DB5, FV5)=0)</formula>
    </cfRule>
    <cfRule type="expression" dxfId="0" priority="2707">
      <formula>AND(BW5&gt;=1,EZ5&lt;&gt;GetEquPower(BD5,BQ5, DB5, FV5))</formula>
    </cfRule>
  </conditionalFormatting>
  <conditionalFormatting sqref="FA5">
    <cfRule type="expression" dxfId="1" priority="2708">
      <formula>AND(BW5&gt;=2,FA5&lt;&gt;0, GetEquPower(BD5,BQ5, DC5, FV5)=0)</formula>
    </cfRule>
    <cfRule type="expression" dxfId="0" priority="2709">
      <formula>AND(BW5&gt;=2,FA5&lt;&gt;GetEquPower(BD5,BQ5, DC5, FV5))</formula>
    </cfRule>
  </conditionalFormatting>
  <conditionalFormatting sqref="FB5">
    <cfRule type="expression" dxfId="1" priority="2710">
      <formula>AND(BW5&gt;=3,FB5&lt;&gt;0, GetEquPower(BD5,BQ5, DD5, FV5)=0)</formula>
    </cfRule>
    <cfRule type="expression" dxfId="0" priority="2711">
      <formula>AND(BW5&gt;=3,FB5&lt;&gt;GetEquPower(BD5,BQ5, DD5, FV5))</formula>
    </cfRule>
  </conditionalFormatting>
  <conditionalFormatting sqref="FC5">
    <cfRule type="expression" dxfId="1" priority="2726">
      <formula>AND(BW5&gt;=4,FC5&lt;&gt;0, GetEquPower(BD5,BQ5, DE5, FV5)=0)</formula>
    </cfRule>
    <cfRule type="expression" dxfId="0" priority="2727">
      <formula>AND(BW5&gt;=4,FC5&lt;&gt;GetEquPower(BD5,BQ5, DE5, FV5))</formula>
    </cfRule>
  </conditionalFormatting>
  <conditionalFormatting sqref="FD5">
    <cfRule type="expression" dxfId="1" priority="2746">
      <formula>AND(BW5&gt;=5,FD5&lt;&gt;0, GetEquPower(BD5,BQ5, DF5, FV5)=0)</formula>
    </cfRule>
    <cfRule type="expression" dxfId="0" priority="2747">
      <formula>AND(BW5&gt;=5,FD5&lt;&gt;GetEquPower(BD5,BQ5, DF5, FV5))</formula>
    </cfRule>
  </conditionalFormatting>
  <conditionalFormatting sqref="FE5">
    <cfRule type="expression" dxfId="1" priority="2748">
      <formula>AND(BW5&gt;=6,FE5&lt;&gt;0, GetEquPower(BD5,BQ5, DG5, FV5)=0)</formula>
    </cfRule>
    <cfRule type="expression" dxfId="0" priority="2749">
      <formula>AND(BW5&gt;=6,FE5&lt;&gt;GetEquPower(BD5,BQ5, DG5, FV5))</formula>
    </cfRule>
  </conditionalFormatting>
  <conditionalFormatting sqref="FI5">
    <cfRule type="expression" dxfId="1" priority="2712">
      <formula>AND(BX5&gt;=1,FI5&lt;&gt;0, GetEquPower(BE5,BR5, DI5, FW5)=0)</formula>
    </cfRule>
    <cfRule type="expression" dxfId="0" priority="2713">
      <formula>AND(BX5&gt;=1,FI5&lt;&gt;GetEquPower(BE5,BR5, DI5, FW5))</formula>
    </cfRule>
  </conditionalFormatting>
  <conditionalFormatting sqref="FJ5">
    <cfRule type="expression" dxfId="1" priority="2714">
      <formula>AND(BX5&gt;=2,FJ5&lt;&gt;0, GetEquPower(BE5,BR5, DJ5, FW5)=0)</formula>
    </cfRule>
    <cfRule type="expression" dxfId="0" priority="2715">
      <formula>AND(BX5&gt;=2,FJ5&lt;&gt;GetEquPower(BE5,BR5, DJ5, FW5))</formula>
    </cfRule>
  </conditionalFormatting>
  <conditionalFormatting sqref="FK5">
    <cfRule type="expression" dxfId="1" priority="2716">
      <formula>AND(BX5&gt;=3,FK5&lt;&gt;0, GetEquPower(BE5,BR5, DK5, FW5)=0)</formula>
    </cfRule>
    <cfRule type="expression" dxfId="0" priority="2717">
      <formula>AND(BX5&gt;=3,FK5&lt;&gt;GetEquPower(BE5,BR5, DK5, FW5))</formula>
    </cfRule>
  </conditionalFormatting>
  <conditionalFormatting sqref="FL5">
    <cfRule type="expression" dxfId="1" priority="2728">
      <formula>AND(BX5&gt;=4,FL5&lt;&gt;0, GetEquPower(BE5,BR5, DL5, FW5)=0)</formula>
    </cfRule>
    <cfRule type="expression" dxfId="0" priority="2729">
      <formula>AND(BX5&gt;=4,FL5&lt;&gt;GetEquPower(BE5,BR5, DL5, FW5))</formula>
    </cfRule>
  </conditionalFormatting>
  <conditionalFormatting sqref="FM5">
    <cfRule type="expression" dxfId="1" priority="2750">
      <formula>AND(BX5&gt;=5,FM5&lt;&gt;0, GetEquPower(BE5,BR5, DM5, FW5)=0)</formula>
    </cfRule>
    <cfRule type="expression" dxfId="0" priority="2751">
      <formula>AND(BX5&gt;=5,FM5&lt;&gt;GetEquPower(BE5,BR5, DM5, FW5))</formula>
    </cfRule>
  </conditionalFormatting>
  <conditionalFormatting sqref="FN5">
    <cfRule type="expression" dxfId="1" priority="2752">
      <formula>AND(BX5&gt;=6,FN5&lt;&gt;0, GetEquPower(BE5,BR5, DN5, FW5)=0)</formula>
    </cfRule>
    <cfRule type="expression" dxfId="0" priority="2753">
      <formula>AND(BX5&gt;=6,FN5&lt;&gt;GetEquPower(BE5,BR5, DN5, FW5))</formula>
    </cfRule>
  </conditionalFormatting>
  <conditionalFormatting sqref="F6">
    <cfRule type="expression" dxfId="72" priority="2600">
      <formula>F6&lt;&gt;RIGHT(SUBSTITUTE(TRIM(E6),".",""),LEN(F6))</formula>
    </cfRule>
  </conditionalFormatting>
  <conditionalFormatting sqref="BS6">
    <cfRule type="expression" dxfId="72" priority="2599">
      <formula>AND(J6&gt;=1,BS6&lt;1)</formula>
    </cfRule>
  </conditionalFormatting>
  <conditionalFormatting sqref="BT6">
    <cfRule type="expression" dxfId="72" priority="2598">
      <formula>AND(J6&gt;=2,BT6&lt;1)</formula>
    </cfRule>
  </conditionalFormatting>
  <conditionalFormatting sqref="BU6">
    <cfRule type="expression" dxfId="72" priority="2596">
      <formula>AND(J6&gt;=3,BU6&lt;1)</formula>
    </cfRule>
  </conditionalFormatting>
  <conditionalFormatting sqref="BV6">
    <cfRule type="expression" dxfId="72" priority="2595">
      <formula>AND(J6&gt;=4,BV6&lt;1)</formula>
    </cfRule>
  </conditionalFormatting>
  <conditionalFormatting sqref="BW6">
    <cfRule type="expression" dxfId="72" priority="2597">
      <formula>AND(J6&gt;=5,BW6&lt;1)</formula>
    </cfRule>
  </conditionalFormatting>
  <conditionalFormatting sqref="BX6">
    <cfRule type="expression" dxfId="72" priority="2594">
      <formula>AND(J6&gt;=6,BX6&lt;1)</formula>
    </cfRule>
  </conditionalFormatting>
  <conditionalFormatting sqref="IC6">
    <cfRule type="expression" dxfId="72" priority="2673">
      <formula>AND($S6 = TRUE, $IC6&lt;&gt;OptionsUnitCode)</formula>
    </cfRule>
  </conditionalFormatting>
  <conditionalFormatting sqref="B6:II6">
    <cfRule type="containsErrors" dxfId="72" priority="2593">
      <formula>ISERROR(B6)</formula>
    </cfRule>
  </conditionalFormatting>
  <conditionalFormatting sqref="DP6">
    <cfRule type="expression" dxfId="1" priority="2601">
      <formula>AND(BS6&gt;=1,DP6&lt;&gt;0, GetEquPower(AZ6,BM6, BZ6, FR6)=0)</formula>
    </cfRule>
    <cfRule type="expression" dxfId="0" priority="2602">
      <formula>AND(BS6&gt;=1,DP6&lt;&gt;GetEquPower(AZ6,BM6, BZ6, FR6))</formula>
    </cfRule>
  </conditionalFormatting>
  <conditionalFormatting sqref="DQ6">
    <cfRule type="expression" dxfId="1" priority="2603">
      <formula>AND(BS6&gt;=2,DQ6&lt;&gt;0, GetEquPower(AZ6,BM6, CA6, FR6)=0)</formula>
    </cfRule>
    <cfRule type="expression" dxfId="0" priority="2604">
      <formula>AND(BS6&gt;=2,DQ6&lt;&gt;GetEquPower(AZ6,BM6, CA6, FR6))</formula>
    </cfRule>
  </conditionalFormatting>
  <conditionalFormatting sqref="DR6">
    <cfRule type="expression" dxfId="1" priority="2605">
      <formula>AND(BS6&gt;=3,DR6&lt;&gt;0, GetEquPower(AZ6,BM6, CB6, FR6)=0)</formula>
    </cfRule>
    <cfRule type="expression" dxfId="0" priority="2606">
      <formula>AND(BS6&gt;=3,DR6&lt;&gt;GetEquPower(AZ6,BM6, CB6, FR6))</formula>
    </cfRule>
  </conditionalFormatting>
  <conditionalFormatting sqref="DS6">
    <cfRule type="expression" dxfId="1" priority="2637">
      <formula>AND(BS6&gt;=4,DS6&lt;&gt;0, GetEquPower(AZ6,BM6, CC6, FR6)=0)</formula>
    </cfRule>
    <cfRule type="expression" dxfId="0" priority="2638">
      <formula>AND(BS6&gt;=4, DS6&lt;&gt;GetEquPower(AZ6,BM6, CC6, FR6))</formula>
    </cfRule>
  </conditionalFormatting>
  <conditionalFormatting sqref="DT6">
    <cfRule type="expression" dxfId="1" priority="2649">
      <formula>AND(BS6&gt;=5,DT6&lt;&gt;0, GetEquPower(AZ6,BM6, CD6, FR6)=0)</formula>
    </cfRule>
    <cfRule type="expression" dxfId="0" priority="2650">
      <formula>AND(BS6&gt;=5, DT6&lt;&gt;GetEquPower(AZ6,BM6, CD6, FR6))</formula>
    </cfRule>
  </conditionalFormatting>
  <conditionalFormatting sqref="DU6">
    <cfRule type="expression" dxfId="1" priority="2651">
      <formula>AND(BS6&gt;=6,DU6&lt;&gt;0, GetEquPower(AZ6,BM6, CE6, FR6)=0)</formula>
    </cfRule>
    <cfRule type="expression" dxfId="0" priority="2652">
      <formula>AND(BS6&gt;=6, DU6&lt;&gt;GetEquPower(AZ6,BM6, CE6, FR6))</formula>
    </cfRule>
  </conditionalFormatting>
  <conditionalFormatting sqref="DY6">
    <cfRule type="expression" dxfId="1" priority="2607">
      <formula>AND(BT6&gt;=1,DY6&lt;&gt;0, GetEquPower(BA6,BN6, CG6, FS6)=0)</formula>
    </cfRule>
    <cfRule type="expression" dxfId="0" priority="2608">
      <formula>AND(BT6&gt;=1,DY6&lt;&gt;GetEquPower(BA6,BN6, CG6, FS6))</formula>
    </cfRule>
  </conditionalFormatting>
  <conditionalFormatting sqref="DZ6">
    <cfRule type="expression" dxfId="1" priority="2609">
      <formula>AND(BT6&gt;=2,DZ6&lt;&gt;0, GetEquPower(BA6,BN6, CH6, FS6)=0)</formula>
    </cfRule>
    <cfRule type="expression" dxfId="0" priority="2610">
      <formula>AND(BT6&gt;=2,DZ6&lt;&gt;GetEquPower(BA6,BN6, CH6, FS6))</formula>
    </cfRule>
  </conditionalFormatting>
  <conditionalFormatting sqref="EA6">
    <cfRule type="expression" dxfId="1" priority="2611">
      <formula>AND(BT6&gt;=3,EA6&lt;&gt;0, GetEquPower(BA6,BN6, CI6, FS6)=0)</formula>
    </cfRule>
    <cfRule type="expression" dxfId="0" priority="2612">
      <formula>AND(BT6&gt;=3,EA6&lt;&gt;GetEquPower(BA6,BN6, CI6, FS6))</formula>
    </cfRule>
  </conditionalFormatting>
  <conditionalFormatting sqref="EB6">
    <cfRule type="expression" dxfId="1" priority="2639">
      <formula>AND(BT6&gt;=4,EB6&lt;&gt;0, GetEquPower(BA6,BN6, CJ6, FS6)=0)</formula>
    </cfRule>
    <cfRule type="expression" dxfId="0" priority="2640">
      <formula>AND(BT6&gt;=4,EB6&lt;&gt;GetEquPower(BA6,BN6, CJ6, FS6))</formula>
    </cfRule>
  </conditionalFormatting>
  <conditionalFormatting sqref="EC6">
    <cfRule type="expression" dxfId="1" priority="2653">
      <formula>AND(BT6&gt;=5,EC6&lt;&gt;0, GetEquPower(BA6,BN6, CK6, FS6)=0)</formula>
    </cfRule>
    <cfRule type="expression" dxfId="0" priority="2654">
      <formula>AND(BT6&gt;=5,EC6&lt;&gt;GetEquPower(BA6,BN6, CK6, FS6))</formula>
    </cfRule>
  </conditionalFormatting>
  <conditionalFormatting sqref="ED6">
    <cfRule type="expression" dxfId="1" priority="2655">
      <formula>AND(BT6&gt;=6,ED6&lt;&gt;0, GetEquPower(BA6,BN6, CL6, FS6)=0)</formula>
    </cfRule>
    <cfRule type="expression" dxfId="0" priority="2656">
      <formula>AND(BT6&gt;=6,ED6&lt;&gt;GetEquPower(BA6,BN6, CL6, FS6))</formula>
    </cfRule>
  </conditionalFormatting>
  <conditionalFormatting sqref="EH6">
    <cfRule type="expression" dxfId="1" priority="2613">
      <formula>AND(BU6&gt;=1,EH6&lt;&gt;0, GetEquPower(BB6,BO6, CN6, FT6)=0)</formula>
    </cfRule>
    <cfRule type="expression" dxfId="0" priority="2614">
      <formula>AND(BU6&gt;=1,EH6&lt;&gt;GetEquPower(BB6,BO6, CN6, FT6))</formula>
    </cfRule>
  </conditionalFormatting>
  <conditionalFormatting sqref="EI6">
    <cfRule type="expression" dxfId="1" priority="2615">
      <formula>AND(BU6&gt;=2,EI6&lt;&gt;0, GetEquPower(BB6,BO6, CO6, FT6)=0)</formula>
    </cfRule>
    <cfRule type="expression" dxfId="0" priority="2616">
      <formula xml:space="preserve"> AND(BU6&gt;=2,EI6&lt;&gt;GetEquPower(BB6,BO6, CO6, FT6))</formula>
    </cfRule>
  </conditionalFormatting>
  <conditionalFormatting sqref="EJ6">
    <cfRule type="expression" dxfId="1" priority="2617">
      <formula>AND(BU6&gt;=3,EJ6&lt;&gt;0, GetEquPower(BB6,BO6, CP6, FT6)=0)</formula>
    </cfRule>
    <cfRule type="expression" dxfId="0" priority="2618">
      <formula xml:space="preserve"> AND(BU6&gt;=3,EJ6&lt;&gt;GetEquPower(BB6,BO6, CP6, FT6))</formula>
    </cfRule>
  </conditionalFormatting>
  <conditionalFormatting sqref="EK6">
    <cfRule type="expression" dxfId="1" priority="2641">
      <formula>AND(BU6&gt;=4,EK6&lt;&gt;0, GetEquPower(BB6,BO6, CQ6, FT6)=0)</formula>
    </cfRule>
    <cfRule type="expression" dxfId="0" priority="2642">
      <formula xml:space="preserve"> AND(BU6&gt;=4,EK6&lt;&gt;GetEquPower(BB6,BO6, CQ6, FT6))</formula>
    </cfRule>
  </conditionalFormatting>
  <conditionalFormatting sqref="EL6">
    <cfRule type="expression" dxfId="1" priority="2657">
      <formula>AND(BU6&gt;=5,EL6&lt;&gt;0, GetEquPower(BB6,BO6, CR6, FT6)=0)</formula>
    </cfRule>
    <cfRule type="expression" dxfId="0" priority="2658">
      <formula xml:space="preserve"> AND(BU6&gt;=5,EL6&lt;&gt;GetEquPower(BB6,BO6, CR6, FT6))</formula>
    </cfRule>
  </conditionalFormatting>
  <conditionalFormatting sqref="EM6">
    <cfRule type="expression" dxfId="1" priority="2659">
      <formula>AND(BU6&gt;=6,EM6&lt;&gt;0, GetEquPower(BB6,BO6, CS6, FT6)=0)</formula>
    </cfRule>
    <cfRule type="expression" dxfId="0" priority="2660">
      <formula xml:space="preserve"> AND(BU6&gt;=6,EM6&lt;&gt;GetEquPower(BB6,BO6, CS6, FT6))</formula>
    </cfRule>
  </conditionalFormatting>
  <conditionalFormatting sqref="EQ6">
    <cfRule type="expression" dxfId="1" priority="2619">
      <formula>AND(BV6&gt;=1,EQ6&lt;&gt;0, GetEquPower(BC6,BP6, CU6, FU6)=0)</formula>
    </cfRule>
    <cfRule type="expression" dxfId="0" priority="2620">
      <formula>AND(BV6&gt;=1,EQ6&lt;&gt;GetEquPower(BC6,BP6, CU6, FU6))</formula>
    </cfRule>
  </conditionalFormatting>
  <conditionalFormatting sqref="ER6">
    <cfRule type="expression" dxfId="1" priority="2621">
      <formula>AND(BV6&gt;=2,ER6&lt;&gt;0, GetEquPower(BC6,BP6, CV6, FU6)=0)</formula>
    </cfRule>
    <cfRule type="expression" dxfId="0" priority="2622">
      <formula>AND(BV6&gt;=2,ER6&lt;&gt;GetEquPower(BC6,BP6, CV6, FU6))</formula>
    </cfRule>
  </conditionalFormatting>
  <conditionalFormatting sqref="ES6">
    <cfRule type="expression" dxfId="1" priority="2623">
      <formula>AND(BV6&gt;=3,ES6&lt;&gt;0, GetEquPower(BC6,BP6, CW6, FU6)=0)</formula>
    </cfRule>
    <cfRule type="expression" dxfId="0" priority="2624">
      <formula>AND(BV6&gt;=3,ES6&lt;&gt;GetEquPower(BC6,BP6, CW6, FU6))</formula>
    </cfRule>
  </conditionalFormatting>
  <conditionalFormatting sqref="ET6">
    <cfRule type="expression" dxfId="1" priority="2643">
      <formula>AND(BV6&gt;=4,ET6&lt;&gt;0, GetEquPower(BC6,BP6, CX6, FU6)=0)</formula>
    </cfRule>
    <cfRule type="expression" dxfId="0" priority="2644">
      <formula>AND(BV6&gt;=4,ET6&lt;&gt;GetEquPower(BC6,BP6, CX6, FU6))</formula>
    </cfRule>
  </conditionalFormatting>
  <conditionalFormatting sqref="EU6">
    <cfRule type="expression" dxfId="1" priority="2661">
      <formula>AND(BV6&gt;=5,EU6&lt;&gt;0, GetEquPower(BC6,BP6, CY6, FU6)=0)</formula>
    </cfRule>
    <cfRule type="expression" dxfId="0" priority="2662">
      <formula>AND(BV6&gt;=5,EU6&lt;&gt;GetEquPower(BC6,BP6, CY6, FU6))</formula>
    </cfRule>
  </conditionalFormatting>
  <conditionalFormatting sqref="EV6">
    <cfRule type="expression" dxfId="1" priority="2663">
      <formula>AND(BV6&gt;=6,EV6&lt;&gt;0, GetEquPower(BC6,BP6, CZ6, FU6)=0)</formula>
    </cfRule>
    <cfRule type="expression" dxfId="0" priority="2664">
      <formula>AND(BV6&gt;=6,EV6&lt;&gt;GetEquPower(BC6,BP6, CZ6, FU6))</formula>
    </cfRule>
  </conditionalFormatting>
  <conditionalFormatting sqref="EZ6">
    <cfRule type="expression" dxfId="1" priority="2625">
      <formula>AND(BW6&gt;=1,EZ6&lt;&gt;0, GetEquPower(BD6,BQ6, DB6, FV6)=0)</formula>
    </cfRule>
    <cfRule type="expression" dxfId="0" priority="2626">
      <formula>AND(BW6&gt;=1,EZ6&lt;&gt;GetEquPower(BD6,BQ6, DB6, FV6))</formula>
    </cfRule>
  </conditionalFormatting>
  <conditionalFormatting sqref="FA6">
    <cfRule type="expression" dxfId="1" priority="2627">
      <formula>AND(BW6&gt;=2,FA6&lt;&gt;0, GetEquPower(BD6,BQ6, DC6, FV6)=0)</formula>
    </cfRule>
    <cfRule type="expression" dxfId="0" priority="2628">
      <formula>AND(BW6&gt;=2,FA6&lt;&gt;GetEquPower(BD6,BQ6, DC6, FV6))</formula>
    </cfRule>
  </conditionalFormatting>
  <conditionalFormatting sqref="FB6">
    <cfRule type="expression" dxfId="1" priority="2629">
      <formula>AND(BW6&gt;=3,FB6&lt;&gt;0, GetEquPower(BD6,BQ6, DD6, FV6)=0)</formula>
    </cfRule>
    <cfRule type="expression" dxfId="0" priority="2630">
      <formula>AND(BW6&gt;=3,FB6&lt;&gt;GetEquPower(BD6,BQ6, DD6, FV6))</formula>
    </cfRule>
  </conditionalFormatting>
  <conditionalFormatting sqref="FC6">
    <cfRule type="expression" dxfId="1" priority="2645">
      <formula>AND(BW6&gt;=4,FC6&lt;&gt;0, GetEquPower(BD6,BQ6, DE6, FV6)=0)</formula>
    </cfRule>
    <cfRule type="expression" dxfId="0" priority="2646">
      <formula>AND(BW6&gt;=4,FC6&lt;&gt;GetEquPower(BD6,BQ6, DE6, FV6))</formula>
    </cfRule>
  </conditionalFormatting>
  <conditionalFormatting sqref="FD6">
    <cfRule type="expression" dxfId="1" priority="2665">
      <formula>AND(BW6&gt;=5,FD6&lt;&gt;0, GetEquPower(BD6,BQ6, DF6, FV6)=0)</formula>
    </cfRule>
    <cfRule type="expression" dxfId="0" priority="2666">
      <formula>AND(BW6&gt;=5,FD6&lt;&gt;GetEquPower(BD6,BQ6, DF6, FV6))</formula>
    </cfRule>
  </conditionalFormatting>
  <conditionalFormatting sqref="FE6">
    <cfRule type="expression" dxfId="1" priority="2667">
      <formula>AND(BW6&gt;=6,FE6&lt;&gt;0, GetEquPower(BD6,BQ6, DG6, FV6)=0)</formula>
    </cfRule>
    <cfRule type="expression" dxfId="0" priority="2668">
      <formula>AND(BW6&gt;=6,FE6&lt;&gt;GetEquPower(BD6,BQ6, DG6, FV6))</formula>
    </cfRule>
  </conditionalFormatting>
  <conditionalFormatting sqref="FI6">
    <cfRule type="expression" dxfId="1" priority="2631">
      <formula>AND(BX6&gt;=1,FI6&lt;&gt;0, GetEquPower(BE6,BR6, DI6, FW6)=0)</formula>
    </cfRule>
    <cfRule type="expression" dxfId="0" priority="2632">
      <formula>AND(BX6&gt;=1,FI6&lt;&gt;GetEquPower(BE6,BR6, DI6, FW6))</formula>
    </cfRule>
  </conditionalFormatting>
  <conditionalFormatting sqref="FJ6">
    <cfRule type="expression" dxfId="1" priority="2633">
      <formula>AND(BX6&gt;=2,FJ6&lt;&gt;0, GetEquPower(BE6,BR6, DJ6, FW6)=0)</formula>
    </cfRule>
    <cfRule type="expression" dxfId="0" priority="2634">
      <formula>AND(BX6&gt;=2,FJ6&lt;&gt;GetEquPower(BE6,BR6, DJ6, FW6))</formula>
    </cfRule>
  </conditionalFormatting>
  <conditionalFormatting sqref="FK6">
    <cfRule type="expression" dxfId="1" priority="2635">
      <formula>AND(BX6&gt;=3,FK6&lt;&gt;0, GetEquPower(BE6,BR6, DK6, FW6)=0)</formula>
    </cfRule>
    <cfRule type="expression" dxfId="0" priority="2636">
      <formula>AND(BX6&gt;=3,FK6&lt;&gt;GetEquPower(BE6,BR6, DK6, FW6))</formula>
    </cfRule>
  </conditionalFormatting>
  <conditionalFormatting sqref="FL6">
    <cfRule type="expression" dxfId="1" priority="2647">
      <formula>AND(BX6&gt;=4,FL6&lt;&gt;0, GetEquPower(BE6,BR6, DL6, FW6)=0)</formula>
    </cfRule>
    <cfRule type="expression" dxfId="0" priority="2648">
      <formula>AND(BX6&gt;=4,FL6&lt;&gt;GetEquPower(BE6,BR6, DL6, FW6))</formula>
    </cfRule>
  </conditionalFormatting>
  <conditionalFormatting sqref="FM6">
    <cfRule type="expression" dxfId="1" priority="2669">
      <formula>AND(BX6&gt;=5,FM6&lt;&gt;0, GetEquPower(BE6,BR6, DM6, FW6)=0)</formula>
    </cfRule>
    <cfRule type="expression" dxfId="0" priority="2670">
      <formula>AND(BX6&gt;=5,FM6&lt;&gt;GetEquPower(BE6,BR6, DM6, FW6))</formula>
    </cfRule>
  </conditionalFormatting>
  <conditionalFormatting sqref="FN6">
    <cfRule type="expression" dxfId="1" priority="2671">
      <formula>AND(BX6&gt;=6,FN6&lt;&gt;0, GetEquPower(BE6,BR6, DN6, FW6)=0)</formula>
    </cfRule>
    <cfRule type="expression" dxfId="0" priority="2672">
      <formula>AND(BX6&gt;=6,FN6&lt;&gt;GetEquPower(BE6,BR6, DN6, FW6))</formula>
    </cfRule>
  </conditionalFormatting>
  <conditionalFormatting sqref="F7">
    <cfRule type="expression" dxfId="72" priority="2519">
      <formula>F7&lt;&gt;RIGHT(SUBSTITUTE(TRIM(E7),".",""),LEN(F7))</formula>
    </cfRule>
  </conditionalFormatting>
  <conditionalFormatting sqref="BS7">
    <cfRule type="expression" dxfId="72" priority="2518">
      <formula>AND(J7&gt;=1,BS7&lt;1)</formula>
    </cfRule>
  </conditionalFormatting>
  <conditionalFormatting sqref="BT7">
    <cfRule type="expression" dxfId="72" priority="2517">
      <formula>AND(J7&gt;=2,BT7&lt;1)</formula>
    </cfRule>
  </conditionalFormatting>
  <conditionalFormatting sqref="BU7">
    <cfRule type="expression" dxfId="72" priority="2515">
      <formula>AND(J7&gt;=3,BU7&lt;1)</formula>
    </cfRule>
  </conditionalFormatting>
  <conditionalFormatting sqref="BV7">
    <cfRule type="expression" dxfId="72" priority="2514">
      <formula>AND(J7&gt;=4,BV7&lt;1)</formula>
    </cfRule>
  </conditionalFormatting>
  <conditionalFormatting sqref="BW7">
    <cfRule type="expression" dxfId="72" priority="2516">
      <formula>AND(J7&gt;=5,BW7&lt;1)</formula>
    </cfRule>
  </conditionalFormatting>
  <conditionalFormatting sqref="BX7">
    <cfRule type="expression" dxfId="72" priority="2513">
      <formula>AND(J7&gt;=6,BX7&lt;1)</formula>
    </cfRule>
  </conditionalFormatting>
  <conditionalFormatting sqref="IC7">
    <cfRule type="expression" dxfId="72" priority="2592">
      <formula>AND($S7 = TRUE, $IC7&lt;&gt;OptionsUnitCode)</formula>
    </cfRule>
  </conditionalFormatting>
  <conditionalFormatting sqref="B7:II7">
    <cfRule type="containsErrors" dxfId="72" priority="2512">
      <formula>ISERROR(B7)</formula>
    </cfRule>
  </conditionalFormatting>
  <conditionalFormatting sqref="DP7">
    <cfRule type="expression" dxfId="1" priority="2520">
      <formula>AND(BS7&gt;=1,DP7&lt;&gt;0, GetEquPower(AZ7,BM7, BZ7, FR7)=0)</formula>
    </cfRule>
    <cfRule type="expression" dxfId="0" priority="2521">
      <formula>AND(BS7&gt;=1,DP7&lt;&gt;GetEquPower(AZ7,BM7, BZ7, FR7))</formula>
    </cfRule>
  </conditionalFormatting>
  <conditionalFormatting sqref="DQ7">
    <cfRule type="expression" dxfId="1" priority="2522">
      <formula>AND(BS7&gt;=2,DQ7&lt;&gt;0, GetEquPower(AZ7,BM7, CA7, FR7)=0)</formula>
    </cfRule>
    <cfRule type="expression" dxfId="0" priority="2523">
      <formula>AND(BS7&gt;=2,DQ7&lt;&gt;GetEquPower(AZ7,BM7, CA7, FR7))</formula>
    </cfRule>
  </conditionalFormatting>
  <conditionalFormatting sqref="DR7">
    <cfRule type="expression" dxfId="1" priority="2524">
      <formula>AND(BS7&gt;=3,DR7&lt;&gt;0, GetEquPower(AZ7,BM7, CB7, FR7)=0)</formula>
    </cfRule>
    <cfRule type="expression" dxfId="0" priority="2525">
      <formula>AND(BS7&gt;=3,DR7&lt;&gt;GetEquPower(AZ7,BM7, CB7, FR7))</formula>
    </cfRule>
  </conditionalFormatting>
  <conditionalFormatting sqref="DS7">
    <cfRule type="expression" dxfId="1" priority="2556">
      <formula>AND(BS7&gt;=4,DS7&lt;&gt;0, GetEquPower(AZ7,BM7, CC7, FR7)=0)</formula>
    </cfRule>
    <cfRule type="expression" dxfId="0" priority="2557">
      <formula>AND(BS7&gt;=4, DS7&lt;&gt;GetEquPower(AZ7,BM7, CC7, FR7))</formula>
    </cfRule>
  </conditionalFormatting>
  <conditionalFormatting sqref="DT7">
    <cfRule type="expression" dxfId="1" priority="2568">
      <formula>AND(BS7&gt;=5,DT7&lt;&gt;0, GetEquPower(AZ7,BM7, CD7, FR7)=0)</formula>
    </cfRule>
    <cfRule type="expression" dxfId="0" priority="2569">
      <formula>AND(BS7&gt;=5, DT7&lt;&gt;GetEquPower(AZ7,BM7, CD7, FR7))</formula>
    </cfRule>
  </conditionalFormatting>
  <conditionalFormatting sqref="DU7">
    <cfRule type="expression" dxfId="1" priority="2570">
      <formula>AND(BS7&gt;=6,DU7&lt;&gt;0, GetEquPower(AZ7,BM7, CE7, FR7)=0)</formula>
    </cfRule>
    <cfRule type="expression" dxfId="0" priority="2571">
      <formula>AND(BS7&gt;=6, DU7&lt;&gt;GetEquPower(AZ7,BM7, CE7, FR7))</formula>
    </cfRule>
  </conditionalFormatting>
  <conditionalFormatting sqref="DY7">
    <cfRule type="expression" dxfId="1" priority="2526">
      <formula>AND(BT7&gt;=1,DY7&lt;&gt;0, GetEquPower(BA7,BN7, CG7, FS7)=0)</formula>
    </cfRule>
    <cfRule type="expression" dxfId="0" priority="2527">
      <formula>AND(BT7&gt;=1,DY7&lt;&gt;GetEquPower(BA7,BN7, CG7, FS7))</formula>
    </cfRule>
  </conditionalFormatting>
  <conditionalFormatting sqref="DZ7">
    <cfRule type="expression" dxfId="1" priority="2528">
      <formula>AND(BT7&gt;=2,DZ7&lt;&gt;0, GetEquPower(BA7,BN7, CH7, FS7)=0)</formula>
    </cfRule>
    <cfRule type="expression" dxfId="0" priority="2529">
      <formula>AND(BT7&gt;=2,DZ7&lt;&gt;GetEquPower(BA7,BN7, CH7, FS7))</formula>
    </cfRule>
  </conditionalFormatting>
  <conditionalFormatting sqref="EA7">
    <cfRule type="expression" dxfId="1" priority="2530">
      <formula>AND(BT7&gt;=3,EA7&lt;&gt;0, GetEquPower(BA7,BN7, CI7, FS7)=0)</formula>
    </cfRule>
    <cfRule type="expression" dxfId="0" priority="2531">
      <formula>AND(BT7&gt;=3,EA7&lt;&gt;GetEquPower(BA7,BN7, CI7, FS7))</formula>
    </cfRule>
  </conditionalFormatting>
  <conditionalFormatting sqref="EB7">
    <cfRule type="expression" dxfId="1" priority="2558">
      <formula>AND(BT7&gt;=4,EB7&lt;&gt;0, GetEquPower(BA7,BN7, CJ7, FS7)=0)</formula>
    </cfRule>
    <cfRule type="expression" dxfId="0" priority="2559">
      <formula>AND(BT7&gt;=4,EB7&lt;&gt;GetEquPower(BA7,BN7, CJ7, FS7))</formula>
    </cfRule>
  </conditionalFormatting>
  <conditionalFormatting sqref="EC7">
    <cfRule type="expression" dxfId="1" priority="2572">
      <formula>AND(BT7&gt;=5,EC7&lt;&gt;0, GetEquPower(BA7,BN7, CK7, FS7)=0)</formula>
    </cfRule>
    <cfRule type="expression" dxfId="0" priority="2573">
      <formula>AND(BT7&gt;=5,EC7&lt;&gt;GetEquPower(BA7,BN7, CK7, FS7))</formula>
    </cfRule>
  </conditionalFormatting>
  <conditionalFormatting sqref="ED7">
    <cfRule type="expression" dxfId="1" priority="2574">
      <formula>AND(BT7&gt;=6,ED7&lt;&gt;0, GetEquPower(BA7,BN7, CL7, FS7)=0)</formula>
    </cfRule>
    <cfRule type="expression" dxfId="0" priority="2575">
      <formula>AND(BT7&gt;=6,ED7&lt;&gt;GetEquPower(BA7,BN7, CL7, FS7))</formula>
    </cfRule>
  </conditionalFormatting>
  <conditionalFormatting sqref="EH7">
    <cfRule type="expression" dxfId="1" priority="2532">
      <formula>AND(BU7&gt;=1,EH7&lt;&gt;0, GetEquPower(BB7,BO7, CN7, FT7)=0)</formula>
    </cfRule>
    <cfRule type="expression" dxfId="0" priority="2533">
      <formula>AND(BU7&gt;=1,EH7&lt;&gt;GetEquPower(BB7,BO7, CN7, FT7))</formula>
    </cfRule>
  </conditionalFormatting>
  <conditionalFormatting sqref="EI7">
    <cfRule type="expression" dxfId="1" priority="2534">
      <formula>AND(BU7&gt;=2,EI7&lt;&gt;0, GetEquPower(BB7,BO7, CO7, FT7)=0)</formula>
    </cfRule>
    <cfRule type="expression" dxfId="0" priority="2535">
      <formula xml:space="preserve"> AND(BU7&gt;=2,EI7&lt;&gt;GetEquPower(BB7,BO7, CO7, FT7))</formula>
    </cfRule>
  </conditionalFormatting>
  <conditionalFormatting sqref="EJ7">
    <cfRule type="expression" dxfId="1" priority="2536">
      <formula>AND(BU7&gt;=3,EJ7&lt;&gt;0, GetEquPower(BB7,BO7, CP7, FT7)=0)</formula>
    </cfRule>
    <cfRule type="expression" dxfId="0" priority="2537">
      <formula xml:space="preserve"> AND(BU7&gt;=3,EJ7&lt;&gt;GetEquPower(BB7,BO7, CP7, FT7))</formula>
    </cfRule>
  </conditionalFormatting>
  <conditionalFormatting sqref="EK7">
    <cfRule type="expression" dxfId="1" priority="2560">
      <formula>AND(BU7&gt;=4,EK7&lt;&gt;0, GetEquPower(BB7,BO7, CQ7, FT7)=0)</formula>
    </cfRule>
    <cfRule type="expression" dxfId="0" priority="2561">
      <formula xml:space="preserve"> AND(BU7&gt;=4,EK7&lt;&gt;GetEquPower(BB7,BO7, CQ7, FT7))</formula>
    </cfRule>
  </conditionalFormatting>
  <conditionalFormatting sqref="EL7">
    <cfRule type="expression" dxfId="1" priority="2576">
      <formula>AND(BU7&gt;=5,EL7&lt;&gt;0, GetEquPower(BB7,BO7, CR7, FT7)=0)</formula>
    </cfRule>
    <cfRule type="expression" dxfId="0" priority="2577">
      <formula xml:space="preserve"> AND(BU7&gt;=5,EL7&lt;&gt;GetEquPower(BB7,BO7, CR7, FT7))</formula>
    </cfRule>
  </conditionalFormatting>
  <conditionalFormatting sqref="EM7">
    <cfRule type="expression" dxfId="1" priority="2578">
      <formula>AND(BU7&gt;=6,EM7&lt;&gt;0, GetEquPower(BB7,BO7, CS7, FT7)=0)</formula>
    </cfRule>
    <cfRule type="expression" dxfId="0" priority="2579">
      <formula xml:space="preserve"> AND(BU7&gt;=6,EM7&lt;&gt;GetEquPower(BB7,BO7, CS7, FT7))</formula>
    </cfRule>
  </conditionalFormatting>
  <conditionalFormatting sqref="EQ7">
    <cfRule type="expression" dxfId="1" priority="2538">
      <formula>AND(BV7&gt;=1,EQ7&lt;&gt;0, GetEquPower(BC7,BP7, CU7, FU7)=0)</formula>
    </cfRule>
    <cfRule type="expression" dxfId="0" priority="2539">
      <formula>AND(BV7&gt;=1,EQ7&lt;&gt;GetEquPower(BC7,BP7, CU7, FU7))</formula>
    </cfRule>
  </conditionalFormatting>
  <conditionalFormatting sqref="ER7">
    <cfRule type="expression" dxfId="1" priority="2540">
      <formula>AND(BV7&gt;=2,ER7&lt;&gt;0, GetEquPower(BC7,BP7, CV7, FU7)=0)</formula>
    </cfRule>
    <cfRule type="expression" dxfId="0" priority="2541">
      <formula>AND(BV7&gt;=2,ER7&lt;&gt;GetEquPower(BC7,BP7, CV7, FU7))</formula>
    </cfRule>
  </conditionalFormatting>
  <conditionalFormatting sqref="ES7">
    <cfRule type="expression" dxfId="1" priority="2542">
      <formula>AND(BV7&gt;=3,ES7&lt;&gt;0, GetEquPower(BC7,BP7, CW7, FU7)=0)</formula>
    </cfRule>
    <cfRule type="expression" dxfId="0" priority="2543">
      <formula>AND(BV7&gt;=3,ES7&lt;&gt;GetEquPower(BC7,BP7, CW7, FU7))</formula>
    </cfRule>
  </conditionalFormatting>
  <conditionalFormatting sqref="ET7">
    <cfRule type="expression" dxfId="1" priority="2562">
      <formula>AND(BV7&gt;=4,ET7&lt;&gt;0, GetEquPower(BC7,BP7, CX7, FU7)=0)</formula>
    </cfRule>
    <cfRule type="expression" dxfId="0" priority="2563">
      <formula>AND(BV7&gt;=4,ET7&lt;&gt;GetEquPower(BC7,BP7, CX7, FU7))</formula>
    </cfRule>
  </conditionalFormatting>
  <conditionalFormatting sqref="EU7">
    <cfRule type="expression" dxfId="1" priority="2580">
      <formula>AND(BV7&gt;=5,EU7&lt;&gt;0, GetEquPower(BC7,BP7, CY7, FU7)=0)</formula>
    </cfRule>
    <cfRule type="expression" dxfId="0" priority="2581">
      <formula>AND(BV7&gt;=5,EU7&lt;&gt;GetEquPower(BC7,BP7, CY7, FU7))</formula>
    </cfRule>
  </conditionalFormatting>
  <conditionalFormatting sqref="EV7">
    <cfRule type="expression" dxfId="1" priority="2582">
      <formula>AND(BV7&gt;=6,EV7&lt;&gt;0, GetEquPower(BC7,BP7, CZ7, FU7)=0)</formula>
    </cfRule>
    <cfRule type="expression" dxfId="0" priority="2583">
      <formula>AND(BV7&gt;=6,EV7&lt;&gt;GetEquPower(BC7,BP7, CZ7, FU7))</formula>
    </cfRule>
  </conditionalFormatting>
  <conditionalFormatting sqref="EZ7">
    <cfRule type="expression" dxfId="1" priority="2544">
      <formula>AND(BW7&gt;=1,EZ7&lt;&gt;0, GetEquPower(BD7,BQ7, DB7, FV7)=0)</formula>
    </cfRule>
    <cfRule type="expression" dxfId="0" priority="2545">
      <formula>AND(BW7&gt;=1,EZ7&lt;&gt;GetEquPower(BD7,BQ7, DB7, FV7))</formula>
    </cfRule>
  </conditionalFormatting>
  <conditionalFormatting sqref="FA7">
    <cfRule type="expression" dxfId="1" priority="2546">
      <formula>AND(BW7&gt;=2,FA7&lt;&gt;0, GetEquPower(BD7,BQ7, DC7, FV7)=0)</formula>
    </cfRule>
    <cfRule type="expression" dxfId="0" priority="2547">
      <formula>AND(BW7&gt;=2,FA7&lt;&gt;GetEquPower(BD7,BQ7, DC7, FV7))</formula>
    </cfRule>
  </conditionalFormatting>
  <conditionalFormatting sqref="FB7">
    <cfRule type="expression" dxfId="1" priority="2548">
      <formula>AND(BW7&gt;=3,FB7&lt;&gt;0, GetEquPower(BD7,BQ7, DD7, FV7)=0)</formula>
    </cfRule>
    <cfRule type="expression" dxfId="0" priority="2549">
      <formula>AND(BW7&gt;=3,FB7&lt;&gt;GetEquPower(BD7,BQ7, DD7, FV7))</formula>
    </cfRule>
  </conditionalFormatting>
  <conditionalFormatting sqref="FC7">
    <cfRule type="expression" dxfId="1" priority="2564">
      <formula>AND(BW7&gt;=4,FC7&lt;&gt;0, GetEquPower(BD7,BQ7, DE7, FV7)=0)</formula>
    </cfRule>
    <cfRule type="expression" dxfId="0" priority="2565">
      <formula>AND(BW7&gt;=4,FC7&lt;&gt;GetEquPower(BD7,BQ7, DE7, FV7))</formula>
    </cfRule>
  </conditionalFormatting>
  <conditionalFormatting sqref="FD7">
    <cfRule type="expression" dxfId="1" priority="2584">
      <formula>AND(BW7&gt;=5,FD7&lt;&gt;0, GetEquPower(BD7,BQ7, DF7, FV7)=0)</formula>
    </cfRule>
    <cfRule type="expression" dxfId="0" priority="2585">
      <formula>AND(BW7&gt;=5,FD7&lt;&gt;GetEquPower(BD7,BQ7, DF7, FV7))</formula>
    </cfRule>
  </conditionalFormatting>
  <conditionalFormatting sqref="FE7">
    <cfRule type="expression" dxfId="1" priority="2586">
      <formula>AND(BW7&gt;=6,FE7&lt;&gt;0, GetEquPower(BD7,BQ7, DG7, FV7)=0)</formula>
    </cfRule>
    <cfRule type="expression" dxfId="0" priority="2587">
      <formula>AND(BW7&gt;=6,FE7&lt;&gt;GetEquPower(BD7,BQ7, DG7, FV7))</formula>
    </cfRule>
  </conditionalFormatting>
  <conditionalFormatting sqref="FI7">
    <cfRule type="expression" dxfId="1" priority="2550">
      <formula>AND(BX7&gt;=1,FI7&lt;&gt;0, GetEquPower(BE7,BR7, DI7, FW7)=0)</formula>
    </cfRule>
    <cfRule type="expression" dxfId="0" priority="2551">
      <formula>AND(BX7&gt;=1,FI7&lt;&gt;GetEquPower(BE7,BR7, DI7, FW7))</formula>
    </cfRule>
  </conditionalFormatting>
  <conditionalFormatting sqref="FJ7">
    <cfRule type="expression" dxfId="1" priority="2552">
      <formula>AND(BX7&gt;=2,FJ7&lt;&gt;0, GetEquPower(BE7,BR7, DJ7, FW7)=0)</formula>
    </cfRule>
    <cfRule type="expression" dxfId="0" priority="2553">
      <formula>AND(BX7&gt;=2,FJ7&lt;&gt;GetEquPower(BE7,BR7, DJ7, FW7))</formula>
    </cfRule>
  </conditionalFormatting>
  <conditionalFormatting sqref="FK7">
    <cfRule type="expression" dxfId="1" priority="2554">
      <formula>AND(BX7&gt;=3,FK7&lt;&gt;0, GetEquPower(BE7,BR7, DK7, FW7)=0)</formula>
    </cfRule>
    <cfRule type="expression" dxfId="0" priority="2555">
      <formula>AND(BX7&gt;=3,FK7&lt;&gt;GetEquPower(BE7,BR7, DK7, FW7))</formula>
    </cfRule>
  </conditionalFormatting>
  <conditionalFormatting sqref="FL7">
    <cfRule type="expression" dxfId="1" priority="2566">
      <formula>AND(BX7&gt;=4,FL7&lt;&gt;0, GetEquPower(BE7,BR7, DL7, FW7)=0)</formula>
    </cfRule>
    <cfRule type="expression" dxfId="0" priority="2567">
      <formula>AND(BX7&gt;=4,FL7&lt;&gt;GetEquPower(BE7,BR7, DL7, FW7))</formula>
    </cfRule>
  </conditionalFormatting>
  <conditionalFormatting sqref="FM7">
    <cfRule type="expression" dxfId="1" priority="2588">
      <formula>AND(BX7&gt;=5,FM7&lt;&gt;0, GetEquPower(BE7,BR7, DM7, FW7)=0)</formula>
    </cfRule>
    <cfRule type="expression" dxfId="0" priority="2589">
      <formula>AND(BX7&gt;=5,FM7&lt;&gt;GetEquPower(BE7,BR7, DM7, FW7))</formula>
    </cfRule>
  </conditionalFormatting>
  <conditionalFormatting sqref="FN7">
    <cfRule type="expression" dxfId="1" priority="2590">
      <formula>AND(BX7&gt;=6,FN7&lt;&gt;0, GetEquPower(BE7,BR7, DN7, FW7)=0)</formula>
    </cfRule>
    <cfRule type="expression" dxfId="0" priority="2591">
      <formula>AND(BX7&gt;=6,FN7&lt;&gt;GetEquPower(BE7,BR7, DN7, FW7))</formula>
    </cfRule>
  </conditionalFormatting>
  <conditionalFormatting sqref="F8">
    <cfRule type="expression" dxfId="72" priority="2438">
      <formula>F8&lt;&gt;RIGHT(SUBSTITUTE(TRIM(E8),".",""),LEN(F8))</formula>
    </cfRule>
  </conditionalFormatting>
  <conditionalFormatting sqref="BS8">
    <cfRule type="expression" dxfId="72" priority="2437">
      <formula>AND(J8&gt;=1,BS8&lt;1)</formula>
    </cfRule>
  </conditionalFormatting>
  <conditionalFormatting sqref="BT8">
    <cfRule type="expression" dxfId="72" priority="2436">
      <formula>AND(J8&gt;=2,BT8&lt;1)</formula>
    </cfRule>
  </conditionalFormatting>
  <conditionalFormatting sqref="BU8">
    <cfRule type="expression" dxfId="72" priority="2434">
      <formula>AND(J8&gt;=3,BU8&lt;1)</formula>
    </cfRule>
  </conditionalFormatting>
  <conditionalFormatting sqref="BV8">
    <cfRule type="expression" dxfId="72" priority="2433">
      <formula>AND(J8&gt;=4,BV8&lt;1)</formula>
    </cfRule>
  </conditionalFormatting>
  <conditionalFormatting sqref="BW8">
    <cfRule type="expression" dxfId="72" priority="2435">
      <formula>AND(J8&gt;=5,BW8&lt;1)</formula>
    </cfRule>
  </conditionalFormatting>
  <conditionalFormatting sqref="BX8">
    <cfRule type="expression" dxfId="72" priority="2432">
      <formula>AND(J8&gt;=6,BX8&lt;1)</formula>
    </cfRule>
  </conditionalFormatting>
  <conditionalFormatting sqref="IC8">
    <cfRule type="expression" dxfId="72" priority="2511">
      <formula>AND($S8 = TRUE, $IC8&lt;&gt;OptionsUnitCode)</formula>
    </cfRule>
  </conditionalFormatting>
  <conditionalFormatting sqref="B8:II8">
    <cfRule type="containsErrors" dxfId="72" priority="2431">
      <formula>ISERROR(B8)</formula>
    </cfRule>
  </conditionalFormatting>
  <conditionalFormatting sqref="DP8">
    <cfRule type="expression" dxfId="1" priority="2439">
      <formula>AND(BS8&gt;=1,DP8&lt;&gt;0, GetEquPower(AZ8,BM8, BZ8, FR8)=0)</formula>
    </cfRule>
    <cfRule type="expression" dxfId="0" priority="2440">
      <formula>AND(BS8&gt;=1,DP8&lt;&gt;GetEquPower(AZ8,BM8, BZ8, FR8))</formula>
    </cfRule>
  </conditionalFormatting>
  <conditionalFormatting sqref="DQ8">
    <cfRule type="expression" dxfId="1" priority="2441">
      <formula>AND(BS8&gt;=2,DQ8&lt;&gt;0, GetEquPower(AZ8,BM8, CA8, FR8)=0)</formula>
    </cfRule>
    <cfRule type="expression" dxfId="0" priority="2442">
      <formula>AND(BS8&gt;=2,DQ8&lt;&gt;GetEquPower(AZ8,BM8, CA8, FR8))</formula>
    </cfRule>
  </conditionalFormatting>
  <conditionalFormatting sqref="DR8">
    <cfRule type="expression" dxfId="1" priority="2443">
      <formula>AND(BS8&gt;=3,DR8&lt;&gt;0, GetEquPower(AZ8,BM8, CB8, FR8)=0)</formula>
    </cfRule>
    <cfRule type="expression" dxfId="0" priority="2444">
      <formula>AND(BS8&gt;=3,DR8&lt;&gt;GetEquPower(AZ8,BM8, CB8, FR8))</formula>
    </cfRule>
  </conditionalFormatting>
  <conditionalFormatting sqref="DS8">
    <cfRule type="expression" dxfId="1" priority="2475">
      <formula>AND(BS8&gt;=4,DS8&lt;&gt;0, GetEquPower(AZ8,BM8, CC8, FR8)=0)</formula>
    </cfRule>
    <cfRule type="expression" dxfId="0" priority="2476">
      <formula>AND(BS8&gt;=4, DS8&lt;&gt;GetEquPower(AZ8,BM8, CC8, FR8))</formula>
    </cfRule>
  </conditionalFormatting>
  <conditionalFormatting sqref="DT8">
    <cfRule type="expression" dxfId="1" priority="2487">
      <formula>AND(BS8&gt;=5,DT8&lt;&gt;0, GetEquPower(AZ8,BM8, CD8, FR8)=0)</formula>
    </cfRule>
    <cfRule type="expression" dxfId="0" priority="2488">
      <formula>AND(BS8&gt;=5, DT8&lt;&gt;GetEquPower(AZ8,BM8, CD8, FR8))</formula>
    </cfRule>
  </conditionalFormatting>
  <conditionalFormatting sqref="DU8">
    <cfRule type="expression" dxfId="1" priority="2489">
      <formula>AND(BS8&gt;=6,DU8&lt;&gt;0, GetEquPower(AZ8,BM8, CE8, FR8)=0)</formula>
    </cfRule>
    <cfRule type="expression" dxfId="0" priority="2490">
      <formula>AND(BS8&gt;=6, DU8&lt;&gt;GetEquPower(AZ8,BM8, CE8, FR8))</formula>
    </cfRule>
  </conditionalFormatting>
  <conditionalFormatting sqref="DY8">
    <cfRule type="expression" dxfId="1" priority="2445">
      <formula>AND(BT8&gt;=1,DY8&lt;&gt;0, GetEquPower(BA8,BN8, CG8, FS8)=0)</formula>
    </cfRule>
    <cfRule type="expression" dxfId="0" priority="2446">
      <formula>AND(BT8&gt;=1,DY8&lt;&gt;GetEquPower(BA8,BN8, CG8, FS8))</formula>
    </cfRule>
  </conditionalFormatting>
  <conditionalFormatting sqref="DZ8">
    <cfRule type="expression" dxfId="1" priority="2447">
      <formula>AND(BT8&gt;=2,DZ8&lt;&gt;0, GetEquPower(BA8,BN8, CH8, FS8)=0)</formula>
    </cfRule>
    <cfRule type="expression" dxfId="0" priority="2448">
      <formula>AND(BT8&gt;=2,DZ8&lt;&gt;GetEquPower(BA8,BN8, CH8, FS8))</formula>
    </cfRule>
  </conditionalFormatting>
  <conditionalFormatting sqref="EA8">
    <cfRule type="expression" dxfId="1" priority="2449">
      <formula>AND(BT8&gt;=3,EA8&lt;&gt;0, GetEquPower(BA8,BN8, CI8, FS8)=0)</formula>
    </cfRule>
    <cfRule type="expression" dxfId="0" priority="2450">
      <formula>AND(BT8&gt;=3,EA8&lt;&gt;GetEquPower(BA8,BN8, CI8, FS8))</formula>
    </cfRule>
  </conditionalFormatting>
  <conditionalFormatting sqref="EB8">
    <cfRule type="expression" dxfId="1" priority="2477">
      <formula>AND(BT8&gt;=4,EB8&lt;&gt;0, GetEquPower(BA8,BN8, CJ8, FS8)=0)</formula>
    </cfRule>
    <cfRule type="expression" dxfId="0" priority="2478">
      <formula>AND(BT8&gt;=4,EB8&lt;&gt;GetEquPower(BA8,BN8, CJ8, FS8))</formula>
    </cfRule>
  </conditionalFormatting>
  <conditionalFormatting sqref="EC8">
    <cfRule type="expression" dxfId="1" priority="2491">
      <formula>AND(BT8&gt;=5,EC8&lt;&gt;0, GetEquPower(BA8,BN8, CK8, FS8)=0)</formula>
    </cfRule>
    <cfRule type="expression" dxfId="0" priority="2492">
      <formula>AND(BT8&gt;=5,EC8&lt;&gt;GetEquPower(BA8,BN8, CK8, FS8))</formula>
    </cfRule>
  </conditionalFormatting>
  <conditionalFormatting sqref="ED8">
    <cfRule type="expression" dxfId="1" priority="2493">
      <formula>AND(BT8&gt;=6,ED8&lt;&gt;0, GetEquPower(BA8,BN8, CL8, FS8)=0)</formula>
    </cfRule>
    <cfRule type="expression" dxfId="0" priority="2494">
      <formula>AND(BT8&gt;=6,ED8&lt;&gt;GetEquPower(BA8,BN8, CL8, FS8))</formula>
    </cfRule>
  </conditionalFormatting>
  <conditionalFormatting sqref="EH8">
    <cfRule type="expression" dxfId="1" priority="2451">
      <formula>AND(BU8&gt;=1,EH8&lt;&gt;0, GetEquPower(BB8,BO8, CN8, FT8)=0)</formula>
    </cfRule>
    <cfRule type="expression" dxfId="0" priority="2452">
      <formula>AND(BU8&gt;=1,EH8&lt;&gt;GetEquPower(BB8,BO8, CN8, FT8))</formula>
    </cfRule>
  </conditionalFormatting>
  <conditionalFormatting sqref="EI8">
    <cfRule type="expression" dxfId="1" priority="2453">
      <formula>AND(BU8&gt;=2,EI8&lt;&gt;0, GetEquPower(BB8,BO8, CO8, FT8)=0)</formula>
    </cfRule>
    <cfRule type="expression" dxfId="0" priority="2454">
      <formula xml:space="preserve"> AND(BU8&gt;=2,EI8&lt;&gt;GetEquPower(BB8,BO8, CO8, FT8))</formula>
    </cfRule>
  </conditionalFormatting>
  <conditionalFormatting sqref="EJ8">
    <cfRule type="expression" dxfId="1" priority="2455">
      <formula>AND(BU8&gt;=3,EJ8&lt;&gt;0, GetEquPower(BB8,BO8, CP8, FT8)=0)</formula>
    </cfRule>
    <cfRule type="expression" dxfId="0" priority="2456">
      <formula xml:space="preserve"> AND(BU8&gt;=3,EJ8&lt;&gt;GetEquPower(BB8,BO8, CP8, FT8))</formula>
    </cfRule>
  </conditionalFormatting>
  <conditionalFormatting sqref="EK8">
    <cfRule type="expression" dxfId="1" priority="2479">
      <formula>AND(BU8&gt;=4,EK8&lt;&gt;0, GetEquPower(BB8,BO8, CQ8, FT8)=0)</formula>
    </cfRule>
    <cfRule type="expression" dxfId="0" priority="2480">
      <formula xml:space="preserve"> AND(BU8&gt;=4,EK8&lt;&gt;GetEquPower(BB8,BO8, CQ8, FT8))</formula>
    </cfRule>
  </conditionalFormatting>
  <conditionalFormatting sqref="EL8">
    <cfRule type="expression" dxfId="1" priority="2495">
      <formula>AND(BU8&gt;=5,EL8&lt;&gt;0, GetEquPower(BB8,BO8, CR8, FT8)=0)</formula>
    </cfRule>
    <cfRule type="expression" dxfId="0" priority="2496">
      <formula xml:space="preserve"> AND(BU8&gt;=5,EL8&lt;&gt;GetEquPower(BB8,BO8, CR8, FT8))</formula>
    </cfRule>
  </conditionalFormatting>
  <conditionalFormatting sqref="EM8">
    <cfRule type="expression" dxfId="1" priority="2497">
      <formula>AND(BU8&gt;=6,EM8&lt;&gt;0, GetEquPower(BB8,BO8, CS8, FT8)=0)</formula>
    </cfRule>
    <cfRule type="expression" dxfId="0" priority="2498">
      <formula xml:space="preserve"> AND(BU8&gt;=6,EM8&lt;&gt;GetEquPower(BB8,BO8, CS8, FT8))</formula>
    </cfRule>
  </conditionalFormatting>
  <conditionalFormatting sqref="EQ8">
    <cfRule type="expression" dxfId="1" priority="2457">
      <formula>AND(BV8&gt;=1,EQ8&lt;&gt;0, GetEquPower(BC8,BP8, CU8, FU8)=0)</formula>
    </cfRule>
    <cfRule type="expression" dxfId="0" priority="2458">
      <formula>AND(BV8&gt;=1,EQ8&lt;&gt;GetEquPower(BC8,BP8, CU8, FU8))</formula>
    </cfRule>
  </conditionalFormatting>
  <conditionalFormatting sqref="ER8">
    <cfRule type="expression" dxfId="1" priority="2459">
      <formula>AND(BV8&gt;=2,ER8&lt;&gt;0, GetEquPower(BC8,BP8, CV8, FU8)=0)</formula>
    </cfRule>
    <cfRule type="expression" dxfId="0" priority="2460">
      <formula>AND(BV8&gt;=2,ER8&lt;&gt;GetEquPower(BC8,BP8, CV8, FU8))</formula>
    </cfRule>
  </conditionalFormatting>
  <conditionalFormatting sqref="ES8">
    <cfRule type="expression" dxfId="1" priority="2461">
      <formula>AND(BV8&gt;=3,ES8&lt;&gt;0, GetEquPower(BC8,BP8, CW8, FU8)=0)</formula>
    </cfRule>
    <cfRule type="expression" dxfId="0" priority="2462">
      <formula>AND(BV8&gt;=3,ES8&lt;&gt;GetEquPower(BC8,BP8, CW8, FU8))</formula>
    </cfRule>
  </conditionalFormatting>
  <conditionalFormatting sqref="ET8">
    <cfRule type="expression" dxfId="1" priority="2481">
      <formula>AND(BV8&gt;=4,ET8&lt;&gt;0, GetEquPower(BC8,BP8, CX8, FU8)=0)</formula>
    </cfRule>
    <cfRule type="expression" dxfId="0" priority="2482">
      <formula>AND(BV8&gt;=4,ET8&lt;&gt;GetEquPower(BC8,BP8, CX8, FU8))</formula>
    </cfRule>
  </conditionalFormatting>
  <conditionalFormatting sqref="EU8">
    <cfRule type="expression" dxfId="1" priority="2499">
      <formula>AND(BV8&gt;=5,EU8&lt;&gt;0, GetEquPower(BC8,BP8, CY8, FU8)=0)</formula>
    </cfRule>
    <cfRule type="expression" dxfId="0" priority="2500">
      <formula>AND(BV8&gt;=5,EU8&lt;&gt;GetEquPower(BC8,BP8, CY8, FU8))</formula>
    </cfRule>
  </conditionalFormatting>
  <conditionalFormatting sqref="EV8">
    <cfRule type="expression" dxfId="1" priority="2501">
      <formula>AND(BV8&gt;=6,EV8&lt;&gt;0, GetEquPower(BC8,BP8, CZ8, FU8)=0)</formula>
    </cfRule>
    <cfRule type="expression" dxfId="0" priority="2502">
      <formula>AND(BV8&gt;=6,EV8&lt;&gt;GetEquPower(BC8,BP8, CZ8, FU8))</formula>
    </cfRule>
  </conditionalFormatting>
  <conditionalFormatting sqref="EZ8">
    <cfRule type="expression" dxfId="1" priority="2463">
      <formula>AND(BW8&gt;=1,EZ8&lt;&gt;0, GetEquPower(BD8,BQ8, DB8, FV8)=0)</formula>
    </cfRule>
    <cfRule type="expression" dxfId="0" priority="2464">
      <formula>AND(BW8&gt;=1,EZ8&lt;&gt;GetEquPower(BD8,BQ8, DB8, FV8))</formula>
    </cfRule>
  </conditionalFormatting>
  <conditionalFormatting sqref="FA8">
    <cfRule type="expression" dxfId="1" priority="2465">
      <formula>AND(BW8&gt;=2,FA8&lt;&gt;0, GetEquPower(BD8,BQ8, DC8, FV8)=0)</formula>
    </cfRule>
    <cfRule type="expression" dxfId="0" priority="2466">
      <formula>AND(BW8&gt;=2,FA8&lt;&gt;GetEquPower(BD8,BQ8, DC8, FV8))</formula>
    </cfRule>
  </conditionalFormatting>
  <conditionalFormatting sqref="FB8">
    <cfRule type="expression" dxfId="1" priority="2467">
      <formula>AND(BW8&gt;=3,FB8&lt;&gt;0, GetEquPower(BD8,BQ8, DD8, FV8)=0)</formula>
    </cfRule>
    <cfRule type="expression" dxfId="0" priority="2468">
      <formula>AND(BW8&gt;=3,FB8&lt;&gt;GetEquPower(BD8,BQ8, DD8, FV8))</formula>
    </cfRule>
  </conditionalFormatting>
  <conditionalFormatting sqref="FC8">
    <cfRule type="expression" dxfId="1" priority="2483">
      <formula>AND(BW8&gt;=4,FC8&lt;&gt;0, GetEquPower(BD8,BQ8, DE8, FV8)=0)</formula>
    </cfRule>
    <cfRule type="expression" dxfId="0" priority="2484">
      <formula>AND(BW8&gt;=4,FC8&lt;&gt;GetEquPower(BD8,BQ8, DE8, FV8))</formula>
    </cfRule>
  </conditionalFormatting>
  <conditionalFormatting sqref="FD8">
    <cfRule type="expression" dxfId="1" priority="2503">
      <formula>AND(BW8&gt;=5,FD8&lt;&gt;0, GetEquPower(BD8,BQ8, DF8, FV8)=0)</formula>
    </cfRule>
    <cfRule type="expression" dxfId="0" priority="2504">
      <formula>AND(BW8&gt;=5,FD8&lt;&gt;GetEquPower(BD8,BQ8, DF8, FV8))</formula>
    </cfRule>
  </conditionalFormatting>
  <conditionalFormatting sqref="FE8">
    <cfRule type="expression" dxfId="1" priority="2505">
      <formula>AND(BW8&gt;=6,FE8&lt;&gt;0, GetEquPower(BD8,BQ8, DG8, FV8)=0)</formula>
    </cfRule>
    <cfRule type="expression" dxfId="0" priority="2506">
      <formula>AND(BW8&gt;=6,FE8&lt;&gt;GetEquPower(BD8,BQ8, DG8, FV8))</formula>
    </cfRule>
  </conditionalFormatting>
  <conditionalFormatting sqref="FI8">
    <cfRule type="expression" dxfId="1" priority="2469">
      <formula>AND(BX8&gt;=1,FI8&lt;&gt;0, GetEquPower(BE8,BR8, DI8, FW8)=0)</formula>
    </cfRule>
    <cfRule type="expression" dxfId="0" priority="2470">
      <formula>AND(BX8&gt;=1,FI8&lt;&gt;GetEquPower(BE8,BR8, DI8, FW8))</formula>
    </cfRule>
  </conditionalFormatting>
  <conditionalFormatting sqref="FJ8">
    <cfRule type="expression" dxfId="1" priority="2471">
      <formula>AND(BX8&gt;=2,FJ8&lt;&gt;0, GetEquPower(BE8,BR8, DJ8, FW8)=0)</formula>
    </cfRule>
    <cfRule type="expression" dxfId="0" priority="2472">
      <formula>AND(BX8&gt;=2,FJ8&lt;&gt;GetEquPower(BE8,BR8, DJ8, FW8))</formula>
    </cfRule>
  </conditionalFormatting>
  <conditionalFormatting sqref="FK8">
    <cfRule type="expression" dxfId="1" priority="2473">
      <formula>AND(BX8&gt;=3,FK8&lt;&gt;0, GetEquPower(BE8,BR8, DK8, FW8)=0)</formula>
    </cfRule>
    <cfRule type="expression" dxfId="0" priority="2474">
      <formula>AND(BX8&gt;=3,FK8&lt;&gt;GetEquPower(BE8,BR8, DK8, FW8))</formula>
    </cfRule>
  </conditionalFormatting>
  <conditionalFormatting sqref="FL8">
    <cfRule type="expression" dxfId="1" priority="2485">
      <formula>AND(BX8&gt;=4,FL8&lt;&gt;0, GetEquPower(BE8,BR8, DL8, FW8)=0)</formula>
    </cfRule>
    <cfRule type="expression" dxfId="0" priority="2486">
      <formula>AND(BX8&gt;=4,FL8&lt;&gt;GetEquPower(BE8,BR8, DL8, FW8))</formula>
    </cfRule>
  </conditionalFormatting>
  <conditionalFormatting sqref="FM8">
    <cfRule type="expression" dxfId="1" priority="2507">
      <formula>AND(BX8&gt;=5,FM8&lt;&gt;0, GetEquPower(BE8,BR8, DM8, FW8)=0)</formula>
    </cfRule>
    <cfRule type="expression" dxfId="0" priority="2508">
      <formula>AND(BX8&gt;=5,FM8&lt;&gt;GetEquPower(BE8,BR8, DM8, FW8))</formula>
    </cfRule>
  </conditionalFormatting>
  <conditionalFormatting sqref="FN8">
    <cfRule type="expression" dxfId="1" priority="2509">
      <formula>AND(BX8&gt;=6,FN8&lt;&gt;0, GetEquPower(BE8,BR8, DN8, FW8)=0)</formula>
    </cfRule>
    <cfRule type="expression" dxfId="0" priority="2510">
      <formula>AND(BX8&gt;=6,FN8&lt;&gt;GetEquPower(BE8,BR8, DN8, FW8))</formula>
    </cfRule>
  </conditionalFormatting>
  <conditionalFormatting sqref="F9">
    <cfRule type="expression" dxfId="72" priority="2357">
      <formula>F9&lt;&gt;RIGHT(SUBSTITUTE(TRIM(E9),".",""),LEN(F9))</formula>
    </cfRule>
  </conditionalFormatting>
  <conditionalFormatting sqref="BS9">
    <cfRule type="expression" dxfId="72" priority="2356">
      <formula>AND(J9&gt;=1,BS9&lt;1)</formula>
    </cfRule>
  </conditionalFormatting>
  <conditionalFormatting sqref="BT9">
    <cfRule type="expression" dxfId="72" priority="2355">
      <formula>AND(J9&gt;=2,BT9&lt;1)</formula>
    </cfRule>
  </conditionalFormatting>
  <conditionalFormatting sqref="BU9">
    <cfRule type="expression" dxfId="72" priority="2353">
      <formula>AND(J9&gt;=3,BU9&lt;1)</formula>
    </cfRule>
  </conditionalFormatting>
  <conditionalFormatting sqref="BV9">
    <cfRule type="expression" dxfId="72" priority="2352">
      <formula>AND(J9&gt;=4,BV9&lt;1)</formula>
    </cfRule>
  </conditionalFormatting>
  <conditionalFormatting sqref="BW9">
    <cfRule type="expression" dxfId="72" priority="2354">
      <formula>AND(J9&gt;=5,BW9&lt;1)</formula>
    </cfRule>
  </conditionalFormatting>
  <conditionalFormatting sqref="BX9">
    <cfRule type="expression" dxfId="72" priority="2351">
      <formula>AND(J9&gt;=6,BX9&lt;1)</formula>
    </cfRule>
  </conditionalFormatting>
  <conditionalFormatting sqref="IC9">
    <cfRule type="expression" dxfId="72" priority="2430">
      <formula>AND($S9 = TRUE, $IC9&lt;&gt;OptionsUnitCode)</formula>
    </cfRule>
  </conditionalFormatting>
  <conditionalFormatting sqref="B9:II9">
    <cfRule type="containsErrors" dxfId="72" priority="2350">
      <formula>ISERROR(B9)</formula>
    </cfRule>
  </conditionalFormatting>
  <conditionalFormatting sqref="DP9">
    <cfRule type="expression" dxfId="1" priority="2358">
      <formula>AND(BS9&gt;=1,DP9&lt;&gt;0, GetEquPower(AZ9,BM9, BZ9, FR9)=0)</formula>
    </cfRule>
    <cfRule type="expression" dxfId="0" priority="2359">
      <formula>AND(BS9&gt;=1,DP9&lt;&gt;GetEquPower(AZ9,BM9, BZ9, FR9))</formula>
    </cfRule>
  </conditionalFormatting>
  <conditionalFormatting sqref="DQ9">
    <cfRule type="expression" dxfId="1" priority="2360">
      <formula>AND(BS9&gt;=2,DQ9&lt;&gt;0, GetEquPower(AZ9,BM9, CA9, FR9)=0)</formula>
    </cfRule>
    <cfRule type="expression" dxfId="0" priority="2361">
      <formula>AND(BS9&gt;=2,DQ9&lt;&gt;GetEquPower(AZ9,BM9, CA9, FR9))</formula>
    </cfRule>
  </conditionalFormatting>
  <conditionalFormatting sqref="DR9">
    <cfRule type="expression" dxfId="1" priority="2362">
      <formula>AND(BS9&gt;=3,DR9&lt;&gt;0, GetEquPower(AZ9,BM9, CB9, FR9)=0)</formula>
    </cfRule>
    <cfRule type="expression" dxfId="0" priority="2363">
      <formula>AND(BS9&gt;=3,DR9&lt;&gt;GetEquPower(AZ9,BM9, CB9, FR9))</formula>
    </cfRule>
  </conditionalFormatting>
  <conditionalFormatting sqref="DS9">
    <cfRule type="expression" dxfId="1" priority="2394">
      <formula>AND(BS9&gt;=4,DS9&lt;&gt;0, GetEquPower(AZ9,BM9, CC9, FR9)=0)</formula>
    </cfRule>
    <cfRule type="expression" dxfId="0" priority="2395">
      <formula>AND(BS9&gt;=4, DS9&lt;&gt;GetEquPower(AZ9,BM9, CC9, FR9))</formula>
    </cfRule>
  </conditionalFormatting>
  <conditionalFormatting sqref="DT9">
    <cfRule type="expression" dxfId="1" priority="2406">
      <formula>AND(BS9&gt;=5,DT9&lt;&gt;0, GetEquPower(AZ9,BM9, CD9, FR9)=0)</formula>
    </cfRule>
    <cfRule type="expression" dxfId="0" priority="2407">
      <formula>AND(BS9&gt;=5, DT9&lt;&gt;GetEquPower(AZ9,BM9, CD9, FR9))</formula>
    </cfRule>
  </conditionalFormatting>
  <conditionalFormatting sqref="DU9">
    <cfRule type="expression" dxfId="1" priority="2408">
      <formula>AND(BS9&gt;=6,DU9&lt;&gt;0, GetEquPower(AZ9,BM9, CE9, FR9)=0)</formula>
    </cfRule>
    <cfRule type="expression" dxfId="0" priority="2409">
      <formula>AND(BS9&gt;=6, DU9&lt;&gt;GetEquPower(AZ9,BM9, CE9, FR9))</formula>
    </cfRule>
  </conditionalFormatting>
  <conditionalFormatting sqref="DY9">
    <cfRule type="expression" dxfId="1" priority="2364">
      <formula>AND(BT9&gt;=1,DY9&lt;&gt;0, GetEquPower(BA9,BN9, CG9, FS9)=0)</formula>
    </cfRule>
    <cfRule type="expression" dxfId="0" priority="2365">
      <formula>AND(BT9&gt;=1,DY9&lt;&gt;GetEquPower(BA9,BN9, CG9, FS9))</formula>
    </cfRule>
  </conditionalFormatting>
  <conditionalFormatting sqref="DZ9">
    <cfRule type="expression" dxfId="1" priority="2366">
      <formula>AND(BT9&gt;=2,DZ9&lt;&gt;0, GetEquPower(BA9,BN9, CH9, FS9)=0)</formula>
    </cfRule>
    <cfRule type="expression" dxfId="0" priority="2367">
      <formula>AND(BT9&gt;=2,DZ9&lt;&gt;GetEquPower(BA9,BN9, CH9, FS9))</formula>
    </cfRule>
  </conditionalFormatting>
  <conditionalFormatting sqref="EA9">
    <cfRule type="expression" dxfId="1" priority="2368">
      <formula>AND(BT9&gt;=3,EA9&lt;&gt;0, GetEquPower(BA9,BN9, CI9, FS9)=0)</formula>
    </cfRule>
    <cfRule type="expression" dxfId="0" priority="2369">
      <formula>AND(BT9&gt;=3,EA9&lt;&gt;GetEquPower(BA9,BN9, CI9, FS9))</formula>
    </cfRule>
  </conditionalFormatting>
  <conditionalFormatting sqref="EB9">
    <cfRule type="expression" dxfId="1" priority="2396">
      <formula>AND(BT9&gt;=4,EB9&lt;&gt;0, GetEquPower(BA9,BN9, CJ9, FS9)=0)</formula>
    </cfRule>
    <cfRule type="expression" dxfId="0" priority="2397">
      <formula>AND(BT9&gt;=4,EB9&lt;&gt;GetEquPower(BA9,BN9, CJ9, FS9))</formula>
    </cfRule>
  </conditionalFormatting>
  <conditionalFormatting sqref="EC9">
    <cfRule type="expression" dxfId="1" priority="2410">
      <formula>AND(BT9&gt;=5,EC9&lt;&gt;0, GetEquPower(BA9,BN9, CK9, FS9)=0)</formula>
    </cfRule>
    <cfRule type="expression" dxfId="0" priority="2411">
      <formula>AND(BT9&gt;=5,EC9&lt;&gt;GetEquPower(BA9,BN9, CK9, FS9))</formula>
    </cfRule>
  </conditionalFormatting>
  <conditionalFormatting sqref="ED9">
    <cfRule type="expression" dxfId="1" priority="2412">
      <formula>AND(BT9&gt;=6,ED9&lt;&gt;0, GetEquPower(BA9,BN9, CL9, FS9)=0)</formula>
    </cfRule>
    <cfRule type="expression" dxfId="0" priority="2413">
      <formula>AND(BT9&gt;=6,ED9&lt;&gt;GetEquPower(BA9,BN9, CL9, FS9))</formula>
    </cfRule>
  </conditionalFormatting>
  <conditionalFormatting sqref="EH9">
    <cfRule type="expression" dxfId="1" priority="2370">
      <formula>AND(BU9&gt;=1,EH9&lt;&gt;0, GetEquPower(BB9,BO9, CN9, FT9)=0)</formula>
    </cfRule>
    <cfRule type="expression" dxfId="0" priority="2371">
      <formula>AND(BU9&gt;=1,EH9&lt;&gt;GetEquPower(BB9,BO9, CN9, FT9))</formula>
    </cfRule>
  </conditionalFormatting>
  <conditionalFormatting sqref="EI9">
    <cfRule type="expression" dxfId="1" priority="2372">
      <formula>AND(BU9&gt;=2,EI9&lt;&gt;0, GetEquPower(BB9,BO9, CO9, FT9)=0)</formula>
    </cfRule>
    <cfRule type="expression" dxfId="0" priority="2373">
      <formula xml:space="preserve"> AND(BU9&gt;=2,EI9&lt;&gt;GetEquPower(BB9,BO9, CO9, FT9))</formula>
    </cfRule>
  </conditionalFormatting>
  <conditionalFormatting sqref="EJ9">
    <cfRule type="expression" dxfId="1" priority="2374">
      <formula>AND(BU9&gt;=3,EJ9&lt;&gt;0, GetEquPower(BB9,BO9, CP9, FT9)=0)</formula>
    </cfRule>
    <cfRule type="expression" dxfId="0" priority="2375">
      <formula xml:space="preserve"> AND(BU9&gt;=3,EJ9&lt;&gt;GetEquPower(BB9,BO9, CP9, FT9))</formula>
    </cfRule>
  </conditionalFormatting>
  <conditionalFormatting sqref="EK9">
    <cfRule type="expression" dxfId="1" priority="2398">
      <formula>AND(BU9&gt;=4,EK9&lt;&gt;0, GetEquPower(BB9,BO9, CQ9, FT9)=0)</formula>
    </cfRule>
    <cfRule type="expression" dxfId="0" priority="2399">
      <formula xml:space="preserve"> AND(BU9&gt;=4,EK9&lt;&gt;GetEquPower(BB9,BO9, CQ9, FT9))</formula>
    </cfRule>
  </conditionalFormatting>
  <conditionalFormatting sqref="EL9">
    <cfRule type="expression" dxfId="1" priority="2414">
      <formula>AND(BU9&gt;=5,EL9&lt;&gt;0, GetEquPower(BB9,BO9, CR9, FT9)=0)</formula>
    </cfRule>
    <cfRule type="expression" dxfId="0" priority="2415">
      <formula xml:space="preserve"> AND(BU9&gt;=5,EL9&lt;&gt;GetEquPower(BB9,BO9, CR9, FT9))</formula>
    </cfRule>
  </conditionalFormatting>
  <conditionalFormatting sqref="EM9">
    <cfRule type="expression" dxfId="1" priority="2416">
      <formula>AND(BU9&gt;=6,EM9&lt;&gt;0, GetEquPower(BB9,BO9, CS9, FT9)=0)</formula>
    </cfRule>
    <cfRule type="expression" dxfId="0" priority="2417">
      <formula xml:space="preserve"> AND(BU9&gt;=6,EM9&lt;&gt;GetEquPower(BB9,BO9, CS9, FT9))</formula>
    </cfRule>
  </conditionalFormatting>
  <conditionalFormatting sqref="EQ9">
    <cfRule type="expression" dxfId="1" priority="2376">
      <formula>AND(BV9&gt;=1,EQ9&lt;&gt;0, GetEquPower(BC9,BP9, CU9, FU9)=0)</formula>
    </cfRule>
    <cfRule type="expression" dxfId="0" priority="2377">
      <formula>AND(BV9&gt;=1,EQ9&lt;&gt;GetEquPower(BC9,BP9, CU9, FU9))</formula>
    </cfRule>
  </conditionalFormatting>
  <conditionalFormatting sqref="ER9">
    <cfRule type="expression" dxfId="1" priority="2378">
      <formula>AND(BV9&gt;=2,ER9&lt;&gt;0, GetEquPower(BC9,BP9, CV9, FU9)=0)</formula>
    </cfRule>
    <cfRule type="expression" dxfId="0" priority="2379">
      <formula>AND(BV9&gt;=2,ER9&lt;&gt;GetEquPower(BC9,BP9, CV9, FU9))</formula>
    </cfRule>
  </conditionalFormatting>
  <conditionalFormatting sqref="ES9">
    <cfRule type="expression" dxfId="1" priority="2380">
      <formula>AND(BV9&gt;=3,ES9&lt;&gt;0, GetEquPower(BC9,BP9, CW9, FU9)=0)</formula>
    </cfRule>
    <cfRule type="expression" dxfId="0" priority="2381">
      <formula>AND(BV9&gt;=3,ES9&lt;&gt;GetEquPower(BC9,BP9, CW9, FU9))</formula>
    </cfRule>
  </conditionalFormatting>
  <conditionalFormatting sqref="ET9">
    <cfRule type="expression" dxfId="1" priority="2400">
      <formula>AND(BV9&gt;=4,ET9&lt;&gt;0, GetEquPower(BC9,BP9, CX9, FU9)=0)</formula>
    </cfRule>
    <cfRule type="expression" dxfId="0" priority="2401">
      <formula>AND(BV9&gt;=4,ET9&lt;&gt;GetEquPower(BC9,BP9, CX9, FU9))</formula>
    </cfRule>
  </conditionalFormatting>
  <conditionalFormatting sqref="EU9">
    <cfRule type="expression" dxfId="1" priority="2418">
      <formula>AND(BV9&gt;=5,EU9&lt;&gt;0, GetEquPower(BC9,BP9, CY9, FU9)=0)</formula>
    </cfRule>
    <cfRule type="expression" dxfId="0" priority="2419">
      <formula>AND(BV9&gt;=5,EU9&lt;&gt;GetEquPower(BC9,BP9, CY9, FU9))</formula>
    </cfRule>
  </conditionalFormatting>
  <conditionalFormatting sqref="EV9">
    <cfRule type="expression" dxfId="1" priority="2420">
      <formula>AND(BV9&gt;=6,EV9&lt;&gt;0, GetEquPower(BC9,BP9, CZ9, FU9)=0)</formula>
    </cfRule>
    <cfRule type="expression" dxfId="0" priority="2421">
      <formula>AND(BV9&gt;=6,EV9&lt;&gt;GetEquPower(BC9,BP9, CZ9, FU9))</formula>
    </cfRule>
  </conditionalFormatting>
  <conditionalFormatting sqref="EZ9">
    <cfRule type="expression" dxfId="1" priority="2382">
      <formula>AND(BW9&gt;=1,EZ9&lt;&gt;0, GetEquPower(BD9,BQ9, DB9, FV9)=0)</formula>
    </cfRule>
    <cfRule type="expression" dxfId="0" priority="2383">
      <formula>AND(BW9&gt;=1,EZ9&lt;&gt;GetEquPower(BD9,BQ9, DB9, FV9))</formula>
    </cfRule>
  </conditionalFormatting>
  <conditionalFormatting sqref="FA9">
    <cfRule type="expression" dxfId="1" priority="2384">
      <formula>AND(BW9&gt;=2,FA9&lt;&gt;0, GetEquPower(BD9,BQ9, DC9, FV9)=0)</formula>
    </cfRule>
    <cfRule type="expression" dxfId="0" priority="2385">
      <formula>AND(BW9&gt;=2,FA9&lt;&gt;GetEquPower(BD9,BQ9, DC9, FV9))</formula>
    </cfRule>
  </conditionalFormatting>
  <conditionalFormatting sqref="FB9">
    <cfRule type="expression" dxfId="1" priority="2386">
      <formula>AND(BW9&gt;=3,FB9&lt;&gt;0, GetEquPower(BD9,BQ9, DD9, FV9)=0)</formula>
    </cfRule>
    <cfRule type="expression" dxfId="0" priority="2387">
      <formula>AND(BW9&gt;=3,FB9&lt;&gt;GetEquPower(BD9,BQ9, DD9, FV9))</formula>
    </cfRule>
  </conditionalFormatting>
  <conditionalFormatting sqref="FC9">
    <cfRule type="expression" dxfId="1" priority="2402">
      <formula>AND(BW9&gt;=4,FC9&lt;&gt;0, GetEquPower(BD9,BQ9, DE9, FV9)=0)</formula>
    </cfRule>
    <cfRule type="expression" dxfId="0" priority="2403">
      <formula>AND(BW9&gt;=4,FC9&lt;&gt;GetEquPower(BD9,BQ9, DE9, FV9))</formula>
    </cfRule>
  </conditionalFormatting>
  <conditionalFormatting sqref="FD9">
    <cfRule type="expression" dxfId="1" priority="2422">
      <formula>AND(BW9&gt;=5,FD9&lt;&gt;0, GetEquPower(BD9,BQ9, DF9, FV9)=0)</formula>
    </cfRule>
    <cfRule type="expression" dxfId="0" priority="2423">
      <formula>AND(BW9&gt;=5,FD9&lt;&gt;GetEquPower(BD9,BQ9, DF9, FV9))</formula>
    </cfRule>
  </conditionalFormatting>
  <conditionalFormatting sqref="FE9">
    <cfRule type="expression" dxfId="1" priority="2424">
      <formula>AND(BW9&gt;=6,FE9&lt;&gt;0, GetEquPower(BD9,BQ9, DG9, FV9)=0)</formula>
    </cfRule>
    <cfRule type="expression" dxfId="0" priority="2425">
      <formula>AND(BW9&gt;=6,FE9&lt;&gt;GetEquPower(BD9,BQ9, DG9, FV9))</formula>
    </cfRule>
  </conditionalFormatting>
  <conditionalFormatting sqref="FI9">
    <cfRule type="expression" dxfId="1" priority="2388">
      <formula>AND(BX9&gt;=1,FI9&lt;&gt;0, GetEquPower(BE9,BR9, DI9, FW9)=0)</formula>
    </cfRule>
    <cfRule type="expression" dxfId="0" priority="2389">
      <formula>AND(BX9&gt;=1,FI9&lt;&gt;GetEquPower(BE9,BR9, DI9, FW9))</formula>
    </cfRule>
  </conditionalFormatting>
  <conditionalFormatting sqref="FJ9">
    <cfRule type="expression" dxfId="1" priority="2390">
      <formula>AND(BX9&gt;=2,FJ9&lt;&gt;0, GetEquPower(BE9,BR9, DJ9, FW9)=0)</formula>
    </cfRule>
    <cfRule type="expression" dxfId="0" priority="2391">
      <formula>AND(BX9&gt;=2,FJ9&lt;&gt;GetEquPower(BE9,BR9, DJ9, FW9))</formula>
    </cfRule>
  </conditionalFormatting>
  <conditionalFormatting sqref="FK9">
    <cfRule type="expression" dxfId="1" priority="2392">
      <formula>AND(BX9&gt;=3,FK9&lt;&gt;0, GetEquPower(BE9,BR9, DK9, FW9)=0)</formula>
    </cfRule>
    <cfRule type="expression" dxfId="0" priority="2393">
      <formula>AND(BX9&gt;=3,FK9&lt;&gt;GetEquPower(BE9,BR9, DK9, FW9))</formula>
    </cfRule>
  </conditionalFormatting>
  <conditionalFormatting sqref="FL9">
    <cfRule type="expression" dxfId="1" priority="2404">
      <formula>AND(BX9&gt;=4,FL9&lt;&gt;0, GetEquPower(BE9,BR9, DL9, FW9)=0)</formula>
    </cfRule>
    <cfRule type="expression" dxfId="0" priority="2405">
      <formula>AND(BX9&gt;=4,FL9&lt;&gt;GetEquPower(BE9,BR9, DL9, FW9))</formula>
    </cfRule>
  </conditionalFormatting>
  <conditionalFormatting sqref="FM9">
    <cfRule type="expression" dxfId="1" priority="2426">
      <formula>AND(BX9&gt;=5,FM9&lt;&gt;0, GetEquPower(BE9,BR9, DM9, FW9)=0)</formula>
    </cfRule>
    <cfRule type="expression" dxfId="0" priority="2427">
      <formula>AND(BX9&gt;=5,FM9&lt;&gt;GetEquPower(BE9,BR9, DM9, FW9))</formula>
    </cfRule>
  </conditionalFormatting>
  <conditionalFormatting sqref="FN9">
    <cfRule type="expression" dxfId="1" priority="2428">
      <formula>AND(BX9&gt;=6,FN9&lt;&gt;0, GetEquPower(BE9,BR9, DN9, FW9)=0)</formula>
    </cfRule>
    <cfRule type="expression" dxfId="0" priority="2429">
      <formula>AND(BX9&gt;=6,FN9&lt;&gt;GetEquPower(BE9,BR9, DN9, FW9))</formula>
    </cfRule>
  </conditionalFormatting>
  <conditionalFormatting sqref="F10">
    <cfRule type="expression" dxfId="72" priority="2276">
      <formula>F10&lt;&gt;RIGHT(SUBSTITUTE(TRIM(E10),".",""),LEN(F10))</formula>
    </cfRule>
  </conditionalFormatting>
  <conditionalFormatting sqref="BS10">
    <cfRule type="expression" dxfId="72" priority="2275">
      <formula>AND(J10&gt;=1,BS10&lt;1)</formula>
    </cfRule>
  </conditionalFormatting>
  <conditionalFormatting sqref="BT10">
    <cfRule type="expression" dxfId="72" priority="2274">
      <formula>AND(J10&gt;=2,BT10&lt;1)</formula>
    </cfRule>
  </conditionalFormatting>
  <conditionalFormatting sqref="BU10">
    <cfRule type="expression" dxfId="72" priority="2272">
      <formula>AND(J10&gt;=3,BU10&lt;1)</formula>
    </cfRule>
  </conditionalFormatting>
  <conditionalFormatting sqref="BV10">
    <cfRule type="expression" dxfId="72" priority="2271">
      <formula>AND(J10&gt;=4,BV10&lt;1)</formula>
    </cfRule>
  </conditionalFormatting>
  <conditionalFormatting sqref="BW10">
    <cfRule type="expression" dxfId="72" priority="2273">
      <formula>AND(J10&gt;=5,BW10&lt;1)</formula>
    </cfRule>
  </conditionalFormatting>
  <conditionalFormatting sqref="BX10">
    <cfRule type="expression" dxfId="72" priority="2270">
      <formula>AND(J10&gt;=6,BX10&lt;1)</formula>
    </cfRule>
  </conditionalFormatting>
  <conditionalFormatting sqref="IC10">
    <cfRule type="expression" dxfId="72" priority="2349">
      <formula>AND($S10 = TRUE, $IC10&lt;&gt;OptionsUnitCode)</formula>
    </cfRule>
  </conditionalFormatting>
  <conditionalFormatting sqref="B10:II10">
    <cfRule type="containsErrors" dxfId="72" priority="2269">
      <formula>ISERROR(B10)</formula>
    </cfRule>
  </conditionalFormatting>
  <conditionalFormatting sqref="DP10">
    <cfRule type="expression" dxfId="1" priority="2277">
      <formula>AND(BS10&gt;=1,DP10&lt;&gt;0, GetEquPower(AZ10,BM10, BZ10, FR10)=0)</formula>
    </cfRule>
    <cfRule type="expression" dxfId="0" priority="2278">
      <formula>AND(BS10&gt;=1,DP10&lt;&gt;GetEquPower(AZ10,BM10, BZ10, FR10))</formula>
    </cfRule>
  </conditionalFormatting>
  <conditionalFormatting sqref="DQ10">
    <cfRule type="expression" dxfId="1" priority="2279">
      <formula>AND(BS10&gt;=2,DQ10&lt;&gt;0, GetEquPower(AZ10,BM10, CA10, FR10)=0)</formula>
    </cfRule>
    <cfRule type="expression" dxfId="0" priority="2280">
      <formula>AND(BS10&gt;=2,DQ10&lt;&gt;GetEquPower(AZ10,BM10, CA10, FR10))</formula>
    </cfRule>
  </conditionalFormatting>
  <conditionalFormatting sqref="DR10">
    <cfRule type="expression" dxfId="1" priority="2281">
      <formula>AND(BS10&gt;=3,DR10&lt;&gt;0, GetEquPower(AZ10,BM10, CB10, FR10)=0)</formula>
    </cfRule>
    <cfRule type="expression" dxfId="0" priority="2282">
      <formula>AND(BS10&gt;=3,DR10&lt;&gt;GetEquPower(AZ10,BM10, CB10, FR10))</formula>
    </cfRule>
  </conditionalFormatting>
  <conditionalFormatting sqref="DS10">
    <cfRule type="expression" dxfId="1" priority="2313">
      <formula>AND(BS10&gt;=4,DS10&lt;&gt;0, GetEquPower(AZ10,BM10, CC10, FR10)=0)</formula>
    </cfRule>
    <cfRule type="expression" dxfId="0" priority="2314">
      <formula>AND(BS10&gt;=4, DS10&lt;&gt;GetEquPower(AZ10,BM10, CC10, FR10))</formula>
    </cfRule>
  </conditionalFormatting>
  <conditionalFormatting sqref="DT10">
    <cfRule type="expression" dxfId="1" priority="2325">
      <formula>AND(BS10&gt;=5,DT10&lt;&gt;0, GetEquPower(AZ10,BM10, CD10, FR10)=0)</formula>
    </cfRule>
    <cfRule type="expression" dxfId="0" priority="2326">
      <formula>AND(BS10&gt;=5, DT10&lt;&gt;GetEquPower(AZ10,BM10, CD10, FR10))</formula>
    </cfRule>
  </conditionalFormatting>
  <conditionalFormatting sqref="DU10">
    <cfRule type="expression" dxfId="1" priority="2327">
      <formula>AND(BS10&gt;=6,DU10&lt;&gt;0, GetEquPower(AZ10,BM10, CE10, FR10)=0)</formula>
    </cfRule>
    <cfRule type="expression" dxfId="0" priority="2328">
      <formula>AND(BS10&gt;=6, DU10&lt;&gt;GetEquPower(AZ10,BM10, CE10, FR10))</formula>
    </cfRule>
  </conditionalFormatting>
  <conditionalFormatting sqref="DY10">
    <cfRule type="expression" dxfId="1" priority="2283">
      <formula>AND(BT10&gt;=1,DY10&lt;&gt;0, GetEquPower(BA10,BN10, CG10, FS10)=0)</formula>
    </cfRule>
    <cfRule type="expression" dxfId="0" priority="2284">
      <formula>AND(BT10&gt;=1,DY10&lt;&gt;GetEquPower(BA10,BN10, CG10, FS10))</formula>
    </cfRule>
  </conditionalFormatting>
  <conditionalFormatting sqref="DZ10">
    <cfRule type="expression" dxfId="1" priority="2285">
      <formula>AND(BT10&gt;=2,DZ10&lt;&gt;0, GetEquPower(BA10,BN10, CH10, FS10)=0)</formula>
    </cfRule>
    <cfRule type="expression" dxfId="0" priority="2286">
      <formula>AND(BT10&gt;=2,DZ10&lt;&gt;GetEquPower(BA10,BN10, CH10, FS10))</formula>
    </cfRule>
  </conditionalFormatting>
  <conditionalFormatting sqref="EA10">
    <cfRule type="expression" dxfId="1" priority="2287">
      <formula>AND(BT10&gt;=3,EA10&lt;&gt;0, GetEquPower(BA10,BN10, CI10, FS10)=0)</formula>
    </cfRule>
    <cfRule type="expression" dxfId="0" priority="2288">
      <formula>AND(BT10&gt;=3,EA10&lt;&gt;GetEquPower(BA10,BN10, CI10, FS10))</formula>
    </cfRule>
  </conditionalFormatting>
  <conditionalFormatting sqref="EB10">
    <cfRule type="expression" dxfId="1" priority="2315">
      <formula>AND(BT10&gt;=4,EB10&lt;&gt;0, GetEquPower(BA10,BN10, CJ10, FS10)=0)</formula>
    </cfRule>
    <cfRule type="expression" dxfId="0" priority="2316">
      <formula>AND(BT10&gt;=4,EB10&lt;&gt;GetEquPower(BA10,BN10, CJ10, FS10))</formula>
    </cfRule>
  </conditionalFormatting>
  <conditionalFormatting sqref="EC10">
    <cfRule type="expression" dxfId="1" priority="2329">
      <formula>AND(BT10&gt;=5,EC10&lt;&gt;0, GetEquPower(BA10,BN10, CK10, FS10)=0)</formula>
    </cfRule>
    <cfRule type="expression" dxfId="0" priority="2330">
      <formula>AND(BT10&gt;=5,EC10&lt;&gt;GetEquPower(BA10,BN10, CK10, FS10))</formula>
    </cfRule>
  </conditionalFormatting>
  <conditionalFormatting sqref="ED10">
    <cfRule type="expression" dxfId="1" priority="2331">
      <formula>AND(BT10&gt;=6,ED10&lt;&gt;0, GetEquPower(BA10,BN10, CL10, FS10)=0)</formula>
    </cfRule>
    <cfRule type="expression" dxfId="0" priority="2332">
      <formula>AND(BT10&gt;=6,ED10&lt;&gt;GetEquPower(BA10,BN10, CL10, FS10))</formula>
    </cfRule>
  </conditionalFormatting>
  <conditionalFormatting sqref="EH10">
    <cfRule type="expression" dxfId="1" priority="2289">
      <formula>AND(BU10&gt;=1,EH10&lt;&gt;0, GetEquPower(BB10,BO10, CN10, FT10)=0)</formula>
    </cfRule>
    <cfRule type="expression" dxfId="0" priority="2290">
      <formula>AND(BU10&gt;=1,EH10&lt;&gt;GetEquPower(BB10,BO10, CN10, FT10))</formula>
    </cfRule>
  </conditionalFormatting>
  <conditionalFormatting sqref="EI10">
    <cfRule type="expression" dxfId="1" priority="2291">
      <formula>AND(BU10&gt;=2,EI10&lt;&gt;0, GetEquPower(BB10,BO10, CO10, FT10)=0)</formula>
    </cfRule>
    <cfRule type="expression" dxfId="0" priority="2292">
      <formula xml:space="preserve"> AND(BU10&gt;=2,EI10&lt;&gt;GetEquPower(BB10,BO10, CO10, FT10))</formula>
    </cfRule>
  </conditionalFormatting>
  <conditionalFormatting sqref="EJ10">
    <cfRule type="expression" dxfId="1" priority="2293">
      <formula>AND(BU10&gt;=3,EJ10&lt;&gt;0, GetEquPower(BB10,BO10, CP10, FT10)=0)</formula>
    </cfRule>
    <cfRule type="expression" dxfId="0" priority="2294">
      <formula xml:space="preserve"> AND(BU10&gt;=3,EJ10&lt;&gt;GetEquPower(BB10,BO10, CP10, FT10))</formula>
    </cfRule>
  </conditionalFormatting>
  <conditionalFormatting sqref="EK10">
    <cfRule type="expression" dxfId="1" priority="2317">
      <formula>AND(BU10&gt;=4,EK10&lt;&gt;0, GetEquPower(BB10,BO10, CQ10, FT10)=0)</formula>
    </cfRule>
    <cfRule type="expression" dxfId="0" priority="2318">
      <formula xml:space="preserve"> AND(BU10&gt;=4,EK10&lt;&gt;GetEquPower(BB10,BO10, CQ10, FT10))</formula>
    </cfRule>
  </conditionalFormatting>
  <conditionalFormatting sqref="EL10">
    <cfRule type="expression" dxfId="1" priority="2333">
      <formula>AND(BU10&gt;=5,EL10&lt;&gt;0, GetEquPower(BB10,BO10, CR10, FT10)=0)</formula>
    </cfRule>
    <cfRule type="expression" dxfId="0" priority="2334">
      <formula xml:space="preserve"> AND(BU10&gt;=5,EL10&lt;&gt;GetEquPower(BB10,BO10, CR10, FT10))</formula>
    </cfRule>
  </conditionalFormatting>
  <conditionalFormatting sqref="EM10">
    <cfRule type="expression" dxfId="1" priority="2335">
      <formula>AND(BU10&gt;=6,EM10&lt;&gt;0, GetEquPower(BB10,BO10, CS10, FT10)=0)</formula>
    </cfRule>
    <cfRule type="expression" dxfId="0" priority="2336">
      <formula xml:space="preserve"> AND(BU10&gt;=6,EM10&lt;&gt;GetEquPower(BB10,BO10, CS10, FT10))</formula>
    </cfRule>
  </conditionalFormatting>
  <conditionalFormatting sqref="EQ10">
    <cfRule type="expression" dxfId="1" priority="2295">
      <formula>AND(BV10&gt;=1,EQ10&lt;&gt;0, GetEquPower(BC10,BP10, CU10, FU10)=0)</formula>
    </cfRule>
    <cfRule type="expression" dxfId="0" priority="2296">
      <formula>AND(BV10&gt;=1,EQ10&lt;&gt;GetEquPower(BC10,BP10, CU10, FU10))</formula>
    </cfRule>
  </conditionalFormatting>
  <conditionalFormatting sqref="ER10">
    <cfRule type="expression" dxfId="1" priority="2297">
      <formula>AND(BV10&gt;=2,ER10&lt;&gt;0, GetEquPower(BC10,BP10, CV10, FU10)=0)</formula>
    </cfRule>
    <cfRule type="expression" dxfId="0" priority="2298">
      <formula>AND(BV10&gt;=2,ER10&lt;&gt;GetEquPower(BC10,BP10, CV10, FU10))</formula>
    </cfRule>
  </conditionalFormatting>
  <conditionalFormatting sqref="ES10">
    <cfRule type="expression" dxfId="1" priority="2299">
      <formula>AND(BV10&gt;=3,ES10&lt;&gt;0, GetEquPower(BC10,BP10, CW10, FU10)=0)</formula>
    </cfRule>
    <cfRule type="expression" dxfId="0" priority="2300">
      <formula>AND(BV10&gt;=3,ES10&lt;&gt;GetEquPower(BC10,BP10, CW10, FU10))</formula>
    </cfRule>
  </conditionalFormatting>
  <conditionalFormatting sqref="ET10">
    <cfRule type="expression" dxfId="1" priority="2319">
      <formula>AND(BV10&gt;=4,ET10&lt;&gt;0, GetEquPower(BC10,BP10, CX10, FU10)=0)</formula>
    </cfRule>
    <cfRule type="expression" dxfId="0" priority="2320">
      <formula>AND(BV10&gt;=4,ET10&lt;&gt;GetEquPower(BC10,BP10, CX10, FU10))</formula>
    </cfRule>
  </conditionalFormatting>
  <conditionalFormatting sqref="EU10">
    <cfRule type="expression" dxfId="1" priority="2337">
      <formula>AND(BV10&gt;=5,EU10&lt;&gt;0, GetEquPower(BC10,BP10, CY10, FU10)=0)</formula>
    </cfRule>
    <cfRule type="expression" dxfId="0" priority="2338">
      <formula>AND(BV10&gt;=5,EU10&lt;&gt;GetEquPower(BC10,BP10, CY10, FU10))</formula>
    </cfRule>
  </conditionalFormatting>
  <conditionalFormatting sqref="EV10">
    <cfRule type="expression" dxfId="1" priority="2339">
      <formula>AND(BV10&gt;=6,EV10&lt;&gt;0, GetEquPower(BC10,BP10, CZ10, FU10)=0)</formula>
    </cfRule>
    <cfRule type="expression" dxfId="0" priority="2340">
      <formula>AND(BV10&gt;=6,EV10&lt;&gt;GetEquPower(BC10,BP10, CZ10, FU10))</formula>
    </cfRule>
  </conditionalFormatting>
  <conditionalFormatting sqref="EZ10">
    <cfRule type="expression" dxfId="1" priority="2301">
      <formula>AND(BW10&gt;=1,EZ10&lt;&gt;0, GetEquPower(BD10,BQ10, DB10, FV10)=0)</formula>
    </cfRule>
    <cfRule type="expression" dxfId="0" priority="2302">
      <formula>AND(BW10&gt;=1,EZ10&lt;&gt;GetEquPower(BD10,BQ10, DB10, FV10))</formula>
    </cfRule>
  </conditionalFormatting>
  <conditionalFormatting sqref="FA10">
    <cfRule type="expression" dxfId="1" priority="2303">
      <formula>AND(BW10&gt;=2,FA10&lt;&gt;0, GetEquPower(BD10,BQ10, DC10, FV10)=0)</formula>
    </cfRule>
    <cfRule type="expression" dxfId="0" priority="2304">
      <formula>AND(BW10&gt;=2,FA10&lt;&gt;GetEquPower(BD10,BQ10, DC10, FV10))</formula>
    </cfRule>
  </conditionalFormatting>
  <conditionalFormatting sqref="FB10">
    <cfRule type="expression" dxfId="1" priority="2305">
      <formula>AND(BW10&gt;=3,FB10&lt;&gt;0, GetEquPower(BD10,BQ10, DD10, FV10)=0)</formula>
    </cfRule>
    <cfRule type="expression" dxfId="0" priority="2306">
      <formula>AND(BW10&gt;=3,FB10&lt;&gt;GetEquPower(BD10,BQ10, DD10, FV10))</formula>
    </cfRule>
  </conditionalFormatting>
  <conditionalFormatting sqref="FC10">
    <cfRule type="expression" dxfId="1" priority="2321">
      <formula>AND(BW10&gt;=4,FC10&lt;&gt;0, GetEquPower(BD10,BQ10, DE10, FV10)=0)</formula>
    </cfRule>
    <cfRule type="expression" dxfId="0" priority="2322">
      <formula>AND(BW10&gt;=4,FC10&lt;&gt;GetEquPower(BD10,BQ10, DE10, FV10))</formula>
    </cfRule>
  </conditionalFormatting>
  <conditionalFormatting sqref="FD10">
    <cfRule type="expression" dxfId="1" priority="2341">
      <formula>AND(BW10&gt;=5,FD10&lt;&gt;0, GetEquPower(BD10,BQ10, DF10, FV10)=0)</formula>
    </cfRule>
    <cfRule type="expression" dxfId="0" priority="2342">
      <formula>AND(BW10&gt;=5,FD10&lt;&gt;GetEquPower(BD10,BQ10, DF10, FV10))</formula>
    </cfRule>
  </conditionalFormatting>
  <conditionalFormatting sqref="FE10">
    <cfRule type="expression" dxfId="1" priority="2343">
      <formula>AND(BW10&gt;=6,FE10&lt;&gt;0, GetEquPower(BD10,BQ10, DG10, FV10)=0)</formula>
    </cfRule>
    <cfRule type="expression" dxfId="0" priority="2344">
      <formula>AND(BW10&gt;=6,FE10&lt;&gt;GetEquPower(BD10,BQ10, DG10, FV10))</formula>
    </cfRule>
  </conditionalFormatting>
  <conditionalFormatting sqref="FI10">
    <cfRule type="expression" dxfId="1" priority="2307">
      <formula>AND(BX10&gt;=1,FI10&lt;&gt;0, GetEquPower(BE10,BR10, DI10, FW10)=0)</formula>
    </cfRule>
    <cfRule type="expression" dxfId="0" priority="2308">
      <formula>AND(BX10&gt;=1,FI10&lt;&gt;GetEquPower(BE10,BR10, DI10, FW10))</formula>
    </cfRule>
  </conditionalFormatting>
  <conditionalFormatting sqref="FJ10">
    <cfRule type="expression" dxfId="1" priority="2309">
      <formula>AND(BX10&gt;=2,FJ10&lt;&gt;0, GetEquPower(BE10,BR10, DJ10, FW10)=0)</formula>
    </cfRule>
    <cfRule type="expression" dxfId="0" priority="2310">
      <formula>AND(BX10&gt;=2,FJ10&lt;&gt;GetEquPower(BE10,BR10, DJ10, FW10))</formula>
    </cfRule>
  </conditionalFormatting>
  <conditionalFormatting sqref="FK10">
    <cfRule type="expression" dxfId="1" priority="2311">
      <formula>AND(BX10&gt;=3,FK10&lt;&gt;0, GetEquPower(BE10,BR10, DK10, FW10)=0)</formula>
    </cfRule>
    <cfRule type="expression" dxfId="0" priority="2312">
      <formula>AND(BX10&gt;=3,FK10&lt;&gt;GetEquPower(BE10,BR10, DK10, FW10))</formula>
    </cfRule>
  </conditionalFormatting>
  <conditionalFormatting sqref="FL10">
    <cfRule type="expression" dxfId="1" priority="2323">
      <formula>AND(BX10&gt;=4,FL10&lt;&gt;0, GetEquPower(BE10,BR10, DL10, FW10)=0)</formula>
    </cfRule>
    <cfRule type="expression" dxfId="0" priority="2324">
      <formula>AND(BX10&gt;=4,FL10&lt;&gt;GetEquPower(BE10,BR10, DL10, FW10))</formula>
    </cfRule>
  </conditionalFormatting>
  <conditionalFormatting sqref="FM10">
    <cfRule type="expression" dxfId="1" priority="2345">
      <formula>AND(BX10&gt;=5,FM10&lt;&gt;0, GetEquPower(BE10,BR10, DM10, FW10)=0)</formula>
    </cfRule>
    <cfRule type="expression" dxfId="0" priority="2346">
      <formula>AND(BX10&gt;=5,FM10&lt;&gt;GetEquPower(BE10,BR10, DM10, FW10))</formula>
    </cfRule>
  </conditionalFormatting>
  <conditionalFormatting sqref="FN10">
    <cfRule type="expression" dxfId="1" priority="2347">
      <formula>AND(BX10&gt;=6,FN10&lt;&gt;0, GetEquPower(BE10,BR10, DN10, FW10)=0)</formula>
    </cfRule>
    <cfRule type="expression" dxfId="0" priority="2348">
      <formula>AND(BX10&gt;=6,FN10&lt;&gt;GetEquPower(BE10,BR10, DN10, FW10))</formula>
    </cfRule>
  </conditionalFormatting>
  <conditionalFormatting sqref="F11">
    <cfRule type="expression" dxfId="72" priority="2195">
      <formula>F11&lt;&gt;RIGHT(SUBSTITUTE(TRIM(E11),".",""),LEN(F11))</formula>
    </cfRule>
  </conditionalFormatting>
  <conditionalFormatting sqref="BS11">
    <cfRule type="expression" dxfId="72" priority="2194">
      <formula>AND(J11&gt;=1,BS11&lt;1)</formula>
    </cfRule>
  </conditionalFormatting>
  <conditionalFormatting sqref="BT11">
    <cfRule type="expression" dxfId="72" priority="2193">
      <formula>AND(J11&gt;=2,BT11&lt;1)</formula>
    </cfRule>
  </conditionalFormatting>
  <conditionalFormatting sqref="BU11">
    <cfRule type="expression" dxfId="72" priority="2191">
      <formula>AND(J11&gt;=3,BU11&lt;1)</formula>
    </cfRule>
  </conditionalFormatting>
  <conditionalFormatting sqref="BV11">
    <cfRule type="expression" dxfId="72" priority="2190">
      <formula>AND(J11&gt;=4,BV11&lt;1)</formula>
    </cfRule>
  </conditionalFormatting>
  <conditionalFormatting sqref="BW11">
    <cfRule type="expression" dxfId="72" priority="2192">
      <formula>AND(J11&gt;=5,BW11&lt;1)</formula>
    </cfRule>
  </conditionalFormatting>
  <conditionalFormatting sqref="BX11">
    <cfRule type="expression" dxfId="72" priority="2189">
      <formula>AND(J11&gt;=6,BX11&lt;1)</formula>
    </cfRule>
  </conditionalFormatting>
  <conditionalFormatting sqref="IC11">
    <cfRule type="expression" dxfId="72" priority="2268">
      <formula>AND($S11 = TRUE, $IC11&lt;&gt;OptionsUnitCode)</formula>
    </cfRule>
  </conditionalFormatting>
  <conditionalFormatting sqref="B11:II11">
    <cfRule type="containsErrors" dxfId="72" priority="2188">
      <formula>ISERROR(B11)</formula>
    </cfRule>
  </conditionalFormatting>
  <conditionalFormatting sqref="DP11">
    <cfRule type="expression" dxfId="1" priority="2196">
      <formula>AND(BS11&gt;=1,DP11&lt;&gt;0, GetEquPower(AZ11,BM11, BZ11, FR11)=0)</formula>
    </cfRule>
    <cfRule type="expression" dxfId="0" priority="2197">
      <formula>AND(BS11&gt;=1,DP11&lt;&gt;GetEquPower(AZ11,BM11, BZ11, FR11))</formula>
    </cfRule>
  </conditionalFormatting>
  <conditionalFormatting sqref="DQ11">
    <cfRule type="expression" dxfId="1" priority="2198">
      <formula>AND(BS11&gt;=2,DQ11&lt;&gt;0, GetEquPower(AZ11,BM11, CA11, FR11)=0)</formula>
    </cfRule>
    <cfRule type="expression" dxfId="0" priority="2199">
      <formula>AND(BS11&gt;=2,DQ11&lt;&gt;GetEquPower(AZ11,BM11, CA11, FR11))</formula>
    </cfRule>
  </conditionalFormatting>
  <conditionalFormatting sqref="DR11">
    <cfRule type="expression" dxfId="1" priority="2200">
      <formula>AND(BS11&gt;=3,DR11&lt;&gt;0, GetEquPower(AZ11,BM11, CB11, FR11)=0)</formula>
    </cfRule>
    <cfRule type="expression" dxfId="0" priority="2201">
      <formula>AND(BS11&gt;=3,DR11&lt;&gt;GetEquPower(AZ11,BM11, CB11, FR11))</formula>
    </cfRule>
  </conditionalFormatting>
  <conditionalFormatting sqref="DS11">
    <cfRule type="expression" dxfId="1" priority="2232">
      <formula>AND(BS11&gt;=4,DS11&lt;&gt;0, GetEquPower(AZ11,BM11, CC11, FR11)=0)</formula>
    </cfRule>
    <cfRule type="expression" dxfId="0" priority="2233">
      <formula>AND(BS11&gt;=4, DS11&lt;&gt;GetEquPower(AZ11,BM11, CC11, FR11))</formula>
    </cfRule>
  </conditionalFormatting>
  <conditionalFormatting sqref="DT11">
    <cfRule type="expression" dxfId="1" priority="2244">
      <formula>AND(BS11&gt;=5,DT11&lt;&gt;0, GetEquPower(AZ11,BM11, CD11, FR11)=0)</formula>
    </cfRule>
    <cfRule type="expression" dxfId="0" priority="2245">
      <formula>AND(BS11&gt;=5, DT11&lt;&gt;GetEquPower(AZ11,BM11, CD11, FR11))</formula>
    </cfRule>
  </conditionalFormatting>
  <conditionalFormatting sqref="DU11">
    <cfRule type="expression" dxfId="1" priority="2246">
      <formula>AND(BS11&gt;=6,DU11&lt;&gt;0, GetEquPower(AZ11,BM11, CE11, FR11)=0)</formula>
    </cfRule>
    <cfRule type="expression" dxfId="0" priority="2247">
      <formula>AND(BS11&gt;=6, DU11&lt;&gt;GetEquPower(AZ11,BM11, CE11, FR11))</formula>
    </cfRule>
  </conditionalFormatting>
  <conditionalFormatting sqref="DY11">
    <cfRule type="expression" dxfId="1" priority="2202">
      <formula>AND(BT11&gt;=1,DY11&lt;&gt;0, GetEquPower(BA11,BN11, CG11, FS11)=0)</formula>
    </cfRule>
    <cfRule type="expression" dxfId="0" priority="2203">
      <formula>AND(BT11&gt;=1,DY11&lt;&gt;GetEquPower(BA11,BN11, CG11, FS11))</formula>
    </cfRule>
  </conditionalFormatting>
  <conditionalFormatting sqref="DZ11">
    <cfRule type="expression" dxfId="1" priority="2204">
      <formula>AND(BT11&gt;=2,DZ11&lt;&gt;0, GetEquPower(BA11,BN11, CH11, FS11)=0)</formula>
    </cfRule>
    <cfRule type="expression" dxfId="0" priority="2205">
      <formula>AND(BT11&gt;=2,DZ11&lt;&gt;GetEquPower(BA11,BN11, CH11, FS11))</formula>
    </cfRule>
  </conditionalFormatting>
  <conditionalFormatting sqref="EA11">
    <cfRule type="expression" dxfId="1" priority="2206">
      <formula>AND(BT11&gt;=3,EA11&lt;&gt;0, GetEquPower(BA11,BN11, CI11, FS11)=0)</formula>
    </cfRule>
    <cfRule type="expression" dxfId="0" priority="2207">
      <formula>AND(BT11&gt;=3,EA11&lt;&gt;GetEquPower(BA11,BN11, CI11, FS11))</formula>
    </cfRule>
  </conditionalFormatting>
  <conditionalFormatting sqref="EB11">
    <cfRule type="expression" dxfId="1" priority="2234">
      <formula>AND(BT11&gt;=4,EB11&lt;&gt;0, GetEquPower(BA11,BN11, CJ11, FS11)=0)</formula>
    </cfRule>
    <cfRule type="expression" dxfId="0" priority="2235">
      <formula>AND(BT11&gt;=4,EB11&lt;&gt;GetEquPower(BA11,BN11, CJ11, FS11))</formula>
    </cfRule>
  </conditionalFormatting>
  <conditionalFormatting sqref="EC11">
    <cfRule type="expression" dxfId="1" priority="2248">
      <formula>AND(BT11&gt;=5,EC11&lt;&gt;0, GetEquPower(BA11,BN11, CK11, FS11)=0)</formula>
    </cfRule>
    <cfRule type="expression" dxfId="0" priority="2249">
      <formula>AND(BT11&gt;=5,EC11&lt;&gt;GetEquPower(BA11,BN11, CK11, FS11))</formula>
    </cfRule>
  </conditionalFormatting>
  <conditionalFormatting sqref="ED11">
    <cfRule type="expression" dxfId="1" priority="2250">
      <formula>AND(BT11&gt;=6,ED11&lt;&gt;0, GetEquPower(BA11,BN11, CL11, FS11)=0)</formula>
    </cfRule>
    <cfRule type="expression" dxfId="0" priority="2251">
      <formula>AND(BT11&gt;=6,ED11&lt;&gt;GetEquPower(BA11,BN11, CL11, FS11))</formula>
    </cfRule>
  </conditionalFormatting>
  <conditionalFormatting sqref="EH11">
    <cfRule type="expression" dxfId="1" priority="2208">
      <formula>AND(BU11&gt;=1,EH11&lt;&gt;0, GetEquPower(BB11,BO11, CN11, FT11)=0)</formula>
    </cfRule>
    <cfRule type="expression" dxfId="0" priority="2209">
      <formula>AND(BU11&gt;=1,EH11&lt;&gt;GetEquPower(BB11,BO11, CN11, FT11))</formula>
    </cfRule>
  </conditionalFormatting>
  <conditionalFormatting sqref="EI11">
    <cfRule type="expression" dxfId="1" priority="2210">
      <formula>AND(BU11&gt;=2,EI11&lt;&gt;0, GetEquPower(BB11,BO11, CO11, FT11)=0)</formula>
    </cfRule>
    <cfRule type="expression" dxfId="0" priority="2211">
      <formula xml:space="preserve"> AND(BU11&gt;=2,EI11&lt;&gt;GetEquPower(BB11,BO11, CO11, FT11))</formula>
    </cfRule>
  </conditionalFormatting>
  <conditionalFormatting sqref="EJ11">
    <cfRule type="expression" dxfId="1" priority="2212">
      <formula>AND(BU11&gt;=3,EJ11&lt;&gt;0, GetEquPower(BB11,BO11, CP11, FT11)=0)</formula>
    </cfRule>
    <cfRule type="expression" dxfId="0" priority="2213">
      <formula xml:space="preserve"> AND(BU11&gt;=3,EJ11&lt;&gt;GetEquPower(BB11,BO11, CP11, FT11))</formula>
    </cfRule>
  </conditionalFormatting>
  <conditionalFormatting sqref="EK11">
    <cfRule type="expression" dxfId="1" priority="2236">
      <formula>AND(BU11&gt;=4,EK11&lt;&gt;0, GetEquPower(BB11,BO11, CQ11, FT11)=0)</formula>
    </cfRule>
    <cfRule type="expression" dxfId="0" priority="2237">
      <formula xml:space="preserve"> AND(BU11&gt;=4,EK11&lt;&gt;GetEquPower(BB11,BO11, CQ11, FT11))</formula>
    </cfRule>
  </conditionalFormatting>
  <conditionalFormatting sqref="EL11">
    <cfRule type="expression" dxfId="1" priority="2252">
      <formula>AND(BU11&gt;=5,EL11&lt;&gt;0, GetEquPower(BB11,BO11, CR11, FT11)=0)</formula>
    </cfRule>
    <cfRule type="expression" dxfId="0" priority="2253">
      <formula xml:space="preserve"> AND(BU11&gt;=5,EL11&lt;&gt;GetEquPower(BB11,BO11, CR11, FT11))</formula>
    </cfRule>
  </conditionalFormatting>
  <conditionalFormatting sqref="EM11">
    <cfRule type="expression" dxfId="1" priority="2254">
      <formula>AND(BU11&gt;=6,EM11&lt;&gt;0, GetEquPower(BB11,BO11, CS11, FT11)=0)</formula>
    </cfRule>
    <cfRule type="expression" dxfId="0" priority="2255">
      <formula xml:space="preserve"> AND(BU11&gt;=6,EM11&lt;&gt;GetEquPower(BB11,BO11, CS11, FT11))</formula>
    </cfRule>
  </conditionalFormatting>
  <conditionalFormatting sqref="EQ11">
    <cfRule type="expression" dxfId="1" priority="2214">
      <formula>AND(BV11&gt;=1,EQ11&lt;&gt;0, GetEquPower(BC11,BP11, CU11, FU11)=0)</formula>
    </cfRule>
    <cfRule type="expression" dxfId="0" priority="2215">
      <formula>AND(BV11&gt;=1,EQ11&lt;&gt;GetEquPower(BC11,BP11, CU11, FU11))</formula>
    </cfRule>
  </conditionalFormatting>
  <conditionalFormatting sqref="ER11">
    <cfRule type="expression" dxfId="1" priority="2216">
      <formula>AND(BV11&gt;=2,ER11&lt;&gt;0, GetEquPower(BC11,BP11, CV11, FU11)=0)</formula>
    </cfRule>
    <cfRule type="expression" dxfId="0" priority="2217">
      <formula>AND(BV11&gt;=2,ER11&lt;&gt;GetEquPower(BC11,BP11, CV11, FU11))</formula>
    </cfRule>
  </conditionalFormatting>
  <conditionalFormatting sqref="ES11">
    <cfRule type="expression" dxfId="1" priority="2218">
      <formula>AND(BV11&gt;=3,ES11&lt;&gt;0, GetEquPower(BC11,BP11, CW11, FU11)=0)</formula>
    </cfRule>
    <cfRule type="expression" dxfId="0" priority="2219">
      <formula>AND(BV11&gt;=3,ES11&lt;&gt;GetEquPower(BC11,BP11, CW11, FU11))</formula>
    </cfRule>
  </conditionalFormatting>
  <conditionalFormatting sqref="ET11">
    <cfRule type="expression" dxfId="1" priority="2238">
      <formula>AND(BV11&gt;=4,ET11&lt;&gt;0, GetEquPower(BC11,BP11, CX11, FU11)=0)</formula>
    </cfRule>
    <cfRule type="expression" dxfId="0" priority="2239">
      <formula>AND(BV11&gt;=4,ET11&lt;&gt;GetEquPower(BC11,BP11, CX11, FU11))</formula>
    </cfRule>
  </conditionalFormatting>
  <conditionalFormatting sqref="EU11">
    <cfRule type="expression" dxfId="1" priority="2256">
      <formula>AND(BV11&gt;=5,EU11&lt;&gt;0, GetEquPower(BC11,BP11, CY11, FU11)=0)</formula>
    </cfRule>
    <cfRule type="expression" dxfId="0" priority="2257">
      <formula>AND(BV11&gt;=5,EU11&lt;&gt;GetEquPower(BC11,BP11, CY11, FU11))</formula>
    </cfRule>
  </conditionalFormatting>
  <conditionalFormatting sqref="EV11">
    <cfRule type="expression" dxfId="1" priority="2258">
      <formula>AND(BV11&gt;=6,EV11&lt;&gt;0, GetEquPower(BC11,BP11, CZ11, FU11)=0)</formula>
    </cfRule>
    <cfRule type="expression" dxfId="0" priority="2259">
      <formula>AND(BV11&gt;=6,EV11&lt;&gt;GetEquPower(BC11,BP11, CZ11, FU11))</formula>
    </cfRule>
  </conditionalFormatting>
  <conditionalFormatting sqref="EZ11">
    <cfRule type="expression" dxfId="1" priority="2220">
      <formula>AND(BW11&gt;=1,EZ11&lt;&gt;0, GetEquPower(BD11,BQ11, DB11, FV11)=0)</formula>
    </cfRule>
    <cfRule type="expression" dxfId="0" priority="2221">
      <formula>AND(BW11&gt;=1,EZ11&lt;&gt;GetEquPower(BD11,BQ11, DB11, FV11))</formula>
    </cfRule>
  </conditionalFormatting>
  <conditionalFormatting sqref="FA11">
    <cfRule type="expression" dxfId="1" priority="2222">
      <formula>AND(BW11&gt;=2,FA11&lt;&gt;0, GetEquPower(BD11,BQ11, DC11, FV11)=0)</formula>
    </cfRule>
    <cfRule type="expression" dxfId="0" priority="2223">
      <formula>AND(BW11&gt;=2,FA11&lt;&gt;GetEquPower(BD11,BQ11, DC11, FV11))</formula>
    </cfRule>
  </conditionalFormatting>
  <conditionalFormatting sqref="FB11">
    <cfRule type="expression" dxfId="1" priority="2224">
      <formula>AND(BW11&gt;=3,FB11&lt;&gt;0, GetEquPower(BD11,BQ11, DD11, FV11)=0)</formula>
    </cfRule>
    <cfRule type="expression" dxfId="0" priority="2225">
      <formula>AND(BW11&gt;=3,FB11&lt;&gt;GetEquPower(BD11,BQ11, DD11, FV11))</formula>
    </cfRule>
  </conditionalFormatting>
  <conditionalFormatting sqref="FC11">
    <cfRule type="expression" dxfId="1" priority="2240">
      <formula>AND(BW11&gt;=4,FC11&lt;&gt;0, GetEquPower(BD11,BQ11, DE11, FV11)=0)</formula>
    </cfRule>
    <cfRule type="expression" dxfId="0" priority="2241">
      <formula>AND(BW11&gt;=4,FC11&lt;&gt;GetEquPower(BD11,BQ11, DE11, FV11))</formula>
    </cfRule>
  </conditionalFormatting>
  <conditionalFormatting sqref="FD11">
    <cfRule type="expression" dxfId="1" priority="2260">
      <formula>AND(BW11&gt;=5,FD11&lt;&gt;0, GetEquPower(BD11,BQ11, DF11, FV11)=0)</formula>
    </cfRule>
    <cfRule type="expression" dxfId="0" priority="2261">
      <formula>AND(BW11&gt;=5,FD11&lt;&gt;GetEquPower(BD11,BQ11, DF11, FV11))</formula>
    </cfRule>
  </conditionalFormatting>
  <conditionalFormatting sqref="FE11">
    <cfRule type="expression" dxfId="1" priority="2262">
      <formula>AND(BW11&gt;=6,FE11&lt;&gt;0, GetEquPower(BD11,BQ11, DG11, FV11)=0)</formula>
    </cfRule>
    <cfRule type="expression" dxfId="0" priority="2263">
      <formula>AND(BW11&gt;=6,FE11&lt;&gt;GetEquPower(BD11,BQ11, DG11, FV11))</formula>
    </cfRule>
  </conditionalFormatting>
  <conditionalFormatting sqref="FI11">
    <cfRule type="expression" dxfId="1" priority="2226">
      <formula>AND(BX11&gt;=1,FI11&lt;&gt;0, GetEquPower(BE11,BR11, DI11, FW11)=0)</formula>
    </cfRule>
    <cfRule type="expression" dxfId="0" priority="2227">
      <formula>AND(BX11&gt;=1,FI11&lt;&gt;GetEquPower(BE11,BR11, DI11, FW11))</formula>
    </cfRule>
  </conditionalFormatting>
  <conditionalFormatting sqref="FJ11">
    <cfRule type="expression" dxfId="1" priority="2228">
      <formula>AND(BX11&gt;=2,FJ11&lt;&gt;0, GetEquPower(BE11,BR11, DJ11, FW11)=0)</formula>
    </cfRule>
    <cfRule type="expression" dxfId="0" priority="2229">
      <formula>AND(BX11&gt;=2,FJ11&lt;&gt;GetEquPower(BE11,BR11, DJ11, FW11))</formula>
    </cfRule>
  </conditionalFormatting>
  <conditionalFormatting sqref="FK11">
    <cfRule type="expression" dxfId="1" priority="2230">
      <formula>AND(BX11&gt;=3,FK11&lt;&gt;0, GetEquPower(BE11,BR11, DK11, FW11)=0)</formula>
    </cfRule>
    <cfRule type="expression" dxfId="0" priority="2231">
      <formula>AND(BX11&gt;=3,FK11&lt;&gt;GetEquPower(BE11,BR11, DK11, FW11))</formula>
    </cfRule>
  </conditionalFormatting>
  <conditionalFormatting sqref="FL11">
    <cfRule type="expression" dxfId="1" priority="2242">
      <formula>AND(BX11&gt;=4,FL11&lt;&gt;0, GetEquPower(BE11,BR11, DL11, FW11)=0)</formula>
    </cfRule>
    <cfRule type="expression" dxfId="0" priority="2243">
      <formula>AND(BX11&gt;=4,FL11&lt;&gt;GetEquPower(BE11,BR11, DL11, FW11))</formula>
    </cfRule>
  </conditionalFormatting>
  <conditionalFormatting sqref="FM11">
    <cfRule type="expression" dxfId="1" priority="2264">
      <formula>AND(BX11&gt;=5,FM11&lt;&gt;0, GetEquPower(BE11,BR11, DM11, FW11)=0)</formula>
    </cfRule>
    <cfRule type="expression" dxfId="0" priority="2265">
      <formula>AND(BX11&gt;=5,FM11&lt;&gt;GetEquPower(BE11,BR11, DM11, FW11))</formula>
    </cfRule>
  </conditionalFormatting>
  <conditionalFormatting sqref="FN11">
    <cfRule type="expression" dxfId="1" priority="2266">
      <formula>AND(BX11&gt;=6,FN11&lt;&gt;0, GetEquPower(BE11,BR11, DN11, FW11)=0)</formula>
    </cfRule>
    <cfRule type="expression" dxfId="0" priority="2267">
      <formula>AND(BX11&gt;=6,FN11&lt;&gt;GetEquPower(BE11,BR11, DN11, FW11))</formula>
    </cfRule>
  </conditionalFormatting>
  <conditionalFormatting sqref="F12">
    <cfRule type="expression" dxfId="72" priority="2114">
      <formula>F12&lt;&gt;RIGHT(SUBSTITUTE(TRIM(E12),".",""),LEN(F12))</formula>
    </cfRule>
  </conditionalFormatting>
  <conditionalFormatting sqref="BS12">
    <cfRule type="expression" dxfId="72" priority="2113">
      <formula>AND(J12&gt;=1,BS12&lt;1)</formula>
    </cfRule>
  </conditionalFormatting>
  <conditionalFormatting sqref="BT12">
    <cfRule type="expression" dxfId="72" priority="2112">
      <formula>AND(J12&gt;=2,BT12&lt;1)</formula>
    </cfRule>
  </conditionalFormatting>
  <conditionalFormatting sqref="BU12">
    <cfRule type="expression" dxfId="72" priority="2110">
      <formula>AND(J12&gt;=3,BU12&lt;1)</formula>
    </cfRule>
  </conditionalFormatting>
  <conditionalFormatting sqref="BV12">
    <cfRule type="expression" dxfId="72" priority="2109">
      <formula>AND(J12&gt;=4,BV12&lt;1)</formula>
    </cfRule>
  </conditionalFormatting>
  <conditionalFormatting sqref="BW12">
    <cfRule type="expression" dxfId="72" priority="2111">
      <formula>AND(J12&gt;=5,BW12&lt;1)</formula>
    </cfRule>
  </conditionalFormatting>
  <conditionalFormatting sqref="BX12">
    <cfRule type="expression" dxfId="72" priority="2108">
      <formula>AND(J12&gt;=6,BX12&lt;1)</formula>
    </cfRule>
  </conditionalFormatting>
  <conditionalFormatting sqref="IC12">
    <cfRule type="expression" dxfId="72" priority="2187">
      <formula>AND($S12 = TRUE, $IC12&lt;&gt;OptionsUnitCode)</formula>
    </cfRule>
  </conditionalFormatting>
  <conditionalFormatting sqref="B12:II12">
    <cfRule type="containsErrors" dxfId="72" priority="2107">
      <formula>ISERROR(B12)</formula>
    </cfRule>
  </conditionalFormatting>
  <conditionalFormatting sqref="DP12">
    <cfRule type="expression" dxfId="1" priority="2115">
      <formula>AND(BS12&gt;=1,DP12&lt;&gt;0, GetEquPower(AZ12,BM12, BZ12, FR12)=0)</formula>
    </cfRule>
    <cfRule type="expression" dxfId="0" priority="2116">
      <formula>AND(BS12&gt;=1,DP12&lt;&gt;GetEquPower(AZ12,BM12, BZ12, FR12))</formula>
    </cfRule>
  </conditionalFormatting>
  <conditionalFormatting sqref="DQ12">
    <cfRule type="expression" dxfId="1" priority="2117">
      <formula>AND(BS12&gt;=2,DQ12&lt;&gt;0, GetEquPower(AZ12,BM12, CA12, FR12)=0)</formula>
    </cfRule>
    <cfRule type="expression" dxfId="0" priority="2118">
      <formula>AND(BS12&gt;=2,DQ12&lt;&gt;GetEquPower(AZ12,BM12, CA12, FR12))</formula>
    </cfRule>
  </conditionalFormatting>
  <conditionalFormatting sqref="DR12">
    <cfRule type="expression" dxfId="1" priority="2119">
      <formula>AND(BS12&gt;=3,DR12&lt;&gt;0, GetEquPower(AZ12,BM12, CB12, FR12)=0)</formula>
    </cfRule>
    <cfRule type="expression" dxfId="0" priority="2120">
      <formula>AND(BS12&gt;=3,DR12&lt;&gt;GetEquPower(AZ12,BM12, CB12, FR12))</formula>
    </cfRule>
  </conditionalFormatting>
  <conditionalFormatting sqref="DS12">
    <cfRule type="expression" dxfId="1" priority="2151">
      <formula>AND(BS12&gt;=4,DS12&lt;&gt;0, GetEquPower(AZ12,BM12, CC12, FR12)=0)</formula>
    </cfRule>
    <cfRule type="expression" dxfId="0" priority="2152">
      <formula>AND(BS12&gt;=4, DS12&lt;&gt;GetEquPower(AZ12,BM12, CC12, FR12))</formula>
    </cfRule>
  </conditionalFormatting>
  <conditionalFormatting sqref="DT12">
    <cfRule type="expression" dxfId="1" priority="2163">
      <formula>AND(BS12&gt;=5,DT12&lt;&gt;0, GetEquPower(AZ12,BM12, CD12, FR12)=0)</formula>
    </cfRule>
    <cfRule type="expression" dxfId="0" priority="2164">
      <formula>AND(BS12&gt;=5, DT12&lt;&gt;GetEquPower(AZ12,BM12, CD12, FR12))</formula>
    </cfRule>
  </conditionalFormatting>
  <conditionalFormatting sqref="DU12">
    <cfRule type="expression" dxfId="1" priority="2165">
      <formula>AND(BS12&gt;=6,DU12&lt;&gt;0, GetEquPower(AZ12,BM12, CE12, FR12)=0)</formula>
    </cfRule>
    <cfRule type="expression" dxfId="0" priority="2166">
      <formula>AND(BS12&gt;=6, DU12&lt;&gt;GetEquPower(AZ12,BM12, CE12, FR12))</formula>
    </cfRule>
  </conditionalFormatting>
  <conditionalFormatting sqref="DY12">
    <cfRule type="expression" dxfId="1" priority="2121">
      <formula>AND(BT12&gt;=1,DY12&lt;&gt;0, GetEquPower(BA12,BN12, CG12, FS12)=0)</formula>
    </cfRule>
    <cfRule type="expression" dxfId="0" priority="2122">
      <formula>AND(BT12&gt;=1,DY12&lt;&gt;GetEquPower(BA12,BN12, CG12, FS12))</formula>
    </cfRule>
  </conditionalFormatting>
  <conditionalFormatting sqref="DZ12">
    <cfRule type="expression" dxfId="1" priority="2123">
      <formula>AND(BT12&gt;=2,DZ12&lt;&gt;0, GetEquPower(BA12,BN12, CH12, FS12)=0)</formula>
    </cfRule>
    <cfRule type="expression" dxfId="0" priority="2124">
      <formula>AND(BT12&gt;=2,DZ12&lt;&gt;GetEquPower(BA12,BN12, CH12, FS12))</formula>
    </cfRule>
  </conditionalFormatting>
  <conditionalFormatting sqref="EA12">
    <cfRule type="expression" dxfId="1" priority="2125">
      <formula>AND(BT12&gt;=3,EA12&lt;&gt;0, GetEquPower(BA12,BN12, CI12, FS12)=0)</formula>
    </cfRule>
    <cfRule type="expression" dxfId="0" priority="2126">
      <formula>AND(BT12&gt;=3,EA12&lt;&gt;GetEquPower(BA12,BN12, CI12, FS12))</formula>
    </cfRule>
  </conditionalFormatting>
  <conditionalFormatting sqref="EB12">
    <cfRule type="expression" dxfId="1" priority="2153">
      <formula>AND(BT12&gt;=4,EB12&lt;&gt;0, GetEquPower(BA12,BN12, CJ12, FS12)=0)</formula>
    </cfRule>
    <cfRule type="expression" dxfId="0" priority="2154">
      <formula>AND(BT12&gt;=4,EB12&lt;&gt;GetEquPower(BA12,BN12, CJ12, FS12))</formula>
    </cfRule>
  </conditionalFormatting>
  <conditionalFormatting sqref="EC12">
    <cfRule type="expression" dxfId="1" priority="2167">
      <formula>AND(BT12&gt;=5,EC12&lt;&gt;0, GetEquPower(BA12,BN12, CK12, FS12)=0)</formula>
    </cfRule>
    <cfRule type="expression" dxfId="0" priority="2168">
      <formula>AND(BT12&gt;=5,EC12&lt;&gt;GetEquPower(BA12,BN12, CK12, FS12))</formula>
    </cfRule>
  </conditionalFormatting>
  <conditionalFormatting sqref="ED12">
    <cfRule type="expression" dxfId="1" priority="2169">
      <formula>AND(BT12&gt;=6,ED12&lt;&gt;0, GetEquPower(BA12,BN12, CL12, FS12)=0)</formula>
    </cfRule>
    <cfRule type="expression" dxfId="0" priority="2170">
      <formula>AND(BT12&gt;=6,ED12&lt;&gt;GetEquPower(BA12,BN12, CL12, FS12))</formula>
    </cfRule>
  </conditionalFormatting>
  <conditionalFormatting sqref="EH12">
    <cfRule type="expression" dxfId="1" priority="2127">
      <formula>AND(BU12&gt;=1,EH12&lt;&gt;0, GetEquPower(BB12,BO12, CN12, FT12)=0)</formula>
    </cfRule>
    <cfRule type="expression" dxfId="0" priority="2128">
      <formula>AND(BU12&gt;=1,EH12&lt;&gt;GetEquPower(BB12,BO12, CN12, FT12))</formula>
    </cfRule>
  </conditionalFormatting>
  <conditionalFormatting sqref="EI12">
    <cfRule type="expression" dxfId="1" priority="2129">
      <formula>AND(BU12&gt;=2,EI12&lt;&gt;0, GetEquPower(BB12,BO12, CO12, FT12)=0)</formula>
    </cfRule>
    <cfRule type="expression" dxfId="0" priority="2130">
      <formula xml:space="preserve"> AND(BU12&gt;=2,EI12&lt;&gt;GetEquPower(BB12,BO12, CO12, FT12))</formula>
    </cfRule>
  </conditionalFormatting>
  <conditionalFormatting sqref="EJ12">
    <cfRule type="expression" dxfId="1" priority="2131">
      <formula>AND(BU12&gt;=3,EJ12&lt;&gt;0, GetEquPower(BB12,BO12, CP12, FT12)=0)</formula>
    </cfRule>
    <cfRule type="expression" dxfId="0" priority="2132">
      <formula xml:space="preserve"> AND(BU12&gt;=3,EJ12&lt;&gt;GetEquPower(BB12,BO12, CP12, FT12))</formula>
    </cfRule>
  </conditionalFormatting>
  <conditionalFormatting sqref="EK12">
    <cfRule type="expression" dxfId="1" priority="2155">
      <formula>AND(BU12&gt;=4,EK12&lt;&gt;0, GetEquPower(BB12,BO12, CQ12, FT12)=0)</formula>
    </cfRule>
    <cfRule type="expression" dxfId="0" priority="2156">
      <formula xml:space="preserve"> AND(BU12&gt;=4,EK12&lt;&gt;GetEquPower(BB12,BO12, CQ12, FT12))</formula>
    </cfRule>
  </conditionalFormatting>
  <conditionalFormatting sqref="EL12">
    <cfRule type="expression" dxfId="1" priority="2171">
      <formula>AND(BU12&gt;=5,EL12&lt;&gt;0, GetEquPower(BB12,BO12, CR12, FT12)=0)</formula>
    </cfRule>
    <cfRule type="expression" dxfId="0" priority="2172">
      <formula xml:space="preserve"> AND(BU12&gt;=5,EL12&lt;&gt;GetEquPower(BB12,BO12, CR12, FT12))</formula>
    </cfRule>
  </conditionalFormatting>
  <conditionalFormatting sqref="EM12">
    <cfRule type="expression" dxfId="1" priority="2173">
      <formula>AND(BU12&gt;=6,EM12&lt;&gt;0, GetEquPower(BB12,BO12, CS12, FT12)=0)</formula>
    </cfRule>
    <cfRule type="expression" dxfId="0" priority="2174">
      <formula xml:space="preserve"> AND(BU12&gt;=6,EM12&lt;&gt;GetEquPower(BB12,BO12, CS12, FT12))</formula>
    </cfRule>
  </conditionalFormatting>
  <conditionalFormatting sqref="EQ12">
    <cfRule type="expression" dxfId="1" priority="2133">
      <formula>AND(BV12&gt;=1,EQ12&lt;&gt;0, GetEquPower(BC12,BP12, CU12, FU12)=0)</formula>
    </cfRule>
    <cfRule type="expression" dxfId="0" priority="2134">
      <formula>AND(BV12&gt;=1,EQ12&lt;&gt;GetEquPower(BC12,BP12, CU12, FU12))</formula>
    </cfRule>
  </conditionalFormatting>
  <conditionalFormatting sqref="ER12">
    <cfRule type="expression" dxfId="1" priority="2135">
      <formula>AND(BV12&gt;=2,ER12&lt;&gt;0, GetEquPower(BC12,BP12, CV12, FU12)=0)</formula>
    </cfRule>
    <cfRule type="expression" dxfId="0" priority="2136">
      <formula>AND(BV12&gt;=2,ER12&lt;&gt;GetEquPower(BC12,BP12, CV12, FU12))</formula>
    </cfRule>
  </conditionalFormatting>
  <conditionalFormatting sqref="ES12">
    <cfRule type="expression" dxfId="1" priority="2137">
      <formula>AND(BV12&gt;=3,ES12&lt;&gt;0, GetEquPower(BC12,BP12, CW12, FU12)=0)</formula>
    </cfRule>
    <cfRule type="expression" dxfId="0" priority="2138">
      <formula>AND(BV12&gt;=3,ES12&lt;&gt;GetEquPower(BC12,BP12, CW12, FU12))</formula>
    </cfRule>
  </conditionalFormatting>
  <conditionalFormatting sqref="ET12">
    <cfRule type="expression" dxfId="1" priority="2157">
      <formula>AND(BV12&gt;=4,ET12&lt;&gt;0, GetEquPower(BC12,BP12, CX12, FU12)=0)</formula>
    </cfRule>
    <cfRule type="expression" dxfId="0" priority="2158">
      <formula>AND(BV12&gt;=4,ET12&lt;&gt;GetEquPower(BC12,BP12, CX12, FU12))</formula>
    </cfRule>
  </conditionalFormatting>
  <conditionalFormatting sqref="EU12">
    <cfRule type="expression" dxfId="1" priority="2175">
      <formula>AND(BV12&gt;=5,EU12&lt;&gt;0, GetEquPower(BC12,BP12, CY12, FU12)=0)</formula>
    </cfRule>
    <cfRule type="expression" dxfId="0" priority="2176">
      <formula>AND(BV12&gt;=5,EU12&lt;&gt;GetEquPower(BC12,BP12, CY12, FU12))</formula>
    </cfRule>
  </conditionalFormatting>
  <conditionalFormatting sqref="EV12">
    <cfRule type="expression" dxfId="1" priority="2177">
      <formula>AND(BV12&gt;=6,EV12&lt;&gt;0, GetEquPower(BC12,BP12, CZ12, FU12)=0)</formula>
    </cfRule>
    <cfRule type="expression" dxfId="0" priority="2178">
      <formula>AND(BV12&gt;=6,EV12&lt;&gt;GetEquPower(BC12,BP12, CZ12, FU12))</formula>
    </cfRule>
  </conditionalFormatting>
  <conditionalFormatting sqref="EZ12">
    <cfRule type="expression" dxfId="1" priority="2139">
      <formula>AND(BW12&gt;=1,EZ12&lt;&gt;0, GetEquPower(BD12,BQ12, DB12, FV12)=0)</formula>
    </cfRule>
    <cfRule type="expression" dxfId="0" priority="2140">
      <formula>AND(BW12&gt;=1,EZ12&lt;&gt;GetEquPower(BD12,BQ12, DB12, FV12))</formula>
    </cfRule>
  </conditionalFormatting>
  <conditionalFormatting sqref="FA12">
    <cfRule type="expression" dxfId="1" priority="2141">
      <formula>AND(BW12&gt;=2,FA12&lt;&gt;0, GetEquPower(BD12,BQ12, DC12, FV12)=0)</formula>
    </cfRule>
    <cfRule type="expression" dxfId="0" priority="2142">
      <formula>AND(BW12&gt;=2,FA12&lt;&gt;GetEquPower(BD12,BQ12, DC12, FV12))</formula>
    </cfRule>
  </conditionalFormatting>
  <conditionalFormatting sqref="FB12">
    <cfRule type="expression" dxfId="1" priority="2143">
      <formula>AND(BW12&gt;=3,FB12&lt;&gt;0, GetEquPower(BD12,BQ12, DD12, FV12)=0)</formula>
    </cfRule>
    <cfRule type="expression" dxfId="0" priority="2144">
      <formula>AND(BW12&gt;=3,FB12&lt;&gt;GetEquPower(BD12,BQ12, DD12, FV12))</formula>
    </cfRule>
  </conditionalFormatting>
  <conditionalFormatting sqref="FC12">
    <cfRule type="expression" dxfId="1" priority="2159">
      <formula>AND(BW12&gt;=4,FC12&lt;&gt;0, GetEquPower(BD12,BQ12, DE12, FV12)=0)</formula>
    </cfRule>
    <cfRule type="expression" dxfId="0" priority="2160">
      <formula>AND(BW12&gt;=4,FC12&lt;&gt;GetEquPower(BD12,BQ12, DE12, FV12))</formula>
    </cfRule>
  </conditionalFormatting>
  <conditionalFormatting sqref="FD12">
    <cfRule type="expression" dxfId="1" priority="2179">
      <formula>AND(BW12&gt;=5,FD12&lt;&gt;0, GetEquPower(BD12,BQ12, DF12, FV12)=0)</formula>
    </cfRule>
    <cfRule type="expression" dxfId="0" priority="2180">
      <formula>AND(BW12&gt;=5,FD12&lt;&gt;GetEquPower(BD12,BQ12, DF12, FV12))</formula>
    </cfRule>
  </conditionalFormatting>
  <conditionalFormatting sqref="FE12">
    <cfRule type="expression" dxfId="1" priority="2181">
      <formula>AND(BW12&gt;=6,FE12&lt;&gt;0, GetEquPower(BD12,BQ12, DG12, FV12)=0)</formula>
    </cfRule>
    <cfRule type="expression" dxfId="0" priority="2182">
      <formula>AND(BW12&gt;=6,FE12&lt;&gt;GetEquPower(BD12,BQ12, DG12, FV12))</formula>
    </cfRule>
  </conditionalFormatting>
  <conditionalFormatting sqref="FI12">
    <cfRule type="expression" dxfId="1" priority="2145">
      <formula>AND(BX12&gt;=1,FI12&lt;&gt;0, GetEquPower(BE12,BR12, DI12, FW12)=0)</formula>
    </cfRule>
    <cfRule type="expression" dxfId="0" priority="2146">
      <formula>AND(BX12&gt;=1,FI12&lt;&gt;GetEquPower(BE12,BR12, DI12, FW12))</formula>
    </cfRule>
  </conditionalFormatting>
  <conditionalFormatting sqref="FJ12">
    <cfRule type="expression" dxfId="1" priority="2147">
      <formula>AND(BX12&gt;=2,FJ12&lt;&gt;0, GetEquPower(BE12,BR12, DJ12, FW12)=0)</formula>
    </cfRule>
    <cfRule type="expression" dxfId="0" priority="2148">
      <formula>AND(BX12&gt;=2,FJ12&lt;&gt;GetEquPower(BE12,BR12, DJ12, FW12))</formula>
    </cfRule>
  </conditionalFormatting>
  <conditionalFormatting sqref="FK12">
    <cfRule type="expression" dxfId="1" priority="2149">
      <formula>AND(BX12&gt;=3,FK12&lt;&gt;0, GetEquPower(BE12,BR12, DK12, FW12)=0)</formula>
    </cfRule>
    <cfRule type="expression" dxfId="0" priority="2150">
      <formula>AND(BX12&gt;=3,FK12&lt;&gt;GetEquPower(BE12,BR12, DK12, FW12))</formula>
    </cfRule>
  </conditionalFormatting>
  <conditionalFormatting sqref="FL12">
    <cfRule type="expression" dxfId="1" priority="2161">
      <formula>AND(BX12&gt;=4,FL12&lt;&gt;0, GetEquPower(BE12,BR12, DL12, FW12)=0)</formula>
    </cfRule>
    <cfRule type="expression" dxfId="0" priority="2162">
      <formula>AND(BX12&gt;=4,FL12&lt;&gt;GetEquPower(BE12,BR12, DL12, FW12))</formula>
    </cfRule>
  </conditionalFormatting>
  <conditionalFormatting sqref="FM12">
    <cfRule type="expression" dxfId="1" priority="2183">
      <formula>AND(BX12&gt;=5,FM12&lt;&gt;0, GetEquPower(BE12,BR12, DM12, FW12)=0)</formula>
    </cfRule>
    <cfRule type="expression" dxfId="0" priority="2184">
      <formula>AND(BX12&gt;=5,FM12&lt;&gt;GetEquPower(BE12,BR12, DM12, FW12))</formula>
    </cfRule>
  </conditionalFormatting>
  <conditionalFormatting sqref="FN12">
    <cfRule type="expression" dxfId="1" priority="2185">
      <formula>AND(BX12&gt;=6,FN12&lt;&gt;0, GetEquPower(BE12,BR12, DN12, FW12)=0)</formula>
    </cfRule>
    <cfRule type="expression" dxfId="0" priority="2186">
      <formula>AND(BX12&gt;=6,FN12&lt;&gt;GetEquPower(BE12,BR12, DN12, FW12))</formula>
    </cfRule>
  </conditionalFormatting>
  <conditionalFormatting sqref="F13">
    <cfRule type="expression" dxfId="72" priority="2033">
      <formula>F13&lt;&gt;RIGHT(SUBSTITUTE(TRIM(E13),".",""),LEN(F13))</formula>
    </cfRule>
  </conditionalFormatting>
  <conditionalFormatting sqref="BS13">
    <cfRule type="expression" dxfId="72" priority="2032">
      <formula>AND(J13&gt;=1,BS13&lt;1)</formula>
    </cfRule>
  </conditionalFormatting>
  <conditionalFormatting sqref="BT13">
    <cfRule type="expression" dxfId="72" priority="2031">
      <formula>AND(J13&gt;=2,BT13&lt;1)</formula>
    </cfRule>
  </conditionalFormatting>
  <conditionalFormatting sqref="BU13">
    <cfRule type="expression" dxfId="72" priority="2029">
      <formula>AND(J13&gt;=3,BU13&lt;1)</formula>
    </cfRule>
  </conditionalFormatting>
  <conditionalFormatting sqref="BV13">
    <cfRule type="expression" dxfId="72" priority="2028">
      <formula>AND(J13&gt;=4,BV13&lt;1)</formula>
    </cfRule>
  </conditionalFormatting>
  <conditionalFormatting sqref="BW13">
    <cfRule type="expression" dxfId="72" priority="2030">
      <formula>AND(J13&gt;=5,BW13&lt;1)</formula>
    </cfRule>
  </conditionalFormatting>
  <conditionalFormatting sqref="BX13">
    <cfRule type="expression" dxfId="72" priority="2027">
      <formula>AND(J13&gt;=6,BX13&lt;1)</formula>
    </cfRule>
  </conditionalFormatting>
  <conditionalFormatting sqref="IC13">
    <cfRule type="expression" dxfId="72" priority="2106">
      <formula>AND($S13 = TRUE, $IC13&lt;&gt;OptionsUnitCode)</formula>
    </cfRule>
  </conditionalFormatting>
  <conditionalFormatting sqref="B13:II13">
    <cfRule type="containsErrors" dxfId="72" priority="2026">
      <formula>ISERROR(B13)</formula>
    </cfRule>
  </conditionalFormatting>
  <conditionalFormatting sqref="DP13">
    <cfRule type="expression" dxfId="1" priority="2034">
      <formula>AND(BS13&gt;=1,DP13&lt;&gt;0, GetEquPower(AZ13,BM13, BZ13, FR13)=0)</formula>
    </cfRule>
    <cfRule type="expression" dxfId="0" priority="2035">
      <formula>AND(BS13&gt;=1,DP13&lt;&gt;GetEquPower(AZ13,BM13, BZ13, FR13))</formula>
    </cfRule>
  </conditionalFormatting>
  <conditionalFormatting sqref="DQ13">
    <cfRule type="expression" dxfId="1" priority="2036">
      <formula>AND(BS13&gt;=2,DQ13&lt;&gt;0, GetEquPower(AZ13,BM13, CA13, FR13)=0)</formula>
    </cfRule>
    <cfRule type="expression" dxfId="0" priority="2037">
      <formula>AND(BS13&gt;=2,DQ13&lt;&gt;GetEquPower(AZ13,BM13, CA13, FR13))</formula>
    </cfRule>
  </conditionalFormatting>
  <conditionalFormatting sqref="DR13">
    <cfRule type="expression" dxfId="1" priority="2038">
      <formula>AND(BS13&gt;=3,DR13&lt;&gt;0, GetEquPower(AZ13,BM13, CB13, FR13)=0)</formula>
    </cfRule>
    <cfRule type="expression" dxfId="0" priority="2039">
      <formula>AND(BS13&gt;=3,DR13&lt;&gt;GetEquPower(AZ13,BM13, CB13, FR13))</formula>
    </cfRule>
  </conditionalFormatting>
  <conditionalFormatting sqref="DS13">
    <cfRule type="expression" dxfId="1" priority="2070">
      <formula>AND(BS13&gt;=4,DS13&lt;&gt;0, GetEquPower(AZ13,BM13, CC13, FR13)=0)</formula>
    </cfRule>
    <cfRule type="expression" dxfId="0" priority="2071">
      <formula>AND(BS13&gt;=4, DS13&lt;&gt;GetEquPower(AZ13,BM13, CC13, FR13))</formula>
    </cfRule>
  </conditionalFormatting>
  <conditionalFormatting sqref="DT13">
    <cfRule type="expression" dxfId="1" priority="2082">
      <formula>AND(BS13&gt;=5,DT13&lt;&gt;0, GetEquPower(AZ13,BM13, CD13, FR13)=0)</formula>
    </cfRule>
    <cfRule type="expression" dxfId="0" priority="2083">
      <formula>AND(BS13&gt;=5, DT13&lt;&gt;GetEquPower(AZ13,BM13, CD13, FR13))</formula>
    </cfRule>
  </conditionalFormatting>
  <conditionalFormatting sqref="DU13">
    <cfRule type="expression" dxfId="1" priority="2084">
      <formula>AND(BS13&gt;=6,DU13&lt;&gt;0, GetEquPower(AZ13,BM13, CE13, FR13)=0)</formula>
    </cfRule>
    <cfRule type="expression" dxfId="0" priority="2085">
      <formula>AND(BS13&gt;=6, DU13&lt;&gt;GetEquPower(AZ13,BM13, CE13, FR13))</formula>
    </cfRule>
  </conditionalFormatting>
  <conditionalFormatting sqref="DY13">
    <cfRule type="expression" dxfId="1" priority="2040">
      <formula>AND(BT13&gt;=1,DY13&lt;&gt;0, GetEquPower(BA13,BN13, CG13, FS13)=0)</formula>
    </cfRule>
    <cfRule type="expression" dxfId="0" priority="2041">
      <formula>AND(BT13&gt;=1,DY13&lt;&gt;GetEquPower(BA13,BN13, CG13, FS13))</formula>
    </cfRule>
  </conditionalFormatting>
  <conditionalFormatting sqref="DZ13">
    <cfRule type="expression" dxfId="1" priority="2042">
      <formula>AND(BT13&gt;=2,DZ13&lt;&gt;0, GetEquPower(BA13,BN13, CH13, FS13)=0)</formula>
    </cfRule>
    <cfRule type="expression" dxfId="0" priority="2043">
      <formula>AND(BT13&gt;=2,DZ13&lt;&gt;GetEquPower(BA13,BN13, CH13, FS13))</formula>
    </cfRule>
  </conditionalFormatting>
  <conditionalFormatting sqref="EA13">
    <cfRule type="expression" dxfId="1" priority="2044">
      <formula>AND(BT13&gt;=3,EA13&lt;&gt;0, GetEquPower(BA13,BN13, CI13, FS13)=0)</formula>
    </cfRule>
    <cfRule type="expression" dxfId="0" priority="2045">
      <formula>AND(BT13&gt;=3,EA13&lt;&gt;GetEquPower(BA13,BN13, CI13, FS13))</formula>
    </cfRule>
  </conditionalFormatting>
  <conditionalFormatting sqref="EB13">
    <cfRule type="expression" dxfId="1" priority="2072">
      <formula>AND(BT13&gt;=4,EB13&lt;&gt;0, GetEquPower(BA13,BN13, CJ13, FS13)=0)</formula>
    </cfRule>
    <cfRule type="expression" dxfId="0" priority="2073">
      <formula>AND(BT13&gt;=4,EB13&lt;&gt;GetEquPower(BA13,BN13, CJ13, FS13))</formula>
    </cfRule>
  </conditionalFormatting>
  <conditionalFormatting sqref="EC13">
    <cfRule type="expression" dxfId="1" priority="2086">
      <formula>AND(BT13&gt;=5,EC13&lt;&gt;0, GetEquPower(BA13,BN13, CK13, FS13)=0)</formula>
    </cfRule>
    <cfRule type="expression" dxfId="0" priority="2087">
      <formula>AND(BT13&gt;=5,EC13&lt;&gt;GetEquPower(BA13,BN13, CK13, FS13))</formula>
    </cfRule>
  </conditionalFormatting>
  <conditionalFormatting sqref="ED13">
    <cfRule type="expression" dxfId="1" priority="2088">
      <formula>AND(BT13&gt;=6,ED13&lt;&gt;0, GetEquPower(BA13,BN13, CL13, FS13)=0)</formula>
    </cfRule>
    <cfRule type="expression" dxfId="0" priority="2089">
      <formula>AND(BT13&gt;=6,ED13&lt;&gt;GetEquPower(BA13,BN13, CL13, FS13))</formula>
    </cfRule>
  </conditionalFormatting>
  <conditionalFormatting sqref="EH13">
    <cfRule type="expression" dxfId="1" priority="2046">
      <formula>AND(BU13&gt;=1,EH13&lt;&gt;0, GetEquPower(BB13,BO13, CN13, FT13)=0)</formula>
    </cfRule>
    <cfRule type="expression" dxfId="0" priority="2047">
      <formula>AND(BU13&gt;=1,EH13&lt;&gt;GetEquPower(BB13,BO13, CN13, FT13))</formula>
    </cfRule>
  </conditionalFormatting>
  <conditionalFormatting sqref="EI13">
    <cfRule type="expression" dxfId="1" priority="2048">
      <formula>AND(BU13&gt;=2,EI13&lt;&gt;0, GetEquPower(BB13,BO13, CO13, FT13)=0)</formula>
    </cfRule>
    <cfRule type="expression" dxfId="0" priority="2049">
      <formula xml:space="preserve"> AND(BU13&gt;=2,EI13&lt;&gt;GetEquPower(BB13,BO13, CO13, FT13))</formula>
    </cfRule>
  </conditionalFormatting>
  <conditionalFormatting sqref="EJ13">
    <cfRule type="expression" dxfId="1" priority="2050">
      <formula>AND(BU13&gt;=3,EJ13&lt;&gt;0, GetEquPower(BB13,BO13, CP13, FT13)=0)</formula>
    </cfRule>
    <cfRule type="expression" dxfId="0" priority="2051">
      <formula xml:space="preserve"> AND(BU13&gt;=3,EJ13&lt;&gt;GetEquPower(BB13,BO13, CP13, FT13))</formula>
    </cfRule>
  </conditionalFormatting>
  <conditionalFormatting sqref="EK13">
    <cfRule type="expression" dxfId="1" priority="2074">
      <formula>AND(BU13&gt;=4,EK13&lt;&gt;0, GetEquPower(BB13,BO13, CQ13, FT13)=0)</formula>
    </cfRule>
    <cfRule type="expression" dxfId="0" priority="2075">
      <formula xml:space="preserve"> AND(BU13&gt;=4,EK13&lt;&gt;GetEquPower(BB13,BO13, CQ13, FT13))</formula>
    </cfRule>
  </conditionalFormatting>
  <conditionalFormatting sqref="EL13">
    <cfRule type="expression" dxfId="1" priority="2090">
      <formula>AND(BU13&gt;=5,EL13&lt;&gt;0, GetEquPower(BB13,BO13, CR13, FT13)=0)</formula>
    </cfRule>
    <cfRule type="expression" dxfId="0" priority="2091">
      <formula xml:space="preserve"> AND(BU13&gt;=5,EL13&lt;&gt;GetEquPower(BB13,BO13, CR13, FT13))</formula>
    </cfRule>
  </conditionalFormatting>
  <conditionalFormatting sqref="EM13">
    <cfRule type="expression" dxfId="1" priority="2092">
      <formula>AND(BU13&gt;=6,EM13&lt;&gt;0, GetEquPower(BB13,BO13, CS13, FT13)=0)</formula>
    </cfRule>
    <cfRule type="expression" dxfId="0" priority="2093">
      <formula xml:space="preserve"> AND(BU13&gt;=6,EM13&lt;&gt;GetEquPower(BB13,BO13, CS13, FT13))</formula>
    </cfRule>
  </conditionalFormatting>
  <conditionalFormatting sqref="EQ13">
    <cfRule type="expression" dxfId="1" priority="2052">
      <formula>AND(BV13&gt;=1,EQ13&lt;&gt;0, GetEquPower(BC13,BP13, CU13, FU13)=0)</formula>
    </cfRule>
    <cfRule type="expression" dxfId="0" priority="2053">
      <formula>AND(BV13&gt;=1,EQ13&lt;&gt;GetEquPower(BC13,BP13, CU13, FU13))</formula>
    </cfRule>
  </conditionalFormatting>
  <conditionalFormatting sqref="ER13">
    <cfRule type="expression" dxfId="1" priority="2054">
      <formula>AND(BV13&gt;=2,ER13&lt;&gt;0, GetEquPower(BC13,BP13, CV13, FU13)=0)</formula>
    </cfRule>
    <cfRule type="expression" dxfId="0" priority="2055">
      <formula>AND(BV13&gt;=2,ER13&lt;&gt;GetEquPower(BC13,BP13, CV13, FU13))</formula>
    </cfRule>
  </conditionalFormatting>
  <conditionalFormatting sqref="ES13">
    <cfRule type="expression" dxfId="1" priority="2056">
      <formula>AND(BV13&gt;=3,ES13&lt;&gt;0, GetEquPower(BC13,BP13, CW13, FU13)=0)</formula>
    </cfRule>
    <cfRule type="expression" dxfId="0" priority="2057">
      <formula>AND(BV13&gt;=3,ES13&lt;&gt;GetEquPower(BC13,BP13, CW13, FU13))</formula>
    </cfRule>
  </conditionalFormatting>
  <conditionalFormatting sqref="ET13">
    <cfRule type="expression" dxfId="1" priority="2076">
      <formula>AND(BV13&gt;=4,ET13&lt;&gt;0, GetEquPower(BC13,BP13, CX13, FU13)=0)</formula>
    </cfRule>
    <cfRule type="expression" dxfId="0" priority="2077">
      <formula>AND(BV13&gt;=4,ET13&lt;&gt;GetEquPower(BC13,BP13, CX13, FU13))</formula>
    </cfRule>
  </conditionalFormatting>
  <conditionalFormatting sqref="EU13">
    <cfRule type="expression" dxfId="1" priority="2094">
      <formula>AND(BV13&gt;=5,EU13&lt;&gt;0, GetEquPower(BC13,BP13, CY13, FU13)=0)</formula>
    </cfRule>
    <cfRule type="expression" dxfId="0" priority="2095">
      <formula>AND(BV13&gt;=5,EU13&lt;&gt;GetEquPower(BC13,BP13, CY13, FU13))</formula>
    </cfRule>
  </conditionalFormatting>
  <conditionalFormatting sqref="EV13">
    <cfRule type="expression" dxfId="1" priority="2096">
      <formula>AND(BV13&gt;=6,EV13&lt;&gt;0, GetEquPower(BC13,BP13, CZ13, FU13)=0)</formula>
    </cfRule>
    <cfRule type="expression" dxfId="0" priority="2097">
      <formula>AND(BV13&gt;=6,EV13&lt;&gt;GetEquPower(BC13,BP13, CZ13, FU13))</formula>
    </cfRule>
  </conditionalFormatting>
  <conditionalFormatting sqref="EZ13">
    <cfRule type="expression" dxfId="1" priority="2058">
      <formula>AND(BW13&gt;=1,EZ13&lt;&gt;0, GetEquPower(BD13,BQ13, DB13, FV13)=0)</formula>
    </cfRule>
    <cfRule type="expression" dxfId="0" priority="2059">
      <formula>AND(BW13&gt;=1,EZ13&lt;&gt;GetEquPower(BD13,BQ13, DB13, FV13))</formula>
    </cfRule>
  </conditionalFormatting>
  <conditionalFormatting sqref="FA13">
    <cfRule type="expression" dxfId="1" priority="2060">
      <formula>AND(BW13&gt;=2,FA13&lt;&gt;0, GetEquPower(BD13,BQ13, DC13, FV13)=0)</formula>
    </cfRule>
    <cfRule type="expression" dxfId="0" priority="2061">
      <formula>AND(BW13&gt;=2,FA13&lt;&gt;GetEquPower(BD13,BQ13, DC13, FV13))</formula>
    </cfRule>
  </conditionalFormatting>
  <conditionalFormatting sqref="FB13">
    <cfRule type="expression" dxfId="1" priority="2062">
      <formula>AND(BW13&gt;=3,FB13&lt;&gt;0, GetEquPower(BD13,BQ13, DD13, FV13)=0)</formula>
    </cfRule>
    <cfRule type="expression" dxfId="0" priority="2063">
      <formula>AND(BW13&gt;=3,FB13&lt;&gt;GetEquPower(BD13,BQ13, DD13, FV13))</formula>
    </cfRule>
  </conditionalFormatting>
  <conditionalFormatting sqref="FC13">
    <cfRule type="expression" dxfId="1" priority="2078">
      <formula>AND(BW13&gt;=4,FC13&lt;&gt;0, GetEquPower(BD13,BQ13, DE13, FV13)=0)</formula>
    </cfRule>
    <cfRule type="expression" dxfId="0" priority="2079">
      <formula>AND(BW13&gt;=4,FC13&lt;&gt;GetEquPower(BD13,BQ13, DE13, FV13))</formula>
    </cfRule>
  </conditionalFormatting>
  <conditionalFormatting sqref="FD13">
    <cfRule type="expression" dxfId="1" priority="2098">
      <formula>AND(BW13&gt;=5,FD13&lt;&gt;0, GetEquPower(BD13,BQ13, DF13, FV13)=0)</formula>
    </cfRule>
    <cfRule type="expression" dxfId="0" priority="2099">
      <formula>AND(BW13&gt;=5,FD13&lt;&gt;GetEquPower(BD13,BQ13, DF13, FV13))</formula>
    </cfRule>
  </conditionalFormatting>
  <conditionalFormatting sqref="FE13">
    <cfRule type="expression" dxfId="1" priority="2100">
      <formula>AND(BW13&gt;=6,FE13&lt;&gt;0, GetEquPower(BD13,BQ13, DG13, FV13)=0)</formula>
    </cfRule>
    <cfRule type="expression" dxfId="0" priority="2101">
      <formula>AND(BW13&gt;=6,FE13&lt;&gt;GetEquPower(BD13,BQ13, DG13, FV13))</formula>
    </cfRule>
  </conditionalFormatting>
  <conditionalFormatting sqref="FI13">
    <cfRule type="expression" dxfId="1" priority="2064">
      <formula>AND(BX13&gt;=1,FI13&lt;&gt;0, GetEquPower(BE13,BR13, DI13, FW13)=0)</formula>
    </cfRule>
    <cfRule type="expression" dxfId="0" priority="2065">
      <formula>AND(BX13&gt;=1,FI13&lt;&gt;GetEquPower(BE13,BR13, DI13, FW13))</formula>
    </cfRule>
  </conditionalFormatting>
  <conditionalFormatting sqref="FJ13">
    <cfRule type="expression" dxfId="1" priority="2066">
      <formula>AND(BX13&gt;=2,FJ13&lt;&gt;0, GetEquPower(BE13,BR13, DJ13, FW13)=0)</formula>
    </cfRule>
    <cfRule type="expression" dxfId="0" priority="2067">
      <formula>AND(BX13&gt;=2,FJ13&lt;&gt;GetEquPower(BE13,BR13, DJ13, FW13))</formula>
    </cfRule>
  </conditionalFormatting>
  <conditionalFormatting sqref="FK13">
    <cfRule type="expression" dxfId="1" priority="2068">
      <formula>AND(BX13&gt;=3,FK13&lt;&gt;0, GetEquPower(BE13,BR13, DK13, FW13)=0)</formula>
    </cfRule>
    <cfRule type="expression" dxfId="0" priority="2069">
      <formula>AND(BX13&gt;=3,FK13&lt;&gt;GetEquPower(BE13,BR13, DK13, FW13))</formula>
    </cfRule>
  </conditionalFormatting>
  <conditionalFormatting sqref="FL13">
    <cfRule type="expression" dxfId="1" priority="2080">
      <formula>AND(BX13&gt;=4,FL13&lt;&gt;0, GetEquPower(BE13,BR13, DL13, FW13)=0)</formula>
    </cfRule>
    <cfRule type="expression" dxfId="0" priority="2081">
      <formula>AND(BX13&gt;=4,FL13&lt;&gt;GetEquPower(BE13,BR13, DL13, FW13))</formula>
    </cfRule>
  </conditionalFormatting>
  <conditionalFormatting sqref="FM13">
    <cfRule type="expression" dxfId="1" priority="2102">
      <formula>AND(BX13&gt;=5,FM13&lt;&gt;0, GetEquPower(BE13,BR13, DM13, FW13)=0)</formula>
    </cfRule>
    <cfRule type="expression" dxfId="0" priority="2103">
      <formula>AND(BX13&gt;=5,FM13&lt;&gt;GetEquPower(BE13,BR13, DM13, FW13))</formula>
    </cfRule>
  </conditionalFormatting>
  <conditionalFormatting sqref="FN13">
    <cfRule type="expression" dxfId="1" priority="2104">
      <formula>AND(BX13&gt;=6,FN13&lt;&gt;0, GetEquPower(BE13,BR13, DN13, FW13)=0)</formula>
    </cfRule>
    <cfRule type="expression" dxfId="0" priority="2105">
      <formula>AND(BX13&gt;=6,FN13&lt;&gt;GetEquPower(BE13,BR13, DN13, FW13))</formula>
    </cfRule>
  </conditionalFormatting>
  <conditionalFormatting sqref="F14">
    <cfRule type="expression" dxfId="72" priority="1952">
      <formula>F14&lt;&gt;RIGHT(SUBSTITUTE(TRIM(E14),".",""),LEN(F14))</formula>
    </cfRule>
  </conditionalFormatting>
  <conditionalFormatting sqref="BS14">
    <cfRule type="expression" dxfId="72" priority="1951">
      <formula>AND(J14&gt;=1,BS14&lt;1)</formula>
    </cfRule>
  </conditionalFormatting>
  <conditionalFormatting sqref="BT14">
    <cfRule type="expression" dxfId="72" priority="1950">
      <formula>AND(J14&gt;=2,BT14&lt;1)</formula>
    </cfRule>
  </conditionalFormatting>
  <conditionalFormatting sqref="BU14">
    <cfRule type="expression" dxfId="72" priority="1948">
      <formula>AND(J14&gt;=3,BU14&lt;1)</formula>
    </cfRule>
  </conditionalFormatting>
  <conditionalFormatting sqref="BV14">
    <cfRule type="expression" dxfId="72" priority="1947">
      <formula>AND(J14&gt;=4,BV14&lt;1)</formula>
    </cfRule>
  </conditionalFormatting>
  <conditionalFormatting sqref="BW14">
    <cfRule type="expression" dxfId="72" priority="1949">
      <formula>AND(J14&gt;=5,BW14&lt;1)</formula>
    </cfRule>
  </conditionalFormatting>
  <conditionalFormatting sqref="BX14">
    <cfRule type="expression" dxfId="72" priority="1946">
      <formula>AND(J14&gt;=6,BX14&lt;1)</formula>
    </cfRule>
  </conditionalFormatting>
  <conditionalFormatting sqref="IC14">
    <cfRule type="expression" dxfId="72" priority="2025">
      <formula>AND($S14 = TRUE, $IC14&lt;&gt;OptionsUnitCode)</formula>
    </cfRule>
  </conditionalFormatting>
  <conditionalFormatting sqref="B14:II14">
    <cfRule type="containsErrors" dxfId="72" priority="1945">
      <formula>ISERROR(B14)</formula>
    </cfRule>
  </conditionalFormatting>
  <conditionalFormatting sqref="DP14">
    <cfRule type="expression" dxfId="1" priority="1953">
      <formula>AND(BS14&gt;=1,DP14&lt;&gt;0, GetEquPower(AZ14,BM14, BZ14, FR14)=0)</formula>
    </cfRule>
    <cfRule type="expression" dxfId="0" priority="1954">
      <formula>AND(BS14&gt;=1,DP14&lt;&gt;GetEquPower(AZ14,BM14, BZ14, FR14))</formula>
    </cfRule>
  </conditionalFormatting>
  <conditionalFormatting sqref="DQ14">
    <cfRule type="expression" dxfId="1" priority="1955">
      <formula>AND(BS14&gt;=2,DQ14&lt;&gt;0, GetEquPower(AZ14,BM14, CA14, FR14)=0)</formula>
    </cfRule>
    <cfRule type="expression" dxfId="0" priority="1956">
      <formula>AND(BS14&gt;=2,DQ14&lt;&gt;GetEquPower(AZ14,BM14, CA14, FR14))</formula>
    </cfRule>
  </conditionalFormatting>
  <conditionalFormatting sqref="DR14">
    <cfRule type="expression" dxfId="1" priority="1957">
      <formula>AND(BS14&gt;=3,DR14&lt;&gt;0, GetEquPower(AZ14,BM14, CB14, FR14)=0)</formula>
    </cfRule>
    <cfRule type="expression" dxfId="0" priority="1958">
      <formula>AND(BS14&gt;=3,DR14&lt;&gt;GetEquPower(AZ14,BM14, CB14, FR14))</formula>
    </cfRule>
  </conditionalFormatting>
  <conditionalFormatting sqref="DS14">
    <cfRule type="expression" dxfId="1" priority="1989">
      <formula>AND(BS14&gt;=4,DS14&lt;&gt;0, GetEquPower(AZ14,BM14, CC14, FR14)=0)</formula>
    </cfRule>
    <cfRule type="expression" dxfId="0" priority="1990">
      <formula>AND(BS14&gt;=4, DS14&lt;&gt;GetEquPower(AZ14,BM14, CC14, FR14))</formula>
    </cfRule>
  </conditionalFormatting>
  <conditionalFormatting sqref="DT14">
    <cfRule type="expression" dxfId="1" priority="2001">
      <formula>AND(BS14&gt;=5,DT14&lt;&gt;0, GetEquPower(AZ14,BM14, CD14, FR14)=0)</formula>
    </cfRule>
    <cfRule type="expression" dxfId="0" priority="2002">
      <formula>AND(BS14&gt;=5, DT14&lt;&gt;GetEquPower(AZ14,BM14, CD14, FR14))</formula>
    </cfRule>
  </conditionalFormatting>
  <conditionalFormatting sqref="DU14">
    <cfRule type="expression" dxfId="1" priority="2003">
      <formula>AND(BS14&gt;=6,DU14&lt;&gt;0, GetEquPower(AZ14,BM14, CE14, FR14)=0)</formula>
    </cfRule>
    <cfRule type="expression" dxfId="0" priority="2004">
      <formula>AND(BS14&gt;=6, DU14&lt;&gt;GetEquPower(AZ14,BM14, CE14, FR14))</formula>
    </cfRule>
  </conditionalFormatting>
  <conditionalFormatting sqref="DY14">
    <cfRule type="expression" dxfId="1" priority="1959">
      <formula>AND(BT14&gt;=1,DY14&lt;&gt;0, GetEquPower(BA14,BN14, CG14, FS14)=0)</formula>
    </cfRule>
    <cfRule type="expression" dxfId="0" priority="1960">
      <formula>AND(BT14&gt;=1,DY14&lt;&gt;GetEquPower(BA14,BN14, CG14, FS14))</formula>
    </cfRule>
  </conditionalFormatting>
  <conditionalFormatting sqref="DZ14">
    <cfRule type="expression" dxfId="1" priority="1961">
      <formula>AND(BT14&gt;=2,DZ14&lt;&gt;0, GetEquPower(BA14,BN14, CH14, FS14)=0)</formula>
    </cfRule>
    <cfRule type="expression" dxfId="0" priority="1962">
      <formula>AND(BT14&gt;=2,DZ14&lt;&gt;GetEquPower(BA14,BN14, CH14, FS14))</formula>
    </cfRule>
  </conditionalFormatting>
  <conditionalFormatting sqref="EA14">
    <cfRule type="expression" dxfId="1" priority="1963">
      <formula>AND(BT14&gt;=3,EA14&lt;&gt;0, GetEquPower(BA14,BN14, CI14, FS14)=0)</formula>
    </cfRule>
    <cfRule type="expression" dxfId="0" priority="1964">
      <formula>AND(BT14&gt;=3,EA14&lt;&gt;GetEquPower(BA14,BN14, CI14, FS14))</formula>
    </cfRule>
  </conditionalFormatting>
  <conditionalFormatting sqref="EB14">
    <cfRule type="expression" dxfId="1" priority="1991">
      <formula>AND(BT14&gt;=4,EB14&lt;&gt;0, GetEquPower(BA14,BN14, CJ14, FS14)=0)</formula>
    </cfRule>
    <cfRule type="expression" dxfId="0" priority="1992">
      <formula>AND(BT14&gt;=4,EB14&lt;&gt;GetEquPower(BA14,BN14, CJ14, FS14))</formula>
    </cfRule>
  </conditionalFormatting>
  <conditionalFormatting sqref="EC14">
    <cfRule type="expression" dxfId="1" priority="2005">
      <formula>AND(BT14&gt;=5,EC14&lt;&gt;0, GetEquPower(BA14,BN14, CK14, FS14)=0)</formula>
    </cfRule>
    <cfRule type="expression" dxfId="0" priority="2006">
      <formula>AND(BT14&gt;=5,EC14&lt;&gt;GetEquPower(BA14,BN14, CK14, FS14))</formula>
    </cfRule>
  </conditionalFormatting>
  <conditionalFormatting sqref="ED14">
    <cfRule type="expression" dxfId="1" priority="2007">
      <formula>AND(BT14&gt;=6,ED14&lt;&gt;0, GetEquPower(BA14,BN14, CL14, FS14)=0)</formula>
    </cfRule>
    <cfRule type="expression" dxfId="0" priority="2008">
      <formula>AND(BT14&gt;=6,ED14&lt;&gt;GetEquPower(BA14,BN14, CL14, FS14))</formula>
    </cfRule>
  </conditionalFormatting>
  <conditionalFormatting sqref="EH14">
    <cfRule type="expression" dxfId="1" priority="1965">
      <formula>AND(BU14&gt;=1,EH14&lt;&gt;0, GetEquPower(BB14,BO14, CN14, FT14)=0)</formula>
    </cfRule>
    <cfRule type="expression" dxfId="0" priority="1966">
      <formula>AND(BU14&gt;=1,EH14&lt;&gt;GetEquPower(BB14,BO14, CN14, FT14))</formula>
    </cfRule>
  </conditionalFormatting>
  <conditionalFormatting sqref="EI14">
    <cfRule type="expression" dxfId="1" priority="1967">
      <formula>AND(BU14&gt;=2,EI14&lt;&gt;0, GetEquPower(BB14,BO14, CO14, FT14)=0)</formula>
    </cfRule>
    <cfRule type="expression" dxfId="0" priority="1968">
      <formula xml:space="preserve"> AND(BU14&gt;=2,EI14&lt;&gt;GetEquPower(BB14,BO14, CO14, FT14))</formula>
    </cfRule>
  </conditionalFormatting>
  <conditionalFormatting sqref="EJ14">
    <cfRule type="expression" dxfId="1" priority="1969">
      <formula>AND(BU14&gt;=3,EJ14&lt;&gt;0, GetEquPower(BB14,BO14, CP14, FT14)=0)</formula>
    </cfRule>
    <cfRule type="expression" dxfId="0" priority="1970">
      <formula xml:space="preserve"> AND(BU14&gt;=3,EJ14&lt;&gt;GetEquPower(BB14,BO14, CP14, FT14))</formula>
    </cfRule>
  </conditionalFormatting>
  <conditionalFormatting sqref="EK14">
    <cfRule type="expression" dxfId="1" priority="1993">
      <formula>AND(BU14&gt;=4,EK14&lt;&gt;0, GetEquPower(BB14,BO14, CQ14, FT14)=0)</formula>
    </cfRule>
    <cfRule type="expression" dxfId="0" priority="1994">
      <formula xml:space="preserve"> AND(BU14&gt;=4,EK14&lt;&gt;GetEquPower(BB14,BO14, CQ14, FT14))</formula>
    </cfRule>
  </conditionalFormatting>
  <conditionalFormatting sqref="EL14">
    <cfRule type="expression" dxfId="1" priority="2009">
      <formula>AND(BU14&gt;=5,EL14&lt;&gt;0, GetEquPower(BB14,BO14, CR14, FT14)=0)</formula>
    </cfRule>
    <cfRule type="expression" dxfId="0" priority="2010">
      <formula xml:space="preserve"> AND(BU14&gt;=5,EL14&lt;&gt;GetEquPower(BB14,BO14, CR14, FT14))</formula>
    </cfRule>
  </conditionalFormatting>
  <conditionalFormatting sqref="EM14">
    <cfRule type="expression" dxfId="1" priority="2011">
      <formula>AND(BU14&gt;=6,EM14&lt;&gt;0, GetEquPower(BB14,BO14, CS14, FT14)=0)</formula>
    </cfRule>
    <cfRule type="expression" dxfId="0" priority="2012">
      <formula xml:space="preserve"> AND(BU14&gt;=6,EM14&lt;&gt;GetEquPower(BB14,BO14, CS14, FT14))</formula>
    </cfRule>
  </conditionalFormatting>
  <conditionalFormatting sqref="EQ14">
    <cfRule type="expression" dxfId="1" priority="1971">
      <formula>AND(BV14&gt;=1,EQ14&lt;&gt;0, GetEquPower(BC14,BP14, CU14, FU14)=0)</formula>
    </cfRule>
    <cfRule type="expression" dxfId="0" priority="1972">
      <formula>AND(BV14&gt;=1,EQ14&lt;&gt;GetEquPower(BC14,BP14, CU14, FU14))</formula>
    </cfRule>
  </conditionalFormatting>
  <conditionalFormatting sqref="ER14">
    <cfRule type="expression" dxfId="1" priority="1973">
      <formula>AND(BV14&gt;=2,ER14&lt;&gt;0, GetEquPower(BC14,BP14, CV14, FU14)=0)</formula>
    </cfRule>
    <cfRule type="expression" dxfId="0" priority="1974">
      <formula>AND(BV14&gt;=2,ER14&lt;&gt;GetEquPower(BC14,BP14, CV14, FU14))</formula>
    </cfRule>
  </conditionalFormatting>
  <conditionalFormatting sqref="ES14">
    <cfRule type="expression" dxfId="1" priority="1975">
      <formula>AND(BV14&gt;=3,ES14&lt;&gt;0, GetEquPower(BC14,BP14, CW14, FU14)=0)</formula>
    </cfRule>
    <cfRule type="expression" dxfId="0" priority="1976">
      <formula>AND(BV14&gt;=3,ES14&lt;&gt;GetEquPower(BC14,BP14, CW14, FU14))</formula>
    </cfRule>
  </conditionalFormatting>
  <conditionalFormatting sqref="ET14">
    <cfRule type="expression" dxfId="1" priority="1995">
      <formula>AND(BV14&gt;=4,ET14&lt;&gt;0, GetEquPower(BC14,BP14, CX14, FU14)=0)</formula>
    </cfRule>
    <cfRule type="expression" dxfId="0" priority="1996">
      <formula>AND(BV14&gt;=4,ET14&lt;&gt;GetEquPower(BC14,BP14, CX14, FU14))</formula>
    </cfRule>
  </conditionalFormatting>
  <conditionalFormatting sqref="EU14">
    <cfRule type="expression" dxfId="1" priority="2013">
      <formula>AND(BV14&gt;=5,EU14&lt;&gt;0, GetEquPower(BC14,BP14, CY14, FU14)=0)</formula>
    </cfRule>
    <cfRule type="expression" dxfId="0" priority="2014">
      <formula>AND(BV14&gt;=5,EU14&lt;&gt;GetEquPower(BC14,BP14, CY14, FU14))</formula>
    </cfRule>
  </conditionalFormatting>
  <conditionalFormatting sqref="EV14">
    <cfRule type="expression" dxfId="1" priority="2015">
      <formula>AND(BV14&gt;=6,EV14&lt;&gt;0, GetEquPower(BC14,BP14, CZ14, FU14)=0)</formula>
    </cfRule>
    <cfRule type="expression" dxfId="0" priority="2016">
      <formula>AND(BV14&gt;=6,EV14&lt;&gt;GetEquPower(BC14,BP14, CZ14, FU14))</formula>
    </cfRule>
  </conditionalFormatting>
  <conditionalFormatting sqref="EZ14">
    <cfRule type="expression" dxfId="1" priority="1977">
      <formula>AND(BW14&gt;=1,EZ14&lt;&gt;0, GetEquPower(BD14,BQ14, DB14, FV14)=0)</formula>
    </cfRule>
    <cfRule type="expression" dxfId="0" priority="1978">
      <formula>AND(BW14&gt;=1,EZ14&lt;&gt;GetEquPower(BD14,BQ14, DB14, FV14))</formula>
    </cfRule>
  </conditionalFormatting>
  <conditionalFormatting sqref="FA14">
    <cfRule type="expression" dxfId="1" priority="1979">
      <formula>AND(BW14&gt;=2,FA14&lt;&gt;0, GetEquPower(BD14,BQ14, DC14, FV14)=0)</formula>
    </cfRule>
    <cfRule type="expression" dxfId="0" priority="1980">
      <formula>AND(BW14&gt;=2,FA14&lt;&gt;GetEquPower(BD14,BQ14, DC14, FV14))</formula>
    </cfRule>
  </conditionalFormatting>
  <conditionalFormatting sqref="FB14">
    <cfRule type="expression" dxfId="1" priority="1981">
      <formula>AND(BW14&gt;=3,FB14&lt;&gt;0, GetEquPower(BD14,BQ14, DD14, FV14)=0)</formula>
    </cfRule>
    <cfRule type="expression" dxfId="0" priority="1982">
      <formula>AND(BW14&gt;=3,FB14&lt;&gt;GetEquPower(BD14,BQ14, DD14, FV14))</formula>
    </cfRule>
  </conditionalFormatting>
  <conditionalFormatting sqref="FC14">
    <cfRule type="expression" dxfId="1" priority="1997">
      <formula>AND(BW14&gt;=4,FC14&lt;&gt;0, GetEquPower(BD14,BQ14, DE14, FV14)=0)</formula>
    </cfRule>
    <cfRule type="expression" dxfId="0" priority="1998">
      <formula>AND(BW14&gt;=4,FC14&lt;&gt;GetEquPower(BD14,BQ14, DE14, FV14))</formula>
    </cfRule>
  </conditionalFormatting>
  <conditionalFormatting sqref="FD14">
    <cfRule type="expression" dxfId="1" priority="2017">
      <formula>AND(BW14&gt;=5,FD14&lt;&gt;0, GetEquPower(BD14,BQ14, DF14, FV14)=0)</formula>
    </cfRule>
    <cfRule type="expression" dxfId="0" priority="2018">
      <formula>AND(BW14&gt;=5,FD14&lt;&gt;GetEquPower(BD14,BQ14, DF14, FV14))</formula>
    </cfRule>
  </conditionalFormatting>
  <conditionalFormatting sqref="FE14">
    <cfRule type="expression" dxfId="1" priority="2019">
      <formula>AND(BW14&gt;=6,FE14&lt;&gt;0, GetEquPower(BD14,BQ14, DG14, FV14)=0)</formula>
    </cfRule>
    <cfRule type="expression" dxfId="0" priority="2020">
      <formula>AND(BW14&gt;=6,FE14&lt;&gt;GetEquPower(BD14,BQ14, DG14, FV14))</formula>
    </cfRule>
  </conditionalFormatting>
  <conditionalFormatting sqref="FI14">
    <cfRule type="expression" dxfId="1" priority="1983">
      <formula>AND(BX14&gt;=1,FI14&lt;&gt;0, GetEquPower(BE14,BR14, DI14, FW14)=0)</formula>
    </cfRule>
    <cfRule type="expression" dxfId="0" priority="1984">
      <formula>AND(BX14&gt;=1,FI14&lt;&gt;GetEquPower(BE14,BR14, DI14, FW14))</formula>
    </cfRule>
  </conditionalFormatting>
  <conditionalFormatting sqref="FJ14">
    <cfRule type="expression" dxfId="1" priority="1985">
      <formula>AND(BX14&gt;=2,FJ14&lt;&gt;0, GetEquPower(BE14,BR14, DJ14, FW14)=0)</formula>
    </cfRule>
    <cfRule type="expression" dxfId="0" priority="1986">
      <formula>AND(BX14&gt;=2,FJ14&lt;&gt;GetEquPower(BE14,BR14, DJ14, FW14))</formula>
    </cfRule>
  </conditionalFormatting>
  <conditionalFormatting sqref="FK14">
    <cfRule type="expression" dxfId="1" priority="1987">
      <formula>AND(BX14&gt;=3,FK14&lt;&gt;0, GetEquPower(BE14,BR14, DK14, FW14)=0)</formula>
    </cfRule>
    <cfRule type="expression" dxfId="0" priority="1988">
      <formula>AND(BX14&gt;=3,FK14&lt;&gt;GetEquPower(BE14,BR14, DK14, FW14))</formula>
    </cfRule>
  </conditionalFormatting>
  <conditionalFormatting sqref="FL14">
    <cfRule type="expression" dxfId="1" priority="1999">
      <formula>AND(BX14&gt;=4,FL14&lt;&gt;0, GetEquPower(BE14,BR14, DL14, FW14)=0)</formula>
    </cfRule>
    <cfRule type="expression" dxfId="0" priority="2000">
      <formula>AND(BX14&gt;=4,FL14&lt;&gt;GetEquPower(BE14,BR14, DL14, FW14))</formula>
    </cfRule>
  </conditionalFormatting>
  <conditionalFormatting sqref="FM14">
    <cfRule type="expression" dxfId="1" priority="2021">
      <formula>AND(BX14&gt;=5,FM14&lt;&gt;0, GetEquPower(BE14,BR14, DM14, FW14)=0)</formula>
    </cfRule>
    <cfRule type="expression" dxfId="0" priority="2022">
      <formula>AND(BX14&gt;=5,FM14&lt;&gt;GetEquPower(BE14,BR14, DM14, FW14))</formula>
    </cfRule>
  </conditionalFormatting>
  <conditionalFormatting sqref="FN14">
    <cfRule type="expression" dxfId="1" priority="2023">
      <formula>AND(BX14&gt;=6,FN14&lt;&gt;0, GetEquPower(BE14,BR14, DN14, FW14)=0)</formula>
    </cfRule>
    <cfRule type="expression" dxfId="0" priority="2024">
      <formula>AND(BX14&gt;=6,FN14&lt;&gt;GetEquPower(BE14,BR14, DN14, FW14))</formula>
    </cfRule>
  </conditionalFormatting>
  <conditionalFormatting sqref="F15">
    <cfRule type="expression" dxfId="72" priority="1871">
      <formula>F15&lt;&gt;RIGHT(SUBSTITUTE(TRIM(E15),".",""),LEN(F15))</formula>
    </cfRule>
  </conditionalFormatting>
  <conditionalFormatting sqref="BS15">
    <cfRule type="expression" dxfId="72" priority="1870">
      <formula>AND(J15&gt;=1,BS15&lt;1)</formula>
    </cfRule>
  </conditionalFormatting>
  <conditionalFormatting sqref="BT15">
    <cfRule type="expression" dxfId="72" priority="1869">
      <formula>AND(J15&gt;=2,BT15&lt;1)</formula>
    </cfRule>
  </conditionalFormatting>
  <conditionalFormatting sqref="BU15">
    <cfRule type="expression" dxfId="72" priority="1867">
      <formula>AND(J15&gt;=3,BU15&lt;1)</formula>
    </cfRule>
  </conditionalFormatting>
  <conditionalFormatting sqref="BV15">
    <cfRule type="expression" dxfId="72" priority="1866">
      <formula>AND(J15&gt;=4,BV15&lt;1)</formula>
    </cfRule>
  </conditionalFormatting>
  <conditionalFormatting sqref="BW15">
    <cfRule type="expression" dxfId="72" priority="1868">
      <formula>AND(J15&gt;=5,BW15&lt;1)</formula>
    </cfRule>
  </conditionalFormatting>
  <conditionalFormatting sqref="BX15">
    <cfRule type="expression" dxfId="72" priority="1865">
      <formula>AND(J15&gt;=6,BX15&lt;1)</formula>
    </cfRule>
  </conditionalFormatting>
  <conditionalFormatting sqref="IC15">
    <cfRule type="expression" dxfId="72" priority="1944">
      <formula>AND($S15 = TRUE, $IC15&lt;&gt;OptionsUnitCode)</formula>
    </cfRule>
  </conditionalFormatting>
  <conditionalFormatting sqref="B15:II15">
    <cfRule type="containsErrors" dxfId="72" priority="1864">
      <formula>ISERROR(B15)</formula>
    </cfRule>
  </conditionalFormatting>
  <conditionalFormatting sqref="DP15">
    <cfRule type="expression" dxfId="1" priority="1872">
      <formula>AND(BS15&gt;=1,DP15&lt;&gt;0, GetEquPower(AZ15,BM15, BZ15, FR15)=0)</formula>
    </cfRule>
    <cfRule type="expression" dxfId="0" priority="1873">
      <formula>AND(BS15&gt;=1,DP15&lt;&gt;GetEquPower(AZ15,BM15, BZ15, FR15))</formula>
    </cfRule>
  </conditionalFormatting>
  <conditionalFormatting sqref="DQ15">
    <cfRule type="expression" dxfId="1" priority="1874">
      <formula>AND(BS15&gt;=2,DQ15&lt;&gt;0, GetEquPower(AZ15,BM15, CA15, FR15)=0)</formula>
    </cfRule>
    <cfRule type="expression" dxfId="0" priority="1875">
      <formula>AND(BS15&gt;=2,DQ15&lt;&gt;GetEquPower(AZ15,BM15, CA15, FR15))</formula>
    </cfRule>
  </conditionalFormatting>
  <conditionalFormatting sqref="DR15">
    <cfRule type="expression" dxfId="1" priority="1876">
      <formula>AND(BS15&gt;=3,DR15&lt;&gt;0, GetEquPower(AZ15,BM15, CB15, FR15)=0)</formula>
    </cfRule>
    <cfRule type="expression" dxfId="0" priority="1877">
      <formula>AND(BS15&gt;=3,DR15&lt;&gt;GetEquPower(AZ15,BM15, CB15, FR15))</formula>
    </cfRule>
  </conditionalFormatting>
  <conditionalFormatting sqref="DS15">
    <cfRule type="expression" dxfId="1" priority="1908">
      <formula>AND(BS15&gt;=4,DS15&lt;&gt;0, GetEquPower(AZ15,BM15, CC15, FR15)=0)</formula>
    </cfRule>
    <cfRule type="expression" dxfId="0" priority="1909">
      <formula>AND(BS15&gt;=4, DS15&lt;&gt;GetEquPower(AZ15,BM15, CC15, FR15))</formula>
    </cfRule>
  </conditionalFormatting>
  <conditionalFormatting sqref="DT15">
    <cfRule type="expression" dxfId="1" priority="1920">
      <formula>AND(BS15&gt;=5,DT15&lt;&gt;0, GetEquPower(AZ15,BM15, CD15, FR15)=0)</formula>
    </cfRule>
    <cfRule type="expression" dxfId="0" priority="1921">
      <formula>AND(BS15&gt;=5, DT15&lt;&gt;GetEquPower(AZ15,BM15, CD15, FR15))</formula>
    </cfRule>
  </conditionalFormatting>
  <conditionalFormatting sqref="DU15">
    <cfRule type="expression" dxfId="1" priority="1922">
      <formula>AND(BS15&gt;=6,DU15&lt;&gt;0, GetEquPower(AZ15,BM15, CE15, FR15)=0)</formula>
    </cfRule>
    <cfRule type="expression" dxfId="0" priority="1923">
      <formula>AND(BS15&gt;=6, DU15&lt;&gt;GetEquPower(AZ15,BM15, CE15, FR15))</formula>
    </cfRule>
  </conditionalFormatting>
  <conditionalFormatting sqref="DY15">
    <cfRule type="expression" dxfId="1" priority="1878">
      <formula>AND(BT15&gt;=1,DY15&lt;&gt;0, GetEquPower(BA15,BN15, CG15, FS15)=0)</formula>
    </cfRule>
    <cfRule type="expression" dxfId="0" priority="1879">
      <formula>AND(BT15&gt;=1,DY15&lt;&gt;GetEquPower(BA15,BN15, CG15, FS15))</formula>
    </cfRule>
  </conditionalFormatting>
  <conditionalFormatting sqref="DZ15">
    <cfRule type="expression" dxfId="1" priority="1880">
      <formula>AND(BT15&gt;=2,DZ15&lt;&gt;0, GetEquPower(BA15,BN15, CH15, FS15)=0)</formula>
    </cfRule>
    <cfRule type="expression" dxfId="0" priority="1881">
      <formula>AND(BT15&gt;=2,DZ15&lt;&gt;GetEquPower(BA15,BN15, CH15, FS15))</formula>
    </cfRule>
  </conditionalFormatting>
  <conditionalFormatting sqref="EA15">
    <cfRule type="expression" dxfId="1" priority="1882">
      <formula>AND(BT15&gt;=3,EA15&lt;&gt;0, GetEquPower(BA15,BN15, CI15, FS15)=0)</formula>
    </cfRule>
    <cfRule type="expression" dxfId="0" priority="1883">
      <formula>AND(BT15&gt;=3,EA15&lt;&gt;GetEquPower(BA15,BN15, CI15, FS15))</formula>
    </cfRule>
  </conditionalFormatting>
  <conditionalFormatting sqref="EB15">
    <cfRule type="expression" dxfId="1" priority="1910">
      <formula>AND(BT15&gt;=4,EB15&lt;&gt;0, GetEquPower(BA15,BN15, CJ15, FS15)=0)</formula>
    </cfRule>
    <cfRule type="expression" dxfId="0" priority="1911">
      <formula>AND(BT15&gt;=4,EB15&lt;&gt;GetEquPower(BA15,BN15, CJ15, FS15))</formula>
    </cfRule>
  </conditionalFormatting>
  <conditionalFormatting sqref="EC15">
    <cfRule type="expression" dxfId="1" priority="1924">
      <formula>AND(BT15&gt;=5,EC15&lt;&gt;0, GetEquPower(BA15,BN15, CK15, FS15)=0)</formula>
    </cfRule>
    <cfRule type="expression" dxfId="0" priority="1925">
      <formula>AND(BT15&gt;=5,EC15&lt;&gt;GetEquPower(BA15,BN15, CK15, FS15))</formula>
    </cfRule>
  </conditionalFormatting>
  <conditionalFormatting sqref="ED15">
    <cfRule type="expression" dxfId="1" priority="1926">
      <formula>AND(BT15&gt;=6,ED15&lt;&gt;0, GetEquPower(BA15,BN15, CL15, FS15)=0)</formula>
    </cfRule>
    <cfRule type="expression" dxfId="0" priority="1927">
      <formula>AND(BT15&gt;=6,ED15&lt;&gt;GetEquPower(BA15,BN15, CL15, FS15))</formula>
    </cfRule>
  </conditionalFormatting>
  <conditionalFormatting sqref="EH15">
    <cfRule type="expression" dxfId="1" priority="1884">
      <formula>AND(BU15&gt;=1,EH15&lt;&gt;0, GetEquPower(BB15,BO15, CN15, FT15)=0)</formula>
    </cfRule>
    <cfRule type="expression" dxfId="0" priority="1885">
      <formula>AND(BU15&gt;=1,EH15&lt;&gt;GetEquPower(BB15,BO15, CN15, FT15))</formula>
    </cfRule>
  </conditionalFormatting>
  <conditionalFormatting sqref="EI15">
    <cfRule type="expression" dxfId="1" priority="1886">
      <formula>AND(BU15&gt;=2,EI15&lt;&gt;0, GetEquPower(BB15,BO15, CO15, FT15)=0)</formula>
    </cfRule>
    <cfRule type="expression" dxfId="0" priority="1887">
      <formula xml:space="preserve"> AND(BU15&gt;=2,EI15&lt;&gt;GetEquPower(BB15,BO15, CO15, FT15))</formula>
    </cfRule>
  </conditionalFormatting>
  <conditionalFormatting sqref="EJ15">
    <cfRule type="expression" dxfId="1" priority="1888">
      <formula>AND(BU15&gt;=3,EJ15&lt;&gt;0, GetEquPower(BB15,BO15, CP15, FT15)=0)</formula>
    </cfRule>
    <cfRule type="expression" dxfId="0" priority="1889">
      <formula xml:space="preserve"> AND(BU15&gt;=3,EJ15&lt;&gt;GetEquPower(BB15,BO15, CP15, FT15))</formula>
    </cfRule>
  </conditionalFormatting>
  <conditionalFormatting sqref="EK15">
    <cfRule type="expression" dxfId="1" priority="1912">
      <formula>AND(BU15&gt;=4,EK15&lt;&gt;0, GetEquPower(BB15,BO15, CQ15, FT15)=0)</formula>
    </cfRule>
    <cfRule type="expression" dxfId="0" priority="1913">
      <formula xml:space="preserve"> AND(BU15&gt;=4,EK15&lt;&gt;GetEquPower(BB15,BO15, CQ15, FT15))</formula>
    </cfRule>
  </conditionalFormatting>
  <conditionalFormatting sqref="EL15">
    <cfRule type="expression" dxfId="1" priority="1928">
      <formula>AND(BU15&gt;=5,EL15&lt;&gt;0, GetEquPower(BB15,BO15, CR15, FT15)=0)</formula>
    </cfRule>
    <cfRule type="expression" dxfId="0" priority="1929">
      <formula xml:space="preserve"> AND(BU15&gt;=5,EL15&lt;&gt;GetEquPower(BB15,BO15, CR15, FT15))</formula>
    </cfRule>
  </conditionalFormatting>
  <conditionalFormatting sqref="EM15">
    <cfRule type="expression" dxfId="1" priority="1930">
      <formula>AND(BU15&gt;=6,EM15&lt;&gt;0, GetEquPower(BB15,BO15, CS15, FT15)=0)</formula>
    </cfRule>
    <cfRule type="expression" dxfId="0" priority="1931">
      <formula xml:space="preserve"> AND(BU15&gt;=6,EM15&lt;&gt;GetEquPower(BB15,BO15, CS15, FT15))</formula>
    </cfRule>
  </conditionalFormatting>
  <conditionalFormatting sqref="EQ15">
    <cfRule type="expression" dxfId="1" priority="1890">
      <formula>AND(BV15&gt;=1,EQ15&lt;&gt;0, GetEquPower(BC15,BP15, CU15, FU15)=0)</formula>
    </cfRule>
    <cfRule type="expression" dxfId="0" priority="1891">
      <formula>AND(BV15&gt;=1,EQ15&lt;&gt;GetEquPower(BC15,BP15, CU15, FU15))</formula>
    </cfRule>
  </conditionalFormatting>
  <conditionalFormatting sqref="ER15">
    <cfRule type="expression" dxfId="1" priority="1892">
      <formula>AND(BV15&gt;=2,ER15&lt;&gt;0, GetEquPower(BC15,BP15, CV15, FU15)=0)</formula>
    </cfRule>
    <cfRule type="expression" dxfId="0" priority="1893">
      <formula>AND(BV15&gt;=2,ER15&lt;&gt;GetEquPower(BC15,BP15, CV15, FU15))</formula>
    </cfRule>
  </conditionalFormatting>
  <conditionalFormatting sqref="ES15">
    <cfRule type="expression" dxfId="1" priority="1894">
      <formula>AND(BV15&gt;=3,ES15&lt;&gt;0, GetEquPower(BC15,BP15, CW15, FU15)=0)</formula>
    </cfRule>
    <cfRule type="expression" dxfId="0" priority="1895">
      <formula>AND(BV15&gt;=3,ES15&lt;&gt;GetEquPower(BC15,BP15, CW15, FU15))</formula>
    </cfRule>
  </conditionalFormatting>
  <conditionalFormatting sqref="ET15">
    <cfRule type="expression" dxfId="1" priority="1914">
      <formula>AND(BV15&gt;=4,ET15&lt;&gt;0, GetEquPower(BC15,BP15, CX15, FU15)=0)</formula>
    </cfRule>
    <cfRule type="expression" dxfId="0" priority="1915">
      <formula>AND(BV15&gt;=4,ET15&lt;&gt;GetEquPower(BC15,BP15, CX15, FU15))</formula>
    </cfRule>
  </conditionalFormatting>
  <conditionalFormatting sqref="EU15">
    <cfRule type="expression" dxfId="1" priority="1932">
      <formula>AND(BV15&gt;=5,EU15&lt;&gt;0, GetEquPower(BC15,BP15, CY15, FU15)=0)</formula>
    </cfRule>
    <cfRule type="expression" dxfId="0" priority="1933">
      <formula>AND(BV15&gt;=5,EU15&lt;&gt;GetEquPower(BC15,BP15, CY15, FU15))</formula>
    </cfRule>
  </conditionalFormatting>
  <conditionalFormatting sqref="EV15">
    <cfRule type="expression" dxfId="1" priority="1934">
      <formula>AND(BV15&gt;=6,EV15&lt;&gt;0, GetEquPower(BC15,BP15, CZ15, FU15)=0)</formula>
    </cfRule>
    <cfRule type="expression" dxfId="0" priority="1935">
      <formula>AND(BV15&gt;=6,EV15&lt;&gt;GetEquPower(BC15,BP15, CZ15, FU15))</formula>
    </cfRule>
  </conditionalFormatting>
  <conditionalFormatting sqref="EZ15">
    <cfRule type="expression" dxfId="1" priority="1896">
      <formula>AND(BW15&gt;=1,EZ15&lt;&gt;0, GetEquPower(BD15,BQ15, DB15, FV15)=0)</formula>
    </cfRule>
    <cfRule type="expression" dxfId="0" priority="1897">
      <formula>AND(BW15&gt;=1,EZ15&lt;&gt;GetEquPower(BD15,BQ15, DB15, FV15))</formula>
    </cfRule>
  </conditionalFormatting>
  <conditionalFormatting sqref="FA15">
    <cfRule type="expression" dxfId="1" priority="1898">
      <formula>AND(BW15&gt;=2,FA15&lt;&gt;0, GetEquPower(BD15,BQ15, DC15, FV15)=0)</formula>
    </cfRule>
    <cfRule type="expression" dxfId="0" priority="1899">
      <formula>AND(BW15&gt;=2,FA15&lt;&gt;GetEquPower(BD15,BQ15, DC15, FV15))</formula>
    </cfRule>
  </conditionalFormatting>
  <conditionalFormatting sqref="FB15">
    <cfRule type="expression" dxfId="1" priority="1900">
      <formula>AND(BW15&gt;=3,FB15&lt;&gt;0, GetEquPower(BD15,BQ15, DD15, FV15)=0)</formula>
    </cfRule>
    <cfRule type="expression" dxfId="0" priority="1901">
      <formula>AND(BW15&gt;=3,FB15&lt;&gt;GetEquPower(BD15,BQ15, DD15, FV15))</formula>
    </cfRule>
  </conditionalFormatting>
  <conditionalFormatting sqref="FC15">
    <cfRule type="expression" dxfId="1" priority="1916">
      <formula>AND(BW15&gt;=4,FC15&lt;&gt;0, GetEquPower(BD15,BQ15, DE15, FV15)=0)</formula>
    </cfRule>
    <cfRule type="expression" dxfId="0" priority="1917">
      <formula>AND(BW15&gt;=4,FC15&lt;&gt;GetEquPower(BD15,BQ15, DE15, FV15))</formula>
    </cfRule>
  </conditionalFormatting>
  <conditionalFormatting sqref="FD15">
    <cfRule type="expression" dxfId="1" priority="1936">
      <formula>AND(BW15&gt;=5,FD15&lt;&gt;0, GetEquPower(BD15,BQ15, DF15, FV15)=0)</formula>
    </cfRule>
    <cfRule type="expression" dxfId="0" priority="1937">
      <formula>AND(BW15&gt;=5,FD15&lt;&gt;GetEquPower(BD15,BQ15, DF15, FV15))</formula>
    </cfRule>
  </conditionalFormatting>
  <conditionalFormatting sqref="FE15">
    <cfRule type="expression" dxfId="1" priority="1938">
      <formula>AND(BW15&gt;=6,FE15&lt;&gt;0, GetEquPower(BD15,BQ15, DG15, FV15)=0)</formula>
    </cfRule>
    <cfRule type="expression" dxfId="0" priority="1939">
      <formula>AND(BW15&gt;=6,FE15&lt;&gt;GetEquPower(BD15,BQ15, DG15, FV15))</formula>
    </cfRule>
  </conditionalFormatting>
  <conditionalFormatting sqref="FI15">
    <cfRule type="expression" dxfId="1" priority="1902">
      <formula>AND(BX15&gt;=1,FI15&lt;&gt;0, GetEquPower(BE15,BR15, DI15, FW15)=0)</formula>
    </cfRule>
    <cfRule type="expression" dxfId="0" priority="1903">
      <formula>AND(BX15&gt;=1,FI15&lt;&gt;GetEquPower(BE15,BR15, DI15, FW15))</formula>
    </cfRule>
  </conditionalFormatting>
  <conditionalFormatting sqref="FJ15">
    <cfRule type="expression" dxfId="1" priority="1904">
      <formula>AND(BX15&gt;=2,FJ15&lt;&gt;0, GetEquPower(BE15,BR15, DJ15, FW15)=0)</formula>
    </cfRule>
    <cfRule type="expression" dxfId="0" priority="1905">
      <formula>AND(BX15&gt;=2,FJ15&lt;&gt;GetEquPower(BE15,BR15, DJ15, FW15))</formula>
    </cfRule>
  </conditionalFormatting>
  <conditionalFormatting sqref="FK15">
    <cfRule type="expression" dxfId="1" priority="1906">
      <formula>AND(BX15&gt;=3,FK15&lt;&gt;0, GetEquPower(BE15,BR15, DK15, FW15)=0)</formula>
    </cfRule>
    <cfRule type="expression" dxfId="0" priority="1907">
      <formula>AND(BX15&gt;=3,FK15&lt;&gt;GetEquPower(BE15,BR15, DK15, FW15))</formula>
    </cfRule>
  </conditionalFormatting>
  <conditionalFormatting sqref="FL15">
    <cfRule type="expression" dxfId="1" priority="1918">
      <formula>AND(BX15&gt;=4,FL15&lt;&gt;0, GetEquPower(BE15,BR15, DL15, FW15)=0)</formula>
    </cfRule>
    <cfRule type="expression" dxfId="0" priority="1919">
      <formula>AND(BX15&gt;=4,FL15&lt;&gt;GetEquPower(BE15,BR15, DL15, FW15))</formula>
    </cfRule>
  </conditionalFormatting>
  <conditionalFormatting sqref="FM15">
    <cfRule type="expression" dxfId="1" priority="1940">
      <formula>AND(BX15&gt;=5,FM15&lt;&gt;0, GetEquPower(BE15,BR15, DM15, FW15)=0)</formula>
    </cfRule>
    <cfRule type="expression" dxfId="0" priority="1941">
      <formula>AND(BX15&gt;=5,FM15&lt;&gt;GetEquPower(BE15,BR15, DM15, FW15))</formula>
    </cfRule>
  </conditionalFormatting>
  <conditionalFormatting sqref="FN15">
    <cfRule type="expression" dxfId="1" priority="1942">
      <formula>AND(BX15&gt;=6,FN15&lt;&gt;0, GetEquPower(BE15,BR15, DN15, FW15)=0)</formula>
    </cfRule>
    <cfRule type="expression" dxfId="0" priority="1943">
      <formula>AND(BX15&gt;=6,FN15&lt;&gt;GetEquPower(BE15,BR15, DN15, FW15))</formula>
    </cfRule>
  </conditionalFormatting>
  <conditionalFormatting sqref="F16">
    <cfRule type="expression" dxfId="72" priority="1790">
      <formula>F16&lt;&gt;RIGHT(SUBSTITUTE(TRIM(E16),".",""),LEN(F16))</formula>
    </cfRule>
  </conditionalFormatting>
  <conditionalFormatting sqref="BS16">
    <cfRule type="expression" dxfId="72" priority="1789">
      <formula>AND(J16&gt;=1,BS16&lt;1)</formula>
    </cfRule>
  </conditionalFormatting>
  <conditionalFormatting sqref="BT16">
    <cfRule type="expression" dxfId="72" priority="1788">
      <formula>AND(J16&gt;=2,BT16&lt;1)</formula>
    </cfRule>
  </conditionalFormatting>
  <conditionalFormatting sqref="BU16">
    <cfRule type="expression" dxfId="72" priority="1786">
      <formula>AND(J16&gt;=3,BU16&lt;1)</formula>
    </cfRule>
  </conditionalFormatting>
  <conditionalFormatting sqref="BV16">
    <cfRule type="expression" dxfId="72" priority="1785">
      <formula>AND(J16&gt;=4,BV16&lt;1)</formula>
    </cfRule>
  </conditionalFormatting>
  <conditionalFormatting sqref="BW16">
    <cfRule type="expression" dxfId="72" priority="1787">
      <formula>AND(J16&gt;=5,BW16&lt;1)</formula>
    </cfRule>
  </conditionalFormatting>
  <conditionalFormatting sqref="BX16">
    <cfRule type="expression" dxfId="72" priority="1784">
      <formula>AND(J16&gt;=6,BX16&lt;1)</formula>
    </cfRule>
  </conditionalFormatting>
  <conditionalFormatting sqref="IC16">
    <cfRule type="expression" dxfId="72" priority="1863">
      <formula>AND($S16 = TRUE, $IC16&lt;&gt;OptionsUnitCode)</formula>
    </cfRule>
  </conditionalFormatting>
  <conditionalFormatting sqref="B16:II16">
    <cfRule type="containsErrors" dxfId="72" priority="1783">
      <formula>ISERROR(B16)</formula>
    </cfRule>
  </conditionalFormatting>
  <conditionalFormatting sqref="DP16">
    <cfRule type="expression" dxfId="1" priority="1791">
      <formula>AND(BS16&gt;=1,DP16&lt;&gt;0, GetEquPower(AZ16,BM16, BZ16, FR16)=0)</formula>
    </cfRule>
    <cfRule type="expression" dxfId="0" priority="1792">
      <formula>AND(BS16&gt;=1,DP16&lt;&gt;GetEquPower(AZ16,BM16, BZ16, FR16))</formula>
    </cfRule>
  </conditionalFormatting>
  <conditionalFormatting sqref="DQ16">
    <cfRule type="expression" dxfId="1" priority="1793">
      <formula>AND(BS16&gt;=2,DQ16&lt;&gt;0, GetEquPower(AZ16,BM16, CA16, FR16)=0)</formula>
    </cfRule>
    <cfRule type="expression" dxfId="0" priority="1794">
      <formula>AND(BS16&gt;=2,DQ16&lt;&gt;GetEquPower(AZ16,BM16, CA16, FR16))</formula>
    </cfRule>
  </conditionalFormatting>
  <conditionalFormatting sqref="DR16">
    <cfRule type="expression" dxfId="1" priority="1795">
      <formula>AND(BS16&gt;=3,DR16&lt;&gt;0, GetEquPower(AZ16,BM16, CB16, FR16)=0)</formula>
    </cfRule>
    <cfRule type="expression" dxfId="0" priority="1796">
      <formula>AND(BS16&gt;=3,DR16&lt;&gt;GetEquPower(AZ16,BM16, CB16, FR16))</formula>
    </cfRule>
  </conditionalFormatting>
  <conditionalFormatting sqref="DS16">
    <cfRule type="expression" dxfId="1" priority="1827">
      <formula>AND(BS16&gt;=4,DS16&lt;&gt;0, GetEquPower(AZ16,BM16, CC16, FR16)=0)</formula>
    </cfRule>
    <cfRule type="expression" dxfId="0" priority="1828">
      <formula>AND(BS16&gt;=4, DS16&lt;&gt;GetEquPower(AZ16,BM16, CC16, FR16))</formula>
    </cfRule>
  </conditionalFormatting>
  <conditionalFormatting sqref="DT16">
    <cfRule type="expression" dxfId="1" priority="1839">
      <formula>AND(BS16&gt;=5,DT16&lt;&gt;0, GetEquPower(AZ16,BM16, CD16, FR16)=0)</formula>
    </cfRule>
    <cfRule type="expression" dxfId="0" priority="1840">
      <formula>AND(BS16&gt;=5, DT16&lt;&gt;GetEquPower(AZ16,BM16, CD16, FR16))</formula>
    </cfRule>
  </conditionalFormatting>
  <conditionalFormatting sqref="DU16">
    <cfRule type="expression" dxfId="1" priority="1841">
      <formula>AND(BS16&gt;=6,DU16&lt;&gt;0, GetEquPower(AZ16,BM16, CE16, FR16)=0)</formula>
    </cfRule>
    <cfRule type="expression" dxfId="0" priority="1842">
      <formula>AND(BS16&gt;=6, DU16&lt;&gt;GetEquPower(AZ16,BM16, CE16, FR16))</formula>
    </cfRule>
  </conditionalFormatting>
  <conditionalFormatting sqref="DY16">
    <cfRule type="expression" dxfId="1" priority="1797">
      <formula>AND(BT16&gt;=1,DY16&lt;&gt;0, GetEquPower(BA16,BN16, CG16, FS16)=0)</formula>
    </cfRule>
    <cfRule type="expression" dxfId="0" priority="1798">
      <formula>AND(BT16&gt;=1,DY16&lt;&gt;GetEquPower(BA16,BN16, CG16, FS16))</formula>
    </cfRule>
  </conditionalFormatting>
  <conditionalFormatting sqref="DZ16">
    <cfRule type="expression" dxfId="1" priority="1799">
      <formula>AND(BT16&gt;=2,DZ16&lt;&gt;0, GetEquPower(BA16,BN16, CH16, FS16)=0)</formula>
    </cfRule>
    <cfRule type="expression" dxfId="0" priority="1800">
      <formula>AND(BT16&gt;=2,DZ16&lt;&gt;GetEquPower(BA16,BN16, CH16, FS16))</formula>
    </cfRule>
  </conditionalFormatting>
  <conditionalFormatting sqref="EA16">
    <cfRule type="expression" dxfId="1" priority="1801">
      <formula>AND(BT16&gt;=3,EA16&lt;&gt;0, GetEquPower(BA16,BN16, CI16, FS16)=0)</formula>
    </cfRule>
    <cfRule type="expression" dxfId="0" priority="1802">
      <formula>AND(BT16&gt;=3,EA16&lt;&gt;GetEquPower(BA16,BN16, CI16, FS16))</formula>
    </cfRule>
  </conditionalFormatting>
  <conditionalFormatting sqref="EB16">
    <cfRule type="expression" dxfId="1" priority="1829">
      <formula>AND(BT16&gt;=4,EB16&lt;&gt;0, GetEquPower(BA16,BN16, CJ16, FS16)=0)</formula>
    </cfRule>
    <cfRule type="expression" dxfId="0" priority="1830">
      <formula>AND(BT16&gt;=4,EB16&lt;&gt;GetEquPower(BA16,BN16, CJ16, FS16))</formula>
    </cfRule>
  </conditionalFormatting>
  <conditionalFormatting sqref="EC16">
    <cfRule type="expression" dxfId="1" priority="1843">
      <formula>AND(BT16&gt;=5,EC16&lt;&gt;0, GetEquPower(BA16,BN16, CK16, FS16)=0)</formula>
    </cfRule>
    <cfRule type="expression" dxfId="0" priority="1844">
      <formula>AND(BT16&gt;=5,EC16&lt;&gt;GetEquPower(BA16,BN16, CK16, FS16))</formula>
    </cfRule>
  </conditionalFormatting>
  <conditionalFormatting sqref="ED16">
    <cfRule type="expression" dxfId="1" priority="1845">
      <formula>AND(BT16&gt;=6,ED16&lt;&gt;0, GetEquPower(BA16,BN16, CL16, FS16)=0)</formula>
    </cfRule>
    <cfRule type="expression" dxfId="0" priority="1846">
      <formula>AND(BT16&gt;=6,ED16&lt;&gt;GetEquPower(BA16,BN16, CL16, FS16))</formula>
    </cfRule>
  </conditionalFormatting>
  <conditionalFormatting sqref="EH16">
    <cfRule type="expression" dxfId="1" priority="1803">
      <formula>AND(BU16&gt;=1,EH16&lt;&gt;0, GetEquPower(BB16,BO16, CN16, FT16)=0)</formula>
    </cfRule>
    <cfRule type="expression" dxfId="0" priority="1804">
      <formula>AND(BU16&gt;=1,EH16&lt;&gt;GetEquPower(BB16,BO16, CN16, FT16))</formula>
    </cfRule>
  </conditionalFormatting>
  <conditionalFormatting sqref="EI16">
    <cfRule type="expression" dxfId="1" priority="1805">
      <formula>AND(BU16&gt;=2,EI16&lt;&gt;0, GetEquPower(BB16,BO16, CO16, FT16)=0)</formula>
    </cfRule>
    <cfRule type="expression" dxfId="0" priority="1806">
      <formula xml:space="preserve"> AND(BU16&gt;=2,EI16&lt;&gt;GetEquPower(BB16,BO16, CO16, FT16))</formula>
    </cfRule>
  </conditionalFormatting>
  <conditionalFormatting sqref="EJ16">
    <cfRule type="expression" dxfId="1" priority="1807">
      <formula>AND(BU16&gt;=3,EJ16&lt;&gt;0, GetEquPower(BB16,BO16, CP16, FT16)=0)</formula>
    </cfRule>
    <cfRule type="expression" dxfId="0" priority="1808">
      <formula xml:space="preserve"> AND(BU16&gt;=3,EJ16&lt;&gt;GetEquPower(BB16,BO16, CP16, FT16))</formula>
    </cfRule>
  </conditionalFormatting>
  <conditionalFormatting sqref="EK16">
    <cfRule type="expression" dxfId="1" priority="1831">
      <formula>AND(BU16&gt;=4,EK16&lt;&gt;0, GetEquPower(BB16,BO16, CQ16, FT16)=0)</formula>
    </cfRule>
    <cfRule type="expression" dxfId="0" priority="1832">
      <formula xml:space="preserve"> AND(BU16&gt;=4,EK16&lt;&gt;GetEquPower(BB16,BO16, CQ16, FT16))</formula>
    </cfRule>
  </conditionalFormatting>
  <conditionalFormatting sqref="EL16">
    <cfRule type="expression" dxfId="1" priority="1847">
      <formula>AND(BU16&gt;=5,EL16&lt;&gt;0, GetEquPower(BB16,BO16, CR16, FT16)=0)</formula>
    </cfRule>
    <cfRule type="expression" dxfId="0" priority="1848">
      <formula xml:space="preserve"> AND(BU16&gt;=5,EL16&lt;&gt;GetEquPower(BB16,BO16, CR16, FT16))</formula>
    </cfRule>
  </conditionalFormatting>
  <conditionalFormatting sqref="EM16">
    <cfRule type="expression" dxfId="1" priority="1849">
      <formula>AND(BU16&gt;=6,EM16&lt;&gt;0, GetEquPower(BB16,BO16, CS16, FT16)=0)</formula>
    </cfRule>
    <cfRule type="expression" dxfId="0" priority="1850">
      <formula xml:space="preserve"> AND(BU16&gt;=6,EM16&lt;&gt;GetEquPower(BB16,BO16, CS16, FT16))</formula>
    </cfRule>
  </conditionalFormatting>
  <conditionalFormatting sqref="EQ16">
    <cfRule type="expression" dxfId="1" priority="1809">
      <formula>AND(BV16&gt;=1,EQ16&lt;&gt;0, GetEquPower(BC16,BP16, CU16, FU16)=0)</formula>
    </cfRule>
    <cfRule type="expression" dxfId="0" priority="1810">
      <formula>AND(BV16&gt;=1,EQ16&lt;&gt;GetEquPower(BC16,BP16, CU16, FU16))</formula>
    </cfRule>
  </conditionalFormatting>
  <conditionalFormatting sqref="ER16">
    <cfRule type="expression" dxfId="1" priority="1811">
      <formula>AND(BV16&gt;=2,ER16&lt;&gt;0, GetEquPower(BC16,BP16, CV16, FU16)=0)</formula>
    </cfRule>
    <cfRule type="expression" dxfId="0" priority="1812">
      <formula>AND(BV16&gt;=2,ER16&lt;&gt;GetEquPower(BC16,BP16, CV16, FU16))</formula>
    </cfRule>
  </conditionalFormatting>
  <conditionalFormatting sqref="ES16">
    <cfRule type="expression" dxfId="1" priority="1813">
      <formula>AND(BV16&gt;=3,ES16&lt;&gt;0, GetEquPower(BC16,BP16, CW16, FU16)=0)</formula>
    </cfRule>
    <cfRule type="expression" dxfId="0" priority="1814">
      <formula>AND(BV16&gt;=3,ES16&lt;&gt;GetEquPower(BC16,BP16, CW16, FU16))</formula>
    </cfRule>
  </conditionalFormatting>
  <conditionalFormatting sqref="ET16">
    <cfRule type="expression" dxfId="1" priority="1833">
      <formula>AND(BV16&gt;=4,ET16&lt;&gt;0, GetEquPower(BC16,BP16, CX16, FU16)=0)</formula>
    </cfRule>
    <cfRule type="expression" dxfId="0" priority="1834">
      <formula>AND(BV16&gt;=4,ET16&lt;&gt;GetEquPower(BC16,BP16, CX16, FU16))</formula>
    </cfRule>
  </conditionalFormatting>
  <conditionalFormatting sqref="EU16">
    <cfRule type="expression" dxfId="1" priority="1851">
      <formula>AND(BV16&gt;=5,EU16&lt;&gt;0, GetEquPower(BC16,BP16, CY16, FU16)=0)</formula>
    </cfRule>
    <cfRule type="expression" dxfId="0" priority="1852">
      <formula>AND(BV16&gt;=5,EU16&lt;&gt;GetEquPower(BC16,BP16, CY16, FU16))</formula>
    </cfRule>
  </conditionalFormatting>
  <conditionalFormatting sqref="EV16">
    <cfRule type="expression" dxfId="1" priority="1853">
      <formula>AND(BV16&gt;=6,EV16&lt;&gt;0, GetEquPower(BC16,BP16, CZ16, FU16)=0)</formula>
    </cfRule>
    <cfRule type="expression" dxfId="0" priority="1854">
      <formula>AND(BV16&gt;=6,EV16&lt;&gt;GetEquPower(BC16,BP16, CZ16, FU16))</formula>
    </cfRule>
  </conditionalFormatting>
  <conditionalFormatting sqref="EZ16">
    <cfRule type="expression" dxfId="1" priority="1815">
      <formula>AND(BW16&gt;=1,EZ16&lt;&gt;0, GetEquPower(BD16,BQ16, DB16, FV16)=0)</formula>
    </cfRule>
    <cfRule type="expression" dxfId="0" priority="1816">
      <formula>AND(BW16&gt;=1,EZ16&lt;&gt;GetEquPower(BD16,BQ16, DB16, FV16))</formula>
    </cfRule>
  </conditionalFormatting>
  <conditionalFormatting sqref="FA16">
    <cfRule type="expression" dxfId="1" priority="1817">
      <formula>AND(BW16&gt;=2,FA16&lt;&gt;0, GetEquPower(BD16,BQ16, DC16, FV16)=0)</formula>
    </cfRule>
    <cfRule type="expression" dxfId="0" priority="1818">
      <formula>AND(BW16&gt;=2,FA16&lt;&gt;GetEquPower(BD16,BQ16, DC16, FV16))</formula>
    </cfRule>
  </conditionalFormatting>
  <conditionalFormatting sqref="FB16">
    <cfRule type="expression" dxfId="1" priority="1819">
      <formula>AND(BW16&gt;=3,FB16&lt;&gt;0, GetEquPower(BD16,BQ16, DD16, FV16)=0)</formula>
    </cfRule>
    <cfRule type="expression" dxfId="0" priority="1820">
      <formula>AND(BW16&gt;=3,FB16&lt;&gt;GetEquPower(BD16,BQ16, DD16, FV16))</formula>
    </cfRule>
  </conditionalFormatting>
  <conditionalFormatting sqref="FC16">
    <cfRule type="expression" dxfId="1" priority="1835">
      <formula>AND(BW16&gt;=4,FC16&lt;&gt;0, GetEquPower(BD16,BQ16, DE16, FV16)=0)</formula>
    </cfRule>
    <cfRule type="expression" dxfId="0" priority="1836">
      <formula>AND(BW16&gt;=4,FC16&lt;&gt;GetEquPower(BD16,BQ16, DE16, FV16))</formula>
    </cfRule>
  </conditionalFormatting>
  <conditionalFormatting sqref="FD16">
    <cfRule type="expression" dxfId="1" priority="1855">
      <formula>AND(BW16&gt;=5,FD16&lt;&gt;0, GetEquPower(BD16,BQ16, DF16, FV16)=0)</formula>
    </cfRule>
    <cfRule type="expression" dxfId="0" priority="1856">
      <formula>AND(BW16&gt;=5,FD16&lt;&gt;GetEquPower(BD16,BQ16, DF16, FV16))</formula>
    </cfRule>
  </conditionalFormatting>
  <conditionalFormatting sqref="FE16">
    <cfRule type="expression" dxfId="1" priority="1857">
      <formula>AND(BW16&gt;=6,FE16&lt;&gt;0, GetEquPower(BD16,BQ16, DG16, FV16)=0)</formula>
    </cfRule>
    <cfRule type="expression" dxfId="0" priority="1858">
      <formula>AND(BW16&gt;=6,FE16&lt;&gt;GetEquPower(BD16,BQ16, DG16, FV16))</formula>
    </cfRule>
  </conditionalFormatting>
  <conditionalFormatting sqref="FI16">
    <cfRule type="expression" dxfId="1" priority="1821">
      <formula>AND(BX16&gt;=1,FI16&lt;&gt;0, GetEquPower(BE16,BR16, DI16, FW16)=0)</formula>
    </cfRule>
    <cfRule type="expression" dxfId="0" priority="1822">
      <formula>AND(BX16&gt;=1,FI16&lt;&gt;GetEquPower(BE16,BR16, DI16, FW16))</formula>
    </cfRule>
  </conditionalFormatting>
  <conditionalFormatting sqref="FJ16">
    <cfRule type="expression" dxfId="1" priority="1823">
      <formula>AND(BX16&gt;=2,FJ16&lt;&gt;0, GetEquPower(BE16,BR16, DJ16, FW16)=0)</formula>
    </cfRule>
    <cfRule type="expression" dxfId="0" priority="1824">
      <formula>AND(BX16&gt;=2,FJ16&lt;&gt;GetEquPower(BE16,BR16, DJ16, FW16))</formula>
    </cfRule>
  </conditionalFormatting>
  <conditionalFormatting sqref="FK16">
    <cfRule type="expression" dxfId="1" priority="1825">
      <formula>AND(BX16&gt;=3,FK16&lt;&gt;0, GetEquPower(BE16,BR16, DK16, FW16)=0)</formula>
    </cfRule>
    <cfRule type="expression" dxfId="0" priority="1826">
      <formula>AND(BX16&gt;=3,FK16&lt;&gt;GetEquPower(BE16,BR16, DK16, FW16))</formula>
    </cfRule>
  </conditionalFormatting>
  <conditionalFormatting sqref="FL16">
    <cfRule type="expression" dxfId="1" priority="1837">
      <formula>AND(BX16&gt;=4,FL16&lt;&gt;0, GetEquPower(BE16,BR16, DL16, FW16)=0)</formula>
    </cfRule>
    <cfRule type="expression" dxfId="0" priority="1838">
      <formula>AND(BX16&gt;=4,FL16&lt;&gt;GetEquPower(BE16,BR16, DL16, FW16))</formula>
    </cfRule>
  </conditionalFormatting>
  <conditionalFormatting sqref="FM16">
    <cfRule type="expression" dxfId="1" priority="1859">
      <formula>AND(BX16&gt;=5,FM16&lt;&gt;0, GetEquPower(BE16,BR16, DM16, FW16)=0)</formula>
    </cfRule>
    <cfRule type="expression" dxfId="0" priority="1860">
      <formula>AND(BX16&gt;=5,FM16&lt;&gt;GetEquPower(BE16,BR16, DM16, FW16))</formula>
    </cfRule>
  </conditionalFormatting>
  <conditionalFormatting sqref="FN16">
    <cfRule type="expression" dxfId="1" priority="1861">
      <formula>AND(BX16&gt;=6,FN16&lt;&gt;0, GetEquPower(BE16,BR16, DN16, FW16)=0)</formula>
    </cfRule>
    <cfRule type="expression" dxfId="0" priority="1862">
      <formula>AND(BX16&gt;=6,FN16&lt;&gt;GetEquPower(BE16,BR16, DN16, FW16))</formula>
    </cfRule>
  </conditionalFormatting>
  <conditionalFormatting sqref="F17">
    <cfRule type="expression" dxfId="72" priority="1709">
      <formula>F17&lt;&gt;RIGHT(SUBSTITUTE(TRIM(E17),".",""),LEN(F17))</formula>
    </cfRule>
  </conditionalFormatting>
  <conditionalFormatting sqref="BS17">
    <cfRule type="expression" dxfId="72" priority="1708">
      <formula>AND(J17&gt;=1,BS17&lt;1)</formula>
    </cfRule>
  </conditionalFormatting>
  <conditionalFormatting sqref="BT17">
    <cfRule type="expression" dxfId="72" priority="1707">
      <formula>AND(J17&gt;=2,BT17&lt;1)</formula>
    </cfRule>
  </conditionalFormatting>
  <conditionalFormatting sqref="BU17">
    <cfRule type="expression" dxfId="72" priority="1705">
      <formula>AND(J17&gt;=3,BU17&lt;1)</formula>
    </cfRule>
  </conditionalFormatting>
  <conditionalFormatting sqref="BV17">
    <cfRule type="expression" dxfId="72" priority="1704">
      <formula>AND(J17&gt;=4,BV17&lt;1)</formula>
    </cfRule>
  </conditionalFormatting>
  <conditionalFormatting sqref="BW17">
    <cfRule type="expression" dxfId="72" priority="1706">
      <formula>AND(J17&gt;=5,BW17&lt;1)</formula>
    </cfRule>
  </conditionalFormatting>
  <conditionalFormatting sqref="BX17">
    <cfRule type="expression" dxfId="72" priority="1703">
      <formula>AND(J17&gt;=6,BX17&lt;1)</formula>
    </cfRule>
  </conditionalFormatting>
  <conditionalFormatting sqref="IC17">
    <cfRule type="expression" dxfId="72" priority="1782">
      <formula>AND($S17 = TRUE, $IC17&lt;&gt;OptionsUnitCode)</formula>
    </cfRule>
  </conditionalFormatting>
  <conditionalFormatting sqref="B17:II17">
    <cfRule type="containsErrors" dxfId="72" priority="1702">
      <formula>ISERROR(B17)</formula>
    </cfRule>
  </conditionalFormatting>
  <conditionalFormatting sqref="DP17">
    <cfRule type="expression" dxfId="1" priority="1710">
      <formula>AND(BS17&gt;=1,DP17&lt;&gt;0, GetEquPower(AZ17,BM17, BZ17, FR17)=0)</formula>
    </cfRule>
    <cfRule type="expression" dxfId="0" priority="1711">
      <formula>AND(BS17&gt;=1,DP17&lt;&gt;GetEquPower(AZ17,BM17, BZ17, FR17))</formula>
    </cfRule>
  </conditionalFormatting>
  <conditionalFormatting sqref="DQ17">
    <cfRule type="expression" dxfId="1" priority="1712">
      <formula>AND(BS17&gt;=2,DQ17&lt;&gt;0, GetEquPower(AZ17,BM17, CA17, FR17)=0)</formula>
    </cfRule>
    <cfRule type="expression" dxfId="0" priority="1713">
      <formula>AND(BS17&gt;=2,DQ17&lt;&gt;GetEquPower(AZ17,BM17, CA17, FR17))</formula>
    </cfRule>
  </conditionalFormatting>
  <conditionalFormatting sqref="DR17">
    <cfRule type="expression" dxfId="1" priority="1714">
      <formula>AND(BS17&gt;=3,DR17&lt;&gt;0, GetEquPower(AZ17,BM17, CB17, FR17)=0)</formula>
    </cfRule>
    <cfRule type="expression" dxfId="0" priority="1715">
      <formula>AND(BS17&gt;=3,DR17&lt;&gt;GetEquPower(AZ17,BM17, CB17, FR17))</formula>
    </cfRule>
  </conditionalFormatting>
  <conditionalFormatting sqref="DS17">
    <cfRule type="expression" dxfId="1" priority="1746">
      <formula>AND(BS17&gt;=4,DS17&lt;&gt;0, GetEquPower(AZ17,BM17, CC17, FR17)=0)</formula>
    </cfRule>
    <cfRule type="expression" dxfId="0" priority="1747">
      <formula>AND(BS17&gt;=4, DS17&lt;&gt;GetEquPower(AZ17,BM17, CC17, FR17))</formula>
    </cfRule>
  </conditionalFormatting>
  <conditionalFormatting sqref="DT17">
    <cfRule type="expression" dxfId="1" priority="1758">
      <formula>AND(BS17&gt;=5,DT17&lt;&gt;0, GetEquPower(AZ17,BM17, CD17, FR17)=0)</formula>
    </cfRule>
    <cfRule type="expression" dxfId="0" priority="1759">
      <formula>AND(BS17&gt;=5, DT17&lt;&gt;GetEquPower(AZ17,BM17, CD17, FR17))</formula>
    </cfRule>
  </conditionalFormatting>
  <conditionalFormatting sqref="DU17">
    <cfRule type="expression" dxfId="1" priority="1760">
      <formula>AND(BS17&gt;=6,DU17&lt;&gt;0, GetEquPower(AZ17,BM17, CE17, FR17)=0)</formula>
    </cfRule>
    <cfRule type="expression" dxfId="0" priority="1761">
      <formula>AND(BS17&gt;=6, DU17&lt;&gt;GetEquPower(AZ17,BM17, CE17, FR17))</formula>
    </cfRule>
  </conditionalFormatting>
  <conditionalFormatting sqref="DY17">
    <cfRule type="expression" dxfId="1" priority="1716">
      <formula>AND(BT17&gt;=1,DY17&lt;&gt;0, GetEquPower(BA17,BN17, CG17, FS17)=0)</formula>
    </cfRule>
    <cfRule type="expression" dxfId="0" priority="1717">
      <formula>AND(BT17&gt;=1,DY17&lt;&gt;GetEquPower(BA17,BN17, CG17, FS17))</formula>
    </cfRule>
  </conditionalFormatting>
  <conditionalFormatting sqref="DZ17">
    <cfRule type="expression" dxfId="1" priority="1718">
      <formula>AND(BT17&gt;=2,DZ17&lt;&gt;0, GetEquPower(BA17,BN17, CH17, FS17)=0)</formula>
    </cfRule>
    <cfRule type="expression" dxfId="0" priority="1719">
      <formula>AND(BT17&gt;=2,DZ17&lt;&gt;GetEquPower(BA17,BN17, CH17, FS17))</formula>
    </cfRule>
  </conditionalFormatting>
  <conditionalFormatting sqref="EA17">
    <cfRule type="expression" dxfId="1" priority="1720">
      <formula>AND(BT17&gt;=3,EA17&lt;&gt;0, GetEquPower(BA17,BN17, CI17, FS17)=0)</formula>
    </cfRule>
    <cfRule type="expression" dxfId="0" priority="1721">
      <formula>AND(BT17&gt;=3,EA17&lt;&gt;GetEquPower(BA17,BN17, CI17, FS17))</formula>
    </cfRule>
  </conditionalFormatting>
  <conditionalFormatting sqref="EB17">
    <cfRule type="expression" dxfId="1" priority="1748">
      <formula>AND(BT17&gt;=4,EB17&lt;&gt;0, GetEquPower(BA17,BN17, CJ17, FS17)=0)</formula>
    </cfRule>
    <cfRule type="expression" dxfId="0" priority="1749">
      <formula>AND(BT17&gt;=4,EB17&lt;&gt;GetEquPower(BA17,BN17, CJ17, FS17))</formula>
    </cfRule>
  </conditionalFormatting>
  <conditionalFormatting sqref="EC17">
    <cfRule type="expression" dxfId="1" priority="1762">
      <formula>AND(BT17&gt;=5,EC17&lt;&gt;0, GetEquPower(BA17,BN17, CK17, FS17)=0)</formula>
    </cfRule>
    <cfRule type="expression" dxfId="0" priority="1763">
      <formula>AND(BT17&gt;=5,EC17&lt;&gt;GetEquPower(BA17,BN17, CK17, FS17))</formula>
    </cfRule>
  </conditionalFormatting>
  <conditionalFormatting sqref="ED17">
    <cfRule type="expression" dxfId="1" priority="1764">
      <formula>AND(BT17&gt;=6,ED17&lt;&gt;0, GetEquPower(BA17,BN17, CL17, FS17)=0)</formula>
    </cfRule>
    <cfRule type="expression" dxfId="0" priority="1765">
      <formula>AND(BT17&gt;=6,ED17&lt;&gt;GetEquPower(BA17,BN17, CL17, FS17))</formula>
    </cfRule>
  </conditionalFormatting>
  <conditionalFormatting sqref="EH17">
    <cfRule type="expression" dxfId="1" priority="1722">
      <formula>AND(BU17&gt;=1,EH17&lt;&gt;0, GetEquPower(BB17,BO17, CN17, FT17)=0)</formula>
    </cfRule>
    <cfRule type="expression" dxfId="0" priority="1723">
      <formula>AND(BU17&gt;=1,EH17&lt;&gt;GetEquPower(BB17,BO17, CN17, FT17))</formula>
    </cfRule>
  </conditionalFormatting>
  <conditionalFormatting sqref="EI17">
    <cfRule type="expression" dxfId="1" priority="1724">
      <formula>AND(BU17&gt;=2,EI17&lt;&gt;0, GetEquPower(BB17,BO17, CO17, FT17)=0)</formula>
    </cfRule>
    <cfRule type="expression" dxfId="0" priority="1725">
      <formula xml:space="preserve"> AND(BU17&gt;=2,EI17&lt;&gt;GetEquPower(BB17,BO17, CO17, FT17))</formula>
    </cfRule>
  </conditionalFormatting>
  <conditionalFormatting sqref="EJ17">
    <cfRule type="expression" dxfId="1" priority="1726">
      <formula>AND(BU17&gt;=3,EJ17&lt;&gt;0, GetEquPower(BB17,BO17, CP17, FT17)=0)</formula>
    </cfRule>
    <cfRule type="expression" dxfId="0" priority="1727">
      <formula xml:space="preserve"> AND(BU17&gt;=3,EJ17&lt;&gt;GetEquPower(BB17,BO17, CP17, FT17))</formula>
    </cfRule>
  </conditionalFormatting>
  <conditionalFormatting sqref="EK17">
    <cfRule type="expression" dxfId="1" priority="1750">
      <formula>AND(BU17&gt;=4,EK17&lt;&gt;0, GetEquPower(BB17,BO17, CQ17, FT17)=0)</formula>
    </cfRule>
    <cfRule type="expression" dxfId="0" priority="1751">
      <formula xml:space="preserve"> AND(BU17&gt;=4,EK17&lt;&gt;GetEquPower(BB17,BO17, CQ17, FT17))</formula>
    </cfRule>
  </conditionalFormatting>
  <conditionalFormatting sqref="EL17">
    <cfRule type="expression" dxfId="1" priority="1766">
      <formula>AND(BU17&gt;=5,EL17&lt;&gt;0, GetEquPower(BB17,BO17, CR17, FT17)=0)</formula>
    </cfRule>
    <cfRule type="expression" dxfId="0" priority="1767">
      <formula xml:space="preserve"> AND(BU17&gt;=5,EL17&lt;&gt;GetEquPower(BB17,BO17, CR17, FT17))</formula>
    </cfRule>
  </conditionalFormatting>
  <conditionalFormatting sqref="EM17">
    <cfRule type="expression" dxfId="1" priority="1768">
      <formula>AND(BU17&gt;=6,EM17&lt;&gt;0, GetEquPower(BB17,BO17, CS17, FT17)=0)</formula>
    </cfRule>
    <cfRule type="expression" dxfId="0" priority="1769">
      <formula xml:space="preserve"> AND(BU17&gt;=6,EM17&lt;&gt;GetEquPower(BB17,BO17, CS17, FT17))</formula>
    </cfRule>
  </conditionalFormatting>
  <conditionalFormatting sqref="EQ17">
    <cfRule type="expression" dxfId="1" priority="1728">
      <formula>AND(BV17&gt;=1,EQ17&lt;&gt;0, GetEquPower(BC17,BP17, CU17, FU17)=0)</formula>
    </cfRule>
    <cfRule type="expression" dxfId="0" priority="1729">
      <formula>AND(BV17&gt;=1,EQ17&lt;&gt;GetEquPower(BC17,BP17, CU17, FU17))</formula>
    </cfRule>
  </conditionalFormatting>
  <conditionalFormatting sqref="ER17">
    <cfRule type="expression" dxfId="1" priority="1730">
      <formula>AND(BV17&gt;=2,ER17&lt;&gt;0, GetEquPower(BC17,BP17, CV17, FU17)=0)</formula>
    </cfRule>
    <cfRule type="expression" dxfId="0" priority="1731">
      <formula>AND(BV17&gt;=2,ER17&lt;&gt;GetEquPower(BC17,BP17, CV17, FU17))</formula>
    </cfRule>
  </conditionalFormatting>
  <conditionalFormatting sqref="ES17">
    <cfRule type="expression" dxfId="1" priority="1732">
      <formula>AND(BV17&gt;=3,ES17&lt;&gt;0, GetEquPower(BC17,BP17, CW17, FU17)=0)</formula>
    </cfRule>
    <cfRule type="expression" dxfId="0" priority="1733">
      <formula>AND(BV17&gt;=3,ES17&lt;&gt;GetEquPower(BC17,BP17, CW17, FU17))</formula>
    </cfRule>
  </conditionalFormatting>
  <conditionalFormatting sqref="ET17">
    <cfRule type="expression" dxfId="1" priority="1752">
      <formula>AND(BV17&gt;=4,ET17&lt;&gt;0, GetEquPower(BC17,BP17, CX17, FU17)=0)</formula>
    </cfRule>
    <cfRule type="expression" dxfId="0" priority="1753">
      <formula>AND(BV17&gt;=4,ET17&lt;&gt;GetEquPower(BC17,BP17, CX17, FU17))</formula>
    </cfRule>
  </conditionalFormatting>
  <conditionalFormatting sqref="EU17">
    <cfRule type="expression" dxfId="1" priority="1770">
      <formula>AND(BV17&gt;=5,EU17&lt;&gt;0, GetEquPower(BC17,BP17, CY17, FU17)=0)</formula>
    </cfRule>
    <cfRule type="expression" dxfId="0" priority="1771">
      <formula>AND(BV17&gt;=5,EU17&lt;&gt;GetEquPower(BC17,BP17, CY17, FU17))</formula>
    </cfRule>
  </conditionalFormatting>
  <conditionalFormatting sqref="EV17">
    <cfRule type="expression" dxfId="1" priority="1772">
      <formula>AND(BV17&gt;=6,EV17&lt;&gt;0, GetEquPower(BC17,BP17, CZ17, FU17)=0)</formula>
    </cfRule>
    <cfRule type="expression" dxfId="0" priority="1773">
      <formula>AND(BV17&gt;=6,EV17&lt;&gt;GetEquPower(BC17,BP17, CZ17, FU17))</formula>
    </cfRule>
  </conditionalFormatting>
  <conditionalFormatting sqref="EZ17">
    <cfRule type="expression" dxfId="1" priority="1734">
      <formula>AND(BW17&gt;=1,EZ17&lt;&gt;0, GetEquPower(BD17,BQ17, DB17, FV17)=0)</formula>
    </cfRule>
    <cfRule type="expression" dxfId="0" priority="1735">
      <formula>AND(BW17&gt;=1,EZ17&lt;&gt;GetEquPower(BD17,BQ17, DB17, FV17))</formula>
    </cfRule>
  </conditionalFormatting>
  <conditionalFormatting sqref="FA17">
    <cfRule type="expression" dxfId="1" priority="1736">
      <formula>AND(BW17&gt;=2,FA17&lt;&gt;0, GetEquPower(BD17,BQ17, DC17, FV17)=0)</formula>
    </cfRule>
    <cfRule type="expression" dxfId="0" priority="1737">
      <formula>AND(BW17&gt;=2,FA17&lt;&gt;GetEquPower(BD17,BQ17, DC17, FV17))</formula>
    </cfRule>
  </conditionalFormatting>
  <conditionalFormatting sqref="FB17">
    <cfRule type="expression" dxfId="1" priority="1738">
      <formula>AND(BW17&gt;=3,FB17&lt;&gt;0, GetEquPower(BD17,BQ17, DD17, FV17)=0)</formula>
    </cfRule>
    <cfRule type="expression" dxfId="0" priority="1739">
      <formula>AND(BW17&gt;=3,FB17&lt;&gt;GetEquPower(BD17,BQ17, DD17, FV17))</formula>
    </cfRule>
  </conditionalFormatting>
  <conditionalFormatting sqref="FC17">
    <cfRule type="expression" dxfId="1" priority="1754">
      <formula>AND(BW17&gt;=4,FC17&lt;&gt;0, GetEquPower(BD17,BQ17, DE17, FV17)=0)</formula>
    </cfRule>
    <cfRule type="expression" dxfId="0" priority="1755">
      <formula>AND(BW17&gt;=4,FC17&lt;&gt;GetEquPower(BD17,BQ17, DE17, FV17))</formula>
    </cfRule>
  </conditionalFormatting>
  <conditionalFormatting sqref="FD17">
    <cfRule type="expression" dxfId="1" priority="1774">
      <formula>AND(BW17&gt;=5,FD17&lt;&gt;0, GetEquPower(BD17,BQ17, DF17, FV17)=0)</formula>
    </cfRule>
    <cfRule type="expression" dxfId="0" priority="1775">
      <formula>AND(BW17&gt;=5,FD17&lt;&gt;GetEquPower(BD17,BQ17, DF17, FV17))</formula>
    </cfRule>
  </conditionalFormatting>
  <conditionalFormatting sqref="FE17">
    <cfRule type="expression" dxfId="1" priority="1776">
      <formula>AND(BW17&gt;=6,FE17&lt;&gt;0, GetEquPower(BD17,BQ17, DG17, FV17)=0)</formula>
    </cfRule>
    <cfRule type="expression" dxfId="0" priority="1777">
      <formula>AND(BW17&gt;=6,FE17&lt;&gt;GetEquPower(BD17,BQ17, DG17, FV17))</formula>
    </cfRule>
  </conditionalFormatting>
  <conditionalFormatting sqref="FI17">
    <cfRule type="expression" dxfId="1" priority="1740">
      <formula>AND(BX17&gt;=1,FI17&lt;&gt;0, GetEquPower(BE17,BR17, DI17, FW17)=0)</formula>
    </cfRule>
    <cfRule type="expression" dxfId="0" priority="1741">
      <formula>AND(BX17&gt;=1,FI17&lt;&gt;GetEquPower(BE17,BR17, DI17, FW17))</formula>
    </cfRule>
  </conditionalFormatting>
  <conditionalFormatting sqref="FJ17">
    <cfRule type="expression" dxfId="1" priority="1742">
      <formula>AND(BX17&gt;=2,FJ17&lt;&gt;0, GetEquPower(BE17,BR17, DJ17, FW17)=0)</formula>
    </cfRule>
    <cfRule type="expression" dxfId="0" priority="1743">
      <formula>AND(BX17&gt;=2,FJ17&lt;&gt;GetEquPower(BE17,BR17, DJ17, FW17))</formula>
    </cfRule>
  </conditionalFormatting>
  <conditionalFormatting sqref="FK17">
    <cfRule type="expression" dxfId="1" priority="1744">
      <formula>AND(BX17&gt;=3,FK17&lt;&gt;0, GetEquPower(BE17,BR17, DK17, FW17)=0)</formula>
    </cfRule>
    <cfRule type="expression" dxfId="0" priority="1745">
      <formula>AND(BX17&gt;=3,FK17&lt;&gt;GetEquPower(BE17,BR17, DK17, FW17))</formula>
    </cfRule>
  </conditionalFormatting>
  <conditionalFormatting sqref="FL17">
    <cfRule type="expression" dxfId="1" priority="1756">
      <formula>AND(BX17&gt;=4,FL17&lt;&gt;0, GetEquPower(BE17,BR17, DL17, FW17)=0)</formula>
    </cfRule>
    <cfRule type="expression" dxfId="0" priority="1757">
      <formula>AND(BX17&gt;=4,FL17&lt;&gt;GetEquPower(BE17,BR17, DL17, FW17))</formula>
    </cfRule>
  </conditionalFormatting>
  <conditionalFormatting sqref="FM17">
    <cfRule type="expression" dxfId="1" priority="1778">
      <formula>AND(BX17&gt;=5,FM17&lt;&gt;0, GetEquPower(BE17,BR17, DM17, FW17)=0)</formula>
    </cfRule>
    <cfRule type="expression" dxfId="0" priority="1779">
      <formula>AND(BX17&gt;=5,FM17&lt;&gt;GetEquPower(BE17,BR17, DM17, FW17))</formula>
    </cfRule>
  </conditionalFormatting>
  <conditionalFormatting sqref="FN17">
    <cfRule type="expression" dxfId="1" priority="1780">
      <formula>AND(BX17&gt;=6,FN17&lt;&gt;0, GetEquPower(BE17,BR17, DN17, FW17)=0)</formula>
    </cfRule>
    <cfRule type="expression" dxfId="0" priority="1781">
      <formula>AND(BX17&gt;=6,FN17&lt;&gt;GetEquPower(BE17,BR17, DN17, FW17))</formula>
    </cfRule>
  </conditionalFormatting>
  <conditionalFormatting sqref="F18">
    <cfRule type="expression" dxfId="72" priority="1628">
      <formula>F18&lt;&gt;RIGHT(SUBSTITUTE(TRIM(E18),".",""),LEN(F18))</formula>
    </cfRule>
  </conditionalFormatting>
  <conditionalFormatting sqref="BS18">
    <cfRule type="expression" dxfId="72" priority="1627">
      <formula>AND(J18&gt;=1,BS18&lt;1)</formula>
    </cfRule>
  </conditionalFormatting>
  <conditionalFormatting sqref="BT18">
    <cfRule type="expression" dxfId="72" priority="1626">
      <formula>AND(J18&gt;=2,BT18&lt;1)</formula>
    </cfRule>
  </conditionalFormatting>
  <conditionalFormatting sqref="BU18">
    <cfRule type="expression" dxfId="72" priority="1624">
      <formula>AND(J18&gt;=3,BU18&lt;1)</formula>
    </cfRule>
  </conditionalFormatting>
  <conditionalFormatting sqref="BV18">
    <cfRule type="expression" dxfId="72" priority="1623">
      <formula>AND(J18&gt;=4,BV18&lt;1)</formula>
    </cfRule>
  </conditionalFormatting>
  <conditionalFormatting sqref="BW18">
    <cfRule type="expression" dxfId="72" priority="1625">
      <formula>AND(J18&gt;=5,BW18&lt;1)</formula>
    </cfRule>
  </conditionalFormatting>
  <conditionalFormatting sqref="BX18">
    <cfRule type="expression" dxfId="72" priority="1622">
      <formula>AND(J18&gt;=6,BX18&lt;1)</formula>
    </cfRule>
  </conditionalFormatting>
  <conditionalFormatting sqref="IC18">
    <cfRule type="expression" dxfId="72" priority="1701">
      <formula>AND($S18 = TRUE, $IC18&lt;&gt;OptionsUnitCode)</formula>
    </cfRule>
  </conditionalFormatting>
  <conditionalFormatting sqref="B18:II18">
    <cfRule type="containsErrors" dxfId="72" priority="1621">
      <formula>ISERROR(B18)</formula>
    </cfRule>
  </conditionalFormatting>
  <conditionalFormatting sqref="DP18">
    <cfRule type="expression" dxfId="1" priority="1629">
      <formula>AND(BS18&gt;=1,DP18&lt;&gt;0, GetEquPower(AZ18,BM18, BZ18, FR18)=0)</formula>
    </cfRule>
    <cfRule type="expression" dxfId="0" priority="1630">
      <formula>AND(BS18&gt;=1,DP18&lt;&gt;GetEquPower(AZ18,BM18, BZ18, FR18))</formula>
    </cfRule>
  </conditionalFormatting>
  <conditionalFormatting sqref="DQ18">
    <cfRule type="expression" dxfId="1" priority="1631">
      <formula>AND(BS18&gt;=2,DQ18&lt;&gt;0, GetEquPower(AZ18,BM18, CA18, FR18)=0)</formula>
    </cfRule>
    <cfRule type="expression" dxfId="0" priority="1632">
      <formula>AND(BS18&gt;=2,DQ18&lt;&gt;GetEquPower(AZ18,BM18, CA18, FR18))</formula>
    </cfRule>
  </conditionalFormatting>
  <conditionalFormatting sqref="DR18">
    <cfRule type="expression" dxfId="1" priority="1633">
      <formula>AND(BS18&gt;=3,DR18&lt;&gt;0, GetEquPower(AZ18,BM18, CB18, FR18)=0)</formula>
    </cfRule>
    <cfRule type="expression" dxfId="0" priority="1634">
      <formula>AND(BS18&gt;=3,DR18&lt;&gt;GetEquPower(AZ18,BM18, CB18, FR18))</formula>
    </cfRule>
  </conditionalFormatting>
  <conditionalFormatting sqref="DS18">
    <cfRule type="expression" dxfId="1" priority="1665">
      <formula>AND(BS18&gt;=4,DS18&lt;&gt;0, GetEquPower(AZ18,BM18, CC18, FR18)=0)</formula>
    </cfRule>
    <cfRule type="expression" dxfId="0" priority="1666">
      <formula>AND(BS18&gt;=4, DS18&lt;&gt;GetEquPower(AZ18,BM18, CC18, FR18))</formula>
    </cfRule>
  </conditionalFormatting>
  <conditionalFormatting sqref="DT18">
    <cfRule type="expression" dxfId="1" priority="1677">
      <formula>AND(BS18&gt;=5,DT18&lt;&gt;0, GetEquPower(AZ18,BM18, CD18, FR18)=0)</formula>
    </cfRule>
    <cfRule type="expression" dxfId="0" priority="1678">
      <formula>AND(BS18&gt;=5, DT18&lt;&gt;GetEquPower(AZ18,BM18, CD18, FR18))</formula>
    </cfRule>
  </conditionalFormatting>
  <conditionalFormatting sqref="DU18">
    <cfRule type="expression" dxfId="1" priority="1679">
      <formula>AND(BS18&gt;=6,DU18&lt;&gt;0, GetEquPower(AZ18,BM18, CE18, FR18)=0)</formula>
    </cfRule>
    <cfRule type="expression" dxfId="0" priority="1680">
      <formula>AND(BS18&gt;=6, DU18&lt;&gt;GetEquPower(AZ18,BM18, CE18, FR18))</formula>
    </cfRule>
  </conditionalFormatting>
  <conditionalFormatting sqref="DY18">
    <cfRule type="expression" dxfId="1" priority="1635">
      <formula>AND(BT18&gt;=1,DY18&lt;&gt;0, GetEquPower(BA18,BN18, CG18, FS18)=0)</formula>
    </cfRule>
    <cfRule type="expression" dxfId="0" priority="1636">
      <formula>AND(BT18&gt;=1,DY18&lt;&gt;GetEquPower(BA18,BN18, CG18, FS18))</formula>
    </cfRule>
  </conditionalFormatting>
  <conditionalFormatting sqref="DZ18">
    <cfRule type="expression" dxfId="1" priority="1637">
      <formula>AND(BT18&gt;=2,DZ18&lt;&gt;0, GetEquPower(BA18,BN18, CH18, FS18)=0)</formula>
    </cfRule>
    <cfRule type="expression" dxfId="0" priority="1638">
      <formula>AND(BT18&gt;=2,DZ18&lt;&gt;GetEquPower(BA18,BN18, CH18, FS18))</formula>
    </cfRule>
  </conditionalFormatting>
  <conditionalFormatting sqref="EA18">
    <cfRule type="expression" dxfId="1" priority="1639">
      <formula>AND(BT18&gt;=3,EA18&lt;&gt;0, GetEquPower(BA18,BN18, CI18, FS18)=0)</formula>
    </cfRule>
    <cfRule type="expression" dxfId="0" priority="1640">
      <formula>AND(BT18&gt;=3,EA18&lt;&gt;GetEquPower(BA18,BN18, CI18, FS18))</formula>
    </cfRule>
  </conditionalFormatting>
  <conditionalFormatting sqref="EB18">
    <cfRule type="expression" dxfId="1" priority="1667">
      <formula>AND(BT18&gt;=4,EB18&lt;&gt;0, GetEquPower(BA18,BN18, CJ18, FS18)=0)</formula>
    </cfRule>
    <cfRule type="expression" dxfId="0" priority="1668">
      <formula>AND(BT18&gt;=4,EB18&lt;&gt;GetEquPower(BA18,BN18, CJ18, FS18))</formula>
    </cfRule>
  </conditionalFormatting>
  <conditionalFormatting sqref="EC18">
    <cfRule type="expression" dxfId="1" priority="1681">
      <formula>AND(BT18&gt;=5,EC18&lt;&gt;0, GetEquPower(BA18,BN18, CK18, FS18)=0)</formula>
    </cfRule>
    <cfRule type="expression" dxfId="0" priority="1682">
      <formula>AND(BT18&gt;=5,EC18&lt;&gt;GetEquPower(BA18,BN18, CK18, FS18))</formula>
    </cfRule>
  </conditionalFormatting>
  <conditionalFormatting sqref="ED18">
    <cfRule type="expression" dxfId="1" priority="1683">
      <formula>AND(BT18&gt;=6,ED18&lt;&gt;0, GetEquPower(BA18,BN18, CL18, FS18)=0)</formula>
    </cfRule>
    <cfRule type="expression" dxfId="0" priority="1684">
      <formula>AND(BT18&gt;=6,ED18&lt;&gt;GetEquPower(BA18,BN18, CL18, FS18))</formula>
    </cfRule>
  </conditionalFormatting>
  <conditionalFormatting sqref="EH18">
    <cfRule type="expression" dxfId="1" priority="1641">
      <formula>AND(BU18&gt;=1,EH18&lt;&gt;0, GetEquPower(BB18,BO18, CN18, FT18)=0)</formula>
    </cfRule>
    <cfRule type="expression" dxfId="0" priority="1642">
      <formula>AND(BU18&gt;=1,EH18&lt;&gt;GetEquPower(BB18,BO18, CN18, FT18))</formula>
    </cfRule>
  </conditionalFormatting>
  <conditionalFormatting sqref="EI18">
    <cfRule type="expression" dxfId="1" priority="1643">
      <formula>AND(BU18&gt;=2,EI18&lt;&gt;0, GetEquPower(BB18,BO18, CO18, FT18)=0)</formula>
    </cfRule>
    <cfRule type="expression" dxfId="0" priority="1644">
      <formula xml:space="preserve"> AND(BU18&gt;=2,EI18&lt;&gt;GetEquPower(BB18,BO18, CO18, FT18))</formula>
    </cfRule>
  </conditionalFormatting>
  <conditionalFormatting sqref="EJ18">
    <cfRule type="expression" dxfId="1" priority="1645">
      <formula>AND(BU18&gt;=3,EJ18&lt;&gt;0, GetEquPower(BB18,BO18, CP18, FT18)=0)</formula>
    </cfRule>
    <cfRule type="expression" dxfId="0" priority="1646">
      <formula xml:space="preserve"> AND(BU18&gt;=3,EJ18&lt;&gt;GetEquPower(BB18,BO18, CP18, FT18))</formula>
    </cfRule>
  </conditionalFormatting>
  <conditionalFormatting sqref="EK18">
    <cfRule type="expression" dxfId="1" priority="1669">
      <formula>AND(BU18&gt;=4,EK18&lt;&gt;0, GetEquPower(BB18,BO18, CQ18, FT18)=0)</formula>
    </cfRule>
    <cfRule type="expression" dxfId="0" priority="1670">
      <formula xml:space="preserve"> AND(BU18&gt;=4,EK18&lt;&gt;GetEquPower(BB18,BO18, CQ18, FT18))</formula>
    </cfRule>
  </conditionalFormatting>
  <conditionalFormatting sqref="EL18">
    <cfRule type="expression" dxfId="1" priority="1685">
      <formula>AND(BU18&gt;=5,EL18&lt;&gt;0, GetEquPower(BB18,BO18, CR18, FT18)=0)</formula>
    </cfRule>
    <cfRule type="expression" dxfId="0" priority="1686">
      <formula xml:space="preserve"> AND(BU18&gt;=5,EL18&lt;&gt;GetEquPower(BB18,BO18, CR18, FT18))</formula>
    </cfRule>
  </conditionalFormatting>
  <conditionalFormatting sqref="EM18">
    <cfRule type="expression" dxfId="1" priority="1687">
      <formula>AND(BU18&gt;=6,EM18&lt;&gt;0, GetEquPower(BB18,BO18, CS18, FT18)=0)</formula>
    </cfRule>
    <cfRule type="expression" dxfId="0" priority="1688">
      <formula xml:space="preserve"> AND(BU18&gt;=6,EM18&lt;&gt;GetEquPower(BB18,BO18, CS18, FT18))</formula>
    </cfRule>
  </conditionalFormatting>
  <conditionalFormatting sqref="EQ18">
    <cfRule type="expression" dxfId="1" priority="1647">
      <formula>AND(BV18&gt;=1,EQ18&lt;&gt;0, GetEquPower(BC18,BP18, CU18, FU18)=0)</formula>
    </cfRule>
    <cfRule type="expression" dxfId="0" priority="1648">
      <formula>AND(BV18&gt;=1,EQ18&lt;&gt;GetEquPower(BC18,BP18, CU18, FU18))</formula>
    </cfRule>
  </conditionalFormatting>
  <conditionalFormatting sqref="ER18">
    <cfRule type="expression" dxfId="1" priority="1649">
      <formula>AND(BV18&gt;=2,ER18&lt;&gt;0, GetEquPower(BC18,BP18, CV18, FU18)=0)</formula>
    </cfRule>
    <cfRule type="expression" dxfId="0" priority="1650">
      <formula>AND(BV18&gt;=2,ER18&lt;&gt;GetEquPower(BC18,BP18, CV18, FU18))</formula>
    </cfRule>
  </conditionalFormatting>
  <conditionalFormatting sqref="ES18">
    <cfRule type="expression" dxfId="1" priority="1651">
      <formula>AND(BV18&gt;=3,ES18&lt;&gt;0, GetEquPower(BC18,BP18, CW18, FU18)=0)</formula>
    </cfRule>
    <cfRule type="expression" dxfId="0" priority="1652">
      <formula>AND(BV18&gt;=3,ES18&lt;&gt;GetEquPower(BC18,BP18, CW18, FU18))</formula>
    </cfRule>
  </conditionalFormatting>
  <conditionalFormatting sqref="ET18">
    <cfRule type="expression" dxfId="1" priority="1671">
      <formula>AND(BV18&gt;=4,ET18&lt;&gt;0, GetEquPower(BC18,BP18, CX18, FU18)=0)</formula>
    </cfRule>
    <cfRule type="expression" dxfId="0" priority="1672">
      <formula>AND(BV18&gt;=4,ET18&lt;&gt;GetEquPower(BC18,BP18, CX18, FU18))</formula>
    </cfRule>
  </conditionalFormatting>
  <conditionalFormatting sqref="EU18">
    <cfRule type="expression" dxfId="1" priority="1689">
      <formula>AND(BV18&gt;=5,EU18&lt;&gt;0, GetEquPower(BC18,BP18, CY18, FU18)=0)</formula>
    </cfRule>
    <cfRule type="expression" dxfId="0" priority="1690">
      <formula>AND(BV18&gt;=5,EU18&lt;&gt;GetEquPower(BC18,BP18, CY18, FU18))</formula>
    </cfRule>
  </conditionalFormatting>
  <conditionalFormatting sqref="EV18">
    <cfRule type="expression" dxfId="1" priority="1691">
      <formula>AND(BV18&gt;=6,EV18&lt;&gt;0, GetEquPower(BC18,BP18, CZ18, FU18)=0)</formula>
    </cfRule>
    <cfRule type="expression" dxfId="0" priority="1692">
      <formula>AND(BV18&gt;=6,EV18&lt;&gt;GetEquPower(BC18,BP18, CZ18, FU18))</formula>
    </cfRule>
  </conditionalFormatting>
  <conditionalFormatting sqref="EZ18">
    <cfRule type="expression" dxfId="1" priority="1653">
      <formula>AND(BW18&gt;=1,EZ18&lt;&gt;0, GetEquPower(BD18,BQ18, DB18, FV18)=0)</formula>
    </cfRule>
    <cfRule type="expression" dxfId="0" priority="1654">
      <formula>AND(BW18&gt;=1,EZ18&lt;&gt;GetEquPower(BD18,BQ18, DB18, FV18))</formula>
    </cfRule>
  </conditionalFormatting>
  <conditionalFormatting sqref="FA18">
    <cfRule type="expression" dxfId="1" priority="1655">
      <formula>AND(BW18&gt;=2,FA18&lt;&gt;0, GetEquPower(BD18,BQ18, DC18, FV18)=0)</formula>
    </cfRule>
    <cfRule type="expression" dxfId="0" priority="1656">
      <formula>AND(BW18&gt;=2,FA18&lt;&gt;GetEquPower(BD18,BQ18, DC18, FV18))</formula>
    </cfRule>
  </conditionalFormatting>
  <conditionalFormatting sqref="FB18">
    <cfRule type="expression" dxfId="1" priority="1657">
      <formula>AND(BW18&gt;=3,FB18&lt;&gt;0, GetEquPower(BD18,BQ18, DD18, FV18)=0)</formula>
    </cfRule>
    <cfRule type="expression" dxfId="0" priority="1658">
      <formula>AND(BW18&gt;=3,FB18&lt;&gt;GetEquPower(BD18,BQ18, DD18, FV18))</formula>
    </cfRule>
  </conditionalFormatting>
  <conditionalFormatting sqref="FC18">
    <cfRule type="expression" dxfId="1" priority="1673">
      <formula>AND(BW18&gt;=4,FC18&lt;&gt;0, GetEquPower(BD18,BQ18, DE18, FV18)=0)</formula>
    </cfRule>
    <cfRule type="expression" dxfId="0" priority="1674">
      <formula>AND(BW18&gt;=4,FC18&lt;&gt;GetEquPower(BD18,BQ18, DE18, FV18))</formula>
    </cfRule>
  </conditionalFormatting>
  <conditionalFormatting sqref="FD18">
    <cfRule type="expression" dxfId="1" priority="1693">
      <formula>AND(BW18&gt;=5,FD18&lt;&gt;0, GetEquPower(BD18,BQ18, DF18, FV18)=0)</formula>
    </cfRule>
    <cfRule type="expression" dxfId="0" priority="1694">
      <formula>AND(BW18&gt;=5,FD18&lt;&gt;GetEquPower(BD18,BQ18, DF18, FV18))</formula>
    </cfRule>
  </conditionalFormatting>
  <conditionalFormatting sqref="FE18">
    <cfRule type="expression" dxfId="1" priority="1695">
      <formula>AND(BW18&gt;=6,FE18&lt;&gt;0, GetEquPower(BD18,BQ18, DG18, FV18)=0)</formula>
    </cfRule>
    <cfRule type="expression" dxfId="0" priority="1696">
      <formula>AND(BW18&gt;=6,FE18&lt;&gt;GetEquPower(BD18,BQ18, DG18, FV18))</formula>
    </cfRule>
  </conditionalFormatting>
  <conditionalFormatting sqref="FI18">
    <cfRule type="expression" dxfId="1" priority="1659">
      <formula>AND(BX18&gt;=1,FI18&lt;&gt;0, GetEquPower(BE18,BR18, DI18, FW18)=0)</formula>
    </cfRule>
    <cfRule type="expression" dxfId="0" priority="1660">
      <formula>AND(BX18&gt;=1,FI18&lt;&gt;GetEquPower(BE18,BR18, DI18, FW18))</formula>
    </cfRule>
  </conditionalFormatting>
  <conditionalFormatting sqref="FJ18">
    <cfRule type="expression" dxfId="1" priority="1661">
      <formula>AND(BX18&gt;=2,FJ18&lt;&gt;0, GetEquPower(BE18,BR18, DJ18, FW18)=0)</formula>
    </cfRule>
    <cfRule type="expression" dxfId="0" priority="1662">
      <formula>AND(BX18&gt;=2,FJ18&lt;&gt;GetEquPower(BE18,BR18, DJ18, FW18))</formula>
    </cfRule>
  </conditionalFormatting>
  <conditionalFormatting sqref="FK18">
    <cfRule type="expression" dxfId="1" priority="1663">
      <formula>AND(BX18&gt;=3,FK18&lt;&gt;0, GetEquPower(BE18,BR18, DK18, FW18)=0)</formula>
    </cfRule>
    <cfRule type="expression" dxfId="0" priority="1664">
      <formula>AND(BX18&gt;=3,FK18&lt;&gt;GetEquPower(BE18,BR18, DK18, FW18))</formula>
    </cfRule>
  </conditionalFormatting>
  <conditionalFormatting sqref="FL18">
    <cfRule type="expression" dxfId="1" priority="1675">
      <formula>AND(BX18&gt;=4,FL18&lt;&gt;0, GetEquPower(BE18,BR18, DL18, FW18)=0)</formula>
    </cfRule>
    <cfRule type="expression" dxfId="0" priority="1676">
      <formula>AND(BX18&gt;=4,FL18&lt;&gt;GetEquPower(BE18,BR18, DL18, FW18))</formula>
    </cfRule>
  </conditionalFormatting>
  <conditionalFormatting sqref="FM18">
    <cfRule type="expression" dxfId="1" priority="1697">
      <formula>AND(BX18&gt;=5,FM18&lt;&gt;0, GetEquPower(BE18,BR18, DM18, FW18)=0)</formula>
    </cfRule>
    <cfRule type="expression" dxfId="0" priority="1698">
      <formula>AND(BX18&gt;=5,FM18&lt;&gt;GetEquPower(BE18,BR18, DM18, FW18))</formula>
    </cfRule>
  </conditionalFormatting>
  <conditionalFormatting sqref="FN18">
    <cfRule type="expression" dxfId="1" priority="1699">
      <formula>AND(BX18&gt;=6,FN18&lt;&gt;0, GetEquPower(BE18,BR18, DN18, FW18)=0)</formula>
    </cfRule>
    <cfRule type="expression" dxfId="0" priority="1700">
      <formula>AND(BX18&gt;=6,FN18&lt;&gt;GetEquPower(BE18,BR18, DN18, FW18))</formula>
    </cfRule>
  </conditionalFormatting>
  <conditionalFormatting sqref="F19">
    <cfRule type="expression" dxfId="72" priority="1547">
      <formula>F19&lt;&gt;RIGHT(SUBSTITUTE(TRIM(E19),".",""),LEN(F19))</formula>
    </cfRule>
  </conditionalFormatting>
  <conditionalFormatting sqref="BS19">
    <cfRule type="expression" dxfId="72" priority="1546">
      <formula>AND(J19&gt;=1,BS19&lt;1)</formula>
    </cfRule>
  </conditionalFormatting>
  <conditionalFormatting sqref="BT19">
    <cfRule type="expression" dxfId="72" priority="1545">
      <formula>AND(J19&gt;=2,BT19&lt;1)</formula>
    </cfRule>
  </conditionalFormatting>
  <conditionalFormatting sqref="BU19">
    <cfRule type="expression" dxfId="72" priority="1543">
      <formula>AND(J19&gt;=3,BU19&lt;1)</formula>
    </cfRule>
  </conditionalFormatting>
  <conditionalFormatting sqref="BV19">
    <cfRule type="expression" dxfId="72" priority="1542">
      <formula>AND(J19&gt;=4,BV19&lt;1)</formula>
    </cfRule>
  </conditionalFormatting>
  <conditionalFormatting sqref="BW19">
    <cfRule type="expression" dxfId="72" priority="1544">
      <formula>AND(J19&gt;=5,BW19&lt;1)</formula>
    </cfRule>
  </conditionalFormatting>
  <conditionalFormatting sqref="BX19">
    <cfRule type="expression" dxfId="72" priority="1541">
      <formula>AND(J19&gt;=6,BX19&lt;1)</formula>
    </cfRule>
  </conditionalFormatting>
  <conditionalFormatting sqref="IC19">
    <cfRule type="expression" dxfId="72" priority="1620">
      <formula>AND($S19 = TRUE, $IC19&lt;&gt;OptionsUnitCode)</formula>
    </cfRule>
  </conditionalFormatting>
  <conditionalFormatting sqref="B19:II19">
    <cfRule type="containsErrors" dxfId="72" priority="1540">
      <formula>ISERROR(B19)</formula>
    </cfRule>
  </conditionalFormatting>
  <conditionalFormatting sqref="DP19">
    <cfRule type="expression" dxfId="1" priority="1548">
      <formula>AND(BS19&gt;=1,DP19&lt;&gt;0, GetEquPower(AZ19,BM19, BZ19, FR19)=0)</formula>
    </cfRule>
    <cfRule type="expression" dxfId="0" priority="1549">
      <formula>AND(BS19&gt;=1,DP19&lt;&gt;GetEquPower(AZ19,BM19, BZ19, FR19))</formula>
    </cfRule>
  </conditionalFormatting>
  <conditionalFormatting sqref="DQ19">
    <cfRule type="expression" dxfId="1" priority="1550">
      <formula>AND(BS19&gt;=2,DQ19&lt;&gt;0, GetEquPower(AZ19,BM19, CA19, FR19)=0)</formula>
    </cfRule>
    <cfRule type="expression" dxfId="0" priority="1551">
      <formula>AND(BS19&gt;=2,DQ19&lt;&gt;GetEquPower(AZ19,BM19, CA19, FR19))</formula>
    </cfRule>
  </conditionalFormatting>
  <conditionalFormatting sqref="DR19">
    <cfRule type="expression" dxfId="1" priority="1552">
      <formula>AND(BS19&gt;=3,DR19&lt;&gt;0, GetEquPower(AZ19,BM19, CB19, FR19)=0)</formula>
    </cfRule>
    <cfRule type="expression" dxfId="0" priority="1553">
      <formula>AND(BS19&gt;=3,DR19&lt;&gt;GetEquPower(AZ19,BM19, CB19, FR19))</formula>
    </cfRule>
  </conditionalFormatting>
  <conditionalFormatting sqref="DS19">
    <cfRule type="expression" dxfId="1" priority="1584">
      <formula>AND(BS19&gt;=4,DS19&lt;&gt;0, GetEquPower(AZ19,BM19, CC19, FR19)=0)</formula>
    </cfRule>
    <cfRule type="expression" dxfId="0" priority="1585">
      <formula>AND(BS19&gt;=4, DS19&lt;&gt;GetEquPower(AZ19,BM19, CC19, FR19))</formula>
    </cfRule>
  </conditionalFormatting>
  <conditionalFormatting sqref="DT19">
    <cfRule type="expression" dxfId="1" priority="1596">
      <formula>AND(BS19&gt;=5,DT19&lt;&gt;0, GetEquPower(AZ19,BM19, CD19, FR19)=0)</formula>
    </cfRule>
    <cfRule type="expression" dxfId="0" priority="1597">
      <formula>AND(BS19&gt;=5, DT19&lt;&gt;GetEquPower(AZ19,BM19, CD19, FR19))</formula>
    </cfRule>
  </conditionalFormatting>
  <conditionalFormatting sqref="DU19">
    <cfRule type="expression" dxfId="1" priority="1598">
      <formula>AND(BS19&gt;=6,DU19&lt;&gt;0, GetEquPower(AZ19,BM19, CE19, FR19)=0)</formula>
    </cfRule>
    <cfRule type="expression" dxfId="0" priority="1599">
      <formula>AND(BS19&gt;=6, DU19&lt;&gt;GetEquPower(AZ19,BM19, CE19, FR19))</formula>
    </cfRule>
  </conditionalFormatting>
  <conditionalFormatting sqref="DY19">
    <cfRule type="expression" dxfId="1" priority="1554">
      <formula>AND(BT19&gt;=1,DY19&lt;&gt;0, GetEquPower(BA19,BN19, CG19, FS19)=0)</formula>
    </cfRule>
    <cfRule type="expression" dxfId="0" priority="1555">
      <formula>AND(BT19&gt;=1,DY19&lt;&gt;GetEquPower(BA19,BN19, CG19, FS19))</formula>
    </cfRule>
  </conditionalFormatting>
  <conditionalFormatting sqref="DZ19">
    <cfRule type="expression" dxfId="1" priority="1556">
      <formula>AND(BT19&gt;=2,DZ19&lt;&gt;0, GetEquPower(BA19,BN19, CH19, FS19)=0)</formula>
    </cfRule>
    <cfRule type="expression" dxfId="0" priority="1557">
      <formula>AND(BT19&gt;=2,DZ19&lt;&gt;GetEquPower(BA19,BN19, CH19, FS19))</formula>
    </cfRule>
  </conditionalFormatting>
  <conditionalFormatting sqref="EA19">
    <cfRule type="expression" dxfId="1" priority="1558">
      <formula>AND(BT19&gt;=3,EA19&lt;&gt;0, GetEquPower(BA19,BN19, CI19, FS19)=0)</formula>
    </cfRule>
    <cfRule type="expression" dxfId="0" priority="1559">
      <formula>AND(BT19&gt;=3,EA19&lt;&gt;GetEquPower(BA19,BN19, CI19, FS19))</formula>
    </cfRule>
  </conditionalFormatting>
  <conditionalFormatting sqref="EB19">
    <cfRule type="expression" dxfId="1" priority="1586">
      <formula>AND(BT19&gt;=4,EB19&lt;&gt;0, GetEquPower(BA19,BN19, CJ19, FS19)=0)</formula>
    </cfRule>
    <cfRule type="expression" dxfId="0" priority="1587">
      <formula>AND(BT19&gt;=4,EB19&lt;&gt;GetEquPower(BA19,BN19, CJ19, FS19))</formula>
    </cfRule>
  </conditionalFormatting>
  <conditionalFormatting sqref="EC19">
    <cfRule type="expression" dxfId="1" priority="1600">
      <formula>AND(BT19&gt;=5,EC19&lt;&gt;0, GetEquPower(BA19,BN19, CK19, FS19)=0)</formula>
    </cfRule>
    <cfRule type="expression" dxfId="0" priority="1601">
      <formula>AND(BT19&gt;=5,EC19&lt;&gt;GetEquPower(BA19,BN19, CK19, FS19))</formula>
    </cfRule>
  </conditionalFormatting>
  <conditionalFormatting sqref="ED19">
    <cfRule type="expression" dxfId="1" priority="1602">
      <formula>AND(BT19&gt;=6,ED19&lt;&gt;0, GetEquPower(BA19,BN19, CL19, FS19)=0)</formula>
    </cfRule>
    <cfRule type="expression" dxfId="0" priority="1603">
      <formula>AND(BT19&gt;=6,ED19&lt;&gt;GetEquPower(BA19,BN19, CL19, FS19))</formula>
    </cfRule>
  </conditionalFormatting>
  <conditionalFormatting sqref="EH19">
    <cfRule type="expression" dxfId="1" priority="1560">
      <formula>AND(BU19&gt;=1,EH19&lt;&gt;0, GetEquPower(BB19,BO19, CN19, FT19)=0)</formula>
    </cfRule>
    <cfRule type="expression" dxfId="0" priority="1561">
      <formula>AND(BU19&gt;=1,EH19&lt;&gt;GetEquPower(BB19,BO19, CN19, FT19))</formula>
    </cfRule>
  </conditionalFormatting>
  <conditionalFormatting sqref="EI19">
    <cfRule type="expression" dxfId="1" priority="1562">
      <formula>AND(BU19&gt;=2,EI19&lt;&gt;0, GetEquPower(BB19,BO19, CO19, FT19)=0)</formula>
    </cfRule>
    <cfRule type="expression" dxfId="0" priority="1563">
      <formula xml:space="preserve"> AND(BU19&gt;=2,EI19&lt;&gt;GetEquPower(BB19,BO19, CO19, FT19))</formula>
    </cfRule>
  </conditionalFormatting>
  <conditionalFormatting sqref="EJ19">
    <cfRule type="expression" dxfId="1" priority="1564">
      <formula>AND(BU19&gt;=3,EJ19&lt;&gt;0, GetEquPower(BB19,BO19, CP19, FT19)=0)</formula>
    </cfRule>
    <cfRule type="expression" dxfId="0" priority="1565">
      <formula xml:space="preserve"> AND(BU19&gt;=3,EJ19&lt;&gt;GetEquPower(BB19,BO19, CP19, FT19))</formula>
    </cfRule>
  </conditionalFormatting>
  <conditionalFormatting sqref="EK19">
    <cfRule type="expression" dxfId="1" priority="1588">
      <formula>AND(BU19&gt;=4,EK19&lt;&gt;0, GetEquPower(BB19,BO19, CQ19, FT19)=0)</formula>
    </cfRule>
    <cfRule type="expression" dxfId="0" priority="1589">
      <formula xml:space="preserve"> AND(BU19&gt;=4,EK19&lt;&gt;GetEquPower(BB19,BO19, CQ19, FT19))</formula>
    </cfRule>
  </conditionalFormatting>
  <conditionalFormatting sqref="EL19">
    <cfRule type="expression" dxfId="1" priority="1604">
      <formula>AND(BU19&gt;=5,EL19&lt;&gt;0, GetEquPower(BB19,BO19, CR19, FT19)=0)</formula>
    </cfRule>
    <cfRule type="expression" dxfId="0" priority="1605">
      <formula xml:space="preserve"> AND(BU19&gt;=5,EL19&lt;&gt;GetEquPower(BB19,BO19, CR19, FT19))</formula>
    </cfRule>
  </conditionalFormatting>
  <conditionalFormatting sqref="EM19">
    <cfRule type="expression" dxfId="1" priority="1606">
      <formula>AND(BU19&gt;=6,EM19&lt;&gt;0, GetEquPower(BB19,BO19, CS19, FT19)=0)</formula>
    </cfRule>
    <cfRule type="expression" dxfId="0" priority="1607">
      <formula xml:space="preserve"> AND(BU19&gt;=6,EM19&lt;&gt;GetEquPower(BB19,BO19, CS19, FT19))</formula>
    </cfRule>
  </conditionalFormatting>
  <conditionalFormatting sqref="EQ19">
    <cfRule type="expression" dxfId="1" priority="1566">
      <formula>AND(BV19&gt;=1,EQ19&lt;&gt;0, GetEquPower(BC19,BP19, CU19, FU19)=0)</formula>
    </cfRule>
    <cfRule type="expression" dxfId="0" priority="1567">
      <formula>AND(BV19&gt;=1,EQ19&lt;&gt;GetEquPower(BC19,BP19, CU19, FU19))</formula>
    </cfRule>
  </conditionalFormatting>
  <conditionalFormatting sqref="ER19">
    <cfRule type="expression" dxfId="1" priority="1568">
      <formula>AND(BV19&gt;=2,ER19&lt;&gt;0, GetEquPower(BC19,BP19, CV19, FU19)=0)</formula>
    </cfRule>
    <cfRule type="expression" dxfId="0" priority="1569">
      <formula>AND(BV19&gt;=2,ER19&lt;&gt;GetEquPower(BC19,BP19, CV19, FU19))</formula>
    </cfRule>
  </conditionalFormatting>
  <conditionalFormatting sqref="ES19">
    <cfRule type="expression" dxfId="1" priority="1570">
      <formula>AND(BV19&gt;=3,ES19&lt;&gt;0, GetEquPower(BC19,BP19, CW19, FU19)=0)</formula>
    </cfRule>
    <cfRule type="expression" dxfId="0" priority="1571">
      <formula>AND(BV19&gt;=3,ES19&lt;&gt;GetEquPower(BC19,BP19, CW19, FU19))</formula>
    </cfRule>
  </conditionalFormatting>
  <conditionalFormatting sqref="ET19">
    <cfRule type="expression" dxfId="1" priority="1590">
      <formula>AND(BV19&gt;=4,ET19&lt;&gt;0, GetEquPower(BC19,BP19, CX19, FU19)=0)</formula>
    </cfRule>
    <cfRule type="expression" dxfId="0" priority="1591">
      <formula>AND(BV19&gt;=4,ET19&lt;&gt;GetEquPower(BC19,BP19, CX19, FU19))</formula>
    </cfRule>
  </conditionalFormatting>
  <conditionalFormatting sqref="EU19">
    <cfRule type="expression" dxfId="1" priority="1608">
      <formula>AND(BV19&gt;=5,EU19&lt;&gt;0, GetEquPower(BC19,BP19, CY19, FU19)=0)</formula>
    </cfRule>
    <cfRule type="expression" dxfId="0" priority="1609">
      <formula>AND(BV19&gt;=5,EU19&lt;&gt;GetEquPower(BC19,BP19, CY19, FU19))</formula>
    </cfRule>
  </conditionalFormatting>
  <conditionalFormatting sqref="EV19">
    <cfRule type="expression" dxfId="1" priority="1610">
      <formula>AND(BV19&gt;=6,EV19&lt;&gt;0, GetEquPower(BC19,BP19, CZ19, FU19)=0)</formula>
    </cfRule>
    <cfRule type="expression" dxfId="0" priority="1611">
      <formula>AND(BV19&gt;=6,EV19&lt;&gt;GetEquPower(BC19,BP19, CZ19, FU19))</formula>
    </cfRule>
  </conditionalFormatting>
  <conditionalFormatting sqref="EZ19">
    <cfRule type="expression" dxfId="1" priority="1572">
      <formula>AND(BW19&gt;=1,EZ19&lt;&gt;0, GetEquPower(BD19,BQ19, DB19, FV19)=0)</formula>
    </cfRule>
    <cfRule type="expression" dxfId="0" priority="1573">
      <formula>AND(BW19&gt;=1,EZ19&lt;&gt;GetEquPower(BD19,BQ19, DB19, FV19))</formula>
    </cfRule>
  </conditionalFormatting>
  <conditionalFormatting sqref="FA19">
    <cfRule type="expression" dxfId="1" priority="1574">
      <formula>AND(BW19&gt;=2,FA19&lt;&gt;0, GetEquPower(BD19,BQ19, DC19, FV19)=0)</formula>
    </cfRule>
    <cfRule type="expression" dxfId="0" priority="1575">
      <formula>AND(BW19&gt;=2,FA19&lt;&gt;GetEquPower(BD19,BQ19, DC19, FV19))</formula>
    </cfRule>
  </conditionalFormatting>
  <conditionalFormatting sqref="FB19">
    <cfRule type="expression" dxfId="1" priority="1576">
      <formula>AND(BW19&gt;=3,FB19&lt;&gt;0, GetEquPower(BD19,BQ19, DD19, FV19)=0)</formula>
    </cfRule>
    <cfRule type="expression" dxfId="0" priority="1577">
      <formula>AND(BW19&gt;=3,FB19&lt;&gt;GetEquPower(BD19,BQ19, DD19, FV19))</formula>
    </cfRule>
  </conditionalFormatting>
  <conditionalFormatting sqref="FC19">
    <cfRule type="expression" dxfId="1" priority="1592">
      <formula>AND(BW19&gt;=4,FC19&lt;&gt;0, GetEquPower(BD19,BQ19, DE19, FV19)=0)</formula>
    </cfRule>
    <cfRule type="expression" dxfId="0" priority="1593">
      <formula>AND(BW19&gt;=4,FC19&lt;&gt;GetEquPower(BD19,BQ19, DE19, FV19))</formula>
    </cfRule>
  </conditionalFormatting>
  <conditionalFormatting sqref="FD19">
    <cfRule type="expression" dxfId="1" priority="1612">
      <formula>AND(BW19&gt;=5,FD19&lt;&gt;0, GetEquPower(BD19,BQ19, DF19, FV19)=0)</formula>
    </cfRule>
    <cfRule type="expression" dxfId="0" priority="1613">
      <formula>AND(BW19&gt;=5,FD19&lt;&gt;GetEquPower(BD19,BQ19, DF19, FV19))</formula>
    </cfRule>
  </conditionalFormatting>
  <conditionalFormatting sqref="FE19">
    <cfRule type="expression" dxfId="1" priority="1614">
      <formula>AND(BW19&gt;=6,FE19&lt;&gt;0, GetEquPower(BD19,BQ19, DG19, FV19)=0)</formula>
    </cfRule>
    <cfRule type="expression" dxfId="0" priority="1615">
      <formula>AND(BW19&gt;=6,FE19&lt;&gt;GetEquPower(BD19,BQ19, DG19, FV19))</formula>
    </cfRule>
  </conditionalFormatting>
  <conditionalFormatting sqref="FI19">
    <cfRule type="expression" dxfId="1" priority="1578">
      <formula>AND(BX19&gt;=1,FI19&lt;&gt;0, GetEquPower(BE19,BR19, DI19, FW19)=0)</formula>
    </cfRule>
    <cfRule type="expression" dxfId="0" priority="1579">
      <formula>AND(BX19&gt;=1,FI19&lt;&gt;GetEquPower(BE19,BR19, DI19, FW19))</formula>
    </cfRule>
  </conditionalFormatting>
  <conditionalFormatting sqref="FJ19">
    <cfRule type="expression" dxfId="1" priority="1580">
      <formula>AND(BX19&gt;=2,FJ19&lt;&gt;0, GetEquPower(BE19,BR19, DJ19, FW19)=0)</formula>
    </cfRule>
    <cfRule type="expression" dxfId="0" priority="1581">
      <formula>AND(BX19&gt;=2,FJ19&lt;&gt;GetEquPower(BE19,BR19, DJ19, FW19))</formula>
    </cfRule>
  </conditionalFormatting>
  <conditionalFormatting sqref="FK19">
    <cfRule type="expression" dxfId="1" priority="1582">
      <formula>AND(BX19&gt;=3,FK19&lt;&gt;0, GetEquPower(BE19,BR19, DK19, FW19)=0)</formula>
    </cfRule>
    <cfRule type="expression" dxfId="0" priority="1583">
      <formula>AND(BX19&gt;=3,FK19&lt;&gt;GetEquPower(BE19,BR19, DK19, FW19))</formula>
    </cfRule>
  </conditionalFormatting>
  <conditionalFormatting sqref="FL19">
    <cfRule type="expression" dxfId="1" priority="1594">
      <formula>AND(BX19&gt;=4,FL19&lt;&gt;0, GetEquPower(BE19,BR19, DL19, FW19)=0)</formula>
    </cfRule>
    <cfRule type="expression" dxfId="0" priority="1595">
      <formula>AND(BX19&gt;=4,FL19&lt;&gt;GetEquPower(BE19,BR19, DL19, FW19))</formula>
    </cfRule>
  </conditionalFormatting>
  <conditionalFormatting sqref="FM19">
    <cfRule type="expression" dxfId="1" priority="1616">
      <formula>AND(BX19&gt;=5,FM19&lt;&gt;0, GetEquPower(BE19,BR19, DM19, FW19)=0)</formula>
    </cfRule>
    <cfRule type="expression" dxfId="0" priority="1617">
      <formula>AND(BX19&gt;=5,FM19&lt;&gt;GetEquPower(BE19,BR19, DM19, FW19))</formula>
    </cfRule>
  </conditionalFormatting>
  <conditionalFormatting sqref="FN19">
    <cfRule type="expression" dxfId="1" priority="1618">
      <formula>AND(BX19&gt;=6,FN19&lt;&gt;0, GetEquPower(BE19,BR19, DN19, FW19)=0)</formula>
    </cfRule>
    <cfRule type="expression" dxfId="0" priority="1619">
      <formula>AND(BX19&gt;=6,FN19&lt;&gt;GetEquPower(BE19,BR19, DN19, FW19))</formula>
    </cfRule>
  </conditionalFormatting>
  <conditionalFormatting sqref="F20">
    <cfRule type="expression" dxfId="72" priority="1466">
      <formula>F20&lt;&gt;RIGHT(SUBSTITUTE(TRIM(E20),".",""),LEN(F20))</formula>
    </cfRule>
  </conditionalFormatting>
  <conditionalFormatting sqref="BS20">
    <cfRule type="expression" dxfId="72" priority="1465">
      <formula>AND(J20&gt;=1,BS20&lt;1)</formula>
    </cfRule>
  </conditionalFormatting>
  <conditionalFormatting sqref="BT20">
    <cfRule type="expression" dxfId="72" priority="1464">
      <formula>AND(J20&gt;=2,BT20&lt;1)</formula>
    </cfRule>
  </conditionalFormatting>
  <conditionalFormatting sqref="BU20">
    <cfRule type="expression" dxfId="72" priority="1462">
      <formula>AND(J20&gt;=3,BU20&lt;1)</formula>
    </cfRule>
  </conditionalFormatting>
  <conditionalFormatting sqref="BV20">
    <cfRule type="expression" dxfId="72" priority="1461">
      <formula>AND(J20&gt;=4,BV20&lt;1)</formula>
    </cfRule>
  </conditionalFormatting>
  <conditionalFormatting sqref="BW20">
    <cfRule type="expression" dxfId="72" priority="1463">
      <formula>AND(J20&gt;=5,BW20&lt;1)</formula>
    </cfRule>
  </conditionalFormatting>
  <conditionalFormatting sqref="BX20">
    <cfRule type="expression" dxfId="72" priority="1460">
      <formula>AND(J20&gt;=6,BX20&lt;1)</formula>
    </cfRule>
  </conditionalFormatting>
  <conditionalFormatting sqref="IC20">
    <cfRule type="expression" dxfId="72" priority="1539">
      <formula>AND($S20 = TRUE, $IC20&lt;&gt;OptionsUnitCode)</formula>
    </cfRule>
  </conditionalFormatting>
  <conditionalFormatting sqref="B20:II20">
    <cfRule type="containsErrors" dxfId="72" priority="1459">
      <formula>ISERROR(B20)</formula>
    </cfRule>
  </conditionalFormatting>
  <conditionalFormatting sqref="DP20">
    <cfRule type="expression" dxfId="1" priority="1467">
      <formula>AND(BS20&gt;=1,DP20&lt;&gt;0, GetEquPower(AZ20,BM20, BZ20, FR20)=0)</formula>
    </cfRule>
    <cfRule type="expression" dxfId="0" priority="1468">
      <formula>AND(BS20&gt;=1,DP20&lt;&gt;GetEquPower(AZ20,BM20, BZ20, FR20))</formula>
    </cfRule>
  </conditionalFormatting>
  <conditionalFormatting sqref="DQ20">
    <cfRule type="expression" dxfId="1" priority="1469">
      <formula>AND(BS20&gt;=2,DQ20&lt;&gt;0, GetEquPower(AZ20,BM20, CA20, FR20)=0)</formula>
    </cfRule>
    <cfRule type="expression" dxfId="0" priority="1470">
      <formula>AND(BS20&gt;=2,DQ20&lt;&gt;GetEquPower(AZ20,BM20, CA20, FR20))</formula>
    </cfRule>
  </conditionalFormatting>
  <conditionalFormatting sqref="DR20">
    <cfRule type="expression" dxfId="1" priority="1471">
      <formula>AND(BS20&gt;=3,DR20&lt;&gt;0, GetEquPower(AZ20,BM20, CB20, FR20)=0)</formula>
    </cfRule>
    <cfRule type="expression" dxfId="0" priority="1472">
      <formula>AND(BS20&gt;=3,DR20&lt;&gt;GetEquPower(AZ20,BM20, CB20, FR20))</formula>
    </cfRule>
  </conditionalFormatting>
  <conditionalFormatting sqref="DS20">
    <cfRule type="expression" dxfId="1" priority="1503">
      <formula>AND(BS20&gt;=4,DS20&lt;&gt;0, GetEquPower(AZ20,BM20, CC20, FR20)=0)</formula>
    </cfRule>
    <cfRule type="expression" dxfId="0" priority="1504">
      <formula>AND(BS20&gt;=4, DS20&lt;&gt;GetEquPower(AZ20,BM20, CC20, FR20))</formula>
    </cfRule>
  </conditionalFormatting>
  <conditionalFormatting sqref="DT20">
    <cfRule type="expression" dxfId="1" priority="1515">
      <formula>AND(BS20&gt;=5,DT20&lt;&gt;0, GetEquPower(AZ20,BM20, CD20, FR20)=0)</formula>
    </cfRule>
    <cfRule type="expression" dxfId="0" priority="1516">
      <formula>AND(BS20&gt;=5, DT20&lt;&gt;GetEquPower(AZ20,BM20, CD20, FR20))</formula>
    </cfRule>
  </conditionalFormatting>
  <conditionalFormatting sqref="DU20">
    <cfRule type="expression" dxfId="1" priority="1517">
      <formula>AND(BS20&gt;=6,DU20&lt;&gt;0, GetEquPower(AZ20,BM20, CE20, FR20)=0)</formula>
    </cfRule>
    <cfRule type="expression" dxfId="0" priority="1518">
      <formula>AND(BS20&gt;=6, DU20&lt;&gt;GetEquPower(AZ20,BM20, CE20, FR20))</formula>
    </cfRule>
  </conditionalFormatting>
  <conditionalFormatting sqref="DY20">
    <cfRule type="expression" dxfId="1" priority="1473">
      <formula>AND(BT20&gt;=1,DY20&lt;&gt;0, GetEquPower(BA20,BN20, CG20, FS20)=0)</formula>
    </cfRule>
    <cfRule type="expression" dxfId="0" priority="1474">
      <formula>AND(BT20&gt;=1,DY20&lt;&gt;GetEquPower(BA20,BN20, CG20, FS20))</formula>
    </cfRule>
  </conditionalFormatting>
  <conditionalFormatting sqref="DZ20">
    <cfRule type="expression" dxfId="1" priority="1475">
      <formula>AND(BT20&gt;=2,DZ20&lt;&gt;0, GetEquPower(BA20,BN20, CH20, FS20)=0)</formula>
    </cfRule>
    <cfRule type="expression" dxfId="0" priority="1476">
      <formula>AND(BT20&gt;=2,DZ20&lt;&gt;GetEquPower(BA20,BN20, CH20, FS20))</formula>
    </cfRule>
  </conditionalFormatting>
  <conditionalFormatting sqref="EA20">
    <cfRule type="expression" dxfId="1" priority="1477">
      <formula>AND(BT20&gt;=3,EA20&lt;&gt;0, GetEquPower(BA20,BN20, CI20, FS20)=0)</formula>
    </cfRule>
    <cfRule type="expression" dxfId="0" priority="1478">
      <formula>AND(BT20&gt;=3,EA20&lt;&gt;GetEquPower(BA20,BN20, CI20, FS20))</formula>
    </cfRule>
  </conditionalFormatting>
  <conditionalFormatting sqref="EB20">
    <cfRule type="expression" dxfId="1" priority="1505">
      <formula>AND(BT20&gt;=4,EB20&lt;&gt;0, GetEquPower(BA20,BN20, CJ20, FS20)=0)</formula>
    </cfRule>
    <cfRule type="expression" dxfId="0" priority="1506">
      <formula>AND(BT20&gt;=4,EB20&lt;&gt;GetEquPower(BA20,BN20, CJ20, FS20))</formula>
    </cfRule>
  </conditionalFormatting>
  <conditionalFormatting sqref="EC20">
    <cfRule type="expression" dxfId="1" priority="1519">
      <formula>AND(BT20&gt;=5,EC20&lt;&gt;0, GetEquPower(BA20,BN20, CK20, FS20)=0)</formula>
    </cfRule>
    <cfRule type="expression" dxfId="0" priority="1520">
      <formula>AND(BT20&gt;=5,EC20&lt;&gt;GetEquPower(BA20,BN20, CK20, FS20))</formula>
    </cfRule>
  </conditionalFormatting>
  <conditionalFormatting sqref="ED20">
    <cfRule type="expression" dxfId="1" priority="1521">
      <formula>AND(BT20&gt;=6,ED20&lt;&gt;0, GetEquPower(BA20,BN20, CL20, FS20)=0)</formula>
    </cfRule>
    <cfRule type="expression" dxfId="0" priority="1522">
      <formula>AND(BT20&gt;=6,ED20&lt;&gt;GetEquPower(BA20,BN20, CL20, FS20))</formula>
    </cfRule>
  </conditionalFormatting>
  <conditionalFormatting sqref="EH20">
    <cfRule type="expression" dxfId="1" priority="1479">
      <formula>AND(BU20&gt;=1,EH20&lt;&gt;0, GetEquPower(BB20,BO20, CN20, FT20)=0)</formula>
    </cfRule>
    <cfRule type="expression" dxfId="0" priority="1480">
      <formula>AND(BU20&gt;=1,EH20&lt;&gt;GetEquPower(BB20,BO20, CN20, FT20))</formula>
    </cfRule>
  </conditionalFormatting>
  <conditionalFormatting sqref="EI20">
    <cfRule type="expression" dxfId="1" priority="1481">
      <formula>AND(BU20&gt;=2,EI20&lt;&gt;0, GetEquPower(BB20,BO20, CO20, FT20)=0)</formula>
    </cfRule>
    <cfRule type="expression" dxfId="0" priority="1482">
      <formula xml:space="preserve"> AND(BU20&gt;=2,EI20&lt;&gt;GetEquPower(BB20,BO20, CO20, FT20))</formula>
    </cfRule>
  </conditionalFormatting>
  <conditionalFormatting sqref="EJ20">
    <cfRule type="expression" dxfId="1" priority="1483">
      <formula>AND(BU20&gt;=3,EJ20&lt;&gt;0, GetEquPower(BB20,BO20, CP20, FT20)=0)</formula>
    </cfRule>
    <cfRule type="expression" dxfId="0" priority="1484">
      <formula xml:space="preserve"> AND(BU20&gt;=3,EJ20&lt;&gt;GetEquPower(BB20,BO20, CP20, FT20))</formula>
    </cfRule>
  </conditionalFormatting>
  <conditionalFormatting sqref="EK20">
    <cfRule type="expression" dxfId="1" priority="1507">
      <formula>AND(BU20&gt;=4,EK20&lt;&gt;0, GetEquPower(BB20,BO20, CQ20, FT20)=0)</formula>
    </cfRule>
    <cfRule type="expression" dxfId="0" priority="1508">
      <formula xml:space="preserve"> AND(BU20&gt;=4,EK20&lt;&gt;GetEquPower(BB20,BO20, CQ20, FT20))</formula>
    </cfRule>
  </conditionalFormatting>
  <conditionalFormatting sqref="EL20">
    <cfRule type="expression" dxfId="1" priority="1523">
      <formula>AND(BU20&gt;=5,EL20&lt;&gt;0, GetEquPower(BB20,BO20, CR20, FT20)=0)</formula>
    </cfRule>
    <cfRule type="expression" dxfId="0" priority="1524">
      <formula xml:space="preserve"> AND(BU20&gt;=5,EL20&lt;&gt;GetEquPower(BB20,BO20, CR20, FT20))</formula>
    </cfRule>
  </conditionalFormatting>
  <conditionalFormatting sqref="EM20">
    <cfRule type="expression" dxfId="1" priority="1525">
      <formula>AND(BU20&gt;=6,EM20&lt;&gt;0, GetEquPower(BB20,BO20, CS20, FT20)=0)</formula>
    </cfRule>
    <cfRule type="expression" dxfId="0" priority="1526">
      <formula xml:space="preserve"> AND(BU20&gt;=6,EM20&lt;&gt;GetEquPower(BB20,BO20, CS20, FT20))</formula>
    </cfRule>
  </conditionalFormatting>
  <conditionalFormatting sqref="EQ20">
    <cfRule type="expression" dxfId="1" priority="1485">
      <formula>AND(BV20&gt;=1,EQ20&lt;&gt;0, GetEquPower(BC20,BP20, CU20, FU20)=0)</formula>
    </cfRule>
    <cfRule type="expression" dxfId="0" priority="1486">
      <formula>AND(BV20&gt;=1,EQ20&lt;&gt;GetEquPower(BC20,BP20, CU20, FU20))</formula>
    </cfRule>
  </conditionalFormatting>
  <conditionalFormatting sqref="ER20">
    <cfRule type="expression" dxfId="1" priority="1487">
      <formula>AND(BV20&gt;=2,ER20&lt;&gt;0, GetEquPower(BC20,BP20, CV20, FU20)=0)</formula>
    </cfRule>
    <cfRule type="expression" dxfId="0" priority="1488">
      <formula>AND(BV20&gt;=2,ER20&lt;&gt;GetEquPower(BC20,BP20, CV20, FU20))</formula>
    </cfRule>
  </conditionalFormatting>
  <conditionalFormatting sqref="ES20">
    <cfRule type="expression" dxfId="1" priority="1489">
      <formula>AND(BV20&gt;=3,ES20&lt;&gt;0, GetEquPower(BC20,BP20, CW20, FU20)=0)</formula>
    </cfRule>
    <cfRule type="expression" dxfId="0" priority="1490">
      <formula>AND(BV20&gt;=3,ES20&lt;&gt;GetEquPower(BC20,BP20, CW20, FU20))</formula>
    </cfRule>
  </conditionalFormatting>
  <conditionalFormatting sqref="ET20">
    <cfRule type="expression" dxfId="1" priority="1509">
      <formula>AND(BV20&gt;=4,ET20&lt;&gt;0, GetEquPower(BC20,BP20, CX20, FU20)=0)</formula>
    </cfRule>
    <cfRule type="expression" dxfId="0" priority="1510">
      <formula>AND(BV20&gt;=4,ET20&lt;&gt;GetEquPower(BC20,BP20, CX20, FU20))</formula>
    </cfRule>
  </conditionalFormatting>
  <conditionalFormatting sqref="EU20">
    <cfRule type="expression" dxfId="1" priority="1527">
      <formula>AND(BV20&gt;=5,EU20&lt;&gt;0, GetEquPower(BC20,BP20, CY20, FU20)=0)</formula>
    </cfRule>
    <cfRule type="expression" dxfId="0" priority="1528">
      <formula>AND(BV20&gt;=5,EU20&lt;&gt;GetEquPower(BC20,BP20, CY20, FU20))</formula>
    </cfRule>
  </conditionalFormatting>
  <conditionalFormatting sqref="EV20">
    <cfRule type="expression" dxfId="1" priority="1529">
      <formula>AND(BV20&gt;=6,EV20&lt;&gt;0, GetEquPower(BC20,BP20, CZ20, FU20)=0)</formula>
    </cfRule>
    <cfRule type="expression" dxfId="0" priority="1530">
      <formula>AND(BV20&gt;=6,EV20&lt;&gt;GetEquPower(BC20,BP20, CZ20, FU20))</formula>
    </cfRule>
  </conditionalFormatting>
  <conditionalFormatting sqref="EZ20">
    <cfRule type="expression" dxfId="1" priority="1491">
      <formula>AND(BW20&gt;=1,EZ20&lt;&gt;0, GetEquPower(BD20,BQ20, DB20, FV20)=0)</formula>
    </cfRule>
    <cfRule type="expression" dxfId="0" priority="1492">
      <formula>AND(BW20&gt;=1,EZ20&lt;&gt;GetEquPower(BD20,BQ20, DB20, FV20))</formula>
    </cfRule>
  </conditionalFormatting>
  <conditionalFormatting sqref="FA20">
    <cfRule type="expression" dxfId="1" priority="1493">
      <formula>AND(BW20&gt;=2,FA20&lt;&gt;0, GetEquPower(BD20,BQ20, DC20, FV20)=0)</formula>
    </cfRule>
    <cfRule type="expression" dxfId="0" priority="1494">
      <formula>AND(BW20&gt;=2,FA20&lt;&gt;GetEquPower(BD20,BQ20, DC20, FV20))</formula>
    </cfRule>
  </conditionalFormatting>
  <conditionalFormatting sqref="FB20">
    <cfRule type="expression" dxfId="1" priority="1495">
      <formula>AND(BW20&gt;=3,FB20&lt;&gt;0, GetEquPower(BD20,BQ20, DD20, FV20)=0)</formula>
    </cfRule>
    <cfRule type="expression" dxfId="0" priority="1496">
      <formula>AND(BW20&gt;=3,FB20&lt;&gt;GetEquPower(BD20,BQ20, DD20, FV20))</formula>
    </cfRule>
  </conditionalFormatting>
  <conditionalFormatting sqref="FC20">
    <cfRule type="expression" dxfId="1" priority="1511">
      <formula>AND(BW20&gt;=4,FC20&lt;&gt;0, GetEquPower(BD20,BQ20, DE20, FV20)=0)</formula>
    </cfRule>
    <cfRule type="expression" dxfId="0" priority="1512">
      <formula>AND(BW20&gt;=4,FC20&lt;&gt;GetEquPower(BD20,BQ20, DE20, FV20))</formula>
    </cfRule>
  </conditionalFormatting>
  <conditionalFormatting sqref="FD20">
    <cfRule type="expression" dxfId="1" priority="1531">
      <formula>AND(BW20&gt;=5,FD20&lt;&gt;0, GetEquPower(BD20,BQ20, DF20, FV20)=0)</formula>
    </cfRule>
    <cfRule type="expression" dxfId="0" priority="1532">
      <formula>AND(BW20&gt;=5,FD20&lt;&gt;GetEquPower(BD20,BQ20, DF20, FV20))</formula>
    </cfRule>
  </conditionalFormatting>
  <conditionalFormatting sqref="FE20">
    <cfRule type="expression" dxfId="1" priority="1533">
      <formula>AND(BW20&gt;=6,FE20&lt;&gt;0, GetEquPower(BD20,BQ20, DG20, FV20)=0)</formula>
    </cfRule>
    <cfRule type="expression" dxfId="0" priority="1534">
      <formula>AND(BW20&gt;=6,FE20&lt;&gt;GetEquPower(BD20,BQ20, DG20, FV20))</formula>
    </cfRule>
  </conditionalFormatting>
  <conditionalFormatting sqref="FI20">
    <cfRule type="expression" dxfId="1" priority="1497">
      <formula>AND(BX20&gt;=1,FI20&lt;&gt;0, GetEquPower(BE20,BR20, DI20, FW20)=0)</formula>
    </cfRule>
    <cfRule type="expression" dxfId="0" priority="1498">
      <formula>AND(BX20&gt;=1,FI20&lt;&gt;GetEquPower(BE20,BR20, DI20, FW20))</formula>
    </cfRule>
  </conditionalFormatting>
  <conditionalFormatting sqref="FJ20">
    <cfRule type="expression" dxfId="1" priority="1499">
      <formula>AND(BX20&gt;=2,FJ20&lt;&gt;0, GetEquPower(BE20,BR20, DJ20, FW20)=0)</formula>
    </cfRule>
    <cfRule type="expression" dxfId="0" priority="1500">
      <formula>AND(BX20&gt;=2,FJ20&lt;&gt;GetEquPower(BE20,BR20, DJ20, FW20))</formula>
    </cfRule>
  </conditionalFormatting>
  <conditionalFormatting sqref="FK20">
    <cfRule type="expression" dxfId="1" priority="1501">
      <formula>AND(BX20&gt;=3,FK20&lt;&gt;0, GetEquPower(BE20,BR20, DK20, FW20)=0)</formula>
    </cfRule>
    <cfRule type="expression" dxfId="0" priority="1502">
      <formula>AND(BX20&gt;=3,FK20&lt;&gt;GetEquPower(BE20,BR20, DK20, FW20))</formula>
    </cfRule>
  </conditionalFormatting>
  <conditionalFormatting sqref="FL20">
    <cfRule type="expression" dxfId="1" priority="1513">
      <formula>AND(BX20&gt;=4,FL20&lt;&gt;0, GetEquPower(BE20,BR20, DL20, FW20)=0)</formula>
    </cfRule>
    <cfRule type="expression" dxfId="0" priority="1514">
      <formula>AND(BX20&gt;=4,FL20&lt;&gt;GetEquPower(BE20,BR20, DL20, FW20))</formula>
    </cfRule>
  </conditionalFormatting>
  <conditionalFormatting sqref="FM20">
    <cfRule type="expression" dxfId="1" priority="1535">
      <formula>AND(BX20&gt;=5,FM20&lt;&gt;0, GetEquPower(BE20,BR20, DM20, FW20)=0)</formula>
    </cfRule>
    <cfRule type="expression" dxfId="0" priority="1536">
      <formula>AND(BX20&gt;=5,FM20&lt;&gt;GetEquPower(BE20,BR20, DM20, FW20))</formula>
    </cfRule>
  </conditionalFormatting>
  <conditionalFormatting sqref="FN20">
    <cfRule type="expression" dxfId="1" priority="1537">
      <formula>AND(BX20&gt;=6,FN20&lt;&gt;0, GetEquPower(BE20,BR20, DN20, FW20)=0)</formula>
    </cfRule>
    <cfRule type="expression" dxfId="0" priority="1538">
      <formula>AND(BX20&gt;=6,FN20&lt;&gt;GetEquPower(BE20,BR20, DN20, FW20))</formula>
    </cfRule>
  </conditionalFormatting>
  <conditionalFormatting sqref="F21">
    <cfRule type="expression" dxfId="72" priority="1385">
      <formula>F21&lt;&gt;RIGHT(SUBSTITUTE(TRIM(E21),".",""),LEN(F21))</formula>
    </cfRule>
  </conditionalFormatting>
  <conditionalFormatting sqref="BS21">
    <cfRule type="expression" dxfId="72" priority="1384">
      <formula>AND(J21&gt;=1,BS21&lt;1)</formula>
    </cfRule>
  </conditionalFormatting>
  <conditionalFormatting sqref="BT21">
    <cfRule type="expression" dxfId="72" priority="1383">
      <formula>AND(J21&gt;=2,BT21&lt;1)</formula>
    </cfRule>
  </conditionalFormatting>
  <conditionalFormatting sqref="BU21">
    <cfRule type="expression" dxfId="72" priority="1381">
      <formula>AND(J21&gt;=3,BU21&lt;1)</formula>
    </cfRule>
  </conditionalFormatting>
  <conditionalFormatting sqref="BV21">
    <cfRule type="expression" dxfId="72" priority="1380">
      <formula>AND(J21&gt;=4,BV21&lt;1)</formula>
    </cfRule>
  </conditionalFormatting>
  <conditionalFormatting sqref="BW21">
    <cfRule type="expression" dxfId="72" priority="1382">
      <formula>AND(J21&gt;=5,BW21&lt;1)</formula>
    </cfRule>
  </conditionalFormatting>
  <conditionalFormatting sqref="BX21">
    <cfRule type="expression" dxfId="72" priority="1379">
      <formula>AND(J21&gt;=6,BX21&lt;1)</formula>
    </cfRule>
  </conditionalFormatting>
  <conditionalFormatting sqref="IC21">
    <cfRule type="expression" dxfId="72" priority="1458">
      <formula>AND($S21 = TRUE, $IC21&lt;&gt;OptionsUnitCode)</formula>
    </cfRule>
  </conditionalFormatting>
  <conditionalFormatting sqref="B21:II21">
    <cfRule type="containsErrors" dxfId="72" priority="1378">
      <formula>ISERROR(B21)</formula>
    </cfRule>
  </conditionalFormatting>
  <conditionalFormatting sqref="DP21">
    <cfRule type="expression" dxfId="1" priority="1386">
      <formula>AND(BS21&gt;=1,DP21&lt;&gt;0, GetEquPower(AZ21,BM21, BZ21, FR21)=0)</formula>
    </cfRule>
    <cfRule type="expression" dxfId="0" priority="1387">
      <formula>AND(BS21&gt;=1,DP21&lt;&gt;GetEquPower(AZ21,BM21, BZ21, FR21))</formula>
    </cfRule>
  </conditionalFormatting>
  <conditionalFormatting sqref="DQ21">
    <cfRule type="expression" dxfId="1" priority="1388">
      <formula>AND(BS21&gt;=2,DQ21&lt;&gt;0, GetEquPower(AZ21,BM21, CA21, FR21)=0)</formula>
    </cfRule>
    <cfRule type="expression" dxfId="0" priority="1389">
      <formula>AND(BS21&gt;=2,DQ21&lt;&gt;GetEquPower(AZ21,BM21, CA21, FR21))</formula>
    </cfRule>
  </conditionalFormatting>
  <conditionalFormatting sqref="DR21">
    <cfRule type="expression" dxfId="1" priority="1390">
      <formula>AND(BS21&gt;=3,DR21&lt;&gt;0, GetEquPower(AZ21,BM21, CB21, FR21)=0)</formula>
    </cfRule>
    <cfRule type="expression" dxfId="0" priority="1391">
      <formula>AND(BS21&gt;=3,DR21&lt;&gt;GetEquPower(AZ21,BM21, CB21, FR21))</formula>
    </cfRule>
  </conditionalFormatting>
  <conditionalFormatting sqref="DS21">
    <cfRule type="expression" dxfId="1" priority="1422">
      <formula>AND(BS21&gt;=4,DS21&lt;&gt;0, GetEquPower(AZ21,BM21, CC21, FR21)=0)</formula>
    </cfRule>
    <cfRule type="expression" dxfId="0" priority="1423">
      <formula>AND(BS21&gt;=4, DS21&lt;&gt;GetEquPower(AZ21,BM21, CC21, FR21))</formula>
    </cfRule>
  </conditionalFormatting>
  <conditionalFormatting sqref="DT21">
    <cfRule type="expression" dxfId="1" priority="1434">
      <formula>AND(BS21&gt;=5,DT21&lt;&gt;0, GetEquPower(AZ21,BM21, CD21, FR21)=0)</formula>
    </cfRule>
    <cfRule type="expression" dxfId="0" priority="1435">
      <formula>AND(BS21&gt;=5, DT21&lt;&gt;GetEquPower(AZ21,BM21, CD21, FR21))</formula>
    </cfRule>
  </conditionalFormatting>
  <conditionalFormatting sqref="DU21">
    <cfRule type="expression" dxfId="1" priority="1436">
      <formula>AND(BS21&gt;=6,DU21&lt;&gt;0, GetEquPower(AZ21,BM21, CE21, FR21)=0)</formula>
    </cfRule>
    <cfRule type="expression" dxfId="0" priority="1437">
      <formula>AND(BS21&gt;=6, DU21&lt;&gt;GetEquPower(AZ21,BM21, CE21, FR21))</formula>
    </cfRule>
  </conditionalFormatting>
  <conditionalFormatting sqref="DY21">
    <cfRule type="expression" dxfId="1" priority="1392">
      <formula>AND(BT21&gt;=1,DY21&lt;&gt;0, GetEquPower(BA21,BN21, CG21, FS21)=0)</formula>
    </cfRule>
    <cfRule type="expression" dxfId="0" priority="1393">
      <formula>AND(BT21&gt;=1,DY21&lt;&gt;GetEquPower(BA21,BN21, CG21, FS21))</formula>
    </cfRule>
  </conditionalFormatting>
  <conditionalFormatting sqref="DZ21">
    <cfRule type="expression" dxfId="1" priority="1394">
      <formula>AND(BT21&gt;=2,DZ21&lt;&gt;0, GetEquPower(BA21,BN21, CH21, FS21)=0)</formula>
    </cfRule>
    <cfRule type="expression" dxfId="0" priority="1395">
      <formula>AND(BT21&gt;=2,DZ21&lt;&gt;GetEquPower(BA21,BN21, CH21, FS21))</formula>
    </cfRule>
  </conditionalFormatting>
  <conditionalFormatting sqref="EA21">
    <cfRule type="expression" dxfId="1" priority="1396">
      <formula>AND(BT21&gt;=3,EA21&lt;&gt;0, GetEquPower(BA21,BN21, CI21, FS21)=0)</formula>
    </cfRule>
    <cfRule type="expression" dxfId="0" priority="1397">
      <formula>AND(BT21&gt;=3,EA21&lt;&gt;GetEquPower(BA21,BN21, CI21, FS21))</formula>
    </cfRule>
  </conditionalFormatting>
  <conditionalFormatting sqref="EB21">
    <cfRule type="expression" dxfId="1" priority="1424">
      <formula>AND(BT21&gt;=4,EB21&lt;&gt;0, GetEquPower(BA21,BN21, CJ21, FS21)=0)</formula>
    </cfRule>
    <cfRule type="expression" dxfId="0" priority="1425">
      <formula>AND(BT21&gt;=4,EB21&lt;&gt;GetEquPower(BA21,BN21, CJ21, FS21))</formula>
    </cfRule>
  </conditionalFormatting>
  <conditionalFormatting sqref="EC21">
    <cfRule type="expression" dxfId="1" priority="1438">
      <formula>AND(BT21&gt;=5,EC21&lt;&gt;0, GetEquPower(BA21,BN21, CK21, FS21)=0)</formula>
    </cfRule>
    <cfRule type="expression" dxfId="0" priority="1439">
      <formula>AND(BT21&gt;=5,EC21&lt;&gt;GetEquPower(BA21,BN21, CK21, FS21))</formula>
    </cfRule>
  </conditionalFormatting>
  <conditionalFormatting sqref="ED21">
    <cfRule type="expression" dxfId="1" priority="1440">
      <formula>AND(BT21&gt;=6,ED21&lt;&gt;0, GetEquPower(BA21,BN21, CL21, FS21)=0)</formula>
    </cfRule>
    <cfRule type="expression" dxfId="0" priority="1441">
      <formula>AND(BT21&gt;=6,ED21&lt;&gt;GetEquPower(BA21,BN21, CL21, FS21))</formula>
    </cfRule>
  </conditionalFormatting>
  <conditionalFormatting sqref="EH21">
    <cfRule type="expression" dxfId="1" priority="1398">
      <formula>AND(BU21&gt;=1,EH21&lt;&gt;0, GetEquPower(BB21,BO21, CN21, FT21)=0)</formula>
    </cfRule>
    <cfRule type="expression" dxfId="0" priority="1399">
      <formula>AND(BU21&gt;=1,EH21&lt;&gt;GetEquPower(BB21,BO21, CN21, FT21))</formula>
    </cfRule>
  </conditionalFormatting>
  <conditionalFormatting sqref="EI21">
    <cfRule type="expression" dxfId="1" priority="1400">
      <formula>AND(BU21&gt;=2,EI21&lt;&gt;0, GetEquPower(BB21,BO21, CO21, FT21)=0)</formula>
    </cfRule>
    <cfRule type="expression" dxfId="0" priority="1401">
      <formula xml:space="preserve"> AND(BU21&gt;=2,EI21&lt;&gt;GetEquPower(BB21,BO21, CO21, FT21))</formula>
    </cfRule>
  </conditionalFormatting>
  <conditionalFormatting sqref="EJ21">
    <cfRule type="expression" dxfId="1" priority="1402">
      <formula>AND(BU21&gt;=3,EJ21&lt;&gt;0, GetEquPower(BB21,BO21, CP21, FT21)=0)</formula>
    </cfRule>
    <cfRule type="expression" dxfId="0" priority="1403">
      <formula xml:space="preserve"> AND(BU21&gt;=3,EJ21&lt;&gt;GetEquPower(BB21,BO21, CP21, FT21))</formula>
    </cfRule>
  </conditionalFormatting>
  <conditionalFormatting sqref="EK21">
    <cfRule type="expression" dxfId="1" priority="1426">
      <formula>AND(BU21&gt;=4,EK21&lt;&gt;0, GetEquPower(BB21,BO21, CQ21, FT21)=0)</formula>
    </cfRule>
    <cfRule type="expression" dxfId="0" priority="1427">
      <formula xml:space="preserve"> AND(BU21&gt;=4,EK21&lt;&gt;GetEquPower(BB21,BO21, CQ21, FT21))</formula>
    </cfRule>
  </conditionalFormatting>
  <conditionalFormatting sqref="EL21">
    <cfRule type="expression" dxfId="1" priority="1442">
      <formula>AND(BU21&gt;=5,EL21&lt;&gt;0, GetEquPower(BB21,BO21, CR21, FT21)=0)</formula>
    </cfRule>
    <cfRule type="expression" dxfId="0" priority="1443">
      <formula xml:space="preserve"> AND(BU21&gt;=5,EL21&lt;&gt;GetEquPower(BB21,BO21, CR21, FT21))</formula>
    </cfRule>
  </conditionalFormatting>
  <conditionalFormatting sqref="EM21">
    <cfRule type="expression" dxfId="1" priority="1444">
      <formula>AND(BU21&gt;=6,EM21&lt;&gt;0, GetEquPower(BB21,BO21, CS21, FT21)=0)</formula>
    </cfRule>
    <cfRule type="expression" dxfId="0" priority="1445">
      <formula xml:space="preserve"> AND(BU21&gt;=6,EM21&lt;&gt;GetEquPower(BB21,BO21, CS21, FT21))</formula>
    </cfRule>
  </conditionalFormatting>
  <conditionalFormatting sqref="EQ21">
    <cfRule type="expression" dxfId="1" priority="1404">
      <formula>AND(BV21&gt;=1,EQ21&lt;&gt;0, GetEquPower(BC21,BP21, CU21, FU21)=0)</formula>
    </cfRule>
    <cfRule type="expression" dxfId="0" priority="1405">
      <formula>AND(BV21&gt;=1,EQ21&lt;&gt;GetEquPower(BC21,BP21, CU21, FU21))</formula>
    </cfRule>
  </conditionalFormatting>
  <conditionalFormatting sqref="ER21">
    <cfRule type="expression" dxfId="1" priority="1406">
      <formula>AND(BV21&gt;=2,ER21&lt;&gt;0, GetEquPower(BC21,BP21, CV21, FU21)=0)</formula>
    </cfRule>
    <cfRule type="expression" dxfId="0" priority="1407">
      <formula>AND(BV21&gt;=2,ER21&lt;&gt;GetEquPower(BC21,BP21, CV21, FU21))</formula>
    </cfRule>
  </conditionalFormatting>
  <conditionalFormatting sqref="ES21">
    <cfRule type="expression" dxfId="1" priority="1408">
      <formula>AND(BV21&gt;=3,ES21&lt;&gt;0, GetEquPower(BC21,BP21, CW21, FU21)=0)</formula>
    </cfRule>
    <cfRule type="expression" dxfId="0" priority="1409">
      <formula>AND(BV21&gt;=3,ES21&lt;&gt;GetEquPower(BC21,BP21, CW21, FU21))</formula>
    </cfRule>
  </conditionalFormatting>
  <conditionalFormatting sqref="ET21">
    <cfRule type="expression" dxfId="1" priority="1428">
      <formula>AND(BV21&gt;=4,ET21&lt;&gt;0, GetEquPower(BC21,BP21, CX21, FU21)=0)</formula>
    </cfRule>
    <cfRule type="expression" dxfId="0" priority="1429">
      <formula>AND(BV21&gt;=4,ET21&lt;&gt;GetEquPower(BC21,BP21, CX21, FU21))</formula>
    </cfRule>
  </conditionalFormatting>
  <conditionalFormatting sqref="EU21">
    <cfRule type="expression" dxfId="1" priority="1446">
      <formula>AND(BV21&gt;=5,EU21&lt;&gt;0, GetEquPower(BC21,BP21, CY21, FU21)=0)</formula>
    </cfRule>
    <cfRule type="expression" dxfId="0" priority="1447">
      <formula>AND(BV21&gt;=5,EU21&lt;&gt;GetEquPower(BC21,BP21, CY21, FU21))</formula>
    </cfRule>
  </conditionalFormatting>
  <conditionalFormatting sqref="EV21">
    <cfRule type="expression" dxfId="1" priority="1448">
      <formula>AND(BV21&gt;=6,EV21&lt;&gt;0, GetEquPower(BC21,BP21, CZ21, FU21)=0)</formula>
    </cfRule>
    <cfRule type="expression" dxfId="0" priority="1449">
      <formula>AND(BV21&gt;=6,EV21&lt;&gt;GetEquPower(BC21,BP21, CZ21, FU21))</formula>
    </cfRule>
  </conditionalFormatting>
  <conditionalFormatting sqref="EZ21">
    <cfRule type="expression" dxfId="1" priority="1410">
      <formula>AND(BW21&gt;=1,EZ21&lt;&gt;0, GetEquPower(BD21,BQ21, DB21, FV21)=0)</formula>
    </cfRule>
    <cfRule type="expression" dxfId="0" priority="1411">
      <formula>AND(BW21&gt;=1,EZ21&lt;&gt;GetEquPower(BD21,BQ21, DB21, FV21))</formula>
    </cfRule>
  </conditionalFormatting>
  <conditionalFormatting sqref="FA21">
    <cfRule type="expression" dxfId="1" priority="1412">
      <formula>AND(BW21&gt;=2,FA21&lt;&gt;0, GetEquPower(BD21,BQ21, DC21, FV21)=0)</formula>
    </cfRule>
    <cfRule type="expression" dxfId="0" priority="1413">
      <formula>AND(BW21&gt;=2,FA21&lt;&gt;GetEquPower(BD21,BQ21, DC21, FV21))</formula>
    </cfRule>
  </conditionalFormatting>
  <conditionalFormatting sqref="FB21">
    <cfRule type="expression" dxfId="1" priority="1414">
      <formula>AND(BW21&gt;=3,FB21&lt;&gt;0, GetEquPower(BD21,BQ21, DD21, FV21)=0)</formula>
    </cfRule>
    <cfRule type="expression" dxfId="0" priority="1415">
      <formula>AND(BW21&gt;=3,FB21&lt;&gt;GetEquPower(BD21,BQ21, DD21, FV21))</formula>
    </cfRule>
  </conditionalFormatting>
  <conditionalFormatting sqref="FC21">
    <cfRule type="expression" dxfId="1" priority="1430">
      <formula>AND(BW21&gt;=4,FC21&lt;&gt;0, GetEquPower(BD21,BQ21, DE21, FV21)=0)</formula>
    </cfRule>
    <cfRule type="expression" dxfId="0" priority="1431">
      <formula>AND(BW21&gt;=4,FC21&lt;&gt;GetEquPower(BD21,BQ21, DE21, FV21))</formula>
    </cfRule>
  </conditionalFormatting>
  <conditionalFormatting sqref="FD21">
    <cfRule type="expression" dxfId="1" priority="1450">
      <formula>AND(BW21&gt;=5,FD21&lt;&gt;0, GetEquPower(BD21,BQ21, DF21, FV21)=0)</formula>
    </cfRule>
    <cfRule type="expression" dxfId="0" priority="1451">
      <formula>AND(BW21&gt;=5,FD21&lt;&gt;GetEquPower(BD21,BQ21, DF21, FV21))</formula>
    </cfRule>
  </conditionalFormatting>
  <conditionalFormatting sqref="FE21">
    <cfRule type="expression" dxfId="1" priority="1452">
      <formula>AND(BW21&gt;=6,FE21&lt;&gt;0, GetEquPower(BD21,BQ21, DG21, FV21)=0)</formula>
    </cfRule>
    <cfRule type="expression" dxfId="0" priority="1453">
      <formula>AND(BW21&gt;=6,FE21&lt;&gt;GetEquPower(BD21,BQ21, DG21, FV21))</formula>
    </cfRule>
  </conditionalFormatting>
  <conditionalFormatting sqref="FI21">
    <cfRule type="expression" dxfId="1" priority="1416">
      <formula>AND(BX21&gt;=1,FI21&lt;&gt;0, GetEquPower(BE21,BR21, DI21, FW21)=0)</formula>
    </cfRule>
    <cfRule type="expression" dxfId="0" priority="1417">
      <formula>AND(BX21&gt;=1,FI21&lt;&gt;GetEquPower(BE21,BR21, DI21, FW21))</formula>
    </cfRule>
  </conditionalFormatting>
  <conditionalFormatting sqref="FJ21">
    <cfRule type="expression" dxfId="1" priority="1418">
      <formula>AND(BX21&gt;=2,FJ21&lt;&gt;0, GetEquPower(BE21,BR21, DJ21, FW21)=0)</formula>
    </cfRule>
    <cfRule type="expression" dxfId="0" priority="1419">
      <formula>AND(BX21&gt;=2,FJ21&lt;&gt;GetEquPower(BE21,BR21, DJ21, FW21))</formula>
    </cfRule>
  </conditionalFormatting>
  <conditionalFormatting sqref="FK21">
    <cfRule type="expression" dxfId="1" priority="1420">
      <formula>AND(BX21&gt;=3,FK21&lt;&gt;0, GetEquPower(BE21,BR21, DK21, FW21)=0)</formula>
    </cfRule>
    <cfRule type="expression" dxfId="0" priority="1421">
      <formula>AND(BX21&gt;=3,FK21&lt;&gt;GetEquPower(BE21,BR21, DK21, FW21))</formula>
    </cfRule>
  </conditionalFormatting>
  <conditionalFormatting sqref="FL21">
    <cfRule type="expression" dxfId="1" priority="1432">
      <formula>AND(BX21&gt;=4,FL21&lt;&gt;0, GetEquPower(BE21,BR21, DL21, FW21)=0)</formula>
    </cfRule>
    <cfRule type="expression" dxfId="0" priority="1433">
      <formula>AND(BX21&gt;=4,FL21&lt;&gt;GetEquPower(BE21,BR21, DL21, FW21))</formula>
    </cfRule>
  </conditionalFormatting>
  <conditionalFormatting sqref="FM21">
    <cfRule type="expression" dxfId="1" priority="1454">
      <formula>AND(BX21&gt;=5,FM21&lt;&gt;0, GetEquPower(BE21,BR21, DM21, FW21)=0)</formula>
    </cfRule>
    <cfRule type="expression" dxfId="0" priority="1455">
      <formula>AND(BX21&gt;=5,FM21&lt;&gt;GetEquPower(BE21,BR21, DM21, FW21))</formula>
    </cfRule>
  </conditionalFormatting>
  <conditionalFormatting sqref="FN21">
    <cfRule type="expression" dxfId="1" priority="1456">
      <formula>AND(BX21&gt;=6,FN21&lt;&gt;0, GetEquPower(BE21,BR21, DN21, FW21)=0)</formula>
    </cfRule>
    <cfRule type="expression" dxfId="0" priority="1457">
      <formula>AND(BX21&gt;=6,FN21&lt;&gt;GetEquPower(BE21,BR21, DN21, FW21))</formula>
    </cfRule>
  </conditionalFormatting>
  <conditionalFormatting sqref="F22">
    <cfRule type="expression" dxfId="72" priority="1304">
      <formula>F22&lt;&gt;RIGHT(SUBSTITUTE(TRIM(E22),".",""),LEN(F22))</formula>
    </cfRule>
  </conditionalFormatting>
  <conditionalFormatting sqref="BS22">
    <cfRule type="expression" dxfId="72" priority="1303">
      <formula>AND(J22&gt;=1,BS22&lt;1)</formula>
    </cfRule>
  </conditionalFormatting>
  <conditionalFormatting sqref="BT22">
    <cfRule type="expression" dxfId="72" priority="1302">
      <formula>AND(J22&gt;=2,BT22&lt;1)</formula>
    </cfRule>
  </conditionalFormatting>
  <conditionalFormatting sqref="BU22">
    <cfRule type="expression" dxfId="72" priority="1300">
      <formula>AND(J22&gt;=3,BU22&lt;1)</formula>
    </cfRule>
  </conditionalFormatting>
  <conditionalFormatting sqref="BV22">
    <cfRule type="expression" dxfId="72" priority="1299">
      <formula>AND(J22&gt;=4,BV22&lt;1)</formula>
    </cfRule>
  </conditionalFormatting>
  <conditionalFormatting sqref="BW22">
    <cfRule type="expression" dxfId="72" priority="1301">
      <formula>AND(J22&gt;=5,BW22&lt;1)</formula>
    </cfRule>
  </conditionalFormatting>
  <conditionalFormatting sqref="BX22">
    <cfRule type="expression" dxfId="72" priority="1298">
      <formula>AND(J22&gt;=6,BX22&lt;1)</formula>
    </cfRule>
  </conditionalFormatting>
  <conditionalFormatting sqref="IC22">
    <cfRule type="expression" dxfId="72" priority="1377">
      <formula>AND($S22 = TRUE, $IC22&lt;&gt;OptionsUnitCode)</formula>
    </cfRule>
  </conditionalFormatting>
  <conditionalFormatting sqref="B22:II22">
    <cfRule type="containsErrors" dxfId="72" priority="1297">
      <formula>ISERROR(B22)</formula>
    </cfRule>
  </conditionalFormatting>
  <conditionalFormatting sqref="DP22">
    <cfRule type="expression" dxfId="1" priority="1305">
      <formula>AND(BS22&gt;=1,DP22&lt;&gt;0, GetEquPower(AZ22,BM22, BZ22, FR22)=0)</formula>
    </cfRule>
    <cfRule type="expression" dxfId="0" priority="1306">
      <formula>AND(BS22&gt;=1,DP22&lt;&gt;GetEquPower(AZ22,BM22, BZ22, FR22))</formula>
    </cfRule>
  </conditionalFormatting>
  <conditionalFormatting sqref="DQ22">
    <cfRule type="expression" dxfId="1" priority="1307">
      <formula>AND(BS22&gt;=2,DQ22&lt;&gt;0, GetEquPower(AZ22,BM22, CA22, FR22)=0)</formula>
    </cfRule>
    <cfRule type="expression" dxfId="0" priority="1308">
      <formula>AND(BS22&gt;=2,DQ22&lt;&gt;GetEquPower(AZ22,BM22, CA22, FR22))</formula>
    </cfRule>
  </conditionalFormatting>
  <conditionalFormatting sqref="DR22">
    <cfRule type="expression" dxfId="1" priority="1309">
      <formula>AND(BS22&gt;=3,DR22&lt;&gt;0, GetEquPower(AZ22,BM22, CB22, FR22)=0)</formula>
    </cfRule>
    <cfRule type="expression" dxfId="0" priority="1310">
      <formula>AND(BS22&gt;=3,DR22&lt;&gt;GetEquPower(AZ22,BM22, CB22, FR22))</formula>
    </cfRule>
  </conditionalFormatting>
  <conditionalFormatting sqref="DS22">
    <cfRule type="expression" dxfId="1" priority="1341">
      <formula>AND(BS22&gt;=4,DS22&lt;&gt;0, GetEquPower(AZ22,BM22, CC22, FR22)=0)</formula>
    </cfRule>
    <cfRule type="expression" dxfId="0" priority="1342">
      <formula>AND(BS22&gt;=4, DS22&lt;&gt;GetEquPower(AZ22,BM22, CC22, FR22))</formula>
    </cfRule>
  </conditionalFormatting>
  <conditionalFormatting sqref="DT22">
    <cfRule type="expression" dxfId="1" priority="1353">
      <formula>AND(BS22&gt;=5,DT22&lt;&gt;0, GetEquPower(AZ22,BM22, CD22, FR22)=0)</formula>
    </cfRule>
    <cfRule type="expression" dxfId="0" priority="1354">
      <formula>AND(BS22&gt;=5, DT22&lt;&gt;GetEquPower(AZ22,BM22, CD22, FR22))</formula>
    </cfRule>
  </conditionalFormatting>
  <conditionalFormatting sqref="DU22">
    <cfRule type="expression" dxfId="1" priority="1355">
      <formula>AND(BS22&gt;=6,DU22&lt;&gt;0, GetEquPower(AZ22,BM22, CE22, FR22)=0)</formula>
    </cfRule>
    <cfRule type="expression" dxfId="0" priority="1356">
      <formula>AND(BS22&gt;=6, DU22&lt;&gt;GetEquPower(AZ22,BM22, CE22, FR22))</formula>
    </cfRule>
  </conditionalFormatting>
  <conditionalFormatting sqref="DY22">
    <cfRule type="expression" dxfId="1" priority="1311">
      <formula>AND(BT22&gt;=1,DY22&lt;&gt;0, GetEquPower(BA22,BN22, CG22, FS22)=0)</formula>
    </cfRule>
    <cfRule type="expression" dxfId="0" priority="1312">
      <formula>AND(BT22&gt;=1,DY22&lt;&gt;GetEquPower(BA22,BN22, CG22, FS22))</formula>
    </cfRule>
  </conditionalFormatting>
  <conditionalFormatting sqref="DZ22">
    <cfRule type="expression" dxfId="1" priority="1313">
      <formula>AND(BT22&gt;=2,DZ22&lt;&gt;0, GetEquPower(BA22,BN22, CH22, FS22)=0)</formula>
    </cfRule>
    <cfRule type="expression" dxfId="0" priority="1314">
      <formula>AND(BT22&gt;=2,DZ22&lt;&gt;GetEquPower(BA22,BN22, CH22, FS22))</formula>
    </cfRule>
  </conditionalFormatting>
  <conditionalFormatting sqref="EA22">
    <cfRule type="expression" dxfId="1" priority="1315">
      <formula>AND(BT22&gt;=3,EA22&lt;&gt;0, GetEquPower(BA22,BN22, CI22, FS22)=0)</formula>
    </cfRule>
    <cfRule type="expression" dxfId="0" priority="1316">
      <formula>AND(BT22&gt;=3,EA22&lt;&gt;GetEquPower(BA22,BN22, CI22, FS22))</formula>
    </cfRule>
  </conditionalFormatting>
  <conditionalFormatting sqref="EB22">
    <cfRule type="expression" dxfId="1" priority="1343">
      <formula>AND(BT22&gt;=4,EB22&lt;&gt;0, GetEquPower(BA22,BN22, CJ22, FS22)=0)</formula>
    </cfRule>
    <cfRule type="expression" dxfId="0" priority="1344">
      <formula>AND(BT22&gt;=4,EB22&lt;&gt;GetEquPower(BA22,BN22, CJ22, FS22))</formula>
    </cfRule>
  </conditionalFormatting>
  <conditionalFormatting sqref="EC22">
    <cfRule type="expression" dxfId="1" priority="1357">
      <formula>AND(BT22&gt;=5,EC22&lt;&gt;0, GetEquPower(BA22,BN22, CK22, FS22)=0)</formula>
    </cfRule>
    <cfRule type="expression" dxfId="0" priority="1358">
      <formula>AND(BT22&gt;=5,EC22&lt;&gt;GetEquPower(BA22,BN22, CK22, FS22))</formula>
    </cfRule>
  </conditionalFormatting>
  <conditionalFormatting sqref="ED22">
    <cfRule type="expression" dxfId="1" priority="1359">
      <formula>AND(BT22&gt;=6,ED22&lt;&gt;0, GetEquPower(BA22,BN22, CL22, FS22)=0)</formula>
    </cfRule>
    <cfRule type="expression" dxfId="0" priority="1360">
      <formula>AND(BT22&gt;=6,ED22&lt;&gt;GetEquPower(BA22,BN22, CL22, FS22))</formula>
    </cfRule>
  </conditionalFormatting>
  <conditionalFormatting sqref="EH22">
    <cfRule type="expression" dxfId="1" priority="1317">
      <formula>AND(BU22&gt;=1,EH22&lt;&gt;0, GetEquPower(BB22,BO22, CN22, FT22)=0)</formula>
    </cfRule>
    <cfRule type="expression" dxfId="0" priority="1318">
      <formula>AND(BU22&gt;=1,EH22&lt;&gt;GetEquPower(BB22,BO22, CN22, FT22))</formula>
    </cfRule>
  </conditionalFormatting>
  <conditionalFormatting sqref="EI22">
    <cfRule type="expression" dxfId="1" priority="1319">
      <formula>AND(BU22&gt;=2,EI22&lt;&gt;0, GetEquPower(BB22,BO22, CO22, FT22)=0)</formula>
    </cfRule>
    <cfRule type="expression" dxfId="0" priority="1320">
      <formula xml:space="preserve"> AND(BU22&gt;=2,EI22&lt;&gt;GetEquPower(BB22,BO22, CO22, FT22))</formula>
    </cfRule>
  </conditionalFormatting>
  <conditionalFormatting sqref="EJ22">
    <cfRule type="expression" dxfId="1" priority="1321">
      <formula>AND(BU22&gt;=3,EJ22&lt;&gt;0, GetEquPower(BB22,BO22, CP22, FT22)=0)</formula>
    </cfRule>
    <cfRule type="expression" dxfId="0" priority="1322">
      <formula xml:space="preserve"> AND(BU22&gt;=3,EJ22&lt;&gt;GetEquPower(BB22,BO22, CP22, FT22))</formula>
    </cfRule>
  </conditionalFormatting>
  <conditionalFormatting sqref="EK22">
    <cfRule type="expression" dxfId="1" priority="1345">
      <formula>AND(BU22&gt;=4,EK22&lt;&gt;0, GetEquPower(BB22,BO22, CQ22, FT22)=0)</formula>
    </cfRule>
    <cfRule type="expression" dxfId="0" priority="1346">
      <formula xml:space="preserve"> AND(BU22&gt;=4,EK22&lt;&gt;GetEquPower(BB22,BO22, CQ22, FT22))</formula>
    </cfRule>
  </conditionalFormatting>
  <conditionalFormatting sqref="EL22">
    <cfRule type="expression" dxfId="1" priority="1361">
      <formula>AND(BU22&gt;=5,EL22&lt;&gt;0, GetEquPower(BB22,BO22, CR22, FT22)=0)</formula>
    </cfRule>
    <cfRule type="expression" dxfId="0" priority="1362">
      <formula xml:space="preserve"> AND(BU22&gt;=5,EL22&lt;&gt;GetEquPower(BB22,BO22, CR22, FT22))</formula>
    </cfRule>
  </conditionalFormatting>
  <conditionalFormatting sqref="EM22">
    <cfRule type="expression" dxfId="1" priority="1363">
      <formula>AND(BU22&gt;=6,EM22&lt;&gt;0, GetEquPower(BB22,BO22, CS22, FT22)=0)</formula>
    </cfRule>
    <cfRule type="expression" dxfId="0" priority="1364">
      <formula xml:space="preserve"> AND(BU22&gt;=6,EM22&lt;&gt;GetEquPower(BB22,BO22, CS22, FT22))</formula>
    </cfRule>
  </conditionalFormatting>
  <conditionalFormatting sqref="EQ22">
    <cfRule type="expression" dxfId="1" priority="1323">
      <formula>AND(BV22&gt;=1,EQ22&lt;&gt;0, GetEquPower(BC22,BP22, CU22, FU22)=0)</formula>
    </cfRule>
    <cfRule type="expression" dxfId="0" priority="1324">
      <formula>AND(BV22&gt;=1,EQ22&lt;&gt;GetEquPower(BC22,BP22, CU22, FU22))</formula>
    </cfRule>
  </conditionalFormatting>
  <conditionalFormatting sqref="ER22">
    <cfRule type="expression" dxfId="1" priority="1325">
      <formula>AND(BV22&gt;=2,ER22&lt;&gt;0, GetEquPower(BC22,BP22, CV22, FU22)=0)</formula>
    </cfRule>
    <cfRule type="expression" dxfId="0" priority="1326">
      <formula>AND(BV22&gt;=2,ER22&lt;&gt;GetEquPower(BC22,BP22, CV22, FU22))</formula>
    </cfRule>
  </conditionalFormatting>
  <conditionalFormatting sqref="ES22">
    <cfRule type="expression" dxfId="1" priority="1327">
      <formula>AND(BV22&gt;=3,ES22&lt;&gt;0, GetEquPower(BC22,BP22, CW22, FU22)=0)</formula>
    </cfRule>
    <cfRule type="expression" dxfId="0" priority="1328">
      <formula>AND(BV22&gt;=3,ES22&lt;&gt;GetEquPower(BC22,BP22, CW22, FU22))</formula>
    </cfRule>
  </conditionalFormatting>
  <conditionalFormatting sqref="ET22">
    <cfRule type="expression" dxfId="1" priority="1347">
      <formula>AND(BV22&gt;=4,ET22&lt;&gt;0, GetEquPower(BC22,BP22, CX22, FU22)=0)</formula>
    </cfRule>
    <cfRule type="expression" dxfId="0" priority="1348">
      <formula>AND(BV22&gt;=4,ET22&lt;&gt;GetEquPower(BC22,BP22, CX22, FU22))</formula>
    </cfRule>
  </conditionalFormatting>
  <conditionalFormatting sqref="EU22">
    <cfRule type="expression" dxfId="1" priority="1365">
      <formula>AND(BV22&gt;=5,EU22&lt;&gt;0, GetEquPower(BC22,BP22, CY22, FU22)=0)</formula>
    </cfRule>
    <cfRule type="expression" dxfId="0" priority="1366">
      <formula>AND(BV22&gt;=5,EU22&lt;&gt;GetEquPower(BC22,BP22, CY22, FU22))</formula>
    </cfRule>
  </conditionalFormatting>
  <conditionalFormatting sqref="EV22">
    <cfRule type="expression" dxfId="1" priority="1367">
      <formula>AND(BV22&gt;=6,EV22&lt;&gt;0, GetEquPower(BC22,BP22, CZ22, FU22)=0)</formula>
    </cfRule>
    <cfRule type="expression" dxfId="0" priority="1368">
      <formula>AND(BV22&gt;=6,EV22&lt;&gt;GetEquPower(BC22,BP22, CZ22, FU22))</formula>
    </cfRule>
  </conditionalFormatting>
  <conditionalFormatting sqref="EZ22">
    <cfRule type="expression" dxfId="1" priority="1329">
      <formula>AND(BW22&gt;=1,EZ22&lt;&gt;0, GetEquPower(BD22,BQ22, DB22, FV22)=0)</formula>
    </cfRule>
    <cfRule type="expression" dxfId="0" priority="1330">
      <formula>AND(BW22&gt;=1,EZ22&lt;&gt;GetEquPower(BD22,BQ22, DB22, FV22))</formula>
    </cfRule>
  </conditionalFormatting>
  <conditionalFormatting sqref="FA22">
    <cfRule type="expression" dxfId="1" priority="1331">
      <formula>AND(BW22&gt;=2,FA22&lt;&gt;0, GetEquPower(BD22,BQ22, DC22, FV22)=0)</formula>
    </cfRule>
    <cfRule type="expression" dxfId="0" priority="1332">
      <formula>AND(BW22&gt;=2,FA22&lt;&gt;GetEquPower(BD22,BQ22, DC22, FV22))</formula>
    </cfRule>
  </conditionalFormatting>
  <conditionalFormatting sqref="FB22">
    <cfRule type="expression" dxfId="1" priority="1333">
      <formula>AND(BW22&gt;=3,FB22&lt;&gt;0, GetEquPower(BD22,BQ22, DD22, FV22)=0)</formula>
    </cfRule>
    <cfRule type="expression" dxfId="0" priority="1334">
      <formula>AND(BW22&gt;=3,FB22&lt;&gt;GetEquPower(BD22,BQ22, DD22, FV22))</formula>
    </cfRule>
  </conditionalFormatting>
  <conditionalFormatting sqref="FC22">
    <cfRule type="expression" dxfId="1" priority="1349">
      <formula>AND(BW22&gt;=4,FC22&lt;&gt;0, GetEquPower(BD22,BQ22, DE22, FV22)=0)</formula>
    </cfRule>
    <cfRule type="expression" dxfId="0" priority="1350">
      <formula>AND(BW22&gt;=4,FC22&lt;&gt;GetEquPower(BD22,BQ22, DE22, FV22))</formula>
    </cfRule>
  </conditionalFormatting>
  <conditionalFormatting sqref="FD22">
    <cfRule type="expression" dxfId="1" priority="1369">
      <formula>AND(BW22&gt;=5,FD22&lt;&gt;0, GetEquPower(BD22,BQ22, DF22, FV22)=0)</formula>
    </cfRule>
    <cfRule type="expression" dxfId="0" priority="1370">
      <formula>AND(BW22&gt;=5,FD22&lt;&gt;GetEquPower(BD22,BQ22, DF22, FV22))</formula>
    </cfRule>
  </conditionalFormatting>
  <conditionalFormatting sqref="FE22">
    <cfRule type="expression" dxfId="1" priority="1371">
      <formula>AND(BW22&gt;=6,FE22&lt;&gt;0, GetEquPower(BD22,BQ22, DG22, FV22)=0)</formula>
    </cfRule>
    <cfRule type="expression" dxfId="0" priority="1372">
      <formula>AND(BW22&gt;=6,FE22&lt;&gt;GetEquPower(BD22,BQ22, DG22, FV22))</formula>
    </cfRule>
  </conditionalFormatting>
  <conditionalFormatting sqref="FI22">
    <cfRule type="expression" dxfId="1" priority="1335">
      <formula>AND(BX22&gt;=1,FI22&lt;&gt;0, GetEquPower(BE22,BR22, DI22, FW22)=0)</formula>
    </cfRule>
    <cfRule type="expression" dxfId="0" priority="1336">
      <formula>AND(BX22&gt;=1,FI22&lt;&gt;GetEquPower(BE22,BR22, DI22, FW22))</formula>
    </cfRule>
  </conditionalFormatting>
  <conditionalFormatting sqref="FJ22">
    <cfRule type="expression" dxfId="1" priority="1337">
      <formula>AND(BX22&gt;=2,FJ22&lt;&gt;0, GetEquPower(BE22,BR22, DJ22, FW22)=0)</formula>
    </cfRule>
    <cfRule type="expression" dxfId="0" priority="1338">
      <formula>AND(BX22&gt;=2,FJ22&lt;&gt;GetEquPower(BE22,BR22, DJ22, FW22))</formula>
    </cfRule>
  </conditionalFormatting>
  <conditionalFormatting sqref="FK22">
    <cfRule type="expression" dxfId="1" priority="1339">
      <formula>AND(BX22&gt;=3,FK22&lt;&gt;0, GetEquPower(BE22,BR22, DK22, FW22)=0)</formula>
    </cfRule>
    <cfRule type="expression" dxfId="0" priority="1340">
      <formula>AND(BX22&gt;=3,FK22&lt;&gt;GetEquPower(BE22,BR22, DK22, FW22))</formula>
    </cfRule>
  </conditionalFormatting>
  <conditionalFormatting sqref="FL22">
    <cfRule type="expression" dxfId="1" priority="1351">
      <formula>AND(BX22&gt;=4,FL22&lt;&gt;0, GetEquPower(BE22,BR22, DL22, FW22)=0)</formula>
    </cfRule>
    <cfRule type="expression" dxfId="0" priority="1352">
      <formula>AND(BX22&gt;=4,FL22&lt;&gt;GetEquPower(BE22,BR22, DL22, FW22))</formula>
    </cfRule>
  </conditionalFormatting>
  <conditionalFormatting sqref="FM22">
    <cfRule type="expression" dxfId="1" priority="1373">
      <formula>AND(BX22&gt;=5,FM22&lt;&gt;0, GetEquPower(BE22,BR22, DM22, FW22)=0)</formula>
    </cfRule>
    <cfRule type="expression" dxfId="0" priority="1374">
      <formula>AND(BX22&gt;=5,FM22&lt;&gt;GetEquPower(BE22,BR22, DM22, FW22))</formula>
    </cfRule>
  </conditionalFormatting>
  <conditionalFormatting sqref="FN22">
    <cfRule type="expression" dxfId="1" priority="1375">
      <formula>AND(BX22&gt;=6,FN22&lt;&gt;0, GetEquPower(BE22,BR22, DN22, FW22)=0)</formula>
    </cfRule>
    <cfRule type="expression" dxfId="0" priority="1376">
      <formula>AND(BX22&gt;=6,FN22&lt;&gt;GetEquPower(BE22,BR22, DN22, FW22))</formula>
    </cfRule>
  </conditionalFormatting>
  <conditionalFormatting sqref="F23">
    <cfRule type="expression" dxfId="72" priority="1223">
      <formula>F23&lt;&gt;RIGHT(SUBSTITUTE(TRIM(E23),".",""),LEN(F23))</formula>
    </cfRule>
  </conditionalFormatting>
  <conditionalFormatting sqref="BS23">
    <cfRule type="expression" dxfId="72" priority="1222">
      <formula>AND(J23&gt;=1,BS23&lt;1)</formula>
    </cfRule>
  </conditionalFormatting>
  <conditionalFormatting sqref="BT23">
    <cfRule type="expression" dxfId="72" priority="1221">
      <formula>AND(J23&gt;=2,BT23&lt;1)</formula>
    </cfRule>
  </conditionalFormatting>
  <conditionalFormatting sqref="BU23">
    <cfRule type="expression" dxfId="72" priority="1219">
      <formula>AND(J23&gt;=3,BU23&lt;1)</formula>
    </cfRule>
  </conditionalFormatting>
  <conditionalFormatting sqref="BV23">
    <cfRule type="expression" dxfId="72" priority="1218">
      <formula>AND(J23&gt;=4,BV23&lt;1)</formula>
    </cfRule>
  </conditionalFormatting>
  <conditionalFormatting sqref="BW23">
    <cfRule type="expression" dxfId="72" priority="1220">
      <formula>AND(J23&gt;=5,BW23&lt;1)</formula>
    </cfRule>
  </conditionalFormatting>
  <conditionalFormatting sqref="BX23">
    <cfRule type="expression" dxfId="72" priority="1217">
      <formula>AND(J23&gt;=6,BX23&lt;1)</formula>
    </cfRule>
  </conditionalFormatting>
  <conditionalFormatting sqref="IC23">
    <cfRule type="expression" dxfId="72" priority="1296">
      <formula>AND($S23 = TRUE, $IC23&lt;&gt;OptionsUnitCode)</formula>
    </cfRule>
  </conditionalFormatting>
  <conditionalFormatting sqref="B23:II23">
    <cfRule type="containsErrors" dxfId="72" priority="1216">
      <formula>ISERROR(B23)</formula>
    </cfRule>
  </conditionalFormatting>
  <conditionalFormatting sqref="DP23">
    <cfRule type="expression" dxfId="1" priority="1224">
      <formula>AND(BS23&gt;=1,DP23&lt;&gt;0, GetEquPower(AZ23,BM23, BZ23, FR23)=0)</formula>
    </cfRule>
    <cfRule type="expression" dxfId="0" priority="1225">
      <formula>AND(BS23&gt;=1,DP23&lt;&gt;GetEquPower(AZ23,BM23, BZ23, FR23))</formula>
    </cfRule>
  </conditionalFormatting>
  <conditionalFormatting sqref="DQ23">
    <cfRule type="expression" dxfId="1" priority="1226">
      <formula>AND(BS23&gt;=2,DQ23&lt;&gt;0, GetEquPower(AZ23,BM23, CA23, FR23)=0)</formula>
    </cfRule>
    <cfRule type="expression" dxfId="0" priority="1227">
      <formula>AND(BS23&gt;=2,DQ23&lt;&gt;GetEquPower(AZ23,BM23, CA23, FR23))</formula>
    </cfRule>
  </conditionalFormatting>
  <conditionalFormatting sqref="DR23">
    <cfRule type="expression" dxfId="1" priority="1228">
      <formula>AND(BS23&gt;=3,DR23&lt;&gt;0, GetEquPower(AZ23,BM23, CB23, FR23)=0)</formula>
    </cfRule>
    <cfRule type="expression" dxfId="0" priority="1229">
      <formula>AND(BS23&gt;=3,DR23&lt;&gt;GetEquPower(AZ23,BM23, CB23, FR23))</formula>
    </cfRule>
  </conditionalFormatting>
  <conditionalFormatting sqref="DS23">
    <cfRule type="expression" dxfId="1" priority="1260">
      <formula>AND(BS23&gt;=4,DS23&lt;&gt;0, GetEquPower(AZ23,BM23, CC23, FR23)=0)</formula>
    </cfRule>
    <cfRule type="expression" dxfId="0" priority="1261">
      <formula>AND(BS23&gt;=4, DS23&lt;&gt;GetEquPower(AZ23,BM23, CC23, FR23))</formula>
    </cfRule>
  </conditionalFormatting>
  <conditionalFormatting sqref="DT23">
    <cfRule type="expression" dxfId="1" priority="1272">
      <formula>AND(BS23&gt;=5,DT23&lt;&gt;0, GetEquPower(AZ23,BM23, CD23, FR23)=0)</formula>
    </cfRule>
    <cfRule type="expression" dxfId="0" priority="1273">
      <formula>AND(BS23&gt;=5, DT23&lt;&gt;GetEquPower(AZ23,BM23, CD23, FR23))</formula>
    </cfRule>
  </conditionalFormatting>
  <conditionalFormatting sqref="DU23">
    <cfRule type="expression" dxfId="1" priority="1274">
      <formula>AND(BS23&gt;=6,DU23&lt;&gt;0, GetEquPower(AZ23,BM23, CE23, FR23)=0)</formula>
    </cfRule>
    <cfRule type="expression" dxfId="0" priority="1275">
      <formula>AND(BS23&gt;=6, DU23&lt;&gt;GetEquPower(AZ23,BM23, CE23, FR23))</formula>
    </cfRule>
  </conditionalFormatting>
  <conditionalFormatting sqref="DY23">
    <cfRule type="expression" dxfId="1" priority="1230">
      <formula>AND(BT23&gt;=1,DY23&lt;&gt;0, GetEquPower(BA23,BN23, CG23, FS23)=0)</formula>
    </cfRule>
    <cfRule type="expression" dxfId="0" priority="1231">
      <formula>AND(BT23&gt;=1,DY23&lt;&gt;GetEquPower(BA23,BN23, CG23, FS23))</formula>
    </cfRule>
  </conditionalFormatting>
  <conditionalFormatting sqref="DZ23">
    <cfRule type="expression" dxfId="1" priority="1232">
      <formula>AND(BT23&gt;=2,DZ23&lt;&gt;0, GetEquPower(BA23,BN23, CH23, FS23)=0)</formula>
    </cfRule>
    <cfRule type="expression" dxfId="0" priority="1233">
      <formula>AND(BT23&gt;=2,DZ23&lt;&gt;GetEquPower(BA23,BN23, CH23, FS23))</formula>
    </cfRule>
  </conditionalFormatting>
  <conditionalFormatting sqref="EA23">
    <cfRule type="expression" dxfId="1" priority="1234">
      <formula>AND(BT23&gt;=3,EA23&lt;&gt;0, GetEquPower(BA23,BN23, CI23, FS23)=0)</formula>
    </cfRule>
    <cfRule type="expression" dxfId="0" priority="1235">
      <formula>AND(BT23&gt;=3,EA23&lt;&gt;GetEquPower(BA23,BN23, CI23, FS23))</formula>
    </cfRule>
  </conditionalFormatting>
  <conditionalFormatting sqref="EB23">
    <cfRule type="expression" dxfId="1" priority="1262">
      <formula>AND(BT23&gt;=4,EB23&lt;&gt;0, GetEquPower(BA23,BN23, CJ23, FS23)=0)</formula>
    </cfRule>
    <cfRule type="expression" dxfId="0" priority="1263">
      <formula>AND(BT23&gt;=4,EB23&lt;&gt;GetEquPower(BA23,BN23, CJ23, FS23))</formula>
    </cfRule>
  </conditionalFormatting>
  <conditionalFormatting sqref="EC23">
    <cfRule type="expression" dxfId="1" priority="1276">
      <formula>AND(BT23&gt;=5,EC23&lt;&gt;0, GetEquPower(BA23,BN23, CK23, FS23)=0)</formula>
    </cfRule>
    <cfRule type="expression" dxfId="0" priority="1277">
      <formula>AND(BT23&gt;=5,EC23&lt;&gt;GetEquPower(BA23,BN23, CK23, FS23))</formula>
    </cfRule>
  </conditionalFormatting>
  <conditionalFormatting sqref="ED23">
    <cfRule type="expression" dxfId="1" priority="1278">
      <formula>AND(BT23&gt;=6,ED23&lt;&gt;0, GetEquPower(BA23,BN23, CL23, FS23)=0)</formula>
    </cfRule>
    <cfRule type="expression" dxfId="0" priority="1279">
      <formula>AND(BT23&gt;=6,ED23&lt;&gt;GetEquPower(BA23,BN23, CL23, FS23))</formula>
    </cfRule>
  </conditionalFormatting>
  <conditionalFormatting sqref="EH23">
    <cfRule type="expression" dxfId="1" priority="1236">
      <formula>AND(BU23&gt;=1,EH23&lt;&gt;0, GetEquPower(BB23,BO23, CN23, FT23)=0)</formula>
    </cfRule>
    <cfRule type="expression" dxfId="0" priority="1237">
      <formula>AND(BU23&gt;=1,EH23&lt;&gt;GetEquPower(BB23,BO23, CN23, FT23))</formula>
    </cfRule>
  </conditionalFormatting>
  <conditionalFormatting sqref="EI23">
    <cfRule type="expression" dxfId="1" priority="1238">
      <formula>AND(BU23&gt;=2,EI23&lt;&gt;0, GetEquPower(BB23,BO23, CO23, FT23)=0)</formula>
    </cfRule>
    <cfRule type="expression" dxfId="0" priority="1239">
      <formula xml:space="preserve"> AND(BU23&gt;=2,EI23&lt;&gt;GetEquPower(BB23,BO23, CO23, FT23))</formula>
    </cfRule>
  </conditionalFormatting>
  <conditionalFormatting sqref="EJ23">
    <cfRule type="expression" dxfId="1" priority="1240">
      <formula>AND(BU23&gt;=3,EJ23&lt;&gt;0, GetEquPower(BB23,BO23, CP23, FT23)=0)</formula>
    </cfRule>
    <cfRule type="expression" dxfId="0" priority="1241">
      <formula xml:space="preserve"> AND(BU23&gt;=3,EJ23&lt;&gt;GetEquPower(BB23,BO23, CP23, FT23))</formula>
    </cfRule>
  </conditionalFormatting>
  <conditionalFormatting sqref="EK23">
    <cfRule type="expression" dxfId="1" priority="1264">
      <formula>AND(BU23&gt;=4,EK23&lt;&gt;0, GetEquPower(BB23,BO23, CQ23, FT23)=0)</formula>
    </cfRule>
    <cfRule type="expression" dxfId="0" priority="1265">
      <formula xml:space="preserve"> AND(BU23&gt;=4,EK23&lt;&gt;GetEquPower(BB23,BO23, CQ23, FT23))</formula>
    </cfRule>
  </conditionalFormatting>
  <conditionalFormatting sqref="EL23">
    <cfRule type="expression" dxfId="1" priority="1280">
      <formula>AND(BU23&gt;=5,EL23&lt;&gt;0, GetEquPower(BB23,BO23, CR23, FT23)=0)</formula>
    </cfRule>
    <cfRule type="expression" dxfId="0" priority="1281">
      <formula xml:space="preserve"> AND(BU23&gt;=5,EL23&lt;&gt;GetEquPower(BB23,BO23, CR23, FT23))</formula>
    </cfRule>
  </conditionalFormatting>
  <conditionalFormatting sqref="EM23">
    <cfRule type="expression" dxfId="1" priority="1282">
      <formula>AND(BU23&gt;=6,EM23&lt;&gt;0, GetEquPower(BB23,BO23, CS23, FT23)=0)</formula>
    </cfRule>
    <cfRule type="expression" dxfId="0" priority="1283">
      <formula xml:space="preserve"> AND(BU23&gt;=6,EM23&lt;&gt;GetEquPower(BB23,BO23, CS23, FT23))</formula>
    </cfRule>
  </conditionalFormatting>
  <conditionalFormatting sqref="EQ23">
    <cfRule type="expression" dxfId="1" priority="1242">
      <formula>AND(BV23&gt;=1,EQ23&lt;&gt;0, GetEquPower(BC23,BP23, CU23, FU23)=0)</formula>
    </cfRule>
    <cfRule type="expression" dxfId="0" priority="1243">
      <formula>AND(BV23&gt;=1,EQ23&lt;&gt;GetEquPower(BC23,BP23, CU23, FU23))</formula>
    </cfRule>
  </conditionalFormatting>
  <conditionalFormatting sqref="ER23">
    <cfRule type="expression" dxfId="1" priority="1244">
      <formula>AND(BV23&gt;=2,ER23&lt;&gt;0, GetEquPower(BC23,BP23, CV23, FU23)=0)</formula>
    </cfRule>
    <cfRule type="expression" dxfId="0" priority="1245">
      <formula>AND(BV23&gt;=2,ER23&lt;&gt;GetEquPower(BC23,BP23, CV23, FU23))</formula>
    </cfRule>
  </conditionalFormatting>
  <conditionalFormatting sqref="ES23">
    <cfRule type="expression" dxfId="1" priority="1246">
      <formula>AND(BV23&gt;=3,ES23&lt;&gt;0, GetEquPower(BC23,BP23, CW23, FU23)=0)</formula>
    </cfRule>
    <cfRule type="expression" dxfId="0" priority="1247">
      <formula>AND(BV23&gt;=3,ES23&lt;&gt;GetEquPower(BC23,BP23, CW23, FU23))</formula>
    </cfRule>
  </conditionalFormatting>
  <conditionalFormatting sqref="ET23">
    <cfRule type="expression" dxfId="1" priority="1266">
      <formula>AND(BV23&gt;=4,ET23&lt;&gt;0, GetEquPower(BC23,BP23, CX23, FU23)=0)</formula>
    </cfRule>
    <cfRule type="expression" dxfId="0" priority="1267">
      <formula>AND(BV23&gt;=4,ET23&lt;&gt;GetEquPower(BC23,BP23, CX23, FU23))</formula>
    </cfRule>
  </conditionalFormatting>
  <conditionalFormatting sqref="EU23">
    <cfRule type="expression" dxfId="1" priority="1284">
      <formula>AND(BV23&gt;=5,EU23&lt;&gt;0, GetEquPower(BC23,BP23, CY23, FU23)=0)</formula>
    </cfRule>
    <cfRule type="expression" dxfId="0" priority="1285">
      <formula>AND(BV23&gt;=5,EU23&lt;&gt;GetEquPower(BC23,BP23, CY23, FU23))</formula>
    </cfRule>
  </conditionalFormatting>
  <conditionalFormatting sqref="EV23">
    <cfRule type="expression" dxfId="1" priority="1286">
      <formula>AND(BV23&gt;=6,EV23&lt;&gt;0, GetEquPower(BC23,BP23, CZ23, FU23)=0)</formula>
    </cfRule>
    <cfRule type="expression" dxfId="0" priority="1287">
      <formula>AND(BV23&gt;=6,EV23&lt;&gt;GetEquPower(BC23,BP23, CZ23, FU23))</formula>
    </cfRule>
  </conditionalFormatting>
  <conditionalFormatting sqref="EZ23">
    <cfRule type="expression" dxfId="1" priority="1248">
      <formula>AND(BW23&gt;=1,EZ23&lt;&gt;0, GetEquPower(BD23,BQ23, DB23, FV23)=0)</formula>
    </cfRule>
    <cfRule type="expression" dxfId="0" priority="1249">
      <formula>AND(BW23&gt;=1,EZ23&lt;&gt;GetEquPower(BD23,BQ23, DB23, FV23))</formula>
    </cfRule>
  </conditionalFormatting>
  <conditionalFormatting sqref="FA23">
    <cfRule type="expression" dxfId="1" priority="1250">
      <formula>AND(BW23&gt;=2,FA23&lt;&gt;0, GetEquPower(BD23,BQ23, DC23, FV23)=0)</formula>
    </cfRule>
    <cfRule type="expression" dxfId="0" priority="1251">
      <formula>AND(BW23&gt;=2,FA23&lt;&gt;GetEquPower(BD23,BQ23, DC23, FV23))</formula>
    </cfRule>
  </conditionalFormatting>
  <conditionalFormatting sqref="FB23">
    <cfRule type="expression" dxfId="1" priority="1252">
      <formula>AND(BW23&gt;=3,FB23&lt;&gt;0, GetEquPower(BD23,BQ23, DD23, FV23)=0)</formula>
    </cfRule>
    <cfRule type="expression" dxfId="0" priority="1253">
      <formula>AND(BW23&gt;=3,FB23&lt;&gt;GetEquPower(BD23,BQ23, DD23, FV23))</formula>
    </cfRule>
  </conditionalFormatting>
  <conditionalFormatting sqref="FC23">
    <cfRule type="expression" dxfId="1" priority="1268">
      <formula>AND(BW23&gt;=4,FC23&lt;&gt;0, GetEquPower(BD23,BQ23, DE23, FV23)=0)</formula>
    </cfRule>
    <cfRule type="expression" dxfId="0" priority="1269">
      <formula>AND(BW23&gt;=4,FC23&lt;&gt;GetEquPower(BD23,BQ23, DE23, FV23))</formula>
    </cfRule>
  </conditionalFormatting>
  <conditionalFormatting sqref="FD23">
    <cfRule type="expression" dxfId="1" priority="1288">
      <formula>AND(BW23&gt;=5,FD23&lt;&gt;0, GetEquPower(BD23,BQ23, DF23, FV23)=0)</formula>
    </cfRule>
    <cfRule type="expression" dxfId="0" priority="1289">
      <formula>AND(BW23&gt;=5,FD23&lt;&gt;GetEquPower(BD23,BQ23, DF23, FV23))</formula>
    </cfRule>
  </conditionalFormatting>
  <conditionalFormatting sqref="FE23">
    <cfRule type="expression" dxfId="1" priority="1290">
      <formula>AND(BW23&gt;=6,FE23&lt;&gt;0, GetEquPower(BD23,BQ23, DG23, FV23)=0)</formula>
    </cfRule>
    <cfRule type="expression" dxfId="0" priority="1291">
      <formula>AND(BW23&gt;=6,FE23&lt;&gt;GetEquPower(BD23,BQ23, DG23, FV23))</formula>
    </cfRule>
  </conditionalFormatting>
  <conditionalFormatting sqref="FI23">
    <cfRule type="expression" dxfId="1" priority="1254">
      <formula>AND(BX23&gt;=1,FI23&lt;&gt;0, GetEquPower(BE23,BR23, DI23, FW23)=0)</formula>
    </cfRule>
    <cfRule type="expression" dxfId="0" priority="1255">
      <formula>AND(BX23&gt;=1,FI23&lt;&gt;GetEquPower(BE23,BR23, DI23, FW23))</formula>
    </cfRule>
  </conditionalFormatting>
  <conditionalFormatting sqref="FJ23">
    <cfRule type="expression" dxfId="1" priority="1256">
      <formula>AND(BX23&gt;=2,FJ23&lt;&gt;0, GetEquPower(BE23,BR23, DJ23, FW23)=0)</formula>
    </cfRule>
    <cfRule type="expression" dxfId="0" priority="1257">
      <formula>AND(BX23&gt;=2,FJ23&lt;&gt;GetEquPower(BE23,BR23, DJ23, FW23))</formula>
    </cfRule>
  </conditionalFormatting>
  <conditionalFormatting sqref="FK23">
    <cfRule type="expression" dxfId="1" priority="1258">
      <formula>AND(BX23&gt;=3,FK23&lt;&gt;0, GetEquPower(BE23,BR23, DK23, FW23)=0)</formula>
    </cfRule>
    <cfRule type="expression" dxfId="0" priority="1259">
      <formula>AND(BX23&gt;=3,FK23&lt;&gt;GetEquPower(BE23,BR23, DK23, FW23))</formula>
    </cfRule>
  </conditionalFormatting>
  <conditionalFormatting sqref="FL23">
    <cfRule type="expression" dxfId="1" priority="1270">
      <formula>AND(BX23&gt;=4,FL23&lt;&gt;0, GetEquPower(BE23,BR23, DL23, FW23)=0)</formula>
    </cfRule>
    <cfRule type="expression" dxfId="0" priority="1271">
      <formula>AND(BX23&gt;=4,FL23&lt;&gt;GetEquPower(BE23,BR23, DL23, FW23))</formula>
    </cfRule>
  </conditionalFormatting>
  <conditionalFormatting sqref="FM23">
    <cfRule type="expression" dxfId="1" priority="1292">
      <formula>AND(BX23&gt;=5,FM23&lt;&gt;0, GetEquPower(BE23,BR23, DM23, FW23)=0)</formula>
    </cfRule>
    <cfRule type="expression" dxfId="0" priority="1293">
      <formula>AND(BX23&gt;=5,FM23&lt;&gt;GetEquPower(BE23,BR23, DM23, FW23))</formula>
    </cfRule>
  </conditionalFormatting>
  <conditionalFormatting sqref="FN23">
    <cfRule type="expression" dxfId="1" priority="1294">
      <formula>AND(BX23&gt;=6,FN23&lt;&gt;0, GetEquPower(BE23,BR23, DN23, FW23)=0)</formula>
    </cfRule>
    <cfRule type="expression" dxfId="0" priority="1295">
      <formula>AND(BX23&gt;=6,FN23&lt;&gt;GetEquPower(BE23,BR23, DN23, FW23))</formula>
    </cfRule>
  </conditionalFormatting>
  <conditionalFormatting sqref="F24">
    <cfRule type="expression" dxfId="72" priority="1142">
      <formula>F24&lt;&gt;RIGHT(SUBSTITUTE(TRIM(E24),".",""),LEN(F24))</formula>
    </cfRule>
  </conditionalFormatting>
  <conditionalFormatting sqref="BS24">
    <cfRule type="expression" dxfId="72" priority="1141">
      <formula>AND(J24&gt;=1,BS24&lt;1)</formula>
    </cfRule>
  </conditionalFormatting>
  <conditionalFormatting sqref="BT24">
    <cfRule type="expression" dxfId="72" priority="1140">
      <formula>AND(J24&gt;=2,BT24&lt;1)</formula>
    </cfRule>
  </conditionalFormatting>
  <conditionalFormatting sqref="BU24">
    <cfRule type="expression" dxfId="72" priority="1138">
      <formula>AND(J24&gt;=3,BU24&lt;1)</formula>
    </cfRule>
  </conditionalFormatting>
  <conditionalFormatting sqref="BV24">
    <cfRule type="expression" dxfId="72" priority="1137">
      <formula>AND(J24&gt;=4,BV24&lt;1)</formula>
    </cfRule>
  </conditionalFormatting>
  <conditionalFormatting sqref="BW24">
    <cfRule type="expression" dxfId="72" priority="1139">
      <formula>AND(J24&gt;=5,BW24&lt;1)</formula>
    </cfRule>
  </conditionalFormatting>
  <conditionalFormatting sqref="BX24">
    <cfRule type="expression" dxfId="72" priority="1136">
      <formula>AND(J24&gt;=6,BX24&lt;1)</formula>
    </cfRule>
  </conditionalFormatting>
  <conditionalFormatting sqref="IC24">
    <cfRule type="expression" dxfId="72" priority="1215">
      <formula>AND($S24 = TRUE, $IC24&lt;&gt;OptionsUnitCode)</formula>
    </cfRule>
  </conditionalFormatting>
  <conditionalFormatting sqref="B24:II24">
    <cfRule type="containsErrors" dxfId="72" priority="1135">
      <formula>ISERROR(B24)</formula>
    </cfRule>
  </conditionalFormatting>
  <conditionalFormatting sqref="DP24">
    <cfRule type="expression" dxfId="1" priority="1143">
      <formula>AND(BS24&gt;=1,DP24&lt;&gt;0, GetEquPower(AZ24,BM24, BZ24, FR24)=0)</formula>
    </cfRule>
    <cfRule type="expression" dxfId="0" priority="1144">
      <formula>AND(BS24&gt;=1,DP24&lt;&gt;GetEquPower(AZ24,BM24, BZ24, FR24))</formula>
    </cfRule>
  </conditionalFormatting>
  <conditionalFormatting sqref="DQ24">
    <cfRule type="expression" dxfId="1" priority="1145">
      <formula>AND(BS24&gt;=2,DQ24&lt;&gt;0, GetEquPower(AZ24,BM24, CA24, FR24)=0)</formula>
    </cfRule>
    <cfRule type="expression" dxfId="0" priority="1146">
      <formula>AND(BS24&gt;=2,DQ24&lt;&gt;GetEquPower(AZ24,BM24, CA24, FR24))</formula>
    </cfRule>
  </conditionalFormatting>
  <conditionalFormatting sqref="DR24">
    <cfRule type="expression" dxfId="1" priority="1147">
      <formula>AND(BS24&gt;=3,DR24&lt;&gt;0, GetEquPower(AZ24,BM24, CB24, FR24)=0)</formula>
    </cfRule>
    <cfRule type="expression" dxfId="0" priority="1148">
      <formula>AND(BS24&gt;=3,DR24&lt;&gt;GetEquPower(AZ24,BM24, CB24, FR24))</formula>
    </cfRule>
  </conditionalFormatting>
  <conditionalFormatting sqref="DS24">
    <cfRule type="expression" dxfId="1" priority="1179">
      <formula>AND(BS24&gt;=4,DS24&lt;&gt;0, GetEquPower(AZ24,BM24, CC24, FR24)=0)</formula>
    </cfRule>
    <cfRule type="expression" dxfId="0" priority="1180">
      <formula>AND(BS24&gt;=4, DS24&lt;&gt;GetEquPower(AZ24,BM24, CC24, FR24))</formula>
    </cfRule>
  </conditionalFormatting>
  <conditionalFormatting sqref="DT24">
    <cfRule type="expression" dxfId="1" priority="1191">
      <formula>AND(BS24&gt;=5,DT24&lt;&gt;0, GetEquPower(AZ24,BM24, CD24, FR24)=0)</formula>
    </cfRule>
    <cfRule type="expression" dxfId="0" priority="1192">
      <formula>AND(BS24&gt;=5, DT24&lt;&gt;GetEquPower(AZ24,BM24, CD24, FR24))</formula>
    </cfRule>
  </conditionalFormatting>
  <conditionalFormatting sqref="DU24">
    <cfRule type="expression" dxfId="1" priority="1193">
      <formula>AND(BS24&gt;=6,DU24&lt;&gt;0, GetEquPower(AZ24,BM24, CE24, FR24)=0)</formula>
    </cfRule>
    <cfRule type="expression" dxfId="0" priority="1194">
      <formula>AND(BS24&gt;=6, DU24&lt;&gt;GetEquPower(AZ24,BM24, CE24, FR24))</formula>
    </cfRule>
  </conditionalFormatting>
  <conditionalFormatting sqref="DY24">
    <cfRule type="expression" dxfId="1" priority="1149">
      <formula>AND(BT24&gt;=1,DY24&lt;&gt;0, GetEquPower(BA24,BN24, CG24, FS24)=0)</formula>
    </cfRule>
    <cfRule type="expression" dxfId="0" priority="1150">
      <formula>AND(BT24&gt;=1,DY24&lt;&gt;GetEquPower(BA24,BN24, CG24, FS24))</formula>
    </cfRule>
  </conditionalFormatting>
  <conditionalFormatting sqref="DZ24">
    <cfRule type="expression" dxfId="1" priority="1151">
      <formula>AND(BT24&gt;=2,DZ24&lt;&gt;0, GetEquPower(BA24,BN24, CH24, FS24)=0)</formula>
    </cfRule>
    <cfRule type="expression" dxfId="0" priority="1152">
      <formula>AND(BT24&gt;=2,DZ24&lt;&gt;GetEquPower(BA24,BN24, CH24, FS24))</formula>
    </cfRule>
  </conditionalFormatting>
  <conditionalFormatting sqref="EA24">
    <cfRule type="expression" dxfId="1" priority="1153">
      <formula>AND(BT24&gt;=3,EA24&lt;&gt;0, GetEquPower(BA24,BN24, CI24, FS24)=0)</formula>
    </cfRule>
    <cfRule type="expression" dxfId="0" priority="1154">
      <formula>AND(BT24&gt;=3,EA24&lt;&gt;GetEquPower(BA24,BN24, CI24, FS24))</formula>
    </cfRule>
  </conditionalFormatting>
  <conditionalFormatting sqref="EB24">
    <cfRule type="expression" dxfId="1" priority="1181">
      <formula>AND(BT24&gt;=4,EB24&lt;&gt;0, GetEquPower(BA24,BN24, CJ24, FS24)=0)</formula>
    </cfRule>
    <cfRule type="expression" dxfId="0" priority="1182">
      <formula>AND(BT24&gt;=4,EB24&lt;&gt;GetEquPower(BA24,BN24, CJ24, FS24))</formula>
    </cfRule>
  </conditionalFormatting>
  <conditionalFormatting sqref="EC24">
    <cfRule type="expression" dxfId="1" priority="1195">
      <formula>AND(BT24&gt;=5,EC24&lt;&gt;0, GetEquPower(BA24,BN24, CK24, FS24)=0)</formula>
    </cfRule>
    <cfRule type="expression" dxfId="0" priority="1196">
      <formula>AND(BT24&gt;=5,EC24&lt;&gt;GetEquPower(BA24,BN24, CK24, FS24))</formula>
    </cfRule>
  </conditionalFormatting>
  <conditionalFormatting sqref="ED24">
    <cfRule type="expression" dxfId="1" priority="1197">
      <formula>AND(BT24&gt;=6,ED24&lt;&gt;0, GetEquPower(BA24,BN24, CL24, FS24)=0)</formula>
    </cfRule>
    <cfRule type="expression" dxfId="0" priority="1198">
      <formula>AND(BT24&gt;=6,ED24&lt;&gt;GetEquPower(BA24,BN24, CL24, FS24))</formula>
    </cfRule>
  </conditionalFormatting>
  <conditionalFormatting sqref="EH24">
    <cfRule type="expression" dxfId="1" priority="1155">
      <formula>AND(BU24&gt;=1,EH24&lt;&gt;0, GetEquPower(BB24,BO24, CN24, FT24)=0)</formula>
    </cfRule>
    <cfRule type="expression" dxfId="0" priority="1156">
      <formula>AND(BU24&gt;=1,EH24&lt;&gt;GetEquPower(BB24,BO24, CN24, FT24))</formula>
    </cfRule>
  </conditionalFormatting>
  <conditionalFormatting sqref="EI24">
    <cfRule type="expression" dxfId="1" priority="1157">
      <formula>AND(BU24&gt;=2,EI24&lt;&gt;0, GetEquPower(BB24,BO24, CO24, FT24)=0)</formula>
    </cfRule>
    <cfRule type="expression" dxfId="0" priority="1158">
      <formula xml:space="preserve"> AND(BU24&gt;=2,EI24&lt;&gt;GetEquPower(BB24,BO24, CO24, FT24))</formula>
    </cfRule>
  </conditionalFormatting>
  <conditionalFormatting sqref="EJ24">
    <cfRule type="expression" dxfId="1" priority="1159">
      <formula>AND(BU24&gt;=3,EJ24&lt;&gt;0, GetEquPower(BB24,BO24, CP24, FT24)=0)</formula>
    </cfRule>
    <cfRule type="expression" dxfId="0" priority="1160">
      <formula xml:space="preserve"> AND(BU24&gt;=3,EJ24&lt;&gt;GetEquPower(BB24,BO24, CP24, FT24))</formula>
    </cfRule>
  </conditionalFormatting>
  <conditionalFormatting sqref="EK24">
    <cfRule type="expression" dxfId="1" priority="1183">
      <formula>AND(BU24&gt;=4,EK24&lt;&gt;0, GetEquPower(BB24,BO24, CQ24, FT24)=0)</formula>
    </cfRule>
    <cfRule type="expression" dxfId="0" priority="1184">
      <formula xml:space="preserve"> AND(BU24&gt;=4,EK24&lt;&gt;GetEquPower(BB24,BO24, CQ24, FT24))</formula>
    </cfRule>
  </conditionalFormatting>
  <conditionalFormatting sqref="EL24">
    <cfRule type="expression" dxfId="1" priority="1199">
      <formula>AND(BU24&gt;=5,EL24&lt;&gt;0, GetEquPower(BB24,BO24, CR24, FT24)=0)</formula>
    </cfRule>
    <cfRule type="expression" dxfId="0" priority="1200">
      <formula xml:space="preserve"> AND(BU24&gt;=5,EL24&lt;&gt;GetEquPower(BB24,BO24, CR24, FT24))</formula>
    </cfRule>
  </conditionalFormatting>
  <conditionalFormatting sqref="EM24">
    <cfRule type="expression" dxfId="1" priority="1201">
      <formula>AND(BU24&gt;=6,EM24&lt;&gt;0, GetEquPower(BB24,BO24, CS24, FT24)=0)</formula>
    </cfRule>
    <cfRule type="expression" dxfId="0" priority="1202">
      <formula xml:space="preserve"> AND(BU24&gt;=6,EM24&lt;&gt;GetEquPower(BB24,BO24, CS24, FT24))</formula>
    </cfRule>
  </conditionalFormatting>
  <conditionalFormatting sqref="EQ24">
    <cfRule type="expression" dxfId="1" priority="1161">
      <formula>AND(BV24&gt;=1,EQ24&lt;&gt;0, GetEquPower(BC24,BP24, CU24, FU24)=0)</formula>
    </cfRule>
    <cfRule type="expression" dxfId="0" priority="1162">
      <formula>AND(BV24&gt;=1,EQ24&lt;&gt;GetEquPower(BC24,BP24, CU24, FU24))</formula>
    </cfRule>
  </conditionalFormatting>
  <conditionalFormatting sqref="ER24">
    <cfRule type="expression" dxfId="1" priority="1163">
      <formula>AND(BV24&gt;=2,ER24&lt;&gt;0, GetEquPower(BC24,BP24, CV24, FU24)=0)</formula>
    </cfRule>
    <cfRule type="expression" dxfId="0" priority="1164">
      <formula>AND(BV24&gt;=2,ER24&lt;&gt;GetEquPower(BC24,BP24, CV24, FU24))</formula>
    </cfRule>
  </conditionalFormatting>
  <conditionalFormatting sqref="ES24">
    <cfRule type="expression" dxfId="1" priority="1165">
      <formula>AND(BV24&gt;=3,ES24&lt;&gt;0, GetEquPower(BC24,BP24, CW24, FU24)=0)</formula>
    </cfRule>
    <cfRule type="expression" dxfId="0" priority="1166">
      <formula>AND(BV24&gt;=3,ES24&lt;&gt;GetEquPower(BC24,BP24, CW24, FU24))</formula>
    </cfRule>
  </conditionalFormatting>
  <conditionalFormatting sqref="ET24">
    <cfRule type="expression" dxfId="1" priority="1185">
      <formula>AND(BV24&gt;=4,ET24&lt;&gt;0, GetEquPower(BC24,BP24, CX24, FU24)=0)</formula>
    </cfRule>
    <cfRule type="expression" dxfId="0" priority="1186">
      <formula>AND(BV24&gt;=4,ET24&lt;&gt;GetEquPower(BC24,BP24, CX24, FU24))</formula>
    </cfRule>
  </conditionalFormatting>
  <conditionalFormatting sqref="EU24">
    <cfRule type="expression" dxfId="1" priority="1203">
      <formula>AND(BV24&gt;=5,EU24&lt;&gt;0, GetEquPower(BC24,BP24, CY24, FU24)=0)</formula>
    </cfRule>
    <cfRule type="expression" dxfId="0" priority="1204">
      <formula>AND(BV24&gt;=5,EU24&lt;&gt;GetEquPower(BC24,BP24, CY24, FU24))</formula>
    </cfRule>
  </conditionalFormatting>
  <conditionalFormatting sqref="EV24">
    <cfRule type="expression" dxfId="1" priority="1205">
      <formula>AND(BV24&gt;=6,EV24&lt;&gt;0, GetEquPower(BC24,BP24, CZ24, FU24)=0)</formula>
    </cfRule>
    <cfRule type="expression" dxfId="0" priority="1206">
      <formula>AND(BV24&gt;=6,EV24&lt;&gt;GetEquPower(BC24,BP24, CZ24, FU24))</formula>
    </cfRule>
  </conditionalFormatting>
  <conditionalFormatting sqref="EZ24">
    <cfRule type="expression" dxfId="1" priority="1167">
      <formula>AND(BW24&gt;=1,EZ24&lt;&gt;0, GetEquPower(BD24,BQ24, DB24, FV24)=0)</formula>
    </cfRule>
    <cfRule type="expression" dxfId="0" priority="1168">
      <formula>AND(BW24&gt;=1,EZ24&lt;&gt;GetEquPower(BD24,BQ24, DB24, FV24))</formula>
    </cfRule>
  </conditionalFormatting>
  <conditionalFormatting sqref="FA24">
    <cfRule type="expression" dxfId="1" priority="1169">
      <formula>AND(BW24&gt;=2,FA24&lt;&gt;0, GetEquPower(BD24,BQ24, DC24, FV24)=0)</formula>
    </cfRule>
    <cfRule type="expression" dxfId="0" priority="1170">
      <formula>AND(BW24&gt;=2,FA24&lt;&gt;GetEquPower(BD24,BQ24, DC24, FV24))</formula>
    </cfRule>
  </conditionalFormatting>
  <conditionalFormatting sqref="FB24">
    <cfRule type="expression" dxfId="1" priority="1171">
      <formula>AND(BW24&gt;=3,FB24&lt;&gt;0, GetEquPower(BD24,BQ24, DD24, FV24)=0)</formula>
    </cfRule>
    <cfRule type="expression" dxfId="0" priority="1172">
      <formula>AND(BW24&gt;=3,FB24&lt;&gt;GetEquPower(BD24,BQ24, DD24, FV24))</formula>
    </cfRule>
  </conditionalFormatting>
  <conditionalFormatting sqref="FC24">
    <cfRule type="expression" dxfId="1" priority="1187">
      <formula>AND(BW24&gt;=4,FC24&lt;&gt;0, GetEquPower(BD24,BQ24, DE24, FV24)=0)</formula>
    </cfRule>
    <cfRule type="expression" dxfId="0" priority="1188">
      <formula>AND(BW24&gt;=4,FC24&lt;&gt;GetEquPower(BD24,BQ24, DE24, FV24))</formula>
    </cfRule>
  </conditionalFormatting>
  <conditionalFormatting sqref="FD24">
    <cfRule type="expression" dxfId="1" priority="1207">
      <formula>AND(BW24&gt;=5,FD24&lt;&gt;0, GetEquPower(BD24,BQ24, DF24, FV24)=0)</formula>
    </cfRule>
    <cfRule type="expression" dxfId="0" priority="1208">
      <formula>AND(BW24&gt;=5,FD24&lt;&gt;GetEquPower(BD24,BQ24, DF24, FV24))</formula>
    </cfRule>
  </conditionalFormatting>
  <conditionalFormatting sqref="FE24">
    <cfRule type="expression" dxfId="1" priority="1209">
      <formula>AND(BW24&gt;=6,FE24&lt;&gt;0, GetEquPower(BD24,BQ24, DG24, FV24)=0)</formula>
    </cfRule>
    <cfRule type="expression" dxfId="0" priority="1210">
      <formula>AND(BW24&gt;=6,FE24&lt;&gt;GetEquPower(BD24,BQ24, DG24, FV24))</formula>
    </cfRule>
  </conditionalFormatting>
  <conditionalFormatting sqref="FI24">
    <cfRule type="expression" dxfId="1" priority="1173">
      <formula>AND(BX24&gt;=1,FI24&lt;&gt;0, GetEquPower(BE24,BR24, DI24, FW24)=0)</formula>
    </cfRule>
    <cfRule type="expression" dxfId="0" priority="1174">
      <formula>AND(BX24&gt;=1,FI24&lt;&gt;GetEquPower(BE24,BR24, DI24, FW24))</formula>
    </cfRule>
  </conditionalFormatting>
  <conditionalFormatting sqref="FJ24">
    <cfRule type="expression" dxfId="1" priority="1175">
      <formula>AND(BX24&gt;=2,FJ24&lt;&gt;0, GetEquPower(BE24,BR24, DJ24, FW24)=0)</formula>
    </cfRule>
    <cfRule type="expression" dxfId="0" priority="1176">
      <formula>AND(BX24&gt;=2,FJ24&lt;&gt;GetEquPower(BE24,BR24, DJ24, FW24))</formula>
    </cfRule>
  </conditionalFormatting>
  <conditionalFormatting sqref="FK24">
    <cfRule type="expression" dxfId="1" priority="1177">
      <formula>AND(BX24&gt;=3,FK24&lt;&gt;0, GetEquPower(BE24,BR24, DK24, FW24)=0)</formula>
    </cfRule>
    <cfRule type="expression" dxfId="0" priority="1178">
      <formula>AND(BX24&gt;=3,FK24&lt;&gt;GetEquPower(BE24,BR24, DK24, FW24))</formula>
    </cfRule>
  </conditionalFormatting>
  <conditionalFormatting sqref="FL24">
    <cfRule type="expression" dxfId="1" priority="1189">
      <formula>AND(BX24&gt;=4,FL24&lt;&gt;0, GetEquPower(BE24,BR24, DL24, FW24)=0)</formula>
    </cfRule>
    <cfRule type="expression" dxfId="0" priority="1190">
      <formula>AND(BX24&gt;=4,FL24&lt;&gt;GetEquPower(BE24,BR24, DL24, FW24))</formula>
    </cfRule>
  </conditionalFormatting>
  <conditionalFormatting sqref="FM24">
    <cfRule type="expression" dxfId="1" priority="1211">
      <formula>AND(BX24&gt;=5,FM24&lt;&gt;0, GetEquPower(BE24,BR24, DM24, FW24)=0)</formula>
    </cfRule>
    <cfRule type="expression" dxfId="0" priority="1212">
      <formula>AND(BX24&gt;=5,FM24&lt;&gt;GetEquPower(BE24,BR24, DM24, FW24))</formula>
    </cfRule>
  </conditionalFormatting>
  <conditionalFormatting sqref="FN24">
    <cfRule type="expression" dxfId="1" priority="1213">
      <formula>AND(BX24&gt;=6,FN24&lt;&gt;0, GetEquPower(BE24,BR24, DN24, FW24)=0)</formula>
    </cfRule>
    <cfRule type="expression" dxfId="0" priority="1214">
      <formula>AND(BX24&gt;=6,FN24&lt;&gt;GetEquPower(BE24,BR24, DN24, FW24))</formula>
    </cfRule>
  </conditionalFormatting>
  <conditionalFormatting sqref="F25">
    <cfRule type="expression" dxfId="72" priority="1061">
      <formula>F25&lt;&gt;RIGHT(SUBSTITUTE(TRIM(E25),".",""),LEN(F25))</formula>
    </cfRule>
  </conditionalFormatting>
  <conditionalFormatting sqref="BS25">
    <cfRule type="expression" dxfId="72" priority="1060">
      <formula>AND(J25&gt;=1,BS25&lt;1)</formula>
    </cfRule>
  </conditionalFormatting>
  <conditionalFormatting sqref="BT25">
    <cfRule type="expression" dxfId="72" priority="1059">
      <formula>AND(J25&gt;=2,BT25&lt;1)</formula>
    </cfRule>
  </conditionalFormatting>
  <conditionalFormatting sqref="BU25">
    <cfRule type="expression" dxfId="72" priority="1057">
      <formula>AND(J25&gt;=3,BU25&lt;1)</formula>
    </cfRule>
  </conditionalFormatting>
  <conditionalFormatting sqref="BV25">
    <cfRule type="expression" dxfId="72" priority="1056">
      <formula>AND(J25&gt;=4,BV25&lt;1)</formula>
    </cfRule>
  </conditionalFormatting>
  <conditionalFormatting sqref="BW25">
    <cfRule type="expression" dxfId="72" priority="1058">
      <formula>AND(J25&gt;=5,BW25&lt;1)</formula>
    </cfRule>
  </conditionalFormatting>
  <conditionalFormatting sqref="BX25">
    <cfRule type="expression" dxfId="72" priority="1055">
      <formula>AND(J25&gt;=6,BX25&lt;1)</formula>
    </cfRule>
  </conditionalFormatting>
  <conditionalFormatting sqref="IC25">
    <cfRule type="expression" dxfId="72" priority="1134">
      <formula>AND($S25 = TRUE, $IC25&lt;&gt;OptionsUnitCode)</formula>
    </cfRule>
  </conditionalFormatting>
  <conditionalFormatting sqref="B25:II25">
    <cfRule type="containsErrors" dxfId="72" priority="1054">
      <formula>ISERROR(B25)</formula>
    </cfRule>
  </conditionalFormatting>
  <conditionalFormatting sqref="DP25">
    <cfRule type="expression" dxfId="1" priority="1062">
      <formula>AND(BS25&gt;=1,DP25&lt;&gt;0, GetEquPower(AZ25,BM25, BZ25, FR25)=0)</formula>
    </cfRule>
    <cfRule type="expression" dxfId="0" priority="1063">
      <formula>AND(BS25&gt;=1,DP25&lt;&gt;GetEquPower(AZ25,BM25, BZ25, FR25))</formula>
    </cfRule>
  </conditionalFormatting>
  <conditionalFormatting sqref="DQ25">
    <cfRule type="expression" dxfId="1" priority="1064">
      <formula>AND(BS25&gt;=2,DQ25&lt;&gt;0, GetEquPower(AZ25,BM25, CA25, FR25)=0)</formula>
    </cfRule>
    <cfRule type="expression" dxfId="0" priority="1065">
      <formula>AND(BS25&gt;=2,DQ25&lt;&gt;GetEquPower(AZ25,BM25, CA25, FR25))</formula>
    </cfRule>
  </conditionalFormatting>
  <conditionalFormatting sqref="DR25">
    <cfRule type="expression" dxfId="1" priority="1066">
      <formula>AND(BS25&gt;=3,DR25&lt;&gt;0, GetEquPower(AZ25,BM25, CB25, FR25)=0)</formula>
    </cfRule>
    <cfRule type="expression" dxfId="0" priority="1067">
      <formula>AND(BS25&gt;=3,DR25&lt;&gt;GetEquPower(AZ25,BM25, CB25, FR25))</formula>
    </cfRule>
  </conditionalFormatting>
  <conditionalFormatting sqref="DS25">
    <cfRule type="expression" dxfId="1" priority="1098">
      <formula>AND(BS25&gt;=4,DS25&lt;&gt;0, GetEquPower(AZ25,BM25, CC25, FR25)=0)</formula>
    </cfRule>
    <cfRule type="expression" dxfId="0" priority="1099">
      <formula>AND(BS25&gt;=4, DS25&lt;&gt;GetEquPower(AZ25,BM25, CC25, FR25))</formula>
    </cfRule>
  </conditionalFormatting>
  <conditionalFormatting sqref="DT25">
    <cfRule type="expression" dxfId="1" priority="1110">
      <formula>AND(BS25&gt;=5,DT25&lt;&gt;0, GetEquPower(AZ25,BM25, CD25, FR25)=0)</formula>
    </cfRule>
    <cfRule type="expression" dxfId="0" priority="1111">
      <formula>AND(BS25&gt;=5, DT25&lt;&gt;GetEquPower(AZ25,BM25, CD25, FR25))</formula>
    </cfRule>
  </conditionalFormatting>
  <conditionalFormatting sqref="DU25">
    <cfRule type="expression" dxfId="1" priority="1112">
      <formula>AND(BS25&gt;=6,DU25&lt;&gt;0, GetEquPower(AZ25,BM25, CE25, FR25)=0)</formula>
    </cfRule>
    <cfRule type="expression" dxfId="0" priority="1113">
      <formula>AND(BS25&gt;=6, DU25&lt;&gt;GetEquPower(AZ25,BM25, CE25, FR25))</formula>
    </cfRule>
  </conditionalFormatting>
  <conditionalFormatting sqref="DY25">
    <cfRule type="expression" dxfId="1" priority="1068">
      <formula>AND(BT25&gt;=1,DY25&lt;&gt;0, GetEquPower(BA25,BN25, CG25, FS25)=0)</formula>
    </cfRule>
    <cfRule type="expression" dxfId="0" priority="1069">
      <formula>AND(BT25&gt;=1,DY25&lt;&gt;GetEquPower(BA25,BN25, CG25, FS25))</formula>
    </cfRule>
  </conditionalFormatting>
  <conditionalFormatting sqref="DZ25">
    <cfRule type="expression" dxfId="1" priority="1070">
      <formula>AND(BT25&gt;=2,DZ25&lt;&gt;0, GetEquPower(BA25,BN25, CH25, FS25)=0)</formula>
    </cfRule>
    <cfRule type="expression" dxfId="0" priority="1071">
      <formula>AND(BT25&gt;=2,DZ25&lt;&gt;GetEquPower(BA25,BN25, CH25, FS25))</formula>
    </cfRule>
  </conditionalFormatting>
  <conditionalFormatting sqref="EA25">
    <cfRule type="expression" dxfId="1" priority="1072">
      <formula>AND(BT25&gt;=3,EA25&lt;&gt;0, GetEquPower(BA25,BN25, CI25, FS25)=0)</formula>
    </cfRule>
    <cfRule type="expression" dxfId="0" priority="1073">
      <formula>AND(BT25&gt;=3,EA25&lt;&gt;GetEquPower(BA25,BN25, CI25, FS25))</formula>
    </cfRule>
  </conditionalFormatting>
  <conditionalFormatting sqref="EB25">
    <cfRule type="expression" dxfId="1" priority="1100">
      <formula>AND(BT25&gt;=4,EB25&lt;&gt;0, GetEquPower(BA25,BN25, CJ25, FS25)=0)</formula>
    </cfRule>
    <cfRule type="expression" dxfId="0" priority="1101">
      <formula>AND(BT25&gt;=4,EB25&lt;&gt;GetEquPower(BA25,BN25, CJ25, FS25))</formula>
    </cfRule>
  </conditionalFormatting>
  <conditionalFormatting sqref="EC25">
    <cfRule type="expression" dxfId="1" priority="1114">
      <formula>AND(BT25&gt;=5,EC25&lt;&gt;0, GetEquPower(BA25,BN25, CK25, FS25)=0)</formula>
    </cfRule>
    <cfRule type="expression" dxfId="0" priority="1115">
      <formula>AND(BT25&gt;=5,EC25&lt;&gt;GetEquPower(BA25,BN25, CK25, FS25))</formula>
    </cfRule>
  </conditionalFormatting>
  <conditionalFormatting sqref="ED25">
    <cfRule type="expression" dxfId="1" priority="1116">
      <formula>AND(BT25&gt;=6,ED25&lt;&gt;0, GetEquPower(BA25,BN25, CL25, FS25)=0)</formula>
    </cfRule>
    <cfRule type="expression" dxfId="0" priority="1117">
      <formula>AND(BT25&gt;=6,ED25&lt;&gt;GetEquPower(BA25,BN25, CL25, FS25))</formula>
    </cfRule>
  </conditionalFormatting>
  <conditionalFormatting sqref="EH25">
    <cfRule type="expression" dxfId="1" priority="1074">
      <formula>AND(BU25&gt;=1,EH25&lt;&gt;0, GetEquPower(BB25,BO25, CN25, FT25)=0)</formula>
    </cfRule>
    <cfRule type="expression" dxfId="0" priority="1075">
      <formula>AND(BU25&gt;=1,EH25&lt;&gt;GetEquPower(BB25,BO25, CN25, FT25))</formula>
    </cfRule>
  </conditionalFormatting>
  <conditionalFormatting sqref="EI25">
    <cfRule type="expression" dxfId="1" priority="1076">
      <formula>AND(BU25&gt;=2,EI25&lt;&gt;0, GetEquPower(BB25,BO25, CO25, FT25)=0)</formula>
    </cfRule>
    <cfRule type="expression" dxfId="0" priority="1077">
      <formula xml:space="preserve"> AND(BU25&gt;=2,EI25&lt;&gt;GetEquPower(BB25,BO25, CO25, FT25))</formula>
    </cfRule>
  </conditionalFormatting>
  <conditionalFormatting sqref="EJ25">
    <cfRule type="expression" dxfId="1" priority="1078">
      <formula>AND(BU25&gt;=3,EJ25&lt;&gt;0, GetEquPower(BB25,BO25, CP25, FT25)=0)</formula>
    </cfRule>
    <cfRule type="expression" dxfId="0" priority="1079">
      <formula xml:space="preserve"> AND(BU25&gt;=3,EJ25&lt;&gt;GetEquPower(BB25,BO25, CP25, FT25))</formula>
    </cfRule>
  </conditionalFormatting>
  <conditionalFormatting sqref="EK25">
    <cfRule type="expression" dxfId="1" priority="1102">
      <formula>AND(BU25&gt;=4,EK25&lt;&gt;0, GetEquPower(BB25,BO25, CQ25, FT25)=0)</formula>
    </cfRule>
    <cfRule type="expression" dxfId="0" priority="1103">
      <formula xml:space="preserve"> AND(BU25&gt;=4,EK25&lt;&gt;GetEquPower(BB25,BO25, CQ25, FT25))</formula>
    </cfRule>
  </conditionalFormatting>
  <conditionalFormatting sqref="EL25">
    <cfRule type="expression" dxfId="1" priority="1118">
      <formula>AND(BU25&gt;=5,EL25&lt;&gt;0, GetEquPower(BB25,BO25, CR25, FT25)=0)</formula>
    </cfRule>
    <cfRule type="expression" dxfId="0" priority="1119">
      <formula xml:space="preserve"> AND(BU25&gt;=5,EL25&lt;&gt;GetEquPower(BB25,BO25, CR25, FT25))</formula>
    </cfRule>
  </conditionalFormatting>
  <conditionalFormatting sqref="EM25">
    <cfRule type="expression" dxfId="1" priority="1120">
      <formula>AND(BU25&gt;=6,EM25&lt;&gt;0, GetEquPower(BB25,BO25, CS25, FT25)=0)</formula>
    </cfRule>
    <cfRule type="expression" dxfId="0" priority="1121">
      <formula xml:space="preserve"> AND(BU25&gt;=6,EM25&lt;&gt;GetEquPower(BB25,BO25, CS25, FT25))</formula>
    </cfRule>
  </conditionalFormatting>
  <conditionalFormatting sqref="EQ25">
    <cfRule type="expression" dxfId="1" priority="1080">
      <formula>AND(BV25&gt;=1,EQ25&lt;&gt;0, GetEquPower(BC25,BP25, CU25, FU25)=0)</formula>
    </cfRule>
    <cfRule type="expression" dxfId="0" priority="1081">
      <formula>AND(BV25&gt;=1,EQ25&lt;&gt;GetEquPower(BC25,BP25, CU25, FU25))</formula>
    </cfRule>
  </conditionalFormatting>
  <conditionalFormatting sqref="ER25">
    <cfRule type="expression" dxfId="1" priority="1082">
      <formula>AND(BV25&gt;=2,ER25&lt;&gt;0, GetEquPower(BC25,BP25, CV25, FU25)=0)</formula>
    </cfRule>
    <cfRule type="expression" dxfId="0" priority="1083">
      <formula>AND(BV25&gt;=2,ER25&lt;&gt;GetEquPower(BC25,BP25, CV25, FU25))</formula>
    </cfRule>
  </conditionalFormatting>
  <conditionalFormatting sqref="ES25">
    <cfRule type="expression" dxfId="1" priority="1084">
      <formula>AND(BV25&gt;=3,ES25&lt;&gt;0, GetEquPower(BC25,BP25, CW25, FU25)=0)</formula>
    </cfRule>
    <cfRule type="expression" dxfId="0" priority="1085">
      <formula>AND(BV25&gt;=3,ES25&lt;&gt;GetEquPower(BC25,BP25, CW25, FU25))</formula>
    </cfRule>
  </conditionalFormatting>
  <conditionalFormatting sqref="ET25">
    <cfRule type="expression" dxfId="1" priority="1104">
      <formula>AND(BV25&gt;=4,ET25&lt;&gt;0, GetEquPower(BC25,BP25, CX25, FU25)=0)</formula>
    </cfRule>
    <cfRule type="expression" dxfId="0" priority="1105">
      <formula>AND(BV25&gt;=4,ET25&lt;&gt;GetEquPower(BC25,BP25, CX25, FU25))</formula>
    </cfRule>
  </conditionalFormatting>
  <conditionalFormatting sqref="EU25">
    <cfRule type="expression" dxfId="1" priority="1122">
      <formula>AND(BV25&gt;=5,EU25&lt;&gt;0, GetEquPower(BC25,BP25, CY25, FU25)=0)</formula>
    </cfRule>
    <cfRule type="expression" dxfId="0" priority="1123">
      <formula>AND(BV25&gt;=5,EU25&lt;&gt;GetEquPower(BC25,BP25, CY25, FU25))</formula>
    </cfRule>
  </conditionalFormatting>
  <conditionalFormatting sqref="EV25">
    <cfRule type="expression" dxfId="1" priority="1124">
      <formula>AND(BV25&gt;=6,EV25&lt;&gt;0, GetEquPower(BC25,BP25, CZ25, FU25)=0)</formula>
    </cfRule>
    <cfRule type="expression" dxfId="0" priority="1125">
      <formula>AND(BV25&gt;=6,EV25&lt;&gt;GetEquPower(BC25,BP25, CZ25, FU25))</formula>
    </cfRule>
  </conditionalFormatting>
  <conditionalFormatting sqref="EZ25">
    <cfRule type="expression" dxfId="1" priority="1086">
      <formula>AND(BW25&gt;=1,EZ25&lt;&gt;0, GetEquPower(BD25,BQ25, DB25, FV25)=0)</formula>
    </cfRule>
    <cfRule type="expression" dxfId="0" priority="1087">
      <formula>AND(BW25&gt;=1,EZ25&lt;&gt;GetEquPower(BD25,BQ25, DB25, FV25))</formula>
    </cfRule>
  </conditionalFormatting>
  <conditionalFormatting sqref="FA25">
    <cfRule type="expression" dxfId="1" priority="1088">
      <formula>AND(BW25&gt;=2,FA25&lt;&gt;0, GetEquPower(BD25,BQ25, DC25, FV25)=0)</formula>
    </cfRule>
    <cfRule type="expression" dxfId="0" priority="1089">
      <formula>AND(BW25&gt;=2,FA25&lt;&gt;GetEquPower(BD25,BQ25, DC25, FV25))</formula>
    </cfRule>
  </conditionalFormatting>
  <conditionalFormatting sqref="FB25">
    <cfRule type="expression" dxfId="1" priority="1090">
      <formula>AND(BW25&gt;=3,FB25&lt;&gt;0, GetEquPower(BD25,BQ25, DD25, FV25)=0)</formula>
    </cfRule>
    <cfRule type="expression" dxfId="0" priority="1091">
      <formula>AND(BW25&gt;=3,FB25&lt;&gt;GetEquPower(BD25,BQ25, DD25, FV25))</formula>
    </cfRule>
  </conditionalFormatting>
  <conditionalFormatting sqref="FC25">
    <cfRule type="expression" dxfId="1" priority="1106">
      <formula>AND(BW25&gt;=4,FC25&lt;&gt;0, GetEquPower(BD25,BQ25, DE25, FV25)=0)</formula>
    </cfRule>
    <cfRule type="expression" dxfId="0" priority="1107">
      <formula>AND(BW25&gt;=4,FC25&lt;&gt;GetEquPower(BD25,BQ25, DE25, FV25))</formula>
    </cfRule>
  </conditionalFormatting>
  <conditionalFormatting sqref="FD25">
    <cfRule type="expression" dxfId="1" priority="1126">
      <formula>AND(BW25&gt;=5,FD25&lt;&gt;0, GetEquPower(BD25,BQ25, DF25, FV25)=0)</formula>
    </cfRule>
    <cfRule type="expression" dxfId="0" priority="1127">
      <formula>AND(BW25&gt;=5,FD25&lt;&gt;GetEquPower(BD25,BQ25, DF25, FV25))</formula>
    </cfRule>
  </conditionalFormatting>
  <conditionalFormatting sqref="FE25">
    <cfRule type="expression" dxfId="1" priority="1128">
      <formula>AND(BW25&gt;=6,FE25&lt;&gt;0, GetEquPower(BD25,BQ25, DG25, FV25)=0)</formula>
    </cfRule>
    <cfRule type="expression" dxfId="0" priority="1129">
      <formula>AND(BW25&gt;=6,FE25&lt;&gt;GetEquPower(BD25,BQ25, DG25, FV25))</formula>
    </cfRule>
  </conditionalFormatting>
  <conditionalFormatting sqref="FI25">
    <cfRule type="expression" dxfId="1" priority="1092">
      <formula>AND(BX25&gt;=1,FI25&lt;&gt;0, GetEquPower(BE25,BR25, DI25, FW25)=0)</formula>
    </cfRule>
    <cfRule type="expression" dxfId="0" priority="1093">
      <formula>AND(BX25&gt;=1,FI25&lt;&gt;GetEquPower(BE25,BR25, DI25, FW25))</formula>
    </cfRule>
  </conditionalFormatting>
  <conditionalFormatting sqref="FJ25">
    <cfRule type="expression" dxfId="1" priority="1094">
      <formula>AND(BX25&gt;=2,FJ25&lt;&gt;0, GetEquPower(BE25,BR25, DJ25, FW25)=0)</formula>
    </cfRule>
    <cfRule type="expression" dxfId="0" priority="1095">
      <formula>AND(BX25&gt;=2,FJ25&lt;&gt;GetEquPower(BE25,BR25, DJ25, FW25))</formula>
    </cfRule>
  </conditionalFormatting>
  <conditionalFormatting sqref="FK25">
    <cfRule type="expression" dxfId="1" priority="1096">
      <formula>AND(BX25&gt;=3,FK25&lt;&gt;0, GetEquPower(BE25,BR25, DK25, FW25)=0)</formula>
    </cfRule>
    <cfRule type="expression" dxfId="0" priority="1097">
      <formula>AND(BX25&gt;=3,FK25&lt;&gt;GetEquPower(BE25,BR25, DK25, FW25))</formula>
    </cfRule>
  </conditionalFormatting>
  <conditionalFormatting sqref="FL25">
    <cfRule type="expression" dxfId="1" priority="1108">
      <formula>AND(BX25&gt;=4,FL25&lt;&gt;0, GetEquPower(BE25,BR25, DL25, FW25)=0)</formula>
    </cfRule>
    <cfRule type="expression" dxfId="0" priority="1109">
      <formula>AND(BX25&gt;=4,FL25&lt;&gt;GetEquPower(BE25,BR25, DL25, FW25))</formula>
    </cfRule>
  </conditionalFormatting>
  <conditionalFormatting sqref="FM25">
    <cfRule type="expression" dxfId="1" priority="1130">
      <formula>AND(BX25&gt;=5,FM25&lt;&gt;0, GetEquPower(BE25,BR25, DM25, FW25)=0)</formula>
    </cfRule>
    <cfRule type="expression" dxfId="0" priority="1131">
      <formula>AND(BX25&gt;=5,FM25&lt;&gt;GetEquPower(BE25,BR25, DM25, FW25))</formula>
    </cfRule>
  </conditionalFormatting>
  <conditionalFormatting sqref="FN25">
    <cfRule type="expression" dxfId="1" priority="1132">
      <formula>AND(BX25&gt;=6,FN25&lt;&gt;0, GetEquPower(BE25,BR25, DN25, FW25)=0)</formula>
    </cfRule>
    <cfRule type="expression" dxfId="0" priority="1133">
      <formula>AND(BX25&gt;=6,FN25&lt;&gt;GetEquPower(BE25,BR25, DN25, FW25))</formula>
    </cfRule>
  </conditionalFormatting>
  <conditionalFormatting sqref="F26">
    <cfRule type="expression" dxfId="72" priority="980">
      <formula>F26&lt;&gt;RIGHT(SUBSTITUTE(TRIM(E26),".",""),LEN(F26))</formula>
    </cfRule>
  </conditionalFormatting>
  <conditionalFormatting sqref="BS26">
    <cfRule type="expression" dxfId="72" priority="979">
      <formula>AND(J26&gt;=1,BS26&lt;1)</formula>
    </cfRule>
  </conditionalFormatting>
  <conditionalFormatting sqref="BT26">
    <cfRule type="expression" dxfId="72" priority="978">
      <formula>AND(J26&gt;=2,BT26&lt;1)</formula>
    </cfRule>
  </conditionalFormatting>
  <conditionalFormatting sqref="BU26">
    <cfRule type="expression" dxfId="72" priority="976">
      <formula>AND(J26&gt;=3,BU26&lt;1)</formula>
    </cfRule>
  </conditionalFormatting>
  <conditionalFormatting sqref="BV26">
    <cfRule type="expression" dxfId="72" priority="975">
      <formula>AND(J26&gt;=4,BV26&lt;1)</formula>
    </cfRule>
  </conditionalFormatting>
  <conditionalFormatting sqref="BW26">
    <cfRule type="expression" dxfId="72" priority="977">
      <formula>AND(J26&gt;=5,BW26&lt;1)</formula>
    </cfRule>
  </conditionalFormatting>
  <conditionalFormatting sqref="BX26">
    <cfRule type="expression" dxfId="72" priority="974">
      <formula>AND(J26&gt;=6,BX26&lt;1)</formula>
    </cfRule>
  </conditionalFormatting>
  <conditionalFormatting sqref="IC26">
    <cfRule type="expression" dxfId="72" priority="1053">
      <formula>AND($S26 = TRUE, $IC26&lt;&gt;OptionsUnitCode)</formula>
    </cfRule>
  </conditionalFormatting>
  <conditionalFormatting sqref="B26:II26">
    <cfRule type="containsErrors" dxfId="72" priority="973">
      <formula>ISERROR(B26)</formula>
    </cfRule>
  </conditionalFormatting>
  <conditionalFormatting sqref="DP26">
    <cfRule type="expression" dxfId="1" priority="981">
      <formula>AND(BS26&gt;=1,DP26&lt;&gt;0, GetEquPower(AZ26,BM26, BZ26, FR26)=0)</formula>
    </cfRule>
    <cfRule type="expression" dxfId="0" priority="982">
      <formula>AND(BS26&gt;=1,DP26&lt;&gt;GetEquPower(AZ26,BM26, BZ26, FR26))</formula>
    </cfRule>
  </conditionalFormatting>
  <conditionalFormatting sqref="DQ26">
    <cfRule type="expression" dxfId="1" priority="983">
      <formula>AND(BS26&gt;=2,DQ26&lt;&gt;0, GetEquPower(AZ26,BM26, CA26, FR26)=0)</formula>
    </cfRule>
    <cfRule type="expression" dxfId="0" priority="984">
      <formula>AND(BS26&gt;=2,DQ26&lt;&gt;GetEquPower(AZ26,BM26, CA26, FR26))</formula>
    </cfRule>
  </conditionalFormatting>
  <conditionalFormatting sqref="DR26">
    <cfRule type="expression" dxfId="1" priority="985">
      <formula>AND(BS26&gt;=3,DR26&lt;&gt;0, GetEquPower(AZ26,BM26, CB26, FR26)=0)</formula>
    </cfRule>
    <cfRule type="expression" dxfId="0" priority="986">
      <formula>AND(BS26&gt;=3,DR26&lt;&gt;GetEquPower(AZ26,BM26, CB26, FR26))</formula>
    </cfRule>
  </conditionalFormatting>
  <conditionalFormatting sqref="DS26">
    <cfRule type="expression" dxfId="1" priority="1017">
      <formula>AND(BS26&gt;=4,DS26&lt;&gt;0, GetEquPower(AZ26,BM26, CC26, FR26)=0)</formula>
    </cfRule>
    <cfRule type="expression" dxfId="0" priority="1018">
      <formula>AND(BS26&gt;=4, DS26&lt;&gt;GetEquPower(AZ26,BM26, CC26, FR26))</formula>
    </cfRule>
  </conditionalFormatting>
  <conditionalFormatting sqref="DT26">
    <cfRule type="expression" dxfId="1" priority="1029">
      <formula>AND(BS26&gt;=5,DT26&lt;&gt;0, GetEquPower(AZ26,BM26, CD26, FR26)=0)</formula>
    </cfRule>
    <cfRule type="expression" dxfId="0" priority="1030">
      <formula>AND(BS26&gt;=5, DT26&lt;&gt;GetEquPower(AZ26,BM26, CD26, FR26))</formula>
    </cfRule>
  </conditionalFormatting>
  <conditionalFormatting sqref="DU26">
    <cfRule type="expression" dxfId="1" priority="1031">
      <formula>AND(BS26&gt;=6,DU26&lt;&gt;0, GetEquPower(AZ26,BM26, CE26, FR26)=0)</formula>
    </cfRule>
    <cfRule type="expression" dxfId="0" priority="1032">
      <formula>AND(BS26&gt;=6, DU26&lt;&gt;GetEquPower(AZ26,BM26, CE26, FR26))</formula>
    </cfRule>
  </conditionalFormatting>
  <conditionalFormatting sqref="DY26">
    <cfRule type="expression" dxfId="1" priority="987">
      <formula>AND(BT26&gt;=1,DY26&lt;&gt;0, GetEquPower(BA26,BN26, CG26, FS26)=0)</formula>
    </cfRule>
    <cfRule type="expression" dxfId="0" priority="988">
      <formula>AND(BT26&gt;=1,DY26&lt;&gt;GetEquPower(BA26,BN26, CG26, FS26))</formula>
    </cfRule>
  </conditionalFormatting>
  <conditionalFormatting sqref="DZ26">
    <cfRule type="expression" dxfId="1" priority="989">
      <formula>AND(BT26&gt;=2,DZ26&lt;&gt;0, GetEquPower(BA26,BN26, CH26, FS26)=0)</formula>
    </cfRule>
    <cfRule type="expression" dxfId="0" priority="990">
      <formula>AND(BT26&gt;=2,DZ26&lt;&gt;GetEquPower(BA26,BN26, CH26, FS26))</formula>
    </cfRule>
  </conditionalFormatting>
  <conditionalFormatting sqref="EA26">
    <cfRule type="expression" dxfId="1" priority="991">
      <formula>AND(BT26&gt;=3,EA26&lt;&gt;0, GetEquPower(BA26,BN26, CI26, FS26)=0)</formula>
    </cfRule>
    <cfRule type="expression" dxfId="0" priority="992">
      <formula>AND(BT26&gt;=3,EA26&lt;&gt;GetEquPower(BA26,BN26, CI26, FS26))</formula>
    </cfRule>
  </conditionalFormatting>
  <conditionalFormatting sqref="EB26">
    <cfRule type="expression" dxfId="1" priority="1019">
      <formula>AND(BT26&gt;=4,EB26&lt;&gt;0, GetEquPower(BA26,BN26, CJ26, FS26)=0)</formula>
    </cfRule>
    <cfRule type="expression" dxfId="0" priority="1020">
      <formula>AND(BT26&gt;=4,EB26&lt;&gt;GetEquPower(BA26,BN26, CJ26, FS26))</formula>
    </cfRule>
  </conditionalFormatting>
  <conditionalFormatting sqref="EC26">
    <cfRule type="expression" dxfId="1" priority="1033">
      <formula>AND(BT26&gt;=5,EC26&lt;&gt;0, GetEquPower(BA26,BN26, CK26, FS26)=0)</formula>
    </cfRule>
    <cfRule type="expression" dxfId="0" priority="1034">
      <formula>AND(BT26&gt;=5,EC26&lt;&gt;GetEquPower(BA26,BN26, CK26, FS26))</formula>
    </cfRule>
  </conditionalFormatting>
  <conditionalFormatting sqref="ED26">
    <cfRule type="expression" dxfId="1" priority="1035">
      <formula>AND(BT26&gt;=6,ED26&lt;&gt;0, GetEquPower(BA26,BN26, CL26, FS26)=0)</formula>
    </cfRule>
    <cfRule type="expression" dxfId="0" priority="1036">
      <formula>AND(BT26&gt;=6,ED26&lt;&gt;GetEquPower(BA26,BN26, CL26, FS26))</formula>
    </cfRule>
  </conditionalFormatting>
  <conditionalFormatting sqref="EH26">
    <cfRule type="expression" dxfId="1" priority="993">
      <formula>AND(BU26&gt;=1,EH26&lt;&gt;0, GetEquPower(BB26,BO26, CN26, FT26)=0)</formula>
    </cfRule>
    <cfRule type="expression" dxfId="0" priority="994">
      <formula>AND(BU26&gt;=1,EH26&lt;&gt;GetEquPower(BB26,BO26, CN26, FT26))</formula>
    </cfRule>
  </conditionalFormatting>
  <conditionalFormatting sqref="EI26">
    <cfRule type="expression" dxfId="1" priority="995">
      <formula>AND(BU26&gt;=2,EI26&lt;&gt;0, GetEquPower(BB26,BO26, CO26, FT26)=0)</formula>
    </cfRule>
    <cfRule type="expression" dxfId="0" priority="996">
      <formula xml:space="preserve"> AND(BU26&gt;=2,EI26&lt;&gt;GetEquPower(BB26,BO26, CO26, FT26))</formula>
    </cfRule>
  </conditionalFormatting>
  <conditionalFormatting sqref="EJ26">
    <cfRule type="expression" dxfId="1" priority="997">
      <formula>AND(BU26&gt;=3,EJ26&lt;&gt;0, GetEquPower(BB26,BO26, CP26, FT26)=0)</formula>
    </cfRule>
    <cfRule type="expression" dxfId="0" priority="998">
      <formula xml:space="preserve"> AND(BU26&gt;=3,EJ26&lt;&gt;GetEquPower(BB26,BO26, CP26, FT26))</formula>
    </cfRule>
  </conditionalFormatting>
  <conditionalFormatting sqref="EK26">
    <cfRule type="expression" dxfId="1" priority="1021">
      <formula>AND(BU26&gt;=4,EK26&lt;&gt;0, GetEquPower(BB26,BO26, CQ26, FT26)=0)</formula>
    </cfRule>
    <cfRule type="expression" dxfId="0" priority="1022">
      <formula xml:space="preserve"> AND(BU26&gt;=4,EK26&lt;&gt;GetEquPower(BB26,BO26, CQ26, FT26))</formula>
    </cfRule>
  </conditionalFormatting>
  <conditionalFormatting sqref="EL26">
    <cfRule type="expression" dxfId="1" priority="1037">
      <formula>AND(BU26&gt;=5,EL26&lt;&gt;0, GetEquPower(BB26,BO26, CR26, FT26)=0)</formula>
    </cfRule>
    <cfRule type="expression" dxfId="0" priority="1038">
      <formula xml:space="preserve"> AND(BU26&gt;=5,EL26&lt;&gt;GetEquPower(BB26,BO26, CR26, FT26))</formula>
    </cfRule>
  </conditionalFormatting>
  <conditionalFormatting sqref="EM26">
    <cfRule type="expression" dxfId="1" priority="1039">
      <formula>AND(BU26&gt;=6,EM26&lt;&gt;0, GetEquPower(BB26,BO26, CS26, FT26)=0)</formula>
    </cfRule>
    <cfRule type="expression" dxfId="0" priority="1040">
      <formula xml:space="preserve"> AND(BU26&gt;=6,EM26&lt;&gt;GetEquPower(BB26,BO26, CS26, FT26))</formula>
    </cfRule>
  </conditionalFormatting>
  <conditionalFormatting sqref="EQ26">
    <cfRule type="expression" dxfId="1" priority="999">
      <formula>AND(BV26&gt;=1,EQ26&lt;&gt;0, GetEquPower(BC26,BP26, CU26, FU26)=0)</formula>
    </cfRule>
    <cfRule type="expression" dxfId="0" priority="1000">
      <formula>AND(BV26&gt;=1,EQ26&lt;&gt;GetEquPower(BC26,BP26, CU26, FU26))</formula>
    </cfRule>
  </conditionalFormatting>
  <conditionalFormatting sqref="ER26">
    <cfRule type="expression" dxfId="1" priority="1001">
      <formula>AND(BV26&gt;=2,ER26&lt;&gt;0, GetEquPower(BC26,BP26, CV26, FU26)=0)</formula>
    </cfRule>
    <cfRule type="expression" dxfId="0" priority="1002">
      <formula>AND(BV26&gt;=2,ER26&lt;&gt;GetEquPower(BC26,BP26, CV26, FU26))</formula>
    </cfRule>
  </conditionalFormatting>
  <conditionalFormatting sqref="ES26">
    <cfRule type="expression" dxfId="1" priority="1003">
      <formula>AND(BV26&gt;=3,ES26&lt;&gt;0, GetEquPower(BC26,BP26, CW26, FU26)=0)</formula>
    </cfRule>
    <cfRule type="expression" dxfId="0" priority="1004">
      <formula>AND(BV26&gt;=3,ES26&lt;&gt;GetEquPower(BC26,BP26, CW26, FU26))</formula>
    </cfRule>
  </conditionalFormatting>
  <conditionalFormatting sqref="ET26">
    <cfRule type="expression" dxfId="1" priority="1023">
      <formula>AND(BV26&gt;=4,ET26&lt;&gt;0, GetEquPower(BC26,BP26, CX26, FU26)=0)</formula>
    </cfRule>
    <cfRule type="expression" dxfId="0" priority="1024">
      <formula>AND(BV26&gt;=4,ET26&lt;&gt;GetEquPower(BC26,BP26, CX26, FU26))</formula>
    </cfRule>
  </conditionalFormatting>
  <conditionalFormatting sqref="EU26">
    <cfRule type="expression" dxfId="1" priority="1041">
      <formula>AND(BV26&gt;=5,EU26&lt;&gt;0, GetEquPower(BC26,BP26, CY26, FU26)=0)</formula>
    </cfRule>
    <cfRule type="expression" dxfId="0" priority="1042">
      <formula>AND(BV26&gt;=5,EU26&lt;&gt;GetEquPower(BC26,BP26, CY26, FU26))</formula>
    </cfRule>
  </conditionalFormatting>
  <conditionalFormatting sqref="EV26">
    <cfRule type="expression" dxfId="1" priority="1043">
      <formula>AND(BV26&gt;=6,EV26&lt;&gt;0, GetEquPower(BC26,BP26, CZ26, FU26)=0)</formula>
    </cfRule>
    <cfRule type="expression" dxfId="0" priority="1044">
      <formula>AND(BV26&gt;=6,EV26&lt;&gt;GetEquPower(BC26,BP26, CZ26, FU26))</formula>
    </cfRule>
  </conditionalFormatting>
  <conditionalFormatting sqref="EZ26">
    <cfRule type="expression" dxfId="1" priority="1005">
      <formula>AND(BW26&gt;=1,EZ26&lt;&gt;0, GetEquPower(BD26,BQ26, DB26, FV26)=0)</formula>
    </cfRule>
    <cfRule type="expression" dxfId="0" priority="1006">
      <formula>AND(BW26&gt;=1,EZ26&lt;&gt;GetEquPower(BD26,BQ26, DB26, FV26))</formula>
    </cfRule>
  </conditionalFormatting>
  <conditionalFormatting sqref="FA26">
    <cfRule type="expression" dxfId="1" priority="1007">
      <formula>AND(BW26&gt;=2,FA26&lt;&gt;0, GetEquPower(BD26,BQ26, DC26, FV26)=0)</formula>
    </cfRule>
    <cfRule type="expression" dxfId="0" priority="1008">
      <formula>AND(BW26&gt;=2,FA26&lt;&gt;GetEquPower(BD26,BQ26, DC26, FV26))</formula>
    </cfRule>
  </conditionalFormatting>
  <conditionalFormatting sqref="FB26">
    <cfRule type="expression" dxfId="1" priority="1009">
      <formula>AND(BW26&gt;=3,FB26&lt;&gt;0, GetEquPower(BD26,BQ26, DD26, FV26)=0)</formula>
    </cfRule>
    <cfRule type="expression" dxfId="0" priority="1010">
      <formula>AND(BW26&gt;=3,FB26&lt;&gt;GetEquPower(BD26,BQ26, DD26, FV26))</formula>
    </cfRule>
  </conditionalFormatting>
  <conditionalFormatting sqref="FC26">
    <cfRule type="expression" dxfId="1" priority="1025">
      <formula>AND(BW26&gt;=4,FC26&lt;&gt;0, GetEquPower(BD26,BQ26, DE26, FV26)=0)</formula>
    </cfRule>
    <cfRule type="expression" dxfId="0" priority="1026">
      <formula>AND(BW26&gt;=4,FC26&lt;&gt;GetEquPower(BD26,BQ26, DE26, FV26))</formula>
    </cfRule>
  </conditionalFormatting>
  <conditionalFormatting sqref="FD26">
    <cfRule type="expression" dxfId="1" priority="1045">
      <formula>AND(BW26&gt;=5,FD26&lt;&gt;0, GetEquPower(BD26,BQ26, DF26, FV26)=0)</formula>
    </cfRule>
    <cfRule type="expression" dxfId="0" priority="1046">
      <formula>AND(BW26&gt;=5,FD26&lt;&gt;GetEquPower(BD26,BQ26, DF26, FV26))</formula>
    </cfRule>
  </conditionalFormatting>
  <conditionalFormatting sqref="FE26">
    <cfRule type="expression" dxfId="1" priority="1047">
      <formula>AND(BW26&gt;=6,FE26&lt;&gt;0, GetEquPower(BD26,BQ26, DG26, FV26)=0)</formula>
    </cfRule>
    <cfRule type="expression" dxfId="0" priority="1048">
      <formula>AND(BW26&gt;=6,FE26&lt;&gt;GetEquPower(BD26,BQ26, DG26, FV26))</formula>
    </cfRule>
  </conditionalFormatting>
  <conditionalFormatting sqref="FI26">
    <cfRule type="expression" dxfId="1" priority="1011">
      <formula>AND(BX26&gt;=1,FI26&lt;&gt;0, GetEquPower(BE26,BR26, DI26, FW26)=0)</formula>
    </cfRule>
    <cfRule type="expression" dxfId="0" priority="1012">
      <formula>AND(BX26&gt;=1,FI26&lt;&gt;GetEquPower(BE26,BR26, DI26, FW26))</formula>
    </cfRule>
  </conditionalFormatting>
  <conditionalFormatting sqref="FJ26">
    <cfRule type="expression" dxfId="1" priority="1013">
      <formula>AND(BX26&gt;=2,FJ26&lt;&gt;0, GetEquPower(BE26,BR26, DJ26, FW26)=0)</formula>
    </cfRule>
    <cfRule type="expression" dxfId="0" priority="1014">
      <formula>AND(BX26&gt;=2,FJ26&lt;&gt;GetEquPower(BE26,BR26, DJ26, FW26))</formula>
    </cfRule>
  </conditionalFormatting>
  <conditionalFormatting sqref="FK26">
    <cfRule type="expression" dxfId="1" priority="1015">
      <formula>AND(BX26&gt;=3,FK26&lt;&gt;0, GetEquPower(BE26,BR26, DK26, FW26)=0)</formula>
    </cfRule>
    <cfRule type="expression" dxfId="0" priority="1016">
      <formula>AND(BX26&gt;=3,FK26&lt;&gt;GetEquPower(BE26,BR26, DK26, FW26))</formula>
    </cfRule>
  </conditionalFormatting>
  <conditionalFormatting sqref="FL26">
    <cfRule type="expression" dxfId="1" priority="1027">
      <formula>AND(BX26&gt;=4,FL26&lt;&gt;0, GetEquPower(BE26,BR26, DL26, FW26)=0)</formula>
    </cfRule>
    <cfRule type="expression" dxfId="0" priority="1028">
      <formula>AND(BX26&gt;=4,FL26&lt;&gt;GetEquPower(BE26,BR26, DL26, FW26))</formula>
    </cfRule>
  </conditionalFormatting>
  <conditionalFormatting sqref="FM26">
    <cfRule type="expression" dxfId="1" priority="1049">
      <formula>AND(BX26&gt;=5,FM26&lt;&gt;0, GetEquPower(BE26,BR26, DM26, FW26)=0)</formula>
    </cfRule>
    <cfRule type="expression" dxfId="0" priority="1050">
      <formula>AND(BX26&gt;=5,FM26&lt;&gt;GetEquPower(BE26,BR26, DM26, FW26))</formula>
    </cfRule>
  </conditionalFormatting>
  <conditionalFormatting sqref="FN26">
    <cfRule type="expression" dxfId="1" priority="1051">
      <formula>AND(BX26&gt;=6,FN26&lt;&gt;0, GetEquPower(BE26,BR26, DN26, FW26)=0)</formula>
    </cfRule>
    <cfRule type="expression" dxfId="0" priority="1052">
      <formula>AND(BX26&gt;=6,FN26&lt;&gt;GetEquPower(BE26,BR26, DN26, FW26))</formula>
    </cfRule>
  </conditionalFormatting>
  <conditionalFormatting sqref="F27">
    <cfRule type="expression" dxfId="72" priority="899">
      <formula>F27&lt;&gt;RIGHT(SUBSTITUTE(TRIM(E27),".",""),LEN(F27))</formula>
    </cfRule>
  </conditionalFormatting>
  <conditionalFormatting sqref="BS27">
    <cfRule type="expression" dxfId="72" priority="898">
      <formula>AND(J27&gt;=1,BS27&lt;1)</formula>
    </cfRule>
  </conditionalFormatting>
  <conditionalFormatting sqref="BT27">
    <cfRule type="expression" dxfId="72" priority="897">
      <formula>AND(J27&gt;=2,BT27&lt;1)</formula>
    </cfRule>
  </conditionalFormatting>
  <conditionalFormatting sqref="BU27">
    <cfRule type="expression" dxfId="72" priority="895">
      <formula>AND(J27&gt;=3,BU27&lt;1)</formula>
    </cfRule>
  </conditionalFormatting>
  <conditionalFormatting sqref="BV27">
    <cfRule type="expression" dxfId="72" priority="894">
      <formula>AND(J27&gt;=4,BV27&lt;1)</formula>
    </cfRule>
  </conditionalFormatting>
  <conditionalFormatting sqref="BW27">
    <cfRule type="expression" dxfId="72" priority="896">
      <formula>AND(J27&gt;=5,BW27&lt;1)</formula>
    </cfRule>
  </conditionalFormatting>
  <conditionalFormatting sqref="BX27">
    <cfRule type="expression" dxfId="72" priority="893">
      <formula>AND(J27&gt;=6,BX27&lt;1)</formula>
    </cfRule>
  </conditionalFormatting>
  <conditionalFormatting sqref="IC27">
    <cfRule type="expression" dxfId="72" priority="972">
      <formula>AND($S27 = TRUE, $IC27&lt;&gt;OptionsUnitCode)</formula>
    </cfRule>
  </conditionalFormatting>
  <conditionalFormatting sqref="B27:II27">
    <cfRule type="containsErrors" dxfId="72" priority="892">
      <formula>ISERROR(B27)</formula>
    </cfRule>
  </conditionalFormatting>
  <conditionalFormatting sqref="DP27">
    <cfRule type="expression" dxfId="1" priority="900">
      <formula>AND(BS27&gt;=1,DP27&lt;&gt;0, GetEquPower(AZ27,BM27, BZ27, FR27)=0)</formula>
    </cfRule>
    <cfRule type="expression" dxfId="0" priority="901">
      <formula>AND(BS27&gt;=1,DP27&lt;&gt;GetEquPower(AZ27,BM27, BZ27, FR27))</formula>
    </cfRule>
  </conditionalFormatting>
  <conditionalFormatting sqref="DQ27">
    <cfRule type="expression" dxfId="1" priority="902">
      <formula>AND(BS27&gt;=2,DQ27&lt;&gt;0, GetEquPower(AZ27,BM27, CA27, FR27)=0)</formula>
    </cfRule>
    <cfRule type="expression" dxfId="0" priority="903">
      <formula>AND(BS27&gt;=2,DQ27&lt;&gt;GetEquPower(AZ27,BM27, CA27, FR27))</formula>
    </cfRule>
  </conditionalFormatting>
  <conditionalFormatting sqref="DR27">
    <cfRule type="expression" dxfId="1" priority="904">
      <formula>AND(BS27&gt;=3,DR27&lt;&gt;0, GetEquPower(AZ27,BM27, CB27, FR27)=0)</formula>
    </cfRule>
    <cfRule type="expression" dxfId="0" priority="905">
      <formula>AND(BS27&gt;=3,DR27&lt;&gt;GetEquPower(AZ27,BM27, CB27, FR27))</formula>
    </cfRule>
  </conditionalFormatting>
  <conditionalFormatting sqref="DS27">
    <cfRule type="expression" dxfId="1" priority="936">
      <formula>AND(BS27&gt;=4,DS27&lt;&gt;0, GetEquPower(AZ27,BM27, CC27, FR27)=0)</formula>
    </cfRule>
    <cfRule type="expression" dxfId="0" priority="937">
      <formula>AND(BS27&gt;=4, DS27&lt;&gt;GetEquPower(AZ27,BM27, CC27, FR27))</formula>
    </cfRule>
  </conditionalFormatting>
  <conditionalFormatting sqref="DT27">
    <cfRule type="expression" dxfId="1" priority="948">
      <formula>AND(BS27&gt;=5,DT27&lt;&gt;0, GetEquPower(AZ27,BM27, CD27, FR27)=0)</formula>
    </cfRule>
    <cfRule type="expression" dxfId="0" priority="949">
      <formula>AND(BS27&gt;=5, DT27&lt;&gt;GetEquPower(AZ27,BM27, CD27, FR27))</formula>
    </cfRule>
  </conditionalFormatting>
  <conditionalFormatting sqref="DU27">
    <cfRule type="expression" dxfId="1" priority="950">
      <formula>AND(BS27&gt;=6,DU27&lt;&gt;0, GetEquPower(AZ27,BM27, CE27, FR27)=0)</formula>
    </cfRule>
    <cfRule type="expression" dxfId="0" priority="951">
      <formula>AND(BS27&gt;=6, DU27&lt;&gt;GetEquPower(AZ27,BM27, CE27, FR27))</formula>
    </cfRule>
  </conditionalFormatting>
  <conditionalFormatting sqref="DY27">
    <cfRule type="expression" dxfId="1" priority="906">
      <formula>AND(BT27&gt;=1,DY27&lt;&gt;0, GetEquPower(BA27,BN27, CG27, FS27)=0)</formula>
    </cfRule>
    <cfRule type="expression" dxfId="0" priority="907">
      <formula>AND(BT27&gt;=1,DY27&lt;&gt;GetEquPower(BA27,BN27, CG27, FS27))</formula>
    </cfRule>
  </conditionalFormatting>
  <conditionalFormatting sqref="DZ27">
    <cfRule type="expression" dxfId="1" priority="908">
      <formula>AND(BT27&gt;=2,DZ27&lt;&gt;0, GetEquPower(BA27,BN27, CH27, FS27)=0)</formula>
    </cfRule>
    <cfRule type="expression" dxfId="0" priority="909">
      <formula>AND(BT27&gt;=2,DZ27&lt;&gt;GetEquPower(BA27,BN27, CH27, FS27))</formula>
    </cfRule>
  </conditionalFormatting>
  <conditionalFormatting sqref="EA27">
    <cfRule type="expression" dxfId="1" priority="910">
      <formula>AND(BT27&gt;=3,EA27&lt;&gt;0, GetEquPower(BA27,BN27, CI27, FS27)=0)</formula>
    </cfRule>
    <cfRule type="expression" dxfId="0" priority="911">
      <formula>AND(BT27&gt;=3,EA27&lt;&gt;GetEquPower(BA27,BN27, CI27, FS27))</formula>
    </cfRule>
  </conditionalFormatting>
  <conditionalFormatting sqref="EB27">
    <cfRule type="expression" dxfId="1" priority="938">
      <formula>AND(BT27&gt;=4,EB27&lt;&gt;0, GetEquPower(BA27,BN27, CJ27, FS27)=0)</formula>
    </cfRule>
    <cfRule type="expression" dxfId="0" priority="939">
      <formula>AND(BT27&gt;=4,EB27&lt;&gt;GetEquPower(BA27,BN27, CJ27, FS27))</formula>
    </cfRule>
  </conditionalFormatting>
  <conditionalFormatting sqref="EC27">
    <cfRule type="expression" dxfId="1" priority="952">
      <formula>AND(BT27&gt;=5,EC27&lt;&gt;0, GetEquPower(BA27,BN27, CK27, FS27)=0)</formula>
    </cfRule>
    <cfRule type="expression" dxfId="0" priority="953">
      <formula>AND(BT27&gt;=5,EC27&lt;&gt;GetEquPower(BA27,BN27, CK27, FS27))</formula>
    </cfRule>
  </conditionalFormatting>
  <conditionalFormatting sqref="ED27">
    <cfRule type="expression" dxfId="1" priority="954">
      <formula>AND(BT27&gt;=6,ED27&lt;&gt;0, GetEquPower(BA27,BN27, CL27, FS27)=0)</formula>
    </cfRule>
    <cfRule type="expression" dxfId="0" priority="955">
      <formula>AND(BT27&gt;=6,ED27&lt;&gt;GetEquPower(BA27,BN27, CL27, FS27))</formula>
    </cfRule>
  </conditionalFormatting>
  <conditionalFormatting sqref="EH27">
    <cfRule type="expression" dxfId="1" priority="912">
      <formula>AND(BU27&gt;=1,EH27&lt;&gt;0, GetEquPower(BB27,BO27, CN27, FT27)=0)</formula>
    </cfRule>
    <cfRule type="expression" dxfId="0" priority="913">
      <formula>AND(BU27&gt;=1,EH27&lt;&gt;GetEquPower(BB27,BO27, CN27, FT27))</formula>
    </cfRule>
  </conditionalFormatting>
  <conditionalFormatting sqref="EI27">
    <cfRule type="expression" dxfId="1" priority="914">
      <formula>AND(BU27&gt;=2,EI27&lt;&gt;0, GetEquPower(BB27,BO27, CO27, FT27)=0)</formula>
    </cfRule>
    <cfRule type="expression" dxfId="0" priority="915">
      <formula xml:space="preserve"> AND(BU27&gt;=2,EI27&lt;&gt;GetEquPower(BB27,BO27, CO27, FT27))</formula>
    </cfRule>
  </conditionalFormatting>
  <conditionalFormatting sqref="EJ27">
    <cfRule type="expression" dxfId="1" priority="916">
      <formula>AND(BU27&gt;=3,EJ27&lt;&gt;0, GetEquPower(BB27,BO27, CP27, FT27)=0)</formula>
    </cfRule>
    <cfRule type="expression" dxfId="0" priority="917">
      <formula xml:space="preserve"> AND(BU27&gt;=3,EJ27&lt;&gt;GetEquPower(BB27,BO27, CP27, FT27))</formula>
    </cfRule>
  </conditionalFormatting>
  <conditionalFormatting sqref="EK27">
    <cfRule type="expression" dxfId="1" priority="940">
      <formula>AND(BU27&gt;=4,EK27&lt;&gt;0, GetEquPower(BB27,BO27, CQ27, FT27)=0)</formula>
    </cfRule>
    <cfRule type="expression" dxfId="0" priority="941">
      <formula xml:space="preserve"> AND(BU27&gt;=4,EK27&lt;&gt;GetEquPower(BB27,BO27, CQ27, FT27))</formula>
    </cfRule>
  </conditionalFormatting>
  <conditionalFormatting sqref="EL27">
    <cfRule type="expression" dxfId="1" priority="956">
      <formula>AND(BU27&gt;=5,EL27&lt;&gt;0, GetEquPower(BB27,BO27, CR27, FT27)=0)</formula>
    </cfRule>
    <cfRule type="expression" dxfId="0" priority="957">
      <formula xml:space="preserve"> AND(BU27&gt;=5,EL27&lt;&gt;GetEquPower(BB27,BO27, CR27, FT27))</formula>
    </cfRule>
  </conditionalFormatting>
  <conditionalFormatting sqref="EM27">
    <cfRule type="expression" dxfId="1" priority="958">
      <formula>AND(BU27&gt;=6,EM27&lt;&gt;0, GetEquPower(BB27,BO27, CS27, FT27)=0)</formula>
    </cfRule>
    <cfRule type="expression" dxfId="0" priority="959">
      <formula xml:space="preserve"> AND(BU27&gt;=6,EM27&lt;&gt;GetEquPower(BB27,BO27, CS27, FT27))</formula>
    </cfRule>
  </conditionalFormatting>
  <conditionalFormatting sqref="EQ27">
    <cfRule type="expression" dxfId="1" priority="918">
      <formula>AND(BV27&gt;=1,EQ27&lt;&gt;0, GetEquPower(BC27,BP27, CU27, FU27)=0)</formula>
    </cfRule>
    <cfRule type="expression" dxfId="0" priority="919">
      <formula>AND(BV27&gt;=1,EQ27&lt;&gt;GetEquPower(BC27,BP27, CU27, FU27))</formula>
    </cfRule>
  </conditionalFormatting>
  <conditionalFormatting sqref="ER27">
    <cfRule type="expression" dxfId="1" priority="920">
      <formula>AND(BV27&gt;=2,ER27&lt;&gt;0, GetEquPower(BC27,BP27, CV27, FU27)=0)</formula>
    </cfRule>
    <cfRule type="expression" dxfId="0" priority="921">
      <formula>AND(BV27&gt;=2,ER27&lt;&gt;GetEquPower(BC27,BP27, CV27, FU27))</formula>
    </cfRule>
  </conditionalFormatting>
  <conditionalFormatting sqref="ES27">
    <cfRule type="expression" dxfId="1" priority="922">
      <formula>AND(BV27&gt;=3,ES27&lt;&gt;0, GetEquPower(BC27,BP27, CW27, FU27)=0)</formula>
    </cfRule>
    <cfRule type="expression" dxfId="0" priority="923">
      <formula>AND(BV27&gt;=3,ES27&lt;&gt;GetEquPower(BC27,BP27, CW27, FU27))</formula>
    </cfRule>
  </conditionalFormatting>
  <conditionalFormatting sqref="ET27">
    <cfRule type="expression" dxfId="1" priority="942">
      <formula>AND(BV27&gt;=4,ET27&lt;&gt;0, GetEquPower(BC27,BP27, CX27, FU27)=0)</formula>
    </cfRule>
    <cfRule type="expression" dxfId="0" priority="943">
      <formula>AND(BV27&gt;=4,ET27&lt;&gt;GetEquPower(BC27,BP27, CX27, FU27))</formula>
    </cfRule>
  </conditionalFormatting>
  <conditionalFormatting sqref="EU27">
    <cfRule type="expression" dxfId="1" priority="960">
      <formula>AND(BV27&gt;=5,EU27&lt;&gt;0, GetEquPower(BC27,BP27, CY27, FU27)=0)</formula>
    </cfRule>
    <cfRule type="expression" dxfId="0" priority="961">
      <formula>AND(BV27&gt;=5,EU27&lt;&gt;GetEquPower(BC27,BP27, CY27, FU27))</formula>
    </cfRule>
  </conditionalFormatting>
  <conditionalFormatting sqref="EV27">
    <cfRule type="expression" dxfId="1" priority="962">
      <formula>AND(BV27&gt;=6,EV27&lt;&gt;0, GetEquPower(BC27,BP27, CZ27, FU27)=0)</formula>
    </cfRule>
    <cfRule type="expression" dxfId="0" priority="963">
      <formula>AND(BV27&gt;=6,EV27&lt;&gt;GetEquPower(BC27,BP27, CZ27, FU27))</formula>
    </cfRule>
  </conditionalFormatting>
  <conditionalFormatting sqref="EZ27">
    <cfRule type="expression" dxfId="1" priority="924">
      <formula>AND(BW27&gt;=1,EZ27&lt;&gt;0, GetEquPower(BD27,BQ27, DB27, FV27)=0)</formula>
    </cfRule>
    <cfRule type="expression" dxfId="0" priority="925">
      <formula>AND(BW27&gt;=1,EZ27&lt;&gt;GetEquPower(BD27,BQ27, DB27, FV27))</formula>
    </cfRule>
  </conditionalFormatting>
  <conditionalFormatting sqref="FA27">
    <cfRule type="expression" dxfId="1" priority="926">
      <formula>AND(BW27&gt;=2,FA27&lt;&gt;0, GetEquPower(BD27,BQ27, DC27, FV27)=0)</formula>
    </cfRule>
    <cfRule type="expression" dxfId="0" priority="927">
      <formula>AND(BW27&gt;=2,FA27&lt;&gt;GetEquPower(BD27,BQ27, DC27, FV27))</formula>
    </cfRule>
  </conditionalFormatting>
  <conditionalFormatting sqref="FB27">
    <cfRule type="expression" dxfId="1" priority="928">
      <formula>AND(BW27&gt;=3,FB27&lt;&gt;0, GetEquPower(BD27,BQ27, DD27, FV27)=0)</formula>
    </cfRule>
    <cfRule type="expression" dxfId="0" priority="929">
      <formula>AND(BW27&gt;=3,FB27&lt;&gt;GetEquPower(BD27,BQ27, DD27, FV27))</formula>
    </cfRule>
  </conditionalFormatting>
  <conditionalFormatting sqref="FC27">
    <cfRule type="expression" dxfId="1" priority="944">
      <formula>AND(BW27&gt;=4,FC27&lt;&gt;0, GetEquPower(BD27,BQ27, DE27, FV27)=0)</formula>
    </cfRule>
    <cfRule type="expression" dxfId="0" priority="945">
      <formula>AND(BW27&gt;=4,FC27&lt;&gt;GetEquPower(BD27,BQ27, DE27, FV27))</formula>
    </cfRule>
  </conditionalFormatting>
  <conditionalFormatting sqref="FD27">
    <cfRule type="expression" dxfId="1" priority="964">
      <formula>AND(BW27&gt;=5,FD27&lt;&gt;0, GetEquPower(BD27,BQ27, DF27, FV27)=0)</formula>
    </cfRule>
    <cfRule type="expression" dxfId="0" priority="965">
      <formula>AND(BW27&gt;=5,FD27&lt;&gt;GetEquPower(BD27,BQ27, DF27, FV27))</formula>
    </cfRule>
  </conditionalFormatting>
  <conditionalFormatting sqref="FE27">
    <cfRule type="expression" dxfId="1" priority="966">
      <formula>AND(BW27&gt;=6,FE27&lt;&gt;0, GetEquPower(BD27,BQ27, DG27, FV27)=0)</formula>
    </cfRule>
    <cfRule type="expression" dxfId="0" priority="967">
      <formula>AND(BW27&gt;=6,FE27&lt;&gt;GetEquPower(BD27,BQ27, DG27, FV27))</formula>
    </cfRule>
  </conditionalFormatting>
  <conditionalFormatting sqref="FI27">
    <cfRule type="expression" dxfId="1" priority="930">
      <formula>AND(BX27&gt;=1,FI27&lt;&gt;0, GetEquPower(BE27,BR27, DI27, FW27)=0)</formula>
    </cfRule>
    <cfRule type="expression" dxfId="0" priority="931">
      <formula>AND(BX27&gt;=1,FI27&lt;&gt;GetEquPower(BE27,BR27, DI27, FW27))</formula>
    </cfRule>
  </conditionalFormatting>
  <conditionalFormatting sqref="FJ27">
    <cfRule type="expression" dxfId="1" priority="932">
      <formula>AND(BX27&gt;=2,FJ27&lt;&gt;0, GetEquPower(BE27,BR27, DJ27, FW27)=0)</formula>
    </cfRule>
    <cfRule type="expression" dxfId="0" priority="933">
      <formula>AND(BX27&gt;=2,FJ27&lt;&gt;GetEquPower(BE27,BR27, DJ27, FW27))</formula>
    </cfRule>
  </conditionalFormatting>
  <conditionalFormatting sqref="FK27">
    <cfRule type="expression" dxfId="1" priority="934">
      <formula>AND(BX27&gt;=3,FK27&lt;&gt;0, GetEquPower(BE27,BR27, DK27, FW27)=0)</formula>
    </cfRule>
    <cfRule type="expression" dxfId="0" priority="935">
      <formula>AND(BX27&gt;=3,FK27&lt;&gt;GetEquPower(BE27,BR27, DK27, FW27))</formula>
    </cfRule>
  </conditionalFormatting>
  <conditionalFormatting sqref="FL27">
    <cfRule type="expression" dxfId="1" priority="946">
      <formula>AND(BX27&gt;=4,FL27&lt;&gt;0, GetEquPower(BE27,BR27, DL27, FW27)=0)</formula>
    </cfRule>
    <cfRule type="expression" dxfId="0" priority="947">
      <formula>AND(BX27&gt;=4,FL27&lt;&gt;GetEquPower(BE27,BR27, DL27, FW27))</formula>
    </cfRule>
  </conditionalFormatting>
  <conditionalFormatting sqref="FM27">
    <cfRule type="expression" dxfId="1" priority="968">
      <formula>AND(BX27&gt;=5,FM27&lt;&gt;0, GetEquPower(BE27,BR27, DM27, FW27)=0)</formula>
    </cfRule>
    <cfRule type="expression" dxfId="0" priority="969">
      <formula>AND(BX27&gt;=5,FM27&lt;&gt;GetEquPower(BE27,BR27, DM27, FW27))</formula>
    </cfRule>
  </conditionalFormatting>
  <conditionalFormatting sqref="FN27">
    <cfRule type="expression" dxfId="1" priority="970">
      <formula>AND(BX27&gt;=6,FN27&lt;&gt;0, GetEquPower(BE27,BR27, DN27, FW27)=0)</formula>
    </cfRule>
    <cfRule type="expression" dxfId="0" priority="971">
      <formula>AND(BX27&gt;=6,FN27&lt;&gt;GetEquPower(BE27,BR27, DN27, FW27))</formula>
    </cfRule>
  </conditionalFormatting>
  <conditionalFormatting sqref="F28">
    <cfRule type="expression" dxfId="72" priority="818">
      <formula>F28&lt;&gt;RIGHT(SUBSTITUTE(TRIM(E28),".",""),LEN(F28))</formula>
    </cfRule>
  </conditionalFormatting>
  <conditionalFormatting sqref="BS28">
    <cfRule type="expression" dxfId="72" priority="817">
      <formula>AND(J28&gt;=1,BS28&lt;1)</formula>
    </cfRule>
  </conditionalFormatting>
  <conditionalFormatting sqref="BT28">
    <cfRule type="expression" dxfId="72" priority="816">
      <formula>AND(J28&gt;=2,BT28&lt;1)</formula>
    </cfRule>
  </conditionalFormatting>
  <conditionalFormatting sqref="BU28">
    <cfRule type="expression" dxfId="72" priority="814">
      <formula>AND(J28&gt;=3,BU28&lt;1)</formula>
    </cfRule>
  </conditionalFormatting>
  <conditionalFormatting sqref="BV28">
    <cfRule type="expression" dxfId="72" priority="813">
      <formula>AND(J28&gt;=4,BV28&lt;1)</formula>
    </cfRule>
  </conditionalFormatting>
  <conditionalFormatting sqref="BW28">
    <cfRule type="expression" dxfId="72" priority="815">
      <formula>AND(J28&gt;=5,BW28&lt;1)</formula>
    </cfRule>
  </conditionalFormatting>
  <conditionalFormatting sqref="BX28">
    <cfRule type="expression" dxfId="72" priority="812">
      <formula>AND(J28&gt;=6,BX28&lt;1)</formula>
    </cfRule>
  </conditionalFormatting>
  <conditionalFormatting sqref="IC28">
    <cfRule type="expression" dxfId="72" priority="891">
      <formula>AND($S28 = TRUE, $IC28&lt;&gt;OptionsUnitCode)</formula>
    </cfRule>
  </conditionalFormatting>
  <conditionalFormatting sqref="B28:II28">
    <cfRule type="containsErrors" dxfId="72" priority="811">
      <formula>ISERROR(B28)</formula>
    </cfRule>
  </conditionalFormatting>
  <conditionalFormatting sqref="DP28">
    <cfRule type="expression" dxfId="1" priority="819">
      <formula>AND(BS28&gt;=1,DP28&lt;&gt;0, GetEquPower(AZ28,BM28, BZ28, FR28)=0)</formula>
    </cfRule>
    <cfRule type="expression" dxfId="0" priority="820">
      <formula>AND(BS28&gt;=1,DP28&lt;&gt;GetEquPower(AZ28,BM28, BZ28, FR28))</formula>
    </cfRule>
  </conditionalFormatting>
  <conditionalFormatting sqref="DQ28">
    <cfRule type="expression" dxfId="1" priority="821">
      <formula>AND(BS28&gt;=2,DQ28&lt;&gt;0, GetEquPower(AZ28,BM28, CA28, FR28)=0)</formula>
    </cfRule>
    <cfRule type="expression" dxfId="0" priority="822">
      <formula>AND(BS28&gt;=2,DQ28&lt;&gt;GetEquPower(AZ28,BM28, CA28, FR28))</formula>
    </cfRule>
  </conditionalFormatting>
  <conditionalFormatting sqref="DR28">
    <cfRule type="expression" dxfId="1" priority="823">
      <formula>AND(BS28&gt;=3,DR28&lt;&gt;0, GetEquPower(AZ28,BM28, CB28, FR28)=0)</formula>
    </cfRule>
    <cfRule type="expression" dxfId="0" priority="824">
      <formula>AND(BS28&gt;=3,DR28&lt;&gt;GetEquPower(AZ28,BM28, CB28, FR28))</formula>
    </cfRule>
  </conditionalFormatting>
  <conditionalFormatting sqref="DS28">
    <cfRule type="expression" dxfId="1" priority="855">
      <formula>AND(BS28&gt;=4,DS28&lt;&gt;0, GetEquPower(AZ28,BM28, CC28, FR28)=0)</formula>
    </cfRule>
    <cfRule type="expression" dxfId="0" priority="856">
      <formula>AND(BS28&gt;=4, DS28&lt;&gt;GetEquPower(AZ28,BM28, CC28, FR28))</formula>
    </cfRule>
  </conditionalFormatting>
  <conditionalFormatting sqref="DT28">
    <cfRule type="expression" dxfId="1" priority="867">
      <formula>AND(BS28&gt;=5,DT28&lt;&gt;0, GetEquPower(AZ28,BM28, CD28, FR28)=0)</formula>
    </cfRule>
    <cfRule type="expression" dxfId="0" priority="868">
      <formula>AND(BS28&gt;=5, DT28&lt;&gt;GetEquPower(AZ28,BM28, CD28, FR28))</formula>
    </cfRule>
  </conditionalFormatting>
  <conditionalFormatting sqref="DU28">
    <cfRule type="expression" dxfId="1" priority="869">
      <formula>AND(BS28&gt;=6,DU28&lt;&gt;0, GetEquPower(AZ28,BM28, CE28, FR28)=0)</formula>
    </cfRule>
    <cfRule type="expression" dxfId="0" priority="870">
      <formula>AND(BS28&gt;=6, DU28&lt;&gt;GetEquPower(AZ28,BM28, CE28, FR28))</formula>
    </cfRule>
  </conditionalFormatting>
  <conditionalFormatting sqref="DY28">
    <cfRule type="expression" dxfId="1" priority="825">
      <formula>AND(BT28&gt;=1,DY28&lt;&gt;0, GetEquPower(BA28,BN28, CG28, FS28)=0)</formula>
    </cfRule>
    <cfRule type="expression" dxfId="0" priority="826">
      <formula>AND(BT28&gt;=1,DY28&lt;&gt;GetEquPower(BA28,BN28, CG28, FS28))</formula>
    </cfRule>
  </conditionalFormatting>
  <conditionalFormatting sqref="DZ28">
    <cfRule type="expression" dxfId="1" priority="827">
      <formula>AND(BT28&gt;=2,DZ28&lt;&gt;0, GetEquPower(BA28,BN28, CH28, FS28)=0)</formula>
    </cfRule>
    <cfRule type="expression" dxfId="0" priority="828">
      <formula>AND(BT28&gt;=2,DZ28&lt;&gt;GetEquPower(BA28,BN28, CH28, FS28))</formula>
    </cfRule>
  </conditionalFormatting>
  <conditionalFormatting sqref="EA28">
    <cfRule type="expression" dxfId="1" priority="829">
      <formula>AND(BT28&gt;=3,EA28&lt;&gt;0, GetEquPower(BA28,BN28, CI28, FS28)=0)</formula>
    </cfRule>
    <cfRule type="expression" dxfId="0" priority="830">
      <formula>AND(BT28&gt;=3,EA28&lt;&gt;GetEquPower(BA28,BN28, CI28, FS28))</formula>
    </cfRule>
  </conditionalFormatting>
  <conditionalFormatting sqref="EB28">
    <cfRule type="expression" dxfId="1" priority="857">
      <formula>AND(BT28&gt;=4,EB28&lt;&gt;0, GetEquPower(BA28,BN28, CJ28, FS28)=0)</formula>
    </cfRule>
    <cfRule type="expression" dxfId="0" priority="858">
      <formula>AND(BT28&gt;=4,EB28&lt;&gt;GetEquPower(BA28,BN28, CJ28, FS28))</formula>
    </cfRule>
  </conditionalFormatting>
  <conditionalFormatting sqref="EC28">
    <cfRule type="expression" dxfId="1" priority="871">
      <formula>AND(BT28&gt;=5,EC28&lt;&gt;0, GetEquPower(BA28,BN28, CK28, FS28)=0)</formula>
    </cfRule>
    <cfRule type="expression" dxfId="0" priority="872">
      <formula>AND(BT28&gt;=5,EC28&lt;&gt;GetEquPower(BA28,BN28, CK28, FS28))</formula>
    </cfRule>
  </conditionalFormatting>
  <conditionalFormatting sqref="ED28">
    <cfRule type="expression" dxfId="1" priority="873">
      <formula>AND(BT28&gt;=6,ED28&lt;&gt;0, GetEquPower(BA28,BN28, CL28, FS28)=0)</formula>
    </cfRule>
    <cfRule type="expression" dxfId="0" priority="874">
      <formula>AND(BT28&gt;=6,ED28&lt;&gt;GetEquPower(BA28,BN28, CL28, FS28))</formula>
    </cfRule>
  </conditionalFormatting>
  <conditionalFormatting sqref="EH28">
    <cfRule type="expression" dxfId="1" priority="831">
      <formula>AND(BU28&gt;=1,EH28&lt;&gt;0, GetEquPower(BB28,BO28, CN28, FT28)=0)</formula>
    </cfRule>
    <cfRule type="expression" dxfId="0" priority="832">
      <formula>AND(BU28&gt;=1,EH28&lt;&gt;GetEquPower(BB28,BO28, CN28, FT28))</formula>
    </cfRule>
  </conditionalFormatting>
  <conditionalFormatting sqref="EI28">
    <cfRule type="expression" dxfId="1" priority="833">
      <formula>AND(BU28&gt;=2,EI28&lt;&gt;0, GetEquPower(BB28,BO28, CO28, FT28)=0)</formula>
    </cfRule>
    <cfRule type="expression" dxfId="0" priority="834">
      <formula xml:space="preserve"> AND(BU28&gt;=2,EI28&lt;&gt;GetEquPower(BB28,BO28, CO28, FT28))</formula>
    </cfRule>
  </conditionalFormatting>
  <conditionalFormatting sqref="EJ28">
    <cfRule type="expression" dxfId="1" priority="835">
      <formula>AND(BU28&gt;=3,EJ28&lt;&gt;0, GetEquPower(BB28,BO28, CP28, FT28)=0)</formula>
    </cfRule>
    <cfRule type="expression" dxfId="0" priority="836">
      <formula xml:space="preserve"> AND(BU28&gt;=3,EJ28&lt;&gt;GetEquPower(BB28,BO28, CP28, FT28))</formula>
    </cfRule>
  </conditionalFormatting>
  <conditionalFormatting sqref="EK28">
    <cfRule type="expression" dxfId="1" priority="859">
      <formula>AND(BU28&gt;=4,EK28&lt;&gt;0, GetEquPower(BB28,BO28, CQ28, FT28)=0)</formula>
    </cfRule>
    <cfRule type="expression" dxfId="0" priority="860">
      <formula xml:space="preserve"> AND(BU28&gt;=4,EK28&lt;&gt;GetEquPower(BB28,BO28, CQ28, FT28))</formula>
    </cfRule>
  </conditionalFormatting>
  <conditionalFormatting sqref="EL28">
    <cfRule type="expression" dxfId="1" priority="875">
      <formula>AND(BU28&gt;=5,EL28&lt;&gt;0, GetEquPower(BB28,BO28, CR28, FT28)=0)</formula>
    </cfRule>
    <cfRule type="expression" dxfId="0" priority="876">
      <formula xml:space="preserve"> AND(BU28&gt;=5,EL28&lt;&gt;GetEquPower(BB28,BO28, CR28, FT28))</formula>
    </cfRule>
  </conditionalFormatting>
  <conditionalFormatting sqref="EM28">
    <cfRule type="expression" dxfId="1" priority="877">
      <formula>AND(BU28&gt;=6,EM28&lt;&gt;0, GetEquPower(BB28,BO28, CS28, FT28)=0)</formula>
    </cfRule>
    <cfRule type="expression" dxfId="0" priority="878">
      <formula xml:space="preserve"> AND(BU28&gt;=6,EM28&lt;&gt;GetEquPower(BB28,BO28, CS28, FT28))</formula>
    </cfRule>
  </conditionalFormatting>
  <conditionalFormatting sqref="EQ28">
    <cfRule type="expression" dxfId="1" priority="837">
      <formula>AND(BV28&gt;=1,EQ28&lt;&gt;0, GetEquPower(BC28,BP28, CU28, FU28)=0)</formula>
    </cfRule>
    <cfRule type="expression" dxfId="0" priority="838">
      <formula>AND(BV28&gt;=1,EQ28&lt;&gt;GetEquPower(BC28,BP28, CU28, FU28))</formula>
    </cfRule>
  </conditionalFormatting>
  <conditionalFormatting sqref="ER28">
    <cfRule type="expression" dxfId="1" priority="839">
      <formula>AND(BV28&gt;=2,ER28&lt;&gt;0, GetEquPower(BC28,BP28, CV28, FU28)=0)</formula>
    </cfRule>
    <cfRule type="expression" dxfId="0" priority="840">
      <formula>AND(BV28&gt;=2,ER28&lt;&gt;GetEquPower(BC28,BP28, CV28, FU28))</formula>
    </cfRule>
  </conditionalFormatting>
  <conditionalFormatting sqref="ES28">
    <cfRule type="expression" dxfId="1" priority="841">
      <formula>AND(BV28&gt;=3,ES28&lt;&gt;0, GetEquPower(BC28,BP28, CW28, FU28)=0)</formula>
    </cfRule>
    <cfRule type="expression" dxfId="0" priority="842">
      <formula>AND(BV28&gt;=3,ES28&lt;&gt;GetEquPower(BC28,BP28, CW28, FU28))</formula>
    </cfRule>
  </conditionalFormatting>
  <conditionalFormatting sqref="ET28">
    <cfRule type="expression" dxfId="1" priority="861">
      <formula>AND(BV28&gt;=4,ET28&lt;&gt;0, GetEquPower(BC28,BP28, CX28, FU28)=0)</formula>
    </cfRule>
    <cfRule type="expression" dxfId="0" priority="862">
      <formula>AND(BV28&gt;=4,ET28&lt;&gt;GetEquPower(BC28,BP28, CX28, FU28))</formula>
    </cfRule>
  </conditionalFormatting>
  <conditionalFormatting sqref="EU28">
    <cfRule type="expression" dxfId="1" priority="879">
      <formula>AND(BV28&gt;=5,EU28&lt;&gt;0, GetEquPower(BC28,BP28, CY28, FU28)=0)</formula>
    </cfRule>
    <cfRule type="expression" dxfId="0" priority="880">
      <formula>AND(BV28&gt;=5,EU28&lt;&gt;GetEquPower(BC28,BP28, CY28, FU28))</formula>
    </cfRule>
  </conditionalFormatting>
  <conditionalFormatting sqref="EV28">
    <cfRule type="expression" dxfId="1" priority="881">
      <formula>AND(BV28&gt;=6,EV28&lt;&gt;0, GetEquPower(BC28,BP28, CZ28, FU28)=0)</formula>
    </cfRule>
    <cfRule type="expression" dxfId="0" priority="882">
      <formula>AND(BV28&gt;=6,EV28&lt;&gt;GetEquPower(BC28,BP28, CZ28, FU28))</formula>
    </cfRule>
  </conditionalFormatting>
  <conditionalFormatting sqref="EZ28">
    <cfRule type="expression" dxfId="1" priority="843">
      <formula>AND(BW28&gt;=1,EZ28&lt;&gt;0, GetEquPower(BD28,BQ28, DB28, FV28)=0)</formula>
    </cfRule>
    <cfRule type="expression" dxfId="0" priority="844">
      <formula>AND(BW28&gt;=1,EZ28&lt;&gt;GetEquPower(BD28,BQ28, DB28, FV28))</formula>
    </cfRule>
  </conditionalFormatting>
  <conditionalFormatting sqref="FA28">
    <cfRule type="expression" dxfId="1" priority="845">
      <formula>AND(BW28&gt;=2,FA28&lt;&gt;0, GetEquPower(BD28,BQ28, DC28, FV28)=0)</formula>
    </cfRule>
    <cfRule type="expression" dxfId="0" priority="846">
      <formula>AND(BW28&gt;=2,FA28&lt;&gt;GetEquPower(BD28,BQ28, DC28, FV28))</formula>
    </cfRule>
  </conditionalFormatting>
  <conditionalFormatting sqref="FB28">
    <cfRule type="expression" dxfId="1" priority="847">
      <formula>AND(BW28&gt;=3,FB28&lt;&gt;0, GetEquPower(BD28,BQ28, DD28, FV28)=0)</formula>
    </cfRule>
    <cfRule type="expression" dxfId="0" priority="848">
      <formula>AND(BW28&gt;=3,FB28&lt;&gt;GetEquPower(BD28,BQ28, DD28, FV28))</formula>
    </cfRule>
  </conditionalFormatting>
  <conditionalFormatting sqref="FC28">
    <cfRule type="expression" dxfId="1" priority="863">
      <formula>AND(BW28&gt;=4,FC28&lt;&gt;0, GetEquPower(BD28,BQ28, DE28, FV28)=0)</formula>
    </cfRule>
    <cfRule type="expression" dxfId="0" priority="864">
      <formula>AND(BW28&gt;=4,FC28&lt;&gt;GetEquPower(BD28,BQ28, DE28, FV28))</formula>
    </cfRule>
  </conditionalFormatting>
  <conditionalFormatting sqref="FD28">
    <cfRule type="expression" dxfId="1" priority="883">
      <formula>AND(BW28&gt;=5,FD28&lt;&gt;0, GetEquPower(BD28,BQ28, DF28, FV28)=0)</formula>
    </cfRule>
    <cfRule type="expression" dxfId="0" priority="884">
      <formula>AND(BW28&gt;=5,FD28&lt;&gt;GetEquPower(BD28,BQ28, DF28, FV28))</formula>
    </cfRule>
  </conditionalFormatting>
  <conditionalFormatting sqref="FE28">
    <cfRule type="expression" dxfId="1" priority="885">
      <formula>AND(BW28&gt;=6,FE28&lt;&gt;0, GetEquPower(BD28,BQ28, DG28, FV28)=0)</formula>
    </cfRule>
    <cfRule type="expression" dxfId="0" priority="886">
      <formula>AND(BW28&gt;=6,FE28&lt;&gt;GetEquPower(BD28,BQ28, DG28, FV28))</formula>
    </cfRule>
  </conditionalFormatting>
  <conditionalFormatting sqref="FI28">
    <cfRule type="expression" dxfId="1" priority="849">
      <formula>AND(BX28&gt;=1,FI28&lt;&gt;0, GetEquPower(BE28,BR28, DI28, FW28)=0)</formula>
    </cfRule>
    <cfRule type="expression" dxfId="0" priority="850">
      <formula>AND(BX28&gt;=1,FI28&lt;&gt;GetEquPower(BE28,BR28, DI28, FW28))</formula>
    </cfRule>
  </conditionalFormatting>
  <conditionalFormatting sqref="FJ28">
    <cfRule type="expression" dxfId="1" priority="851">
      <formula>AND(BX28&gt;=2,FJ28&lt;&gt;0, GetEquPower(BE28,BR28, DJ28, FW28)=0)</formula>
    </cfRule>
    <cfRule type="expression" dxfId="0" priority="852">
      <formula>AND(BX28&gt;=2,FJ28&lt;&gt;GetEquPower(BE28,BR28, DJ28, FW28))</formula>
    </cfRule>
  </conditionalFormatting>
  <conditionalFormatting sqref="FK28">
    <cfRule type="expression" dxfId="1" priority="853">
      <formula>AND(BX28&gt;=3,FK28&lt;&gt;0, GetEquPower(BE28,BR28, DK28, FW28)=0)</formula>
    </cfRule>
    <cfRule type="expression" dxfId="0" priority="854">
      <formula>AND(BX28&gt;=3,FK28&lt;&gt;GetEquPower(BE28,BR28, DK28, FW28))</formula>
    </cfRule>
  </conditionalFormatting>
  <conditionalFormatting sqref="FL28">
    <cfRule type="expression" dxfId="1" priority="865">
      <formula>AND(BX28&gt;=4,FL28&lt;&gt;0, GetEquPower(BE28,BR28, DL28, FW28)=0)</formula>
    </cfRule>
    <cfRule type="expression" dxfId="0" priority="866">
      <formula>AND(BX28&gt;=4,FL28&lt;&gt;GetEquPower(BE28,BR28, DL28, FW28))</formula>
    </cfRule>
  </conditionalFormatting>
  <conditionalFormatting sqref="FM28">
    <cfRule type="expression" dxfId="1" priority="887">
      <formula>AND(BX28&gt;=5,FM28&lt;&gt;0, GetEquPower(BE28,BR28, DM28, FW28)=0)</formula>
    </cfRule>
    <cfRule type="expression" dxfId="0" priority="888">
      <formula>AND(BX28&gt;=5,FM28&lt;&gt;GetEquPower(BE28,BR28, DM28, FW28))</formula>
    </cfRule>
  </conditionalFormatting>
  <conditionalFormatting sqref="FN28">
    <cfRule type="expression" dxfId="1" priority="889">
      <formula>AND(BX28&gt;=6,FN28&lt;&gt;0, GetEquPower(BE28,BR28, DN28, FW28)=0)</formula>
    </cfRule>
    <cfRule type="expression" dxfId="0" priority="890">
      <formula>AND(BX28&gt;=6,FN28&lt;&gt;GetEquPower(BE28,BR28, DN28, FW28))</formula>
    </cfRule>
  </conditionalFormatting>
  <conditionalFormatting sqref="F29">
    <cfRule type="expression" dxfId="72" priority="737">
      <formula>F29&lt;&gt;RIGHT(SUBSTITUTE(TRIM(E29),".",""),LEN(F29))</formula>
    </cfRule>
  </conditionalFormatting>
  <conditionalFormatting sqref="BS29">
    <cfRule type="expression" dxfId="72" priority="736">
      <formula>AND(J29&gt;=1,BS29&lt;1)</formula>
    </cfRule>
  </conditionalFormatting>
  <conditionalFormatting sqref="BT29">
    <cfRule type="expression" dxfId="72" priority="735">
      <formula>AND(J29&gt;=2,BT29&lt;1)</formula>
    </cfRule>
  </conditionalFormatting>
  <conditionalFormatting sqref="BU29">
    <cfRule type="expression" dxfId="72" priority="733">
      <formula>AND(J29&gt;=3,BU29&lt;1)</formula>
    </cfRule>
  </conditionalFormatting>
  <conditionalFormatting sqref="BV29">
    <cfRule type="expression" dxfId="72" priority="732">
      <formula>AND(J29&gt;=4,BV29&lt;1)</formula>
    </cfRule>
  </conditionalFormatting>
  <conditionalFormatting sqref="BW29">
    <cfRule type="expression" dxfId="72" priority="734">
      <formula>AND(J29&gt;=5,BW29&lt;1)</formula>
    </cfRule>
  </conditionalFormatting>
  <conditionalFormatting sqref="BX29">
    <cfRule type="expression" dxfId="72" priority="731">
      <formula>AND(J29&gt;=6,BX29&lt;1)</formula>
    </cfRule>
  </conditionalFormatting>
  <conditionalFormatting sqref="IC29">
    <cfRule type="expression" dxfId="72" priority="810">
      <formula>AND($S29 = TRUE, $IC29&lt;&gt;OptionsUnitCode)</formula>
    </cfRule>
  </conditionalFormatting>
  <conditionalFormatting sqref="B29:II29">
    <cfRule type="containsErrors" dxfId="72" priority="730">
      <formula>ISERROR(B29)</formula>
    </cfRule>
  </conditionalFormatting>
  <conditionalFormatting sqref="DP29">
    <cfRule type="expression" dxfId="1" priority="738">
      <formula>AND(BS29&gt;=1,DP29&lt;&gt;0, GetEquPower(AZ29,BM29, BZ29, FR29)=0)</formula>
    </cfRule>
    <cfRule type="expression" dxfId="0" priority="739">
      <formula>AND(BS29&gt;=1,DP29&lt;&gt;GetEquPower(AZ29,BM29, BZ29, FR29))</formula>
    </cfRule>
  </conditionalFormatting>
  <conditionalFormatting sqref="DQ29">
    <cfRule type="expression" dxfId="1" priority="740">
      <formula>AND(BS29&gt;=2,DQ29&lt;&gt;0, GetEquPower(AZ29,BM29, CA29, FR29)=0)</formula>
    </cfRule>
    <cfRule type="expression" dxfId="0" priority="741">
      <formula>AND(BS29&gt;=2,DQ29&lt;&gt;GetEquPower(AZ29,BM29, CA29, FR29))</formula>
    </cfRule>
  </conditionalFormatting>
  <conditionalFormatting sqref="DR29">
    <cfRule type="expression" dxfId="1" priority="742">
      <formula>AND(BS29&gt;=3,DR29&lt;&gt;0, GetEquPower(AZ29,BM29, CB29, FR29)=0)</formula>
    </cfRule>
    <cfRule type="expression" dxfId="0" priority="743">
      <formula>AND(BS29&gt;=3,DR29&lt;&gt;GetEquPower(AZ29,BM29, CB29, FR29))</formula>
    </cfRule>
  </conditionalFormatting>
  <conditionalFormatting sqref="DS29">
    <cfRule type="expression" dxfId="1" priority="774">
      <formula>AND(BS29&gt;=4,DS29&lt;&gt;0, GetEquPower(AZ29,BM29, CC29, FR29)=0)</formula>
    </cfRule>
    <cfRule type="expression" dxfId="0" priority="775">
      <formula>AND(BS29&gt;=4, DS29&lt;&gt;GetEquPower(AZ29,BM29, CC29, FR29))</formula>
    </cfRule>
  </conditionalFormatting>
  <conditionalFormatting sqref="DT29">
    <cfRule type="expression" dxfId="1" priority="786">
      <formula>AND(BS29&gt;=5,DT29&lt;&gt;0, GetEquPower(AZ29,BM29, CD29, FR29)=0)</formula>
    </cfRule>
    <cfRule type="expression" dxfId="0" priority="787">
      <formula>AND(BS29&gt;=5, DT29&lt;&gt;GetEquPower(AZ29,BM29, CD29, FR29))</formula>
    </cfRule>
  </conditionalFormatting>
  <conditionalFormatting sqref="DU29">
    <cfRule type="expression" dxfId="1" priority="788">
      <formula>AND(BS29&gt;=6,DU29&lt;&gt;0, GetEquPower(AZ29,BM29, CE29, FR29)=0)</formula>
    </cfRule>
    <cfRule type="expression" dxfId="0" priority="789">
      <formula>AND(BS29&gt;=6, DU29&lt;&gt;GetEquPower(AZ29,BM29, CE29, FR29))</formula>
    </cfRule>
  </conditionalFormatting>
  <conditionalFormatting sqref="DY29">
    <cfRule type="expression" dxfId="1" priority="744">
      <formula>AND(BT29&gt;=1,DY29&lt;&gt;0, GetEquPower(BA29,BN29, CG29, FS29)=0)</formula>
    </cfRule>
    <cfRule type="expression" dxfId="0" priority="745">
      <formula>AND(BT29&gt;=1,DY29&lt;&gt;GetEquPower(BA29,BN29, CG29, FS29))</formula>
    </cfRule>
  </conditionalFormatting>
  <conditionalFormatting sqref="DZ29">
    <cfRule type="expression" dxfId="1" priority="746">
      <formula>AND(BT29&gt;=2,DZ29&lt;&gt;0, GetEquPower(BA29,BN29, CH29, FS29)=0)</formula>
    </cfRule>
    <cfRule type="expression" dxfId="0" priority="747">
      <formula>AND(BT29&gt;=2,DZ29&lt;&gt;GetEquPower(BA29,BN29, CH29, FS29))</formula>
    </cfRule>
  </conditionalFormatting>
  <conditionalFormatting sqref="EA29">
    <cfRule type="expression" dxfId="1" priority="748">
      <formula>AND(BT29&gt;=3,EA29&lt;&gt;0, GetEquPower(BA29,BN29, CI29, FS29)=0)</formula>
    </cfRule>
    <cfRule type="expression" dxfId="0" priority="749">
      <formula>AND(BT29&gt;=3,EA29&lt;&gt;GetEquPower(BA29,BN29, CI29, FS29))</formula>
    </cfRule>
  </conditionalFormatting>
  <conditionalFormatting sqref="EB29">
    <cfRule type="expression" dxfId="1" priority="776">
      <formula>AND(BT29&gt;=4,EB29&lt;&gt;0, GetEquPower(BA29,BN29, CJ29, FS29)=0)</formula>
    </cfRule>
    <cfRule type="expression" dxfId="0" priority="777">
      <formula>AND(BT29&gt;=4,EB29&lt;&gt;GetEquPower(BA29,BN29, CJ29, FS29))</formula>
    </cfRule>
  </conditionalFormatting>
  <conditionalFormatting sqref="EC29">
    <cfRule type="expression" dxfId="1" priority="790">
      <formula>AND(BT29&gt;=5,EC29&lt;&gt;0, GetEquPower(BA29,BN29, CK29, FS29)=0)</formula>
    </cfRule>
    <cfRule type="expression" dxfId="0" priority="791">
      <formula>AND(BT29&gt;=5,EC29&lt;&gt;GetEquPower(BA29,BN29, CK29, FS29))</formula>
    </cfRule>
  </conditionalFormatting>
  <conditionalFormatting sqref="ED29">
    <cfRule type="expression" dxfId="1" priority="792">
      <formula>AND(BT29&gt;=6,ED29&lt;&gt;0, GetEquPower(BA29,BN29, CL29, FS29)=0)</formula>
    </cfRule>
    <cfRule type="expression" dxfId="0" priority="793">
      <formula>AND(BT29&gt;=6,ED29&lt;&gt;GetEquPower(BA29,BN29, CL29, FS29))</formula>
    </cfRule>
  </conditionalFormatting>
  <conditionalFormatting sqref="EH29">
    <cfRule type="expression" dxfId="1" priority="750">
      <formula>AND(BU29&gt;=1,EH29&lt;&gt;0, GetEquPower(BB29,BO29, CN29, FT29)=0)</formula>
    </cfRule>
    <cfRule type="expression" dxfId="0" priority="751">
      <formula>AND(BU29&gt;=1,EH29&lt;&gt;GetEquPower(BB29,BO29, CN29, FT29))</formula>
    </cfRule>
  </conditionalFormatting>
  <conditionalFormatting sqref="EI29">
    <cfRule type="expression" dxfId="1" priority="752">
      <formula>AND(BU29&gt;=2,EI29&lt;&gt;0, GetEquPower(BB29,BO29, CO29, FT29)=0)</formula>
    </cfRule>
    <cfRule type="expression" dxfId="0" priority="753">
      <formula xml:space="preserve"> AND(BU29&gt;=2,EI29&lt;&gt;GetEquPower(BB29,BO29, CO29, FT29))</formula>
    </cfRule>
  </conditionalFormatting>
  <conditionalFormatting sqref="EJ29">
    <cfRule type="expression" dxfId="1" priority="754">
      <formula>AND(BU29&gt;=3,EJ29&lt;&gt;0, GetEquPower(BB29,BO29, CP29, FT29)=0)</formula>
    </cfRule>
    <cfRule type="expression" dxfId="0" priority="755">
      <formula xml:space="preserve"> AND(BU29&gt;=3,EJ29&lt;&gt;GetEquPower(BB29,BO29, CP29, FT29))</formula>
    </cfRule>
  </conditionalFormatting>
  <conditionalFormatting sqref="EK29">
    <cfRule type="expression" dxfId="1" priority="778">
      <formula>AND(BU29&gt;=4,EK29&lt;&gt;0, GetEquPower(BB29,BO29, CQ29, FT29)=0)</formula>
    </cfRule>
    <cfRule type="expression" dxfId="0" priority="779">
      <formula xml:space="preserve"> AND(BU29&gt;=4,EK29&lt;&gt;GetEquPower(BB29,BO29, CQ29, FT29))</formula>
    </cfRule>
  </conditionalFormatting>
  <conditionalFormatting sqref="EL29">
    <cfRule type="expression" dxfId="1" priority="794">
      <formula>AND(BU29&gt;=5,EL29&lt;&gt;0, GetEquPower(BB29,BO29, CR29, FT29)=0)</formula>
    </cfRule>
    <cfRule type="expression" dxfId="0" priority="795">
      <formula xml:space="preserve"> AND(BU29&gt;=5,EL29&lt;&gt;GetEquPower(BB29,BO29, CR29, FT29))</formula>
    </cfRule>
  </conditionalFormatting>
  <conditionalFormatting sqref="EM29">
    <cfRule type="expression" dxfId="1" priority="796">
      <formula>AND(BU29&gt;=6,EM29&lt;&gt;0, GetEquPower(BB29,BO29, CS29, FT29)=0)</formula>
    </cfRule>
    <cfRule type="expression" dxfId="0" priority="797">
      <formula xml:space="preserve"> AND(BU29&gt;=6,EM29&lt;&gt;GetEquPower(BB29,BO29, CS29, FT29))</formula>
    </cfRule>
  </conditionalFormatting>
  <conditionalFormatting sqref="EQ29">
    <cfRule type="expression" dxfId="1" priority="756">
      <formula>AND(BV29&gt;=1,EQ29&lt;&gt;0, GetEquPower(BC29,BP29, CU29, FU29)=0)</formula>
    </cfRule>
    <cfRule type="expression" dxfId="0" priority="757">
      <formula>AND(BV29&gt;=1,EQ29&lt;&gt;GetEquPower(BC29,BP29, CU29, FU29))</formula>
    </cfRule>
  </conditionalFormatting>
  <conditionalFormatting sqref="ER29">
    <cfRule type="expression" dxfId="1" priority="758">
      <formula>AND(BV29&gt;=2,ER29&lt;&gt;0, GetEquPower(BC29,BP29, CV29, FU29)=0)</formula>
    </cfRule>
    <cfRule type="expression" dxfId="0" priority="759">
      <formula>AND(BV29&gt;=2,ER29&lt;&gt;GetEquPower(BC29,BP29, CV29, FU29))</formula>
    </cfRule>
  </conditionalFormatting>
  <conditionalFormatting sqref="ES29">
    <cfRule type="expression" dxfId="1" priority="760">
      <formula>AND(BV29&gt;=3,ES29&lt;&gt;0, GetEquPower(BC29,BP29, CW29, FU29)=0)</formula>
    </cfRule>
    <cfRule type="expression" dxfId="0" priority="761">
      <formula>AND(BV29&gt;=3,ES29&lt;&gt;GetEquPower(BC29,BP29, CW29, FU29))</formula>
    </cfRule>
  </conditionalFormatting>
  <conditionalFormatting sqref="ET29">
    <cfRule type="expression" dxfId="1" priority="780">
      <formula>AND(BV29&gt;=4,ET29&lt;&gt;0, GetEquPower(BC29,BP29, CX29, FU29)=0)</formula>
    </cfRule>
    <cfRule type="expression" dxfId="0" priority="781">
      <formula>AND(BV29&gt;=4,ET29&lt;&gt;GetEquPower(BC29,BP29, CX29, FU29))</formula>
    </cfRule>
  </conditionalFormatting>
  <conditionalFormatting sqref="EU29">
    <cfRule type="expression" dxfId="1" priority="798">
      <formula>AND(BV29&gt;=5,EU29&lt;&gt;0, GetEquPower(BC29,BP29, CY29, FU29)=0)</formula>
    </cfRule>
    <cfRule type="expression" dxfId="0" priority="799">
      <formula>AND(BV29&gt;=5,EU29&lt;&gt;GetEquPower(BC29,BP29, CY29, FU29))</formula>
    </cfRule>
  </conditionalFormatting>
  <conditionalFormatting sqref="EV29">
    <cfRule type="expression" dxfId="1" priority="800">
      <formula>AND(BV29&gt;=6,EV29&lt;&gt;0, GetEquPower(BC29,BP29, CZ29, FU29)=0)</formula>
    </cfRule>
    <cfRule type="expression" dxfId="0" priority="801">
      <formula>AND(BV29&gt;=6,EV29&lt;&gt;GetEquPower(BC29,BP29, CZ29, FU29))</formula>
    </cfRule>
  </conditionalFormatting>
  <conditionalFormatting sqref="EZ29">
    <cfRule type="expression" dxfId="1" priority="762">
      <formula>AND(BW29&gt;=1,EZ29&lt;&gt;0, GetEquPower(BD29,BQ29, DB29, FV29)=0)</formula>
    </cfRule>
    <cfRule type="expression" dxfId="0" priority="763">
      <formula>AND(BW29&gt;=1,EZ29&lt;&gt;GetEquPower(BD29,BQ29, DB29, FV29))</formula>
    </cfRule>
  </conditionalFormatting>
  <conditionalFormatting sqref="FA29">
    <cfRule type="expression" dxfId="1" priority="764">
      <formula>AND(BW29&gt;=2,FA29&lt;&gt;0, GetEquPower(BD29,BQ29, DC29, FV29)=0)</formula>
    </cfRule>
    <cfRule type="expression" dxfId="0" priority="765">
      <formula>AND(BW29&gt;=2,FA29&lt;&gt;GetEquPower(BD29,BQ29, DC29, FV29))</formula>
    </cfRule>
  </conditionalFormatting>
  <conditionalFormatting sqref="FB29">
    <cfRule type="expression" dxfId="1" priority="766">
      <formula>AND(BW29&gt;=3,FB29&lt;&gt;0, GetEquPower(BD29,BQ29, DD29, FV29)=0)</formula>
    </cfRule>
    <cfRule type="expression" dxfId="0" priority="767">
      <formula>AND(BW29&gt;=3,FB29&lt;&gt;GetEquPower(BD29,BQ29, DD29, FV29))</formula>
    </cfRule>
  </conditionalFormatting>
  <conditionalFormatting sqref="FC29">
    <cfRule type="expression" dxfId="1" priority="782">
      <formula>AND(BW29&gt;=4,FC29&lt;&gt;0, GetEquPower(BD29,BQ29, DE29, FV29)=0)</formula>
    </cfRule>
    <cfRule type="expression" dxfId="0" priority="783">
      <formula>AND(BW29&gt;=4,FC29&lt;&gt;GetEquPower(BD29,BQ29, DE29, FV29))</formula>
    </cfRule>
  </conditionalFormatting>
  <conditionalFormatting sqref="FD29">
    <cfRule type="expression" dxfId="1" priority="802">
      <formula>AND(BW29&gt;=5,FD29&lt;&gt;0, GetEquPower(BD29,BQ29, DF29, FV29)=0)</formula>
    </cfRule>
    <cfRule type="expression" dxfId="0" priority="803">
      <formula>AND(BW29&gt;=5,FD29&lt;&gt;GetEquPower(BD29,BQ29, DF29, FV29))</formula>
    </cfRule>
  </conditionalFormatting>
  <conditionalFormatting sqref="FE29">
    <cfRule type="expression" dxfId="1" priority="804">
      <formula>AND(BW29&gt;=6,FE29&lt;&gt;0, GetEquPower(BD29,BQ29, DG29, FV29)=0)</formula>
    </cfRule>
    <cfRule type="expression" dxfId="0" priority="805">
      <formula>AND(BW29&gt;=6,FE29&lt;&gt;GetEquPower(BD29,BQ29, DG29, FV29))</formula>
    </cfRule>
  </conditionalFormatting>
  <conditionalFormatting sqref="FI29">
    <cfRule type="expression" dxfId="1" priority="768">
      <formula>AND(BX29&gt;=1,FI29&lt;&gt;0, GetEquPower(BE29,BR29, DI29, FW29)=0)</formula>
    </cfRule>
    <cfRule type="expression" dxfId="0" priority="769">
      <formula>AND(BX29&gt;=1,FI29&lt;&gt;GetEquPower(BE29,BR29, DI29, FW29))</formula>
    </cfRule>
  </conditionalFormatting>
  <conditionalFormatting sqref="FJ29">
    <cfRule type="expression" dxfId="1" priority="770">
      <formula>AND(BX29&gt;=2,FJ29&lt;&gt;0, GetEquPower(BE29,BR29, DJ29, FW29)=0)</formula>
    </cfRule>
    <cfRule type="expression" dxfId="0" priority="771">
      <formula>AND(BX29&gt;=2,FJ29&lt;&gt;GetEquPower(BE29,BR29, DJ29, FW29))</formula>
    </cfRule>
  </conditionalFormatting>
  <conditionalFormatting sqref="FK29">
    <cfRule type="expression" dxfId="1" priority="772">
      <formula>AND(BX29&gt;=3,FK29&lt;&gt;0, GetEquPower(BE29,BR29, DK29, FW29)=0)</formula>
    </cfRule>
    <cfRule type="expression" dxfId="0" priority="773">
      <formula>AND(BX29&gt;=3,FK29&lt;&gt;GetEquPower(BE29,BR29, DK29, FW29))</formula>
    </cfRule>
  </conditionalFormatting>
  <conditionalFormatting sqref="FL29">
    <cfRule type="expression" dxfId="1" priority="784">
      <formula>AND(BX29&gt;=4,FL29&lt;&gt;0, GetEquPower(BE29,BR29, DL29, FW29)=0)</formula>
    </cfRule>
    <cfRule type="expression" dxfId="0" priority="785">
      <formula>AND(BX29&gt;=4,FL29&lt;&gt;GetEquPower(BE29,BR29, DL29, FW29))</formula>
    </cfRule>
  </conditionalFormatting>
  <conditionalFormatting sqref="FM29">
    <cfRule type="expression" dxfId="1" priority="806">
      <formula>AND(BX29&gt;=5,FM29&lt;&gt;0, GetEquPower(BE29,BR29, DM29, FW29)=0)</formula>
    </cfRule>
    <cfRule type="expression" dxfId="0" priority="807">
      <formula>AND(BX29&gt;=5,FM29&lt;&gt;GetEquPower(BE29,BR29, DM29, FW29))</formula>
    </cfRule>
  </conditionalFormatting>
  <conditionalFormatting sqref="FN29">
    <cfRule type="expression" dxfId="1" priority="808">
      <formula>AND(BX29&gt;=6,FN29&lt;&gt;0, GetEquPower(BE29,BR29, DN29, FW29)=0)</formula>
    </cfRule>
    <cfRule type="expression" dxfId="0" priority="809">
      <formula>AND(BX29&gt;=6,FN29&lt;&gt;GetEquPower(BE29,BR29, DN29, FW29))</formula>
    </cfRule>
  </conditionalFormatting>
  <conditionalFormatting sqref="F30">
    <cfRule type="expression" dxfId="72" priority="656">
      <formula>F30&lt;&gt;RIGHT(SUBSTITUTE(TRIM(E30),".",""),LEN(F30))</formula>
    </cfRule>
  </conditionalFormatting>
  <conditionalFormatting sqref="BS30">
    <cfRule type="expression" dxfId="72" priority="655">
      <formula>AND(J30&gt;=1,BS30&lt;1)</formula>
    </cfRule>
  </conditionalFormatting>
  <conditionalFormatting sqref="BT30">
    <cfRule type="expression" dxfId="72" priority="654">
      <formula>AND(J30&gt;=2,BT30&lt;1)</formula>
    </cfRule>
  </conditionalFormatting>
  <conditionalFormatting sqref="BU30">
    <cfRule type="expression" dxfId="72" priority="652">
      <formula>AND(J30&gt;=3,BU30&lt;1)</formula>
    </cfRule>
  </conditionalFormatting>
  <conditionalFormatting sqref="BV30">
    <cfRule type="expression" dxfId="72" priority="651">
      <formula>AND(J30&gt;=4,BV30&lt;1)</formula>
    </cfRule>
  </conditionalFormatting>
  <conditionalFormatting sqref="BW30">
    <cfRule type="expression" dxfId="72" priority="653">
      <formula>AND(J30&gt;=5,BW30&lt;1)</formula>
    </cfRule>
  </conditionalFormatting>
  <conditionalFormatting sqref="BX30">
    <cfRule type="expression" dxfId="72" priority="650">
      <formula>AND(J30&gt;=6,BX30&lt;1)</formula>
    </cfRule>
  </conditionalFormatting>
  <conditionalFormatting sqref="IC30">
    <cfRule type="expression" dxfId="72" priority="729">
      <formula>AND($S30 = TRUE, $IC30&lt;&gt;OptionsUnitCode)</formula>
    </cfRule>
  </conditionalFormatting>
  <conditionalFormatting sqref="B30:II30">
    <cfRule type="containsErrors" dxfId="72" priority="649">
      <formula>ISERROR(B30)</formula>
    </cfRule>
  </conditionalFormatting>
  <conditionalFormatting sqref="DP30">
    <cfRule type="expression" dxfId="1" priority="657">
      <formula>AND(BS30&gt;=1,DP30&lt;&gt;0, GetEquPower(AZ30,BM30, BZ30, FR30)=0)</formula>
    </cfRule>
    <cfRule type="expression" dxfId="0" priority="658">
      <formula>AND(BS30&gt;=1,DP30&lt;&gt;GetEquPower(AZ30,BM30, BZ30, FR30))</formula>
    </cfRule>
  </conditionalFormatting>
  <conditionalFormatting sqref="DQ30">
    <cfRule type="expression" dxfId="1" priority="659">
      <formula>AND(BS30&gt;=2,DQ30&lt;&gt;0, GetEquPower(AZ30,BM30, CA30, FR30)=0)</formula>
    </cfRule>
    <cfRule type="expression" dxfId="0" priority="660">
      <formula>AND(BS30&gt;=2,DQ30&lt;&gt;GetEquPower(AZ30,BM30, CA30, FR30))</formula>
    </cfRule>
  </conditionalFormatting>
  <conditionalFormatting sqref="DR30">
    <cfRule type="expression" dxfId="1" priority="661">
      <formula>AND(BS30&gt;=3,DR30&lt;&gt;0, GetEquPower(AZ30,BM30, CB30, FR30)=0)</formula>
    </cfRule>
    <cfRule type="expression" dxfId="0" priority="662">
      <formula>AND(BS30&gt;=3,DR30&lt;&gt;GetEquPower(AZ30,BM30, CB30, FR30))</formula>
    </cfRule>
  </conditionalFormatting>
  <conditionalFormatting sqref="DS30">
    <cfRule type="expression" dxfId="1" priority="693">
      <formula>AND(BS30&gt;=4,DS30&lt;&gt;0, GetEquPower(AZ30,BM30, CC30, FR30)=0)</formula>
    </cfRule>
    <cfRule type="expression" dxfId="0" priority="694">
      <formula>AND(BS30&gt;=4, DS30&lt;&gt;GetEquPower(AZ30,BM30, CC30, FR30))</formula>
    </cfRule>
  </conditionalFormatting>
  <conditionalFormatting sqref="DT30">
    <cfRule type="expression" dxfId="1" priority="705">
      <formula>AND(BS30&gt;=5,DT30&lt;&gt;0, GetEquPower(AZ30,BM30, CD30, FR30)=0)</formula>
    </cfRule>
    <cfRule type="expression" dxfId="0" priority="706">
      <formula>AND(BS30&gt;=5, DT30&lt;&gt;GetEquPower(AZ30,BM30, CD30, FR30))</formula>
    </cfRule>
  </conditionalFormatting>
  <conditionalFormatting sqref="DU30">
    <cfRule type="expression" dxfId="1" priority="707">
      <formula>AND(BS30&gt;=6,DU30&lt;&gt;0, GetEquPower(AZ30,BM30, CE30, FR30)=0)</formula>
    </cfRule>
    <cfRule type="expression" dxfId="0" priority="708">
      <formula>AND(BS30&gt;=6, DU30&lt;&gt;GetEquPower(AZ30,BM30, CE30, FR30))</formula>
    </cfRule>
  </conditionalFormatting>
  <conditionalFormatting sqref="DY30">
    <cfRule type="expression" dxfId="1" priority="663">
      <formula>AND(BT30&gt;=1,DY30&lt;&gt;0, GetEquPower(BA30,BN30, CG30, FS30)=0)</formula>
    </cfRule>
    <cfRule type="expression" dxfId="0" priority="664">
      <formula>AND(BT30&gt;=1,DY30&lt;&gt;GetEquPower(BA30,BN30, CG30, FS30))</formula>
    </cfRule>
  </conditionalFormatting>
  <conditionalFormatting sqref="DZ30">
    <cfRule type="expression" dxfId="1" priority="665">
      <formula>AND(BT30&gt;=2,DZ30&lt;&gt;0, GetEquPower(BA30,BN30, CH30, FS30)=0)</formula>
    </cfRule>
    <cfRule type="expression" dxfId="0" priority="666">
      <formula>AND(BT30&gt;=2,DZ30&lt;&gt;GetEquPower(BA30,BN30, CH30, FS30))</formula>
    </cfRule>
  </conditionalFormatting>
  <conditionalFormatting sqref="EA30">
    <cfRule type="expression" dxfId="1" priority="667">
      <formula>AND(BT30&gt;=3,EA30&lt;&gt;0, GetEquPower(BA30,BN30, CI30, FS30)=0)</formula>
    </cfRule>
    <cfRule type="expression" dxfId="0" priority="668">
      <formula>AND(BT30&gt;=3,EA30&lt;&gt;GetEquPower(BA30,BN30, CI30, FS30))</formula>
    </cfRule>
  </conditionalFormatting>
  <conditionalFormatting sqref="EB30">
    <cfRule type="expression" dxfId="1" priority="695">
      <formula>AND(BT30&gt;=4,EB30&lt;&gt;0, GetEquPower(BA30,BN30, CJ30, FS30)=0)</formula>
    </cfRule>
    <cfRule type="expression" dxfId="0" priority="696">
      <formula>AND(BT30&gt;=4,EB30&lt;&gt;GetEquPower(BA30,BN30, CJ30, FS30))</formula>
    </cfRule>
  </conditionalFormatting>
  <conditionalFormatting sqref="EC30">
    <cfRule type="expression" dxfId="1" priority="709">
      <formula>AND(BT30&gt;=5,EC30&lt;&gt;0, GetEquPower(BA30,BN30, CK30, FS30)=0)</formula>
    </cfRule>
    <cfRule type="expression" dxfId="0" priority="710">
      <formula>AND(BT30&gt;=5,EC30&lt;&gt;GetEquPower(BA30,BN30, CK30, FS30))</formula>
    </cfRule>
  </conditionalFormatting>
  <conditionalFormatting sqref="ED30">
    <cfRule type="expression" dxfId="1" priority="711">
      <formula>AND(BT30&gt;=6,ED30&lt;&gt;0, GetEquPower(BA30,BN30, CL30, FS30)=0)</formula>
    </cfRule>
    <cfRule type="expression" dxfId="0" priority="712">
      <formula>AND(BT30&gt;=6,ED30&lt;&gt;GetEquPower(BA30,BN30, CL30, FS30))</formula>
    </cfRule>
  </conditionalFormatting>
  <conditionalFormatting sqref="EH30">
    <cfRule type="expression" dxfId="1" priority="669">
      <formula>AND(BU30&gt;=1,EH30&lt;&gt;0, GetEquPower(BB30,BO30, CN30, FT30)=0)</formula>
    </cfRule>
    <cfRule type="expression" dxfId="0" priority="670">
      <formula>AND(BU30&gt;=1,EH30&lt;&gt;GetEquPower(BB30,BO30, CN30, FT30))</formula>
    </cfRule>
  </conditionalFormatting>
  <conditionalFormatting sqref="EI30">
    <cfRule type="expression" dxfId="1" priority="671">
      <formula>AND(BU30&gt;=2,EI30&lt;&gt;0, GetEquPower(BB30,BO30, CO30, FT30)=0)</formula>
    </cfRule>
    <cfRule type="expression" dxfId="0" priority="672">
      <formula xml:space="preserve"> AND(BU30&gt;=2,EI30&lt;&gt;GetEquPower(BB30,BO30, CO30, FT30))</formula>
    </cfRule>
  </conditionalFormatting>
  <conditionalFormatting sqref="EJ30">
    <cfRule type="expression" dxfId="1" priority="673">
      <formula>AND(BU30&gt;=3,EJ30&lt;&gt;0, GetEquPower(BB30,BO30, CP30, FT30)=0)</formula>
    </cfRule>
    <cfRule type="expression" dxfId="0" priority="674">
      <formula xml:space="preserve"> AND(BU30&gt;=3,EJ30&lt;&gt;GetEquPower(BB30,BO30, CP30, FT30))</formula>
    </cfRule>
  </conditionalFormatting>
  <conditionalFormatting sqref="EK30">
    <cfRule type="expression" dxfId="1" priority="697">
      <formula>AND(BU30&gt;=4,EK30&lt;&gt;0, GetEquPower(BB30,BO30, CQ30, FT30)=0)</formula>
    </cfRule>
    <cfRule type="expression" dxfId="0" priority="698">
      <formula xml:space="preserve"> AND(BU30&gt;=4,EK30&lt;&gt;GetEquPower(BB30,BO30, CQ30, FT30))</formula>
    </cfRule>
  </conditionalFormatting>
  <conditionalFormatting sqref="EL30">
    <cfRule type="expression" dxfId="1" priority="713">
      <formula>AND(BU30&gt;=5,EL30&lt;&gt;0, GetEquPower(BB30,BO30, CR30, FT30)=0)</formula>
    </cfRule>
    <cfRule type="expression" dxfId="0" priority="714">
      <formula xml:space="preserve"> AND(BU30&gt;=5,EL30&lt;&gt;GetEquPower(BB30,BO30, CR30, FT30))</formula>
    </cfRule>
  </conditionalFormatting>
  <conditionalFormatting sqref="EM30">
    <cfRule type="expression" dxfId="1" priority="715">
      <formula>AND(BU30&gt;=6,EM30&lt;&gt;0, GetEquPower(BB30,BO30, CS30, FT30)=0)</formula>
    </cfRule>
    <cfRule type="expression" dxfId="0" priority="716">
      <formula xml:space="preserve"> AND(BU30&gt;=6,EM30&lt;&gt;GetEquPower(BB30,BO30, CS30, FT30))</formula>
    </cfRule>
  </conditionalFormatting>
  <conditionalFormatting sqref="EQ30">
    <cfRule type="expression" dxfId="1" priority="675">
      <formula>AND(BV30&gt;=1,EQ30&lt;&gt;0, GetEquPower(BC30,BP30, CU30, FU30)=0)</formula>
    </cfRule>
    <cfRule type="expression" dxfId="0" priority="676">
      <formula>AND(BV30&gt;=1,EQ30&lt;&gt;GetEquPower(BC30,BP30, CU30, FU30))</formula>
    </cfRule>
  </conditionalFormatting>
  <conditionalFormatting sqref="ER30">
    <cfRule type="expression" dxfId="1" priority="677">
      <formula>AND(BV30&gt;=2,ER30&lt;&gt;0, GetEquPower(BC30,BP30, CV30, FU30)=0)</formula>
    </cfRule>
    <cfRule type="expression" dxfId="0" priority="678">
      <formula>AND(BV30&gt;=2,ER30&lt;&gt;GetEquPower(BC30,BP30, CV30, FU30))</formula>
    </cfRule>
  </conditionalFormatting>
  <conditionalFormatting sqref="ES30">
    <cfRule type="expression" dxfId="1" priority="679">
      <formula>AND(BV30&gt;=3,ES30&lt;&gt;0, GetEquPower(BC30,BP30, CW30, FU30)=0)</formula>
    </cfRule>
    <cfRule type="expression" dxfId="0" priority="680">
      <formula>AND(BV30&gt;=3,ES30&lt;&gt;GetEquPower(BC30,BP30, CW30, FU30))</formula>
    </cfRule>
  </conditionalFormatting>
  <conditionalFormatting sqref="ET30">
    <cfRule type="expression" dxfId="1" priority="699">
      <formula>AND(BV30&gt;=4,ET30&lt;&gt;0, GetEquPower(BC30,BP30, CX30, FU30)=0)</formula>
    </cfRule>
    <cfRule type="expression" dxfId="0" priority="700">
      <formula>AND(BV30&gt;=4,ET30&lt;&gt;GetEquPower(BC30,BP30, CX30, FU30))</formula>
    </cfRule>
  </conditionalFormatting>
  <conditionalFormatting sqref="EU30">
    <cfRule type="expression" dxfId="1" priority="717">
      <formula>AND(BV30&gt;=5,EU30&lt;&gt;0, GetEquPower(BC30,BP30, CY30, FU30)=0)</formula>
    </cfRule>
    <cfRule type="expression" dxfId="0" priority="718">
      <formula>AND(BV30&gt;=5,EU30&lt;&gt;GetEquPower(BC30,BP30, CY30, FU30))</formula>
    </cfRule>
  </conditionalFormatting>
  <conditionalFormatting sqref="EV30">
    <cfRule type="expression" dxfId="1" priority="719">
      <formula>AND(BV30&gt;=6,EV30&lt;&gt;0, GetEquPower(BC30,BP30, CZ30, FU30)=0)</formula>
    </cfRule>
    <cfRule type="expression" dxfId="0" priority="720">
      <formula>AND(BV30&gt;=6,EV30&lt;&gt;GetEquPower(BC30,BP30, CZ30, FU30))</formula>
    </cfRule>
  </conditionalFormatting>
  <conditionalFormatting sqref="EZ30">
    <cfRule type="expression" dxfId="1" priority="681">
      <formula>AND(BW30&gt;=1,EZ30&lt;&gt;0, GetEquPower(BD30,BQ30, DB30, FV30)=0)</formula>
    </cfRule>
    <cfRule type="expression" dxfId="0" priority="682">
      <formula>AND(BW30&gt;=1,EZ30&lt;&gt;GetEquPower(BD30,BQ30, DB30, FV30))</formula>
    </cfRule>
  </conditionalFormatting>
  <conditionalFormatting sqref="FA30">
    <cfRule type="expression" dxfId="1" priority="683">
      <formula>AND(BW30&gt;=2,FA30&lt;&gt;0, GetEquPower(BD30,BQ30, DC30, FV30)=0)</formula>
    </cfRule>
    <cfRule type="expression" dxfId="0" priority="684">
      <formula>AND(BW30&gt;=2,FA30&lt;&gt;GetEquPower(BD30,BQ30, DC30, FV30))</formula>
    </cfRule>
  </conditionalFormatting>
  <conditionalFormatting sqref="FB30">
    <cfRule type="expression" dxfId="1" priority="685">
      <formula>AND(BW30&gt;=3,FB30&lt;&gt;0, GetEquPower(BD30,BQ30, DD30, FV30)=0)</formula>
    </cfRule>
    <cfRule type="expression" dxfId="0" priority="686">
      <formula>AND(BW30&gt;=3,FB30&lt;&gt;GetEquPower(BD30,BQ30, DD30, FV30))</formula>
    </cfRule>
  </conditionalFormatting>
  <conditionalFormatting sqref="FC30">
    <cfRule type="expression" dxfId="1" priority="701">
      <formula>AND(BW30&gt;=4,FC30&lt;&gt;0, GetEquPower(BD30,BQ30, DE30, FV30)=0)</formula>
    </cfRule>
    <cfRule type="expression" dxfId="0" priority="702">
      <formula>AND(BW30&gt;=4,FC30&lt;&gt;GetEquPower(BD30,BQ30, DE30, FV30))</formula>
    </cfRule>
  </conditionalFormatting>
  <conditionalFormatting sqref="FD30">
    <cfRule type="expression" dxfId="1" priority="721">
      <formula>AND(BW30&gt;=5,FD30&lt;&gt;0, GetEquPower(BD30,BQ30, DF30, FV30)=0)</formula>
    </cfRule>
    <cfRule type="expression" dxfId="0" priority="722">
      <formula>AND(BW30&gt;=5,FD30&lt;&gt;GetEquPower(BD30,BQ30, DF30, FV30))</formula>
    </cfRule>
  </conditionalFormatting>
  <conditionalFormatting sqref="FE30">
    <cfRule type="expression" dxfId="1" priority="723">
      <formula>AND(BW30&gt;=6,FE30&lt;&gt;0, GetEquPower(BD30,BQ30, DG30, FV30)=0)</formula>
    </cfRule>
    <cfRule type="expression" dxfId="0" priority="724">
      <formula>AND(BW30&gt;=6,FE30&lt;&gt;GetEquPower(BD30,BQ30, DG30, FV30))</formula>
    </cfRule>
  </conditionalFormatting>
  <conditionalFormatting sqref="FI30">
    <cfRule type="expression" dxfId="1" priority="687">
      <formula>AND(BX30&gt;=1,FI30&lt;&gt;0, GetEquPower(BE30,BR30, DI30, FW30)=0)</formula>
    </cfRule>
    <cfRule type="expression" dxfId="0" priority="688">
      <formula>AND(BX30&gt;=1,FI30&lt;&gt;GetEquPower(BE30,BR30, DI30, FW30))</formula>
    </cfRule>
  </conditionalFormatting>
  <conditionalFormatting sqref="FJ30">
    <cfRule type="expression" dxfId="1" priority="689">
      <formula>AND(BX30&gt;=2,FJ30&lt;&gt;0, GetEquPower(BE30,BR30, DJ30, FW30)=0)</formula>
    </cfRule>
    <cfRule type="expression" dxfId="0" priority="690">
      <formula>AND(BX30&gt;=2,FJ30&lt;&gt;GetEquPower(BE30,BR30, DJ30, FW30))</formula>
    </cfRule>
  </conditionalFormatting>
  <conditionalFormatting sqref="FK30">
    <cfRule type="expression" dxfId="1" priority="691">
      <formula>AND(BX30&gt;=3,FK30&lt;&gt;0, GetEquPower(BE30,BR30, DK30, FW30)=0)</formula>
    </cfRule>
    <cfRule type="expression" dxfId="0" priority="692">
      <formula>AND(BX30&gt;=3,FK30&lt;&gt;GetEquPower(BE30,BR30, DK30, FW30))</formula>
    </cfRule>
  </conditionalFormatting>
  <conditionalFormatting sqref="FL30">
    <cfRule type="expression" dxfId="1" priority="703">
      <formula>AND(BX30&gt;=4,FL30&lt;&gt;0, GetEquPower(BE30,BR30, DL30, FW30)=0)</formula>
    </cfRule>
    <cfRule type="expression" dxfId="0" priority="704">
      <formula>AND(BX30&gt;=4,FL30&lt;&gt;GetEquPower(BE30,BR30, DL30, FW30))</formula>
    </cfRule>
  </conditionalFormatting>
  <conditionalFormatting sqref="FM30">
    <cfRule type="expression" dxfId="1" priority="725">
      <formula>AND(BX30&gt;=5,FM30&lt;&gt;0, GetEquPower(BE30,BR30, DM30, FW30)=0)</formula>
    </cfRule>
    <cfRule type="expression" dxfId="0" priority="726">
      <formula>AND(BX30&gt;=5,FM30&lt;&gt;GetEquPower(BE30,BR30, DM30, FW30))</formula>
    </cfRule>
  </conditionalFormatting>
  <conditionalFormatting sqref="FN30">
    <cfRule type="expression" dxfId="1" priority="727">
      <formula>AND(BX30&gt;=6,FN30&lt;&gt;0, GetEquPower(BE30,BR30, DN30, FW30)=0)</formula>
    </cfRule>
    <cfRule type="expression" dxfId="0" priority="728">
      <formula>AND(BX30&gt;=6,FN30&lt;&gt;GetEquPower(BE30,BR30, DN30, FW30))</formula>
    </cfRule>
  </conditionalFormatting>
  <conditionalFormatting sqref="F31">
    <cfRule type="expression" dxfId="72" priority="575">
      <formula>F31&lt;&gt;RIGHT(SUBSTITUTE(TRIM(E31),".",""),LEN(F31))</formula>
    </cfRule>
  </conditionalFormatting>
  <conditionalFormatting sqref="BS31">
    <cfRule type="expression" dxfId="72" priority="574">
      <formula>AND(J31&gt;=1,BS31&lt;1)</formula>
    </cfRule>
  </conditionalFormatting>
  <conditionalFormatting sqref="BT31">
    <cfRule type="expression" dxfId="72" priority="573">
      <formula>AND(J31&gt;=2,BT31&lt;1)</formula>
    </cfRule>
  </conditionalFormatting>
  <conditionalFormatting sqref="BU31">
    <cfRule type="expression" dxfId="72" priority="571">
      <formula>AND(J31&gt;=3,BU31&lt;1)</formula>
    </cfRule>
  </conditionalFormatting>
  <conditionalFormatting sqref="BV31">
    <cfRule type="expression" dxfId="72" priority="570">
      <formula>AND(J31&gt;=4,BV31&lt;1)</formula>
    </cfRule>
  </conditionalFormatting>
  <conditionalFormatting sqref="BW31">
    <cfRule type="expression" dxfId="72" priority="572">
      <formula>AND(J31&gt;=5,BW31&lt;1)</formula>
    </cfRule>
  </conditionalFormatting>
  <conditionalFormatting sqref="BX31">
    <cfRule type="expression" dxfId="72" priority="569">
      <formula>AND(J31&gt;=6,BX31&lt;1)</formula>
    </cfRule>
  </conditionalFormatting>
  <conditionalFormatting sqref="IC31">
    <cfRule type="expression" dxfId="72" priority="648">
      <formula>AND($S31 = TRUE, $IC31&lt;&gt;OptionsUnitCode)</formula>
    </cfRule>
  </conditionalFormatting>
  <conditionalFormatting sqref="B31:II31">
    <cfRule type="containsErrors" dxfId="72" priority="568">
      <formula>ISERROR(B31)</formula>
    </cfRule>
  </conditionalFormatting>
  <conditionalFormatting sqref="DP31">
    <cfRule type="expression" dxfId="1" priority="576">
      <formula>AND(BS31&gt;=1,DP31&lt;&gt;0, GetEquPower(AZ31,BM31, BZ31, FR31)=0)</formula>
    </cfRule>
    <cfRule type="expression" dxfId="0" priority="577">
      <formula>AND(BS31&gt;=1,DP31&lt;&gt;GetEquPower(AZ31,BM31, BZ31, FR31))</formula>
    </cfRule>
  </conditionalFormatting>
  <conditionalFormatting sqref="DQ31">
    <cfRule type="expression" dxfId="1" priority="578">
      <formula>AND(BS31&gt;=2,DQ31&lt;&gt;0, GetEquPower(AZ31,BM31, CA31, FR31)=0)</formula>
    </cfRule>
    <cfRule type="expression" dxfId="0" priority="579">
      <formula>AND(BS31&gt;=2,DQ31&lt;&gt;GetEquPower(AZ31,BM31, CA31, FR31))</formula>
    </cfRule>
  </conditionalFormatting>
  <conditionalFormatting sqref="DR31">
    <cfRule type="expression" dxfId="1" priority="580">
      <formula>AND(BS31&gt;=3,DR31&lt;&gt;0, GetEquPower(AZ31,BM31, CB31, FR31)=0)</formula>
    </cfRule>
    <cfRule type="expression" dxfId="0" priority="581">
      <formula>AND(BS31&gt;=3,DR31&lt;&gt;GetEquPower(AZ31,BM31, CB31, FR31))</formula>
    </cfRule>
  </conditionalFormatting>
  <conditionalFormatting sqref="DS31">
    <cfRule type="expression" dxfId="1" priority="612">
      <formula>AND(BS31&gt;=4,DS31&lt;&gt;0, GetEquPower(AZ31,BM31, CC31, FR31)=0)</formula>
    </cfRule>
    <cfRule type="expression" dxfId="0" priority="613">
      <formula>AND(BS31&gt;=4, DS31&lt;&gt;GetEquPower(AZ31,BM31, CC31, FR31))</formula>
    </cfRule>
  </conditionalFormatting>
  <conditionalFormatting sqref="DT31">
    <cfRule type="expression" dxfId="1" priority="624">
      <formula>AND(BS31&gt;=5,DT31&lt;&gt;0, GetEquPower(AZ31,BM31, CD31, FR31)=0)</formula>
    </cfRule>
    <cfRule type="expression" dxfId="0" priority="625">
      <formula>AND(BS31&gt;=5, DT31&lt;&gt;GetEquPower(AZ31,BM31, CD31, FR31))</formula>
    </cfRule>
  </conditionalFormatting>
  <conditionalFormatting sqref="DU31">
    <cfRule type="expression" dxfId="1" priority="626">
      <formula>AND(BS31&gt;=6,DU31&lt;&gt;0, GetEquPower(AZ31,BM31, CE31, FR31)=0)</formula>
    </cfRule>
    <cfRule type="expression" dxfId="0" priority="627">
      <formula>AND(BS31&gt;=6, DU31&lt;&gt;GetEquPower(AZ31,BM31, CE31, FR31))</formula>
    </cfRule>
  </conditionalFormatting>
  <conditionalFormatting sqref="DY31">
    <cfRule type="expression" dxfId="1" priority="582">
      <formula>AND(BT31&gt;=1,DY31&lt;&gt;0, GetEquPower(BA31,BN31, CG31, FS31)=0)</formula>
    </cfRule>
    <cfRule type="expression" dxfId="0" priority="583">
      <formula>AND(BT31&gt;=1,DY31&lt;&gt;GetEquPower(BA31,BN31, CG31, FS31))</formula>
    </cfRule>
  </conditionalFormatting>
  <conditionalFormatting sqref="DZ31">
    <cfRule type="expression" dxfId="1" priority="584">
      <formula>AND(BT31&gt;=2,DZ31&lt;&gt;0, GetEquPower(BA31,BN31, CH31, FS31)=0)</formula>
    </cfRule>
    <cfRule type="expression" dxfId="0" priority="585">
      <formula>AND(BT31&gt;=2,DZ31&lt;&gt;GetEquPower(BA31,BN31, CH31, FS31))</formula>
    </cfRule>
  </conditionalFormatting>
  <conditionalFormatting sqref="EA31">
    <cfRule type="expression" dxfId="1" priority="586">
      <formula>AND(BT31&gt;=3,EA31&lt;&gt;0, GetEquPower(BA31,BN31, CI31, FS31)=0)</formula>
    </cfRule>
    <cfRule type="expression" dxfId="0" priority="587">
      <formula>AND(BT31&gt;=3,EA31&lt;&gt;GetEquPower(BA31,BN31, CI31, FS31))</formula>
    </cfRule>
  </conditionalFormatting>
  <conditionalFormatting sqref="EB31">
    <cfRule type="expression" dxfId="1" priority="614">
      <formula>AND(BT31&gt;=4,EB31&lt;&gt;0, GetEquPower(BA31,BN31, CJ31, FS31)=0)</formula>
    </cfRule>
    <cfRule type="expression" dxfId="0" priority="615">
      <formula>AND(BT31&gt;=4,EB31&lt;&gt;GetEquPower(BA31,BN31, CJ31, FS31))</formula>
    </cfRule>
  </conditionalFormatting>
  <conditionalFormatting sqref="EC31">
    <cfRule type="expression" dxfId="1" priority="628">
      <formula>AND(BT31&gt;=5,EC31&lt;&gt;0, GetEquPower(BA31,BN31, CK31, FS31)=0)</formula>
    </cfRule>
    <cfRule type="expression" dxfId="0" priority="629">
      <formula>AND(BT31&gt;=5,EC31&lt;&gt;GetEquPower(BA31,BN31, CK31, FS31))</formula>
    </cfRule>
  </conditionalFormatting>
  <conditionalFormatting sqref="ED31">
    <cfRule type="expression" dxfId="1" priority="630">
      <formula>AND(BT31&gt;=6,ED31&lt;&gt;0, GetEquPower(BA31,BN31, CL31, FS31)=0)</formula>
    </cfRule>
    <cfRule type="expression" dxfId="0" priority="631">
      <formula>AND(BT31&gt;=6,ED31&lt;&gt;GetEquPower(BA31,BN31, CL31, FS31))</formula>
    </cfRule>
  </conditionalFormatting>
  <conditionalFormatting sqref="EH31">
    <cfRule type="expression" dxfId="1" priority="588">
      <formula>AND(BU31&gt;=1,EH31&lt;&gt;0, GetEquPower(BB31,BO31, CN31, FT31)=0)</formula>
    </cfRule>
    <cfRule type="expression" dxfId="0" priority="589">
      <formula>AND(BU31&gt;=1,EH31&lt;&gt;GetEquPower(BB31,BO31, CN31, FT31))</formula>
    </cfRule>
  </conditionalFormatting>
  <conditionalFormatting sqref="EI31">
    <cfRule type="expression" dxfId="1" priority="590">
      <formula>AND(BU31&gt;=2,EI31&lt;&gt;0, GetEquPower(BB31,BO31, CO31, FT31)=0)</formula>
    </cfRule>
    <cfRule type="expression" dxfId="0" priority="591">
      <formula xml:space="preserve"> AND(BU31&gt;=2,EI31&lt;&gt;GetEquPower(BB31,BO31, CO31, FT31))</formula>
    </cfRule>
  </conditionalFormatting>
  <conditionalFormatting sqref="EJ31">
    <cfRule type="expression" dxfId="1" priority="592">
      <formula>AND(BU31&gt;=3,EJ31&lt;&gt;0, GetEquPower(BB31,BO31, CP31, FT31)=0)</formula>
    </cfRule>
    <cfRule type="expression" dxfId="0" priority="593">
      <formula xml:space="preserve"> AND(BU31&gt;=3,EJ31&lt;&gt;GetEquPower(BB31,BO31, CP31, FT31))</formula>
    </cfRule>
  </conditionalFormatting>
  <conditionalFormatting sqref="EK31">
    <cfRule type="expression" dxfId="1" priority="616">
      <formula>AND(BU31&gt;=4,EK31&lt;&gt;0, GetEquPower(BB31,BO31, CQ31, FT31)=0)</formula>
    </cfRule>
    <cfRule type="expression" dxfId="0" priority="617">
      <formula xml:space="preserve"> AND(BU31&gt;=4,EK31&lt;&gt;GetEquPower(BB31,BO31, CQ31, FT31))</formula>
    </cfRule>
  </conditionalFormatting>
  <conditionalFormatting sqref="EL31">
    <cfRule type="expression" dxfId="1" priority="632">
      <formula>AND(BU31&gt;=5,EL31&lt;&gt;0, GetEquPower(BB31,BO31, CR31, FT31)=0)</formula>
    </cfRule>
    <cfRule type="expression" dxfId="0" priority="633">
      <formula xml:space="preserve"> AND(BU31&gt;=5,EL31&lt;&gt;GetEquPower(BB31,BO31, CR31, FT31))</formula>
    </cfRule>
  </conditionalFormatting>
  <conditionalFormatting sqref="EM31">
    <cfRule type="expression" dxfId="1" priority="634">
      <formula>AND(BU31&gt;=6,EM31&lt;&gt;0, GetEquPower(BB31,BO31, CS31, FT31)=0)</formula>
    </cfRule>
    <cfRule type="expression" dxfId="0" priority="635">
      <formula xml:space="preserve"> AND(BU31&gt;=6,EM31&lt;&gt;GetEquPower(BB31,BO31, CS31, FT31))</formula>
    </cfRule>
  </conditionalFormatting>
  <conditionalFormatting sqref="EQ31">
    <cfRule type="expression" dxfId="1" priority="594">
      <formula>AND(BV31&gt;=1,EQ31&lt;&gt;0, GetEquPower(BC31,BP31, CU31, FU31)=0)</formula>
    </cfRule>
    <cfRule type="expression" dxfId="0" priority="595">
      <formula>AND(BV31&gt;=1,EQ31&lt;&gt;GetEquPower(BC31,BP31, CU31, FU31))</formula>
    </cfRule>
  </conditionalFormatting>
  <conditionalFormatting sqref="ER31">
    <cfRule type="expression" dxfId="1" priority="596">
      <formula>AND(BV31&gt;=2,ER31&lt;&gt;0, GetEquPower(BC31,BP31, CV31, FU31)=0)</formula>
    </cfRule>
    <cfRule type="expression" dxfId="0" priority="597">
      <formula>AND(BV31&gt;=2,ER31&lt;&gt;GetEquPower(BC31,BP31, CV31, FU31))</formula>
    </cfRule>
  </conditionalFormatting>
  <conditionalFormatting sqref="ES31">
    <cfRule type="expression" dxfId="1" priority="598">
      <formula>AND(BV31&gt;=3,ES31&lt;&gt;0, GetEquPower(BC31,BP31, CW31, FU31)=0)</formula>
    </cfRule>
    <cfRule type="expression" dxfId="0" priority="599">
      <formula>AND(BV31&gt;=3,ES31&lt;&gt;GetEquPower(BC31,BP31, CW31, FU31))</formula>
    </cfRule>
  </conditionalFormatting>
  <conditionalFormatting sqref="ET31">
    <cfRule type="expression" dxfId="1" priority="618">
      <formula>AND(BV31&gt;=4,ET31&lt;&gt;0, GetEquPower(BC31,BP31, CX31, FU31)=0)</formula>
    </cfRule>
    <cfRule type="expression" dxfId="0" priority="619">
      <formula>AND(BV31&gt;=4,ET31&lt;&gt;GetEquPower(BC31,BP31, CX31, FU31))</formula>
    </cfRule>
  </conditionalFormatting>
  <conditionalFormatting sqref="EU31">
    <cfRule type="expression" dxfId="1" priority="636">
      <formula>AND(BV31&gt;=5,EU31&lt;&gt;0, GetEquPower(BC31,BP31, CY31, FU31)=0)</formula>
    </cfRule>
    <cfRule type="expression" dxfId="0" priority="637">
      <formula>AND(BV31&gt;=5,EU31&lt;&gt;GetEquPower(BC31,BP31, CY31, FU31))</formula>
    </cfRule>
  </conditionalFormatting>
  <conditionalFormatting sqref="EV31">
    <cfRule type="expression" dxfId="1" priority="638">
      <formula>AND(BV31&gt;=6,EV31&lt;&gt;0, GetEquPower(BC31,BP31, CZ31, FU31)=0)</formula>
    </cfRule>
    <cfRule type="expression" dxfId="0" priority="639">
      <formula>AND(BV31&gt;=6,EV31&lt;&gt;GetEquPower(BC31,BP31, CZ31, FU31))</formula>
    </cfRule>
  </conditionalFormatting>
  <conditionalFormatting sqref="EZ31">
    <cfRule type="expression" dxfId="1" priority="600">
      <formula>AND(BW31&gt;=1,EZ31&lt;&gt;0, GetEquPower(BD31,BQ31, DB31, FV31)=0)</formula>
    </cfRule>
    <cfRule type="expression" dxfId="0" priority="601">
      <formula>AND(BW31&gt;=1,EZ31&lt;&gt;GetEquPower(BD31,BQ31, DB31, FV31))</formula>
    </cfRule>
  </conditionalFormatting>
  <conditionalFormatting sqref="FA31">
    <cfRule type="expression" dxfId="1" priority="602">
      <formula>AND(BW31&gt;=2,FA31&lt;&gt;0, GetEquPower(BD31,BQ31, DC31, FV31)=0)</formula>
    </cfRule>
    <cfRule type="expression" dxfId="0" priority="603">
      <formula>AND(BW31&gt;=2,FA31&lt;&gt;GetEquPower(BD31,BQ31, DC31, FV31))</formula>
    </cfRule>
  </conditionalFormatting>
  <conditionalFormatting sqref="FB31">
    <cfRule type="expression" dxfId="1" priority="604">
      <formula>AND(BW31&gt;=3,FB31&lt;&gt;0, GetEquPower(BD31,BQ31, DD31, FV31)=0)</formula>
    </cfRule>
    <cfRule type="expression" dxfId="0" priority="605">
      <formula>AND(BW31&gt;=3,FB31&lt;&gt;GetEquPower(BD31,BQ31, DD31, FV31))</formula>
    </cfRule>
  </conditionalFormatting>
  <conditionalFormatting sqref="FC31">
    <cfRule type="expression" dxfId="1" priority="620">
      <formula>AND(BW31&gt;=4,FC31&lt;&gt;0, GetEquPower(BD31,BQ31, DE31, FV31)=0)</formula>
    </cfRule>
    <cfRule type="expression" dxfId="0" priority="621">
      <formula>AND(BW31&gt;=4,FC31&lt;&gt;GetEquPower(BD31,BQ31, DE31, FV31))</formula>
    </cfRule>
  </conditionalFormatting>
  <conditionalFormatting sqref="FD31">
    <cfRule type="expression" dxfId="1" priority="640">
      <formula>AND(BW31&gt;=5,FD31&lt;&gt;0, GetEquPower(BD31,BQ31, DF31, FV31)=0)</formula>
    </cfRule>
    <cfRule type="expression" dxfId="0" priority="641">
      <formula>AND(BW31&gt;=5,FD31&lt;&gt;GetEquPower(BD31,BQ31, DF31, FV31))</formula>
    </cfRule>
  </conditionalFormatting>
  <conditionalFormatting sqref="FE31">
    <cfRule type="expression" dxfId="1" priority="642">
      <formula>AND(BW31&gt;=6,FE31&lt;&gt;0, GetEquPower(BD31,BQ31, DG31, FV31)=0)</formula>
    </cfRule>
    <cfRule type="expression" dxfId="0" priority="643">
      <formula>AND(BW31&gt;=6,FE31&lt;&gt;GetEquPower(BD31,BQ31, DG31, FV31))</formula>
    </cfRule>
  </conditionalFormatting>
  <conditionalFormatting sqref="FI31">
    <cfRule type="expression" dxfId="1" priority="606">
      <formula>AND(BX31&gt;=1,FI31&lt;&gt;0, GetEquPower(BE31,BR31, DI31, FW31)=0)</formula>
    </cfRule>
    <cfRule type="expression" dxfId="0" priority="607">
      <formula>AND(BX31&gt;=1,FI31&lt;&gt;GetEquPower(BE31,BR31, DI31, FW31))</formula>
    </cfRule>
  </conditionalFormatting>
  <conditionalFormatting sqref="FJ31">
    <cfRule type="expression" dxfId="1" priority="608">
      <formula>AND(BX31&gt;=2,FJ31&lt;&gt;0, GetEquPower(BE31,BR31, DJ31, FW31)=0)</formula>
    </cfRule>
    <cfRule type="expression" dxfId="0" priority="609">
      <formula>AND(BX31&gt;=2,FJ31&lt;&gt;GetEquPower(BE31,BR31, DJ31, FW31))</formula>
    </cfRule>
  </conditionalFormatting>
  <conditionalFormatting sqref="FK31">
    <cfRule type="expression" dxfId="1" priority="610">
      <formula>AND(BX31&gt;=3,FK31&lt;&gt;0, GetEquPower(BE31,BR31, DK31, FW31)=0)</formula>
    </cfRule>
    <cfRule type="expression" dxfId="0" priority="611">
      <formula>AND(BX31&gt;=3,FK31&lt;&gt;GetEquPower(BE31,BR31, DK31, FW31))</formula>
    </cfRule>
  </conditionalFormatting>
  <conditionalFormatting sqref="FL31">
    <cfRule type="expression" dxfId="1" priority="622">
      <formula>AND(BX31&gt;=4,FL31&lt;&gt;0, GetEquPower(BE31,BR31, DL31, FW31)=0)</formula>
    </cfRule>
    <cfRule type="expression" dxfId="0" priority="623">
      <formula>AND(BX31&gt;=4,FL31&lt;&gt;GetEquPower(BE31,BR31, DL31, FW31))</formula>
    </cfRule>
  </conditionalFormatting>
  <conditionalFormatting sqref="FM31">
    <cfRule type="expression" dxfId="1" priority="644">
      <formula>AND(BX31&gt;=5,FM31&lt;&gt;0, GetEquPower(BE31,BR31, DM31, FW31)=0)</formula>
    </cfRule>
    <cfRule type="expression" dxfId="0" priority="645">
      <formula>AND(BX31&gt;=5,FM31&lt;&gt;GetEquPower(BE31,BR31, DM31, FW31))</formula>
    </cfRule>
  </conditionalFormatting>
  <conditionalFormatting sqref="FN31">
    <cfRule type="expression" dxfId="1" priority="646">
      <formula>AND(BX31&gt;=6,FN31&lt;&gt;0, GetEquPower(BE31,BR31, DN31, FW31)=0)</formula>
    </cfRule>
    <cfRule type="expression" dxfId="0" priority="647">
      <formula>AND(BX31&gt;=6,FN31&lt;&gt;GetEquPower(BE31,BR31, DN31, FW31))</formula>
    </cfRule>
  </conditionalFormatting>
  <conditionalFormatting sqref="F32">
    <cfRule type="expression" dxfId="72" priority="494">
      <formula>F32&lt;&gt;RIGHT(SUBSTITUTE(TRIM(E32),".",""),LEN(F32))</formula>
    </cfRule>
  </conditionalFormatting>
  <conditionalFormatting sqref="BS32">
    <cfRule type="expression" dxfId="72" priority="493">
      <formula>AND(J32&gt;=1,BS32&lt;1)</formula>
    </cfRule>
  </conditionalFormatting>
  <conditionalFormatting sqref="BT32">
    <cfRule type="expression" dxfId="72" priority="492">
      <formula>AND(J32&gt;=2,BT32&lt;1)</formula>
    </cfRule>
  </conditionalFormatting>
  <conditionalFormatting sqref="BU32">
    <cfRule type="expression" dxfId="72" priority="490">
      <formula>AND(J32&gt;=3,BU32&lt;1)</formula>
    </cfRule>
  </conditionalFormatting>
  <conditionalFormatting sqref="BV32">
    <cfRule type="expression" dxfId="72" priority="489">
      <formula>AND(J32&gt;=4,BV32&lt;1)</formula>
    </cfRule>
  </conditionalFormatting>
  <conditionalFormatting sqref="BW32">
    <cfRule type="expression" dxfId="72" priority="491">
      <formula>AND(J32&gt;=5,BW32&lt;1)</formula>
    </cfRule>
  </conditionalFormatting>
  <conditionalFormatting sqref="BX32">
    <cfRule type="expression" dxfId="72" priority="488">
      <formula>AND(J32&gt;=6,BX32&lt;1)</formula>
    </cfRule>
  </conditionalFormatting>
  <conditionalFormatting sqref="IC32">
    <cfRule type="expression" dxfId="72" priority="567">
      <formula>AND($S32 = TRUE, $IC32&lt;&gt;OptionsUnitCode)</formula>
    </cfRule>
  </conditionalFormatting>
  <conditionalFormatting sqref="B32:II32">
    <cfRule type="containsErrors" dxfId="72" priority="487">
      <formula>ISERROR(B32)</formula>
    </cfRule>
  </conditionalFormatting>
  <conditionalFormatting sqref="DP32">
    <cfRule type="expression" dxfId="1" priority="495">
      <formula>AND(BS32&gt;=1,DP32&lt;&gt;0, GetEquPower(AZ32,BM32, BZ32, FR32)=0)</formula>
    </cfRule>
    <cfRule type="expression" dxfId="0" priority="496">
      <formula>AND(BS32&gt;=1,DP32&lt;&gt;GetEquPower(AZ32,BM32, BZ32, FR32))</formula>
    </cfRule>
  </conditionalFormatting>
  <conditionalFormatting sqref="DQ32">
    <cfRule type="expression" dxfId="1" priority="497">
      <formula>AND(BS32&gt;=2,DQ32&lt;&gt;0, GetEquPower(AZ32,BM32, CA32, FR32)=0)</formula>
    </cfRule>
    <cfRule type="expression" dxfId="0" priority="498">
      <formula>AND(BS32&gt;=2,DQ32&lt;&gt;GetEquPower(AZ32,BM32, CA32, FR32))</formula>
    </cfRule>
  </conditionalFormatting>
  <conditionalFormatting sqref="DR32">
    <cfRule type="expression" dxfId="1" priority="499">
      <formula>AND(BS32&gt;=3,DR32&lt;&gt;0, GetEquPower(AZ32,BM32, CB32, FR32)=0)</formula>
    </cfRule>
    <cfRule type="expression" dxfId="0" priority="500">
      <formula>AND(BS32&gt;=3,DR32&lt;&gt;GetEquPower(AZ32,BM32, CB32, FR32))</formula>
    </cfRule>
  </conditionalFormatting>
  <conditionalFormatting sqref="DS32">
    <cfRule type="expression" dxfId="1" priority="531">
      <formula>AND(BS32&gt;=4,DS32&lt;&gt;0, GetEquPower(AZ32,BM32, CC32, FR32)=0)</formula>
    </cfRule>
    <cfRule type="expression" dxfId="0" priority="532">
      <formula>AND(BS32&gt;=4, DS32&lt;&gt;GetEquPower(AZ32,BM32, CC32, FR32))</formula>
    </cfRule>
  </conditionalFormatting>
  <conditionalFormatting sqref="DT32">
    <cfRule type="expression" dxfId="1" priority="543">
      <formula>AND(BS32&gt;=5,DT32&lt;&gt;0, GetEquPower(AZ32,BM32, CD32, FR32)=0)</formula>
    </cfRule>
    <cfRule type="expression" dxfId="0" priority="544">
      <formula>AND(BS32&gt;=5, DT32&lt;&gt;GetEquPower(AZ32,BM32, CD32, FR32))</formula>
    </cfRule>
  </conditionalFormatting>
  <conditionalFormatting sqref="DU32">
    <cfRule type="expression" dxfId="1" priority="545">
      <formula>AND(BS32&gt;=6,DU32&lt;&gt;0, GetEquPower(AZ32,BM32, CE32, FR32)=0)</formula>
    </cfRule>
    <cfRule type="expression" dxfId="0" priority="546">
      <formula>AND(BS32&gt;=6, DU32&lt;&gt;GetEquPower(AZ32,BM32, CE32, FR32))</formula>
    </cfRule>
  </conditionalFormatting>
  <conditionalFormatting sqref="DY32">
    <cfRule type="expression" dxfId="1" priority="501">
      <formula>AND(BT32&gt;=1,DY32&lt;&gt;0, GetEquPower(BA32,BN32, CG32, FS32)=0)</formula>
    </cfRule>
    <cfRule type="expression" dxfId="0" priority="502">
      <formula>AND(BT32&gt;=1,DY32&lt;&gt;GetEquPower(BA32,BN32, CG32, FS32))</formula>
    </cfRule>
  </conditionalFormatting>
  <conditionalFormatting sqref="DZ32">
    <cfRule type="expression" dxfId="1" priority="503">
      <formula>AND(BT32&gt;=2,DZ32&lt;&gt;0, GetEquPower(BA32,BN32, CH32, FS32)=0)</formula>
    </cfRule>
    <cfRule type="expression" dxfId="0" priority="504">
      <formula>AND(BT32&gt;=2,DZ32&lt;&gt;GetEquPower(BA32,BN32, CH32, FS32))</formula>
    </cfRule>
  </conditionalFormatting>
  <conditionalFormatting sqref="EA32">
    <cfRule type="expression" dxfId="1" priority="505">
      <formula>AND(BT32&gt;=3,EA32&lt;&gt;0, GetEquPower(BA32,BN32, CI32, FS32)=0)</formula>
    </cfRule>
    <cfRule type="expression" dxfId="0" priority="506">
      <formula>AND(BT32&gt;=3,EA32&lt;&gt;GetEquPower(BA32,BN32, CI32, FS32))</formula>
    </cfRule>
  </conditionalFormatting>
  <conditionalFormatting sqref="EB32">
    <cfRule type="expression" dxfId="1" priority="533">
      <formula>AND(BT32&gt;=4,EB32&lt;&gt;0, GetEquPower(BA32,BN32, CJ32, FS32)=0)</formula>
    </cfRule>
    <cfRule type="expression" dxfId="0" priority="534">
      <formula>AND(BT32&gt;=4,EB32&lt;&gt;GetEquPower(BA32,BN32, CJ32, FS32))</formula>
    </cfRule>
  </conditionalFormatting>
  <conditionalFormatting sqref="EC32">
    <cfRule type="expression" dxfId="1" priority="547">
      <formula>AND(BT32&gt;=5,EC32&lt;&gt;0, GetEquPower(BA32,BN32, CK32, FS32)=0)</formula>
    </cfRule>
    <cfRule type="expression" dxfId="0" priority="548">
      <formula>AND(BT32&gt;=5,EC32&lt;&gt;GetEquPower(BA32,BN32, CK32, FS32))</formula>
    </cfRule>
  </conditionalFormatting>
  <conditionalFormatting sqref="ED32">
    <cfRule type="expression" dxfId="1" priority="549">
      <formula>AND(BT32&gt;=6,ED32&lt;&gt;0, GetEquPower(BA32,BN32, CL32, FS32)=0)</formula>
    </cfRule>
    <cfRule type="expression" dxfId="0" priority="550">
      <formula>AND(BT32&gt;=6,ED32&lt;&gt;GetEquPower(BA32,BN32, CL32, FS32))</formula>
    </cfRule>
  </conditionalFormatting>
  <conditionalFormatting sqref="EH32">
    <cfRule type="expression" dxfId="1" priority="507">
      <formula>AND(BU32&gt;=1,EH32&lt;&gt;0, GetEquPower(BB32,BO32, CN32, FT32)=0)</formula>
    </cfRule>
    <cfRule type="expression" dxfId="0" priority="508">
      <formula>AND(BU32&gt;=1,EH32&lt;&gt;GetEquPower(BB32,BO32, CN32, FT32))</formula>
    </cfRule>
  </conditionalFormatting>
  <conditionalFormatting sqref="EI32">
    <cfRule type="expression" dxfId="1" priority="509">
      <formula>AND(BU32&gt;=2,EI32&lt;&gt;0, GetEquPower(BB32,BO32, CO32, FT32)=0)</formula>
    </cfRule>
    <cfRule type="expression" dxfId="0" priority="510">
      <formula xml:space="preserve"> AND(BU32&gt;=2,EI32&lt;&gt;GetEquPower(BB32,BO32, CO32, FT32))</formula>
    </cfRule>
  </conditionalFormatting>
  <conditionalFormatting sqref="EJ32">
    <cfRule type="expression" dxfId="1" priority="511">
      <formula>AND(BU32&gt;=3,EJ32&lt;&gt;0, GetEquPower(BB32,BO32, CP32, FT32)=0)</formula>
    </cfRule>
    <cfRule type="expression" dxfId="0" priority="512">
      <formula xml:space="preserve"> AND(BU32&gt;=3,EJ32&lt;&gt;GetEquPower(BB32,BO32, CP32, FT32))</formula>
    </cfRule>
  </conditionalFormatting>
  <conditionalFormatting sqref="EK32">
    <cfRule type="expression" dxfId="1" priority="535">
      <formula>AND(BU32&gt;=4,EK32&lt;&gt;0, GetEquPower(BB32,BO32, CQ32, FT32)=0)</formula>
    </cfRule>
    <cfRule type="expression" dxfId="0" priority="536">
      <formula xml:space="preserve"> AND(BU32&gt;=4,EK32&lt;&gt;GetEquPower(BB32,BO32, CQ32, FT32))</formula>
    </cfRule>
  </conditionalFormatting>
  <conditionalFormatting sqref="EL32">
    <cfRule type="expression" dxfId="1" priority="551">
      <formula>AND(BU32&gt;=5,EL32&lt;&gt;0, GetEquPower(BB32,BO32, CR32, FT32)=0)</formula>
    </cfRule>
    <cfRule type="expression" dxfId="0" priority="552">
      <formula xml:space="preserve"> AND(BU32&gt;=5,EL32&lt;&gt;GetEquPower(BB32,BO32, CR32, FT32))</formula>
    </cfRule>
  </conditionalFormatting>
  <conditionalFormatting sqref="EM32">
    <cfRule type="expression" dxfId="1" priority="553">
      <formula>AND(BU32&gt;=6,EM32&lt;&gt;0, GetEquPower(BB32,BO32, CS32, FT32)=0)</formula>
    </cfRule>
    <cfRule type="expression" dxfId="0" priority="554">
      <formula xml:space="preserve"> AND(BU32&gt;=6,EM32&lt;&gt;GetEquPower(BB32,BO32, CS32, FT32))</formula>
    </cfRule>
  </conditionalFormatting>
  <conditionalFormatting sqref="EQ32">
    <cfRule type="expression" dxfId="1" priority="513">
      <formula>AND(BV32&gt;=1,EQ32&lt;&gt;0, GetEquPower(BC32,BP32, CU32, FU32)=0)</formula>
    </cfRule>
    <cfRule type="expression" dxfId="0" priority="514">
      <formula>AND(BV32&gt;=1,EQ32&lt;&gt;GetEquPower(BC32,BP32, CU32, FU32))</formula>
    </cfRule>
  </conditionalFormatting>
  <conditionalFormatting sqref="ER32">
    <cfRule type="expression" dxfId="1" priority="515">
      <formula>AND(BV32&gt;=2,ER32&lt;&gt;0, GetEquPower(BC32,BP32, CV32, FU32)=0)</formula>
    </cfRule>
    <cfRule type="expression" dxfId="0" priority="516">
      <formula>AND(BV32&gt;=2,ER32&lt;&gt;GetEquPower(BC32,BP32, CV32, FU32))</formula>
    </cfRule>
  </conditionalFormatting>
  <conditionalFormatting sqref="ES32">
    <cfRule type="expression" dxfId="1" priority="517">
      <formula>AND(BV32&gt;=3,ES32&lt;&gt;0, GetEquPower(BC32,BP32, CW32, FU32)=0)</formula>
    </cfRule>
    <cfRule type="expression" dxfId="0" priority="518">
      <formula>AND(BV32&gt;=3,ES32&lt;&gt;GetEquPower(BC32,BP32, CW32, FU32))</formula>
    </cfRule>
  </conditionalFormatting>
  <conditionalFormatting sqref="ET32">
    <cfRule type="expression" dxfId="1" priority="537">
      <formula>AND(BV32&gt;=4,ET32&lt;&gt;0, GetEquPower(BC32,BP32, CX32, FU32)=0)</formula>
    </cfRule>
    <cfRule type="expression" dxfId="0" priority="538">
      <formula>AND(BV32&gt;=4,ET32&lt;&gt;GetEquPower(BC32,BP32, CX32, FU32))</formula>
    </cfRule>
  </conditionalFormatting>
  <conditionalFormatting sqref="EU32">
    <cfRule type="expression" dxfId="1" priority="555">
      <formula>AND(BV32&gt;=5,EU32&lt;&gt;0, GetEquPower(BC32,BP32, CY32, FU32)=0)</formula>
    </cfRule>
    <cfRule type="expression" dxfId="0" priority="556">
      <formula>AND(BV32&gt;=5,EU32&lt;&gt;GetEquPower(BC32,BP32, CY32, FU32))</formula>
    </cfRule>
  </conditionalFormatting>
  <conditionalFormatting sqref="EV32">
    <cfRule type="expression" dxfId="1" priority="557">
      <formula>AND(BV32&gt;=6,EV32&lt;&gt;0, GetEquPower(BC32,BP32, CZ32, FU32)=0)</formula>
    </cfRule>
    <cfRule type="expression" dxfId="0" priority="558">
      <formula>AND(BV32&gt;=6,EV32&lt;&gt;GetEquPower(BC32,BP32, CZ32, FU32))</formula>
    </cfRule>
  </conditionalFormatting>
  <conditionalFormatting sqref="EZ32">
    <cfRule type="expression" dxfId="1" priority="519">
      <formula>AND(BW32&gt;=1,EZ32&lt;&gt;0, GetEquPower(BD32,BQ32, DB32, FV32)=0)</formula>
    </cfRule>
    <cfRule type="expression" dxfId="0" priority="520">
      <formula>AND(BW32&gt;=1,EZ32&lt;&gt;GetEquPower(BD32,BQ32, DB32, FV32))</formula>
    </cfRule>
  </conditionalFormatting>
  <conditionalFormatting sqref="FA32">
    <cfRule type="expression" dxfId="1" priority="521">
      <formula>AND(BW32&gt;=2,FA32&lt;&gt;0, GetEquPower(BD32,BQ32, DC32, FV32)=0)</formula>
    </cfRule>
    <cfRule type="expression" dxfId="0" priority="522">
      <formula>AND(BW32&gt;=2,FA32&lt;&gt;GetEquPower(BD32,BQ32, DC32, FV32))</formula>
    </cfRule>
  </conditionalFormatting>
  <conditionalFormatting sqref="FB32">
    <cfRule type="expression" dxfId="1" priority="523">
      <formula>AND(BW32&gt;=3,FB32&lt;&gt;0, GetEquPower(BD32,BQ32, DD32, FV32)=0)</formula>
    </cfRule>
    <cfRule type="expression" dxfId="0" priority="524">
      <formula>AND(BW32&gt;=3,FB32&lt;&gt;GetEquPower(BD32,BQ32, DD32, FV32))</formula>
    </cfRule>
  </conditionalFormatting>
  <conditionalFormatting sqref="FC32">
    <cfRule type="expression" dxfId="1" priority="539">
      <formula>AND(BW32&gt;=4,FC32&lt;&gt;0, GetEquPower(BD32,BQ32, DE32, FV32)=0)</formula>
    </cfRule>
    <cfRule type="expression" dxfId="0" priority="540">
      <formula>AND(BW32&gt;=4,FC32&lt;&gt;GetEquPower(BD32,BQ32, DE32, FV32))</formula>
    </cfRule>
  </conditionalFormatting>
  <conditionalFormatting sqref="FD32">
    <cfRule type="expression" dxfId="1" priority="559">
      <formula>AND(BW32&gt;=5,FD32&lt;&gt;0, GetEquPower(BD32,BQ32, DF32, FV32)=0)</formula>
    </cfRule>
    <cfRule type="expression" dxfId="0" priority="560">
      <formula>AND(BW32&gt;=5,FD32&lt;&gt;GetEquPower(BD32,BQ32, DF32, FV32))</formula>
    </cfRule>
  </conditionalFormatting>
  <conditionalFormatting sqref="FE32">
    <cfRule type="expression" dxfId="1" priority="561">
      <formula>AND(BW32&gt;=6,FE32&lt;&gt;0, GetEquPower(BD32,BQ32, DG32, FV32)=0)</formula>
    </cfRule>
    <cfRule type="expression" dxfId="0" priority="562">
      <formula>AND(BW32&gt;=6,FE32&lt;&gt;GetEquPower(BD32,BQ32, DG32, FV32))</formula>
    </cfRule>
  </conditionalFormatting>
  <conditionalFormatting sqref="FI32">
    <cfRule type="expression" dxfId="1" priority="525">
      <formula>AND(BX32&gt;=1,FI32&lt;&gt;0, GetEquPower(BE32,BR32, DI32, FW32)=0)</formula>
    </cfRule>
    <cfRule type="expression" dxfId="0" priority="526">
      <formula>AND(BX32&gt;=1,FI32&lt;&gt;GetEquPower(BE32,BR32, DI32, FW32))</formula>
    </cfRule>
  </conditionalFormatting>
  <conditionalFormatting sqref="FJ32">
    <cfRule type="expression" dxfId="1" priority="527">
      <formula>AND(BX32&gt;=2,FJ32&lt;&gt;0, GetEquPower(BE32,BR32, DJ32, FW32)=0)</formula>
    </cfRule>
    <cfRule type="expression" dxfId="0" priority="528">
      <formula>AND(BX32&gt;=2,FJ32&lt;&gt;GetEquPower(BE32,BR32, DJ32, FW32))</formula>
    </cfRule>
  </conditionalFormatting>
  <conditionalFormatting sqref="FK32">
    <cfRule type="expression" dxfId="1" priority="529">
      <formula>AND(BX32&gt;=3,FK32&lt;&gt;0, GetEquPower(BE32,BR32, DK32, FW32)=0)</formula>
    </cfRule>
    <cfRule type="expression" dxfId="0" priority="530">
      <formula>AND(BX32&gt;=3,FK32&lt;&gt;GetEquPower(BE32,BR32, DK32, FW32))</formula>
    </cfRule>
  </conditionalFormatting>
  <conditionalFormatting sqref="FL32">
    <cfRule type="expression" dxfId="1" priority="541">
      <formula>AND(BX32&gt;=4,FL32&lt;&gt;0, GetEquPower(BE32,BR32, DL32, FW32)=0)</formula>
    </cfRule>
    <cfRule type="expression" dxfId="0" priority="542">
      <formula>AND(BX32&gt;=4,FL32&lt;&gt;GetEquPower(BE32,BR32, DL32, FW32))</formula>
    </cfRule>
  </conditionalFormatting>
  <conditionalFormatting sqref="FM32">
    <cfRule type="expression" dxfId="1" priority="563">
      <formula>AND(BX32&gt;=5,FM32&lt;&gt;0, GetEquPower(BE32,BR32, DM32, FW32)=0)</formula>
    </cfRule>
    <cfRule type="expression" dxfId="0" priority="564">
      <formula>AND(BX32&gt;=5,FM32&lt;&gt;GetEquPower(BE32,BR32, DM32, FW32))</formula>
    </cfRule>
  </conditionalFormatting>
  <conditionalFormatting sqref="FN32">
    <cfRule type="expression" dxfId="1" priority="565">
      <formula>AND(BX32&gt;=6,FN32&lt;&gt;0, GetEquPower(BE32,BR32, DN32, FW32)=0)</formula>
    </cfRule>
    <cfRule type="expression" dxfId="0" priority="566">
      <formula>AND(BX32&gt;=6,FN32&lt;&gt;GetEquPower(BE32,BR32, DN32, FW32))</formula>
    </cfRule>
  </conditionalFormatting>
  <conditionalFormatting sqref="F33">
    <cfRule type="expression" dxfId="72" priority="413">
      <formula>F33&lt;&gt;RIGHT(SUBSTITUTE(TRIM(E33),".",""),LEN(F33))</formula>
    </cfRule>
  </conditionalFormatting>
  <conditionalFormatting sqref="BS33">
    <cfRule type="expression" dxfId="72" priority="412">
      <formula>AND(J33&gt;=1,BS33&lt;1)</formula>
    </cfRule>
  </conditionalFormatting>
  <conditionalFormatting sqref="BT33">
    <cfRule type="expression" dxfId="72" priority="411">
      <formula>AND(J33&gt;=2,BT33&lt;1)</formula>
    </cfRule>
  </conditionalFormatting>
  <conditionalFormatting sqref="BU33">
    <cfRule type="expression" dxfId="72" priority="409">
      <formula>AND(J33&gt;=3,BU33&lt;1)</formula>
    </cfRule>
  </conditionalFormatting>
  <conditionalFormatting sqref="BV33">
    <cfRule type="expression" dxfId="72" priority="408">
      <formula>AND(J33&gt;=4,BV33&lt;1)</formula>
    </cfRule>
  </conditionalFormatting>
  <conditionalFormatting sqref="BW33">
    <cfRule type="expression" dxfId="72" priority="410">
      <formula>AND(J33&gt;=5,BW33&lt;1)</formula>
    </cfRule>
  </conditionalFormatting>
  <conditionalFormatting sqref="BX33">
    <cfRule type="expression" dxfId="72" priority="407">
      <formula>AND(J33&gt;=6,BX33&lt;1)</formula>
    </cfRule>
  </conditionalFormatting>
  <conditionalFormatting sqref="IC33">
    <cfRule type="expression" dxfId="72" priority="486">
      <formula>AND($S33 = TRUE, $IC33&lt;&gt;OptionsUnitCode)</formula>
    </cfRule>
  </conditionalFormatting>
  <conditionalFormatting sqref="B33:II33">
    <cfRule type="containsErrors" dxfId="72" priority="406">
      <formula>ISERROR(B33)</formula>
    </cfRule>
  </conditionalFormatting>
  <conditionalFormatting sqref="DP33">
    <cfRule type="expression" dxfId="1" priority="414">
      <formula>AND(BS33&gt;=1,DP33&lt;&gt;0, GetEquPower(AZ33,BM33, BZ33, FR33)=0)</formula>
    </cfRule>
    <cfRule type="expression" dxfId="0" priority="415">
      <formula>AND(BS33&gt;=1,DP33&lt;&gt;GetEquPower(AZ33,BM33, BZ33, FR33))</formula>
    </cfRule>
  </conditionalFormatting>
  <conditionalFormatting sqref="DQ33">
    <cfRule type="expression" dxfId="1" priority="416">
      <formula>AND(BS33&gt;=2,DQ33&lt;&gt;0, GetEquPower(AZ33,BM33, CA33, FR33)=0)</formula>
    </cfRule>
    <cfRule type="expression" dxfId="0" priority="417">
      <formula>AND(BS33&gt;=2,DQ33&lt;&gt;GetEquPower(AZ33,BM33, CA33, FR33))</formula>
    </cfRule>
  </conditionalFormatting>
  <conditionalFormatting sqref="DR33">
    <cfRule type="expression" dxfId="1" priority="418">
      <formula>AND(BS33&gt;=3,DR33&lt;&gt;0, GetEquPower(AZ33,BM33, CB33, FR33)=0)</formula>
    </cfRule>
    <cfRule type="expression" dxfId="0" priority="419">
      <formula>AND(BS33&gt;=3,DR33&lt;&gt;GetEquPower(AZ33,BM33, CB33, FR33))</formula>
    </cfRule>
  </conditionalFormatting>
  <conditionalFormatting sqref="DS33">
    <cfRule type="expression" dxfId="1" priority="450">
      <formula>AND(BS33&gt;=4,DS33&lt;&gt;0, GetEquPower(AZ33,BM33, CC33, FR33)=0)</formula>
    </cfRule>
    <cfRule type="expression" dxfId="0" priority="451">
      <formula>AND(BS33&gt;=4, DS33&lt;&gt;GetEquPower(AZ33,BM33, CC33, FR33))</formula>
    </cfRule>
  </conditionalFormatting>
  <conditionalFormatting sqref="DT33">
    <cfRule type="expression" dxfId="1" priority="462">
      <formula>AND(BS33&gt;=5,DT33&lt;&gt;0, GetEquPower(AZ33,BM33, CD33, FR33)=0)</formula>
    </cfRule>
    <cfRule type="expression" dxfId="0" priority="463">
      <formula>AND(BS33&gt;=5, DT33&lt;&gt;GetEquPower(AZ33,BM33, CD33, FR33))</formula>
    </cfRule>
  </conditionalFormatting>
  <conditionalFormatting sqref="DU33">
    <cfRule type="expression" dxfId="1" priority="464">
      <formula>AND(BS33&gt;=6,DU33&lt;&gt;0, GetEquPower(AZ33,BM33, CE33, FR33)=0)</formula>
    </cfRule>
    <cfRule type="expression" dxfId="0" priority="465">
      <formula>AND(BS33&gt;=6, DU33&lt;&gt;GetEquPower(AZ33,BM33, CE33, FR33))</formula>
    </cfRule>
  </conditionalFormatting>
  <conditionalFormatting sqref="DY33">
    <cfRule type="expression" dxfId="1" priority="420">
      <formula>AND(BT33&gt;=1,DY33&lt;&gt;0, GetEquPower(BA33,BN33, CG33, FS33)=0)</formula>
    </cfRule>
    <cfRule type="expression" dxfId="0" priority="421">
      <formula>AND(BT33&gt;=1,DY33&lt;&gt;GetEquPower(BA33,BN33, CG33, FS33))</formula>
    </cfRule>
  </conditionalFormatting>
  <conditionalFormatting sqref="DZ33">
    <cfRule type="expression" dxfId="1" priority="422">
      <formula>AND(BT33&gt;=2,DZ33&lt;&gt;0, GetEquPower(BA33,BN33, CH33, FS33)=0)</formula>
    </cfRule>
    <cfRule type="expression" dxfId="0" priority="423">
      <formula>AND(BT33&gt;=2,DZ33&lt;&gt;GetEquPower(BA33,BN33, CH33, FS33))</formula>
    </cfRule>
  </conditionalFormatting>
  <conditionalFormatting sqref="EA33">
    <cfRule type="expression" dxfId="1" priority="424">
      <formula>AND(BT33&gt;=3,EA33&lt;&gt;0, GetEquPower(BA33,BN33, CI33, FS33)=0)</formula>
    </cfRule>
    <cfRule type="expression" dxfId="0" priority="425">
      <formula>AND(BT33&gt;=3,EA33&lt;&gt;GetEquPower(BA33,BN33, CI33, FS33))</formula>
    </cfRule>
  </conditionalFormatting>
  <conditionalFormatting sqref="EB33">
    <cfRule type="expression" dxfId="1" priority="452">
      <formula>AND(BT33&gt;=4,EB33&lt;&gt;0, GetEquPower(BA33,BN33, CJ33, FS33)=0)</formula>
    </cfRule>
    <cfRule type="expression" dxfId="0" priority="453">
      <formula>AND(BT33&gt;=4,EB33&lt;&gt;GetEquPower(BA33,BN33, CJ33, FS33))</formula>
    </cfRule>
  </conditionalFormatting>
  <conditionalFormatting sqref="EC33">
    <cfRule type="expression" dxfId="1" priority="466">
      <formula>AND(BT33&gt;=5,EC33&lt;&gt;0, GetEquPower(BA33,BN33, CK33, FS33)=0)</formula>
    </cfRule>
    <cfRule type="expression" dxfId="0" priority="467">
      <formula>AND(BT33&gt;=5,EC33&lt;&gt;GetEquPower(BA33,BN33, CK33, FS33))</formula>
    </cfRule>
  </conditionalFormatting>
  <conditionalFormatting sqref="ED33">
    <cfRule type="expression" dxfId="1" priority="468">
      <formula>AND(BT33&gt;=6,ED33&lt;&gt;0, GetEquPower(BA33,BN33, CL33, FS33)=0)</formula>
    </cfRule>
    <cfRule type="expression" dxfId="0" priority="469">
      <formula>AND(BT33&gt;=6,ED33&lt;&gt;GetEquPower(BA33,BN33, CL33, FS33))</formula>
    </cfRule>
  </conditionalFormatting>
  <conditionalFormatting sqref="EH33">
    <cfRule type="expression" dxfId="1" priority="426">
      <formula>AND(BU33&gt;=1,EH33&lt;&gt;0, GetEquPower(BB33,BO33, CN33, FT33)=0)</formula>
    </cfRule>
    <cfRule type="expression" dxfId="0" priority="427">
      <formula>AND(BU33&gt;=1,EH33&lt;&gt;GetEquPower(BB33,BO33, CN33, FT33))</formula>
    </cfRule>
  </conditionalFormatting>
  <conditionalFormatting sqref="EI33">
    <cfRule type="expression" dxfId="1" priority="428">
      <formula>AND(BU33&gt;=2,EI33&lt;&gt;0, GetEquPower(BB33,BO33, CO33, FT33)=0)</formula>
    </cfRule>
    <cfRule type="expression" dxfId="0" priority="429">
      <formula xml:space="preserve"> AND(BU33&gt;=2,EI33&lt;&gt;GetEquPower(BB33,BO33, CO33, FT33))</formula>
    </cfRule>
  </conditionalFormatting>
  <conditionalFormatting sqref="EJ33">
    <cfRule type="expression" dxfId="1" priority="430">
      <formula>AND(BU33&gt;=3,EJ33&lt;&gt;0, GetEquPower(BB33,BO33, CP33, FT33)=0)</formula>
    </cfRule>
    <cfRule type="expression" dxfId="0" priority="431">
      <formula xml:space="preserve"> AND(BU33&gt;=3,EJ33&lt;&gt;GetEquPower(BB33,BO33, CP33, FT33))</formula>
    </cfRule>
  </conditionalFormatting>
  <conditionalFormatting sqref="EK33">
    <cfRule type="expression" dxfId="1" priority="454">
      <formula>AND(BU33&gt;=4,EK33&lt;&gt;0, GetEquPower(BB33,BO33, CQ33, FT33)=0)</formula>
    </cfRule>
    <cfRule type="expression" dxfId="0" priority="455">
      <formula xml:space="preserve"> AND(BU33&gt;=4,EK33&lt;&gt;GetEquPower(BB33,BO33, CQ33, FT33))</formula>
    </cfRule>
  </conditionalFormatting>
  <conditionalFormatting sqref="EL33">
    <cfRule type="expression" dxfId="1" priority="470">
      <formula>AND(BU33&gt;=5,EL33&lt;&gt;0, GetEquPower(BB33,BO33, CR33, FT33)=0)</formula>
    </cfRule>
    <cfRule type="expression" dxfId="0" priority="471">
      <formula xml:space="preserve"> AND(BU33&gt;=5,EL33&lt;&gt;GetEquPower(BB33,BO33, CR33, FT33))</formula>
    </cfRule>
  </conditionalFormatting>
  <conditionalFormatting sqref="EM33">
    <cfRule type="expression" dxfId="1" priority="472">
      <formula>AND(BU33&gt;=6,EM33&lt;&gt;0, GetEquPower(BB33,BO33, CS33, FT33)=0)</formula>
    </cfRule>
    <cfRule type="expression" dxfId="0" priority="473">
      <formula xml:space="preserve"> AND(BU33&gt;=6,EM33&lt;&gt;GetEquPower(BB33,BO33, CS33, FT33))</formula>
    </cfRule>
  </conditionalFormatting>
  <conditionalFormatting sqref="EQ33">
    <cfRule type="expression" dxfId="1" priority="432">
      <formula>AND(BV33&gt;=1,EQ33&lt;&gt;0, GetEquPower(BC33,BP33, CU33, FU33)=0)</formula>
    </cfRule>
    <cfRule type="expression" dxfId="0" priority="433">
      <formula>AND(BV33&gt;=1,EQ33&lt;&gt;GetEquPower(BC33,BP33, CU33, FU33))</formula>
    </cfRule>
  </conditionalFormatting>
  <conditionalFormatting sqref="ER33">
    <cfRule type="expression" dxfId="1" priority="434">
      <formula>AND(BV33&gt;=2,ER33&lt;&gt;0, GetEquPower(BC33,BP33, CV33, FU33)=0)</formula>
    </cfRule>
    <cfRule type="expression" dxfId="0" priority="435">
      <formula>AND(BV33&gt;=2,ER33&lt;&gt;GetEquPower(BC33,BP33, CV33, FU33))</formula>
    </cfRule>
  </conditionalFormatting>
  <conditionalFormatting sqref="ES33">
    <cfRule type="expression" dxfId="1" priority="436">
      <formula>AND(BV33&gt;=3,ES33&lt;&gt;0, GetEquPower(BC33,BP33, CW33, FU33)=0)</formula>
    </cfRule>
    <cfRule type="expression" dxfId="0" priority="437">
      <formula>AND(BV33&gt;=3,ES33&lt;&gt;GetEquPower(BC33,BP33, CW33, FU33))</formula>
    </cfRule>
  </conditionalFormatting>
  <conditionalFormatting sqref="ET33">
    <cfRule type="expression" dxfId="1" priority="456">
      <formula>AND(BV33&gt;=4,ET33&lt;&gt;0, GetEquPower(BC33,BP33, CX33, FU33)=0)</formula>
    </cfRule>
    <cfRule type="expression" dxfId="0" priority="457">
      <formula>AND(BV33&gt;=4,ET33&lt;&gt;GetEquPower(BC33,BP33, CX33, FU33))</formula>
    </cfRule>
  </conditionalFormatting>
  <conditionalFormatting sqref="EU33">
    <cfRule type="expression" dxfId="1" priority="474">
      <formula>AND(BV33&gt;=5,EU33&lt;&gt;0, GetEquPower(BC33,BP33, CY33, FU33)=0)</formula>
    </cfRule>
    <cfRule type="expression" dxfId="0" priority="475">
      <formula>AND(BV33&gt;=5,EU33&lt;&gt;GetEquPower(BC33,BP33, CY33, FU33))</formula>
    </cfRule>
  </conditionalFormatting>
  <conditionalFormatting sqref="EV33">
    <cfRule type="expression" dxfId="1" priority="476">
      <formula>AND(BV33&gt;=6,EV33&lt;&gt;0, GetEquPower(BC33,BP33, CZ33, FU33)=0)</formula>
    </cfRule>
    <cfRule type="expression" dxfId="0" priority="477">
      <formula>AND(BV33&gt;=6,EV33&lt;&gt;GetEquPower(BC33,BP33, CZ33, FU33))</formula>
    </cfRule>
  </conditionalFormatting>
  <conditionalFormatting sqref="EZ33">
    <cfRule type="expression" dxfId="1" priority="438">
      <formula>AND(BW33&gt;=1,EZ33&lt;&gt;0, GetEquPower(BD33,BQ33, DB33, FV33)=0)</formula>
    </cfRule>
    <cfRule type="expression" dxfId="0" priority="439">
      <formula>AND(BW33&gt;=1,EZ33&lt;&gt;GetEquPower(BD33,BQ33, DB33, FV33))</formula>
    </cfRule>
  </conditionalFormatting>
  <conditionalFormatting sqref="FA33">
    <cfRule type="expression" dxfId="1" priority="440">
      <formula>AND(BW33&gt;=2,FA33&lt;&gt;0, GetEquPower(BD33,BQ33, DC33, FV33)=0)</formula>
    </cfRule>
    <cfRule type="expression" dxfId="0" priority="441">
      <formula>AND(BW33&gt;=2,FA33&lt;&gt;GetEquPower(BD33,BQ33, DC33, FV33))</formula>
    </cfRule>
  </conditionalFormatting>
  <conditionalFormatting sqref="FB33">
    <cfRule type="expression" dxfId="1" priority="442">
      <formula>AND(BW33&gt;=3,FB33&lt;&gt;0, GetEquPower(BD33,BQ33, DD33, FV33)=0)</formula>
    </cfRule>
    <cfRule type="expression" dxfId="0" priority="443">
      <formula>AND(BW33&gt;=3,FB33&lt;&gt;GetEquPower(BD33,BQ33, DD33, FV33))</formula>
    </cfRule>
  </conditionalFormatting>
  <conditionalFormatting sqref="FC33">
    <cfRule type="expression" dxfId="1" priority="458">
      <formula>AND(BW33&gt;=4,FC33&lt;&gt;0, GetEquPower(BD33,BQ33, DE33, FV33)=0)</formula>
    </cfRule>
    <cfRule type="expression" dxfId="0" priority="459">
      <formula>AND(BW33&gt;=4,FC33&lt;&gt;GetEquPower(BD33,BQ33, DE33, FV33))</formula>
    </cfRule>
  </conditionalFormatting>
  <conditionalFormatting sqref="FD33">
    <cfRule type="expression" dxfId="1" priority="478">
      <formula>AND(BW33&gt;=5,FD33&lt;&gt;0, GetEquPower(BD33,BQ33, DF33, FV33)=0)</formula>
    </cfRule>
    <cfRule type="expression" dxfId="0" priority="479">
      <formula>AND(BW33&gt;=5,FD33&lt;&gt;GetEquPower(BD33,BQ33, DF33, FV33))</formula>
    </cfRule>
  </conditionalFormatting>
  <conditionalFormatting sqref="FE33">
    <cfRule type="expression" dxfId="1" priority="480">
      <formula>AND(BW33&gt;=6,FE33&lt;&gt;0, GetEquPower(BD33,BQ33, DG33, FV33)=0)</formula>
    </cfRule>
    <cfRule type="expression" dxfId="0" priority="481">
      <formula>AND(BW33&gt;=6,FE33&lt;&gt;GetEquPower(BD33,BQ33, DG33, FV33))</formula>
    </cfRule>
  </conditionalFormatting>
  <conditionalFormatting sqref="FI33">
    <cfRule type="expression" dxfId="1" priority="444">
      <formula>AND(BX33&gt;=1,FI33&lt;&gt;0, GetEquPower(BE33,BR33, DI33, FW33)=0)</formula>
    </cfRule>
    <cfRule type="expression" dxfId="0" priority="445">
      <formula>AND(BX33&gt;=1,FI33&lt;&gt;GetEquPower(BE33,BR33, DI33, FW33))</formula>
    </cfRule>
  </conditionalFormatting>
  <conditionalFormatting sqref="FJ33">
    <cfRule type="expression" dxfId="1" priority="446">
      <formula>AND(BX33&gt;=2,FJ33&lt;&gt;0, GetEquPower(BE33,BR33, DJ33, FW33)=0)</formula>
    </cfRule>
    <cfRule type="expression" dxfId="0" priority="447">
      <formula>AND(BX33&gt;=2,FJ33&lt;&gt;GetEquPower(BE33,BR33, DJ33, FW33))</formula>
    </cfRule>
  </conditionalFormatting>
  <conditionalFormatting sqref="FK33">
    <cfRule type="expression" dxfId="1" priority="448">
      <formula>AND(BX33&gt;=3,FK33&lt;&gt;0, GetEquPower(BE33,BR33, DK33, FW33)=0)</formula>
    </cfRule>
    <cfRule type="expression" dxfId="0" priority="449">
      <formula>AND(BX33&gt;=3,FK33&lt;&gt;GetEquPower(BE33,BR33, DK33, FW33))</formula>
    </cfRule>
  </conditionalFormatting>
  <conditionalFormatting sqref="FL33">
    <cfRule type="expression" dxfId="1" priority="460">
      <formula>AND(BX33&gt;=4,FL33&lt;&gt;0, GetEquPower(BE33,BR33, DL33, FW33)=0)</formula>
    </cfRule>
    <cfRule type="expression" dxfId="0" priority="461">
      <formula>AND(BX33&gt;=4,FL33&lt;&gt;GetEquPower(BE33,BR33, DL33, FW33))</formula>
    </cfRule>
  </conditionalFormatting>
  <conditionalFormatting sqref="FM33">
    <cfRule type="expression" dxfId="1" priority="482">
      <formula>AND(BX33&gt;=5,FM33&lt;&gt;0, GetEquPower(BE33,BR33, DM33, FW33)=0)</formula>
    </cfRule>
    <cfRule type="expression" dxfId="0" priority="483">
      <formula>AND(BX33&gt;=5,FM33&lt;&gt;GetEquPower(BE33,BR33, DM33, FW33))</formula>
    </cfRule>
  </conditionalFormatting>
  <conditionalFormatting sqref="FN33">
    <cfRule type="expression" dxfId="1" priority="484">
      <formula>AND(BX33&gt;=6,FN33&lt;&gt;0, GetEquPower(BE33,BR33, DN33, FW33)=0)</formula>
    </cfRule>
    <cfRule type="expression" dxfId="0" priority="485">
      <formula>AND(BX33&gt;=6,FN33&lt;&gt;GetEquPower(BE33,BR33, DN33, FW33))</formula>
    </cfRule>
  </conditionalFormatting>
  <conditionalFormatting sqref="F34">
    <cfRule type="expression" dxfId="72" priority="332">
      <formula>F34&lt;&gt;RIGHT(SUBSTITUTE(TRIM(E34),".",""),LEN(F34))</formula>
    </cfRule>
  </conditionalFormatting>
  <conditionalFormatting sqref="BS34">
    <cfRule type="expression" dxfId="72" priority="331">
      <formula>AND(J34&gt;=1,BS34&lt;1)</formula>
    </cfRule>
  </conditionalFormatting>
  <conditionalFormatting sqref="BT34">
    <cfRule type="expression" dxfId="72" priority="330">
      <formula>AND(J34&gt;=2,BT34&lt;1)</formula>
    </cfRule>
  </conditionalFormatting>
  <conditionalFormatting sqref="BU34">
    <cfRule type="expression" dxfId="72" priority="328">
      <formula>AND(J34&gt;=3,BU34&lt;1)</formula>
    </cfRule>
  </conditionalFormatting>
  <conditionalFormatting sqref="BV34">
    <cfRule type="expression" dxfId="72" priority="327">
      <formula>AND(J34&gt;=4,BV34&lt;1)</formula>
    </cfRule>
  </conditionalFormatting>
  <conditionalFormatting sqref="BW34">
    <cfRule type="expression" dxfId="72" priority="329">
      <formula>AND(J34&gt;=5,BW34&lt;1)</formula>
    </cfRule>
  </conditionalFormatting>
  <conditionalFormatting sqref="BX34">
    <cfRule type="expression" dxfId="72" priority="326">
      <formula>AND(J34&gt;=6,BX34&lt;1)</formula>
    </cfRule>
  </conditionalFormatting>
  <conditionalFormatting sqref="IC34">
    <cfRule type="expression" dxfId="72" priority="405">
      <formula>AND($S34 = TRUE, $IC34&lt;&gt;OptionsUnitCode)</formula>
    </cfRule>
  </conditionalFormatting>
  <conditionalFormatting sqref="B34:II34">
    <cfRule type="containsErrors" dxfId="72" priority="325">
      <formula>ISERROR(B34)</formula>
    </cfRule>
  </conditionalFormatting>
  <conditionalFormatting sqref="DP34">
    <cfRule type="expression" dxfId="1" priority="333">
      <formula>AND(BS34&gt;=1,DP34&lt;&gt;0, GetEquPower(AZ34,BM34, BZ34, FR34)=0)</formula>
    </cfRule>
    <cfRule type="expression" dxfId="0" priority="334">
      <formula>AND(BS34&gt;=1,DP34&lt;&gt;GetEquPower(AZ34,BM34, BZ34, FR34))</formula>
    </cfRule>
  </conditionalFormatting>
  <conditionalFormatting sqref="DQ34">
    <cfRule type="expression" dxfId="1" priority="335">
      <formula>AND(BS34&gt;=2,DQ34&lt;&gt;0, GetEquPower(AZ34,BM34, CA34, FR34)=0)</formula>
    </cfRule>
    <cfRule type="expression" dxfId="0" priority="336">
      <formula>AND(BS34&gt;=2,DQ34&lt;&gt;GetEquPower(AZ34,BM34, CA34, FR34))</formula>
    </cfRule>
  </conditionalFormatting>
  <conditionalFormatting sqref="DR34">
    <cfRule type="expression" dxfId="1" priority="337">
      <formula>AND(BS34&gt;=3,DR34&lt;&gt;0, GetEquPower(AZ34,BM34, CB34, FR34)=0)</formula>
    </cfRule>
    <cfRule type="expression" dxfId="0" priority="338">
      <formula>AND(BS34&gt;=3,DR34&lt;&gt;GetEquPower(AZ34,BM34, CB34, FR34))</formula>
    </cfRule>
  </conditionalFormatting>
  <conditionalFormatting sqref="DS34">
    <cfRule type="expression" dxfId="1" priority="369">
      <formula>AND(BS34&gt;=4,DS34&lt;&gt;0, GetEquPower(AZ34,BM34, CC34, FR34)=0)</formula>
    </cfRule>
    <cfRule type="expression" dxfId="0" priority="370">
      <formula>AND(BS34&gt;=4, DS34&lt;&gt;GetEquPower(AZ34,BM34, CC34, FR34))</formula>
    </cfRule>
  </conditionalFormatting>
  <conditionalFormatting sqref="DT34">
    <cfRule type="expression" dxfId="1" priority="381">
      <formula>AND(BS34&gt;=5,DT34&lt;&gt;0, GetEquPower(AZ34,BM34, CD34, FR34)=0)</formula>
    </cfRule>
    <cfRule type="expression" dxfId="0" priority="382">
      <formula>AND(BS34&gt;=5, DT34&lt;&gt;GetEquPower(AZ34,BM34, CD34, FR34))</formula>
    </cfRule>
  </conditionalFormatting>
  <conditionalFormatting sqref="DU34">
    <cfRule type="expression" dxfId="1" priority="383">
      <formula>AND(BS34&gt;=6,DU34&lt;&gt;0, GetEquPower(AZ34,BM34, CE34, FR34)=0)</formula>
    </cfRule>
    <cfRule type="expression" dxfId="0" priority="384">
      <formula>AND(BS34&gt;=6, DU34&lt;&gt;GetEquPower(AZ34,BM34, CE34, FR34))</formula>
    </cfRule>
  </conditionalFormatting>
  <conditionalFormatting sqref="DY34">
    <cfRule type="expression" dxfId="1" priority="339">
      <formula>AND(BT34&gt;=1,DY34&lt;&gt;0, GetEquPower(BA34,BN34, CG34, FS34)=0)</formula>
    </cfRule>
    <cfRule type="expression" dxfId="0" priority="340">
      <formula>AND(BT34&gt;=1,DY34&lt;&gt;GetEquPower(BA34,BN34, CG34, FS34))</formula>
    </cfRule>
  </conditionalFormatting>
  <conditionalFormatting sqref="DZ34">
    <cfRule type="expression" dxfId="1" priority="341">
      <formula>AND(BT34&gt;=2,DZ34&lt;&gt;0, GetEquPower(BA34,BN34, CH34, FS34)=0)</formula>
    </cfRule>
    <cfRule type="expression" dxfId="0" priority="342">
      <formula>AND(BT34&gt;=2,DZ34&lt;&gt;GetEquPower(BA34,BN34, CH34, FS34))</formula>
    </cfRule>
  </conditionalFormatting>
  <conditionalFormatting sqref="EA34">
    <cfRule type="expression" dxfId="1" priority="343">
      <formula>AND(BT34&gt;=3,EA34&lt;&gt;0, GetEquPower(BA34,BN34, CI34, FS34)=0)</formula>
    </cfRule>
    <cfRule type="expression" dxfId="0" priority="344">
      <formula>AND(BT34&gt;=3,EA34&lt;&gt;GetEquPower(BA34,BN34, CI34, FS34))</formula>
    </cfRule>
  </conditionalFormatting>
  <conditionalFormatting sqref="EB34">
    <cfRule type="expression" dxfId="1" priority="371">
      <formula>AND(BT34&gt;=4,EB34&lt;&gt;0, GetEquPower(BA34,BN34, CJ34, FS34)=0)</formula>
    </cfRule>
    <cfRule type="expression" dxfId="0" priority="372">
      <formula>AND(BT34&gt;=4,EB34&lt;&gt;GetEquPower(BA34,BN34, CJ34, FS34))</formula>
    </cfRule>
  </conditionalFormatting>
  <conditionalFormatting sqref="EC34">
    <cfRule type="expression" dxfId="1" priority="385">
      <formula>AND(BT34&gt;=5,EC34&lt;&gt;0, GetEquPower(BA34,BN34, CK34, FS34)=0)</formula>
    </cfRule>
    <cfRule type="expression" dxfId="0" priority="386">
      <formula>AND(BT34&gt;=5,EC34&lt;&gt;GetEquPower(BA34,BN34, CK34, FS34))</formula>
    </cfRule>
  </conditionalFormatting>
  <conditionalFormatting sqref="ED34">
    <cfRule type="expression" dxfId="1" priority="387">
      <formula>AND(BT34&gt;=6,ED34&lt;&gt;0, GetEquPower(BA34,BN34, CL34, FS34)=0)</formula>
    </cfRule>
    <cfRule type="expression" dxfId="0" priority="388">
      <formula>AND(BT34&gt;=6,ED34&lt;&gt;GetEquPower(BA34,BN34, CL34, FS34))</formula>
    </cfRule>
  </conditionalFormatting>
  <conditionalFormatting sqref="EH34">
    <cfRule type="expression" dxfId="1" priority="345">
      <formula>AND(BU34&gt;=1,EH34&lt;&gt;0, GetEquPower(BB34,BO34, CN34, FT34)=0)</formula>
    </cfRule>
    <cfRule type="expression" dxfId="0" priority="346">
      <formula>AND(BU34&gt;=1,EH34&lt;&gt;GetEquPower(BB34,BO34, CN34, FT34))</formula>
    </cfRule>
  </conditionalFormatting>
  <conditionalFormatting sqref="EI34">
    <cfRule type="expression" dxfId="1" priority="347">
      <formula>AND(BU34&gt;=2,EI34&lt;&gt;0, GetEquPower(BB34,BO34, CO34, FT34)=0)</formula>
    </cfRule>
    <cfRule type="expression" dxfId="0" priority="348">
      <formula xml:space="preserve"> AND(BU34&gt;=2,EI34&lt;&gt;GetEquPower(BB34,BO34, CO34, FT34))</formula>
    </cfRule>
  </conditionalFormatting>
  <conditionalFormatting sqref="EJ34">
    <cfRule type="expression" dxfId="1" priority="349">
      <formula>AND(BU34&gt;=3,EJ34&lt;&gt;0, GetEquPower(BB34,BO34, CP34, FT34)=0)</formula>
    </cfRule>
    <cfRule type="expression" dxfId="0" priority="350">
      <formula xml:space="preserve"> AND(BU34&gt;=3,EJ34&lt;&gt;GetEquPower(BB34,BO34, CP34, FT34))</formula>
    </cfRule>
  </conditionalFormatting>
  <conditionalFormatting sqref="EK34">
    <cfRule type="expression" dxfId="1" priority="373">
      <formula>AND(BU34&gt;=4,EK34&lt;&gt;0, GetEquPower(BB34,BO34, CQ34, FT34)=0)</formula>
    </cfRule>
    <cfRule type="expression" dxfId="0" priority="374">
      <formula xml:space="preserve"> AND(BU34&gt;=4,EK34&lt;&gt;GetEquPower(BB34,BO34, CQ34, FT34))</formula>
    </cfRule>
  </conditionalFormatting>
  <conditionalFormatting sqref="EL34">
    <cfRule type="expression" dxfId="1" priority="389">
      <formula>AND(BU34&gt;=5,EL34&lt;&gt;0, GetEquPower(BB34,BO34, CR34, FT34)=0)</formula>
    </cfRule>
    <cfRule type="expression" dxfId="0" priority="390">
      <formula xml:space="preserve"> AND(BU34&gt;=5,EL34&lt;&gt;GetEquPower(BB34,BO34, CR34, FT34))</formula>
    </cfRule>
  </conditionalFormatting>
  <conditionalFormatting sqref="EM34">
    <cfRule type="expression" dxfId="1" priority="391">
      <formula>AND(BU34&gt;=6,EM34&lt;&gt;0, GetEquPower(BB34,BO34, CS34, FT34)=0)</formula>
    </cfRule>
    <cfRule type="expression" dxfId="0" priority="392">
      <formula xml:space="preserve"> AND(BU34&gt;=6,EM34&lt;&gt;GetEquPower(BB34,BO34, CS34, FT34))</formula>
    </cfRule>
  </conditionalFormatting>
  <conditionalFormatting sqref="EQ34">
    <cfRule type="expression" dxfId="1" priority="351">
      <formula>AND(BV34&gt;=1,EQ34&lt;&gt;0, GetEquPower(BC34,BP34, CU34, FU34)=0)</formula>
    </cfRule>
    <cfRule type="expression" dxfId="0" priority="352">
      <formula>AND(BV34&gt;=1,EQ34&lt;&gt;GetEquPower(BC34,BP34, CU34, FU34))</formula>
    </cfRule>
  </conditionalFormatting>
  <conditionalFormatting sqref="ER34">
    <cfRule type="expression" dxfId="1" priority="353">
      <formula>AND(BV34&gt;=2,ER34&lt;&gt;0, GetEquPower(BC34,BP34, CV34, FU34)=0)</formula>
    </cfRule>
    <cfRule type="expression" dxfId="0" priority="354">
      <formula>AND(BV34&gt;=2,ER34&lt;&gt;GetEquPower(BC34,BP34, CV34, FU34))</formula>
    </cfRule>
  </conditionalFormatting>
  <conditionalFormatting sqref="ES34">
    <cfRule type="expression" dxfId="1" priority="355">
      <formula>AND(BV34&gt;=3,ES34&lt;&gt;0, GetEquPower(BC34,BP34, CW34, FU34)=0)</formula>
    </cfRule>
    <cfRule type="expression" dxfId="0" priority="356">
      <formula>AND(BV34&gt;=3,ES34&lt;&gt;GetEquPower(BC34,BP34, CW34, FU34))</formula>
    </cfRule>
  </conditionalFormatting>
  <conditionalFormatting sqref="ET34">
    <cfRule type="expression" dxfId="1" priority="375">
      <formula>AND(BV34&gt;=4,ET34&lt;&gt;0, GetEquPower(BC34,BP34, CX34, FU34)=0)</formula>
    </cfRule>
    <cfRule type="expression" dxfId="0" priority="376">
      <formula>AND(BV34&gt;=4,ET34&lt;&gt;GetEquPower(BC34,BP34, CX34, FU34))</formula>
    </cfRule>
  </conditionalFormatting>
  <conditionalFormatting sqref="EU34">
    <cfRule type="expression" dxfId="1" priority="393">
      <formula>AND(BV34&gt;=5,EU34&lt;&gt;0, GetEquPower(BC34,BP34, CY34, FU34)=0)</formula>
    </cfRule>
    <cfRule type="expression" dxfId="0" priority="394">
      <formula>AND(BV34&gt;=5,EU34&lt;&gt;GetEquPower(BC34,BP34, CY34, FU34))</formula>
    </cfRule>
  </conditionalFormatting>
  <conditionalFormatting sqref="EV34">
    <cfRule type="expression" dxfId="1" priority="395">
      <formula>AND(BV34&gt;=6,EV34&lt;&gt;0, GetEquPower(BC34,BP34, CZ34, FU34)=0)</formula>
    </cfRule>
    <cfRule type="expression" dxfId="0" priority="396">
      <formula>AND(BV34&gt;=6,EV34&lt;&gt;GetEquPower(BC34,BP34, CZ34, FU34))</formula>
    </cfRule>
  </conditionalFormatting>
  <conditionalFormatting sqref="EZ34">
    <cfRule type="expression" dxfId="1" priority="357">
      <formula>AND(BW34&gt;=1,EZ34&lt;&gt;0, GetEquPower(BD34,BQ34, DB34, FV34)=0)</formula>
    </cfRule>
    <cfRule type="expression" dxfId="0" priority="358">
      <formula>AND(BW34&gt;=1,EZ34&lt;&gt;GetEquPower(BD34,BQ34, DB34, FV34))</formula>
    </cfRule>
  </conditionalFormatting>
  <conditionalFormatting sqref="FA34">
    <cfRule type="expression" dxfId="1" priority="359">
      <formula>AND(BW34&gt;=2,FA34&lt;&gt;0, GetEquPower(BD34,BQ34, DC34, FV34)=0)</formula>
    </cfRule>
    <cfRule type="expression" dxfId="0" priority="360">
      <formula>AND(BW34&gt;=2,FA34&lt;&gt;GetEquPower(BD34,BQ34, DC34, FV34))</formula>
    </cfRule>
  </conditionalFormatting>
  <conditionalFormatting sqref="FB34">
    <cfRule type="expression" dxfId="1" priority="361">
      <formula>AND(BW34&gt;=3,FB34&lt;&gt;0, GetEquPower(BD34,BQ34, DD34, FV34)=0)</formula>
    </cfRule>
    <cfRule type="expression" dxfId="0" priority="362">
      <formula>AND(BW34&gt;=3,FB34&lt;&gt;GetEquPower(BD34,BQ34, DD34, FV34))</formula>
    </cfRule>
  </conditionalFormatting>
  <conditionalFormatting sqref="FC34">
    <cfRule type="expression" dxfId="1" priority="377">
      <formula>AND(BW34&gt;=4,FC34&lt;&gt;0, GetEquPower(BD34,BQ34, DE34, FV34)=0)</formula>
    </cfRule>
    <cfRule type="expression" dxfId="0" priority="378">
      <formula>AND(BW34&gt;=4,FC34&lt;&gt;GetEquPower(BD34,BQ34, DE34, FV34))</formula>
    </cfRule>
  </conditionalFormatting>
  <conditionalFormatting sqref="FD34">
    <cfRule type="expression" dxfId="1" priority="397">
      <formula>AND(BW34&gt;=5,FD34&lt;&gt;0, GetEquPower(BD34,BQ34, DF34, FV34)=0)</formula>
    </cfRule>
    <cfRule type="expression" dxfId="0" priority="398">
      <formula>AND(BW34&gt;=5,FD34&lt;&gt;GetEquPower(BD34,BQ34, DF34, FV34))</formula>
    </cfRule>
  </conditionalFormatting>
  <conditionalFormatting sqref="FE34">
    <cfRule type="expression" dxfId="1" priority="399">
      <formula>AND(BW34&gt;=6,FE34&lt;&gt;0, GetEquPower(BD34,BQ34, DG34, FV34)=0)</formula>
    </cfRule>
    <cfRule type="expression" dxfId="0" priority="400">
      <formula>AND(BW34&gt;=6,FE34&lt;&gt;GetEquPower(BD34,BQ34, DG34, FV34))</formula>
    </cfRule>
  </conditionalFormatting>
  <conditionalFormatting sqref="FI34">
    <cfRule type="expression" dxfId="1" priority="363">
      <formula>AND(BX34&gt;=1,FI34&lt;&gt;0, GetEquPower(BE34,BR34, DI34, FW34)=0)</formula>
    </cfRule>
    <cfRule type="expression" dxfId="0" priority="364">
      <formula>AND(BX34&gt;=1,FI34&lt;&gt;GetEquPower(BE34,BR34, DI34, FW34))</formula>
    </cfRule>
  </conditionalFormatting>
  <conditionalFormatting sqref="FJ34">
    <cfRule type="expression" dxfId="1" priority="365">
      <formula>AND(BX34&gt;=2,FJ34&lt;&gt;0, GetEquPower(BE34,BR34, DJ34, FW34)=0)</formula>
    </cfRule>
    <cfRule type="expression" dxfId="0" priority="366">
      <formula>AND(BX34&gt;=2,FJ34&lt;&gt;GetEquPower(BE34,BR34, DJ34, FW34))</formula>
    </cfRule>
  </conditionalFormatting>
  <conditionalFormatting sqref="FK34">
    <cfRule type="expression" dxfId="1" priority="367">
      <formula>AND(BX34&gt;=3,FK34&lt;&gt;0, GetEquPower(BE34,BR34, DK34, FW34)=0)</formula>
    </cfRule>
    <cfRule type="expression" dxfId="0" priority="368">
      <formula>AND(BX34&gt;=3,FK34&lt;&gt;GetEquPower(BE34,BR34, DK34, FW34))</formula>
    </cfRule>
  </conditionalFormatting>
  <conditionalFormatting sqref="FL34">
    <cfRule type="expression" dxfId="1" priority="379">
      <formula>AND(BX34&gt;=4,FL34&lt;&gt;0, GetEquPower(BE34,BR34, DL34, FW34)=0)</formula>
    </cfRule>
    <cfRule type="expression" dxfId="0" priority="380">
      <formula>AND(BX34&gt;=4,FL34&lt;&gt;GetEquPower(BE34,BR34, DL34, FW34))</formula>
    </cfRule>
  </conditionalFormatting>
  <conditionalFormatting sqref="FM34">
    <cfRule type="expression" dxfId="1" priority="401">
      <formula>AND(BX34&gt;=5,FM34&lt;&gt;0, GetEquPower(BE34,BR34, DM34, FW34)=0)</formula>
    </cfRule>
    <cfRule type="expression" dxfId="0" priority="402">
      <formula>AND(BX34&gt;=5,FM34&lt;&gt;GetEquPower(BE34,BR34, DM34, FW34))</formula>
    </cfRule>
  </conditionalFormatting>
  <conditionalFormatting sqref="FN34">
    <cfRule type="expression" dxfId="1" priority="403">
      <formula>AND(BX34&gt;=6,FN34&lt;&gt;0, GetEquPower(BE34,BR34, DN34, FW34)=0)</formula>
    </cfRule>
    <cfRule type="expression" dxfId="0" priority="404">
      <formula>AND(BX34&gt;=6,FN34&lt;&gt;GetEquPower(BE34,BR34, DN34, FW34))</formula>
    </cfRule>
  </conditionalFormatting>
  <conditionalFormatting sqref="F35">
    <cfRule type="expression" dxfId="72" priority="251">
      <formula>F35&lt;&gt;RIGHT(SUBSTITUTE(TRIM(E35),".",""),LEN(F35))</formula>
    </cfRule>
  </conditionalFormatting>
  <conditionalFormatting sqref="BS35">
    <cfRule type="expression" dxfId="72" priority="250">
      <formula>AND(J35&gt;=1,BS35&lt;1)</formula>
    </cfRule>
  </conditionalFormatting>
  <conditionalFormatting sqref="BT35">
    <cfRule type="expression" dxfId="72" priority="249">
      <formula>AND(J35&gt;=2,BT35&lt;1)</formula>
    </cfRule>
  </conditionalFormatting>
  <conditionalFormatting sqref="BU35">
    <cfRule type="expression" dxfId="72" priority="247">
      <formula>AND(J35&gt;=3,BU35&lt;1)</formula>
    </cfRule>
  </conditionalFormatting>
  <conditionalFormatting sqref="BV35">
    <cfRule type="expression" dxfId="72" priority="246">
      <formula>AND(J35&gt;=4,BV35&lt;1)</formula>
    </cfRule>
  </conditionalFormatting>
  <conditionalFormatting sqref="BW35">
    <cfRule type="expression" dxfId="72" priority="248">
      <formula>AND(J35&gt;=5,BW35&lt;1)</formula>
    </cfRule>
  </conditionalFormatting>
  <conditionalFormatting sqref="BX35">
    <cfRule type="expression" dxfId="72" priority="245">
      <formula>AND(J35&gt;=6,BX35&lt;1)</formula>
    </cfRule>
  </conditionalFormatting>
  <conditionalFormatting sqref="IC35">
    <cfRule type="expression" dxfId="72" priority="324">
      <formula>AND($S35 = TRUE, $IC35&lt;&gt;OptionsUnitCode)</formula>
    </cfRule>
  </conditionalFormatting>
  <conditionalFormatting sqref="B35:II35">
    <cfRule type="containsErrors" dxfId="72" priority="244">
      <formula>ISERROR(B35)</formula>
    </cfRule>
  </conditionalFormatting>
  <conditionalFormatting sqref="DP35">
    <cfRule type="expression" dxfId="1" priority="252">
      <formula>AND(BS35&gt;=1,DP35&lt;&gt;0, GetEquPower(AZ35,BM35, BZ35, FR35)=0)</formula>
    </cfRule>
    <cfRule type="expression" dxfId="0" priority="253">
      <formula>AND(BS35&gt;=1,DP35&lt;&gt;GetEquPower(AZ35,BM35, BZ35, FR35))</formula>
    </cfRule>
  </conditionalFormatting>
  <conditionalFormatting sqref="DQ35">
    <cfRule type="expression" dxfId="1" priority="254">
      <formula>AND(BS35&gt;=2,DQ35&lt;&gt;0, GetEquPower(AZ35,BM35, CA35, FR35)=0)</formula>
    </cfRule>
    <cfRule type="expression" dxfId="0" priority="255">
      <formula>AND(BS35&gt;=2,DQ35&lt;&gt;GetEquPower(AZ35,BM35, CA35, FR35))</formula>
    </cfRule>
  </conditionalFormatting>
  <conditionalFormatting sqref="DR35">
    <cfRule type="expression" dxfId="1" priority="256">
      <formula>AND(BS35&gt;=3,DR35&lt;&gt;0, GetEquPower(AZ35,BM35, CB35, FR35)=0)</formula>
    </cfRule>
    <cfRule type="expression" dxfId="0" priority="257">
      <formula>AND(BS35&gt;=3,DR35&lt;&gt;GetEquPower(AZ35,BM35, CB35, FR35))</formula>
    </cfRule>
  </conditionalFormatting>
  <conditionalFormatting sqref="DS35">
    <cfRule type="expression" dxfId="1" priority="288">
      <formula>AND(BS35&gt;=4,DS35&lt;&gt;0, GetEquPower(AZ35,BM35, CC35, FR35)=0)</formula>
    </cfRule>
    <cfRule type="expression" dxfId="0" priority="289">
      <formula>AND(BS35&gt;=4, DS35&lt;&gt;GetEquPower(AZ35,BM35, CC35, FR35))</formula>
    </cfRule>
  </conditionalFormatting>
  <conditionalFormatting sqref="DT35">
    <cfRule type="expression" dxfId="1" priority="300">
      <formula>AND(BS35&gt;=5,DT35&lt;&gt;0, GetEquPower(AZ35,BM35, CD35, FR35)=0)</formula>
    </cfRule>
    <cfRule type="expression" dxfId="0" priority="301">
      <formula>AND(BS35&gt;=5, DT35&lt;&gt;GetEquPower(AZ35,BM35, CD35, FR35))</formula>
    </cfRule>
  </conditionalFormatting>
  <conditionalFormatting sqref="DU35">
    <cfRule type="expression" dxfId="1" priority="302">
      <formula>AND(BS35&gt;=6,DU35&lt;&gt;0, GetEquPower(AZ35,BM35, CE35, FR35)=0)</formula>
    </cfRule>
    <cfRule type="expression" dxfId="0" priority="303">
      <formula>AND(BS35&gt;=6, DU35&lt;&gt;GetEquPower(AZ35,BM35, CE35, FR35))</formula>
    </cfRule>
  </conditionalFormatting>
  <conditionalFormatting sqref="DY35">
    <cfRule type="expression" dxfId="1" priority="258">
      <formula>AND(BT35&gt;=1,DY35&lt;&gt;0, GetEquPower(BA35,BN35, CG35, FS35)=0)</formula>
    </cfRule>
    <cfRule type="expression" dxfId="0" priority="259">
      <formula>AND(BT35&gt;=1,DY35&lt;&gt;GetEquPower(BA35,BN35, CG35, FS35))</formula>
    </cfRule>
  </conditionalFormatting>
  <conditionalFormatting sqref="DZ35">
    <cfRule type="expression" dxfId="1" priority="260">
      <formula>AND(BT35&gt;=2,DZ35&lt;&gt;0, GetEquPower(BA35,BN35, CH35, FS35)=0)</formula>
    </cfRule>
    <cfRule type="expression" dxfId="0" priority="261">
      <formula>AND(BT35&gt;=2,DZ35&lt;&gt;GetEquPower(BA35,BN35, CH35, FS35))</formula>
    </cfRule>
  </conditionalFormatting>
  <conditionalFormatting sqref="EA35">
    <cfRule type="expression" dxfId="1" priority="262">
      <formula>AND(BT35&gt;=3,EA35&lt;&gt;0, GetEquPower(BA35,BN35, CI35, FS35)=0)</formula>
    </cfRule>
    <cfRule type="expression" dxfId="0" priority="263">
      <formula>AND(BT35&gt;=3,EA35&lt;&gt;GetEquPower(BA35,BN35, CI35, FS35))</formula>
    </cfRule>
  </conditionalFormatting>
  <conditionalFormatting sqref="EB35">
    <cfRule type="expression" dxfId="1" priority="290">
      <formula>AND(BT35&gt;=4,EB35&lt;&gt;0, GetEquPower(BA35,BN35, CJ35, FS35)=0)</formula>
    </cfRule>
    <cfRule type="expression" dxfId="0" priority="291">
      <formula>AND(BT35&gt;=4,EB35&lt;&gt;GetEquPower(BA35,BN35, CJ35, FS35))</formula>
    </cfRule>
  </conditionalFormatting>
  <conditionalFormatting sqref="EC35">
    <cfRule type="expression" dxfId="1" priority="304">
      <formula>AND(BT35&gt;=5,EC35&lt;&gt;0, GetEquPower(BA35,BN35, CK35, FS35)=0)</formula>
    </cfRule>
    <cfRule type="expression" dxfId="0" priority="305">
      <formula>AND(BT35&gt;=5,EC35&lt;&gt;GetEquPower(BA35,BN35, CK35, FS35))</formula>
    </cfRule>
  </conditionalFormatting>
  <conditionalFormatting sqref="ED35">
    <cfRule type="expression" dxfId="1" priority="306">
      <formula>AND(BT35&gt;=6,ED35&lt;&gt;0, GetEquPower(BA35,BN35, CL35, FS35)=0)</formula>
    </cfRule>
    <cfRule type="expression" dxfId="0" priority="307">
      <formula>AND(BT35&gt;=6,ED35&lt;&gt;GetEquPower(BA35,BN35, CL35, FS35))</formula>
    </cfRule>
  </conditionalFormatting>
  <conditionalFormatting sqref="EH35">
    <cfRule type="expression" dxfId="1" priority="264">
      <formula>AND(BU35&gt;=1,EH35&lt;&gt;0, GetEquPower(BB35,BO35, CN35, FT35)=0)</formula>
    </cfRule>
    <cfRule type="expression" dxfId="0" priority="265">
      <formula>AND(BU35&gt;=1,EH35&lt;&gt;GetEquPower(BB35,BO35, CN35, FT35))</formula>
    </cfRule>
  </conditionalFormatting>
  <conditionalFormatting sqref="EI35">
    <cfRule type="expression" dxfId="1" priority="266">
      <formula>AND(BU35&gt;=2,EI35&lt;&gt;0, GetEquPower(BB35,BO35, CO35, FT35)=0)</formula>
    </cfRule>
    <cfRule type="expression" dxfId="0" priority="267">
      <formula xml:space="preserve"> AND(BU35&gt;=2,EI35&lt;&gt;GetEquPower(BB35,BO35, CO35, FT35))</formula>
    </cfRule>
  </conditionalFormatting>
  <conditionalFormatting sqref="EJ35">
    <cfRule type="expression" dxfId="1" priority="268">
      <formula>AND(BU35&gt;=3,EJ35&lt;&gt;0, GetEquPower(BB35,BO35, CP35, FT35)=0)</formula>
    </cfRule>
    <cfRule type="expression" dxfId="0" priority="269">
      <formula xml:space="preserve"> AND(BU35&gt;=3,EJ35&lt;&gt;GetEquPower(BB35,BO35, CP35, FT35))</formula>
    </cfRule>
  </conditionalFormatting>
  <conditionalFormatting sqref="EK35">
    <cfRule type="expression" dxfId="1" priority="292">
      <formula>AND(BU35&gt;=4,EK35&lt;&gt;0, GetEquPower(BB35,BO35, CQ35, FT35)=0)</formula>
    </cfRule>
    <cfRule type="expression" dxfId="0" priority="293">
      <formula xml:space="preserve"> AND(BU35&gt;=4,EK35&lt;&gt;GetEquPower(BB35,BO35, CQ35, FT35))</formula>
    </cfRule>
  </conditionalFormatting>
  <conditionalFormatting sqref="EL35">
    <cfRule type="expression" dxfId="1" priority="308">
      <formula>AND(BU35&gt;=5,EL35&lt;&gt;0, GetEquPower(BB35,BO35, CR35, FT35)=0)</formula>
    </cfRule>
    <cfRule type="expression" dxfId="0" priority="309">
      <formula xml:space="preserve"> AND(BU35&gt;=5,EL35&lt;&gt;GetEquPower(BB35,BO35, CR35, FT35))</formula>
    </cfRule>
  </conditionalFormatting>
  <conditionalFormatting sqref="EM35">
    <cfRule type="expression" dxfId="1" priority="310">
      <formula>AND(BU35&gt;=6,EM35&lt;&gt;0, GetEquPower(BB35,BO35, CS35, FT35)=0)</formula>
    </cfRule>
    <cfRule type="expression" dxfId="0" priority="311">
      <formula xml:space="preserve"> AND(BU35&gt;=6,EM35&lt;&gt;GetEquPower(BB35,BO35, CS35, FT35))</formula>
    </cfRule>
  </conditionalFormatting>
  <conditionalFormatting sqref="EQ35">
    <cfRule type="expression" dxfId="1" priority="270">
      <formula>AND(BV35&gt;=1,EQ35&lt;&gt;0, GetEquPower(BC35,BP35, CU35, FU35)=0)</formula>
    </cfRule>
    <cfRule type="expression" dxfId="0" priority="271">
      <formula>AND(BV35&gt;=1,EQ35&lt;&gt;GetEquPower(BC35,BP35, CU35, FU35))</formula>
    </cfRule>
  </conditionalFormatting>
  <conditionalFormatting sqref="ER35">
    <cfRule type="expression" dxfId="1" priority="272">
      <formula>AND(BV35&gt;=2,ER35&lt;&gt;0, GetEquPower(BC35,BP35, CV35, FU35)=0)</formula>
    </cfRule>
    <cfRule type="expression" dxfId="0" priority="273">
      <formula>AND(BV35&gt;=2,ER35&lt;&gt;GetEquPower(BC35,BP35, CV35, FU35))</formula>
    </cfRule>
  </conditionalFormatting>
  <conditionalFormatting sqref="ES35">
    <cfRule type="expression" dxfId="1" priority="274">
      <formula>AND(BV35&gt;=3,ES35&lt;&gt;0, GetEquPower(BC35,BP35, CW35, FU35)=0)</formula>
    </cfRule>
    <cfRule type="expression" dxfId="0" priority="275">
      <formula>AND(BV35&gt;=3,ES35&lt;&gt;GetEquPower(BC35,BP35, CW35, FU35))</formula>
    </cfRule>
  </conditionalFormatting>
  <conditionalFormatting sqref="ET35">
    <cfRule type="expression" dxfId="1" priority="294">
      <formula>AND(BV35&gt;=4,ET35&lt;&gt;0, GetEquPower(BC35,BP35, CX35, FU35)=0)</formula>
    </cfRule>
    <cfRule type="expression" dxfId="0" priority="295">
      <formula>AND(BV35&gt;=4,ET35&lt;&gt;GetEquPower(BC35,BP35, CX35, FU35))</formula>
    </cfRule>
  </conditionalFormatting>
  <conditionalFormatting sqref="EU35">
    <cfRule type="expression" dxfId="1" priority="312">
      <formula>AND(BV35&gt;=5,EU35&lt;&gt;0, GetEquPower(BC35,BP35, CY35, FU35)=0)</formula>
    </cfRule>
    <cfRule type="expression" dxfId="0" priority="313">
      <formula>AND(BV35&gt;=5,EU35&lt;&gt;GetEquPower(BC35,BP35, CY35, FU35))</formula>
    </cfRule>
  </conditionalFormatting>
  <conditionalFormatting sqref="EV35">
    <cfRule type="expression" dxfId="1" priority="314">
      <formula>AND(BV35&gt;=6,EV35&lt;&gt;0, GetEquPower(BC35,BP35, CZ35, FU35)=0)</formula>
    </cfRule>
    <cfRule type="expression" dxfId="0" priority="315">
      <formula>AND(BV35&gt;=6,EV35&lt;&gt;GetEquPower(BC35,BP35, CZ35, FU35))</formula>
    </cfRule>
  </conditionalFormatting>
  <conditionalFormatting sqref="EZ35">
    <cfRule type="expression" dxfId="1" priority="276">
      <formula>AND(BW35&gt;=1,EZ35&lt;&gt;0, GetEquPower(BD35,BQ35, DB35, FV35)=0)</formula>
    </cfRule>
    <cfRule type="expression" dxfId="0" priority="277">
      <formula>AND(BW35&gt;=1,EZ35&lt;&gt;GetEquPower(BD35,BQ35, DB35, FV35))</formula>
    </cfRule>
  </conditionalFormatting>
  <conditionalFormatting sqref="FA35">
    <cfRule type="expression" dxfId="1" priority="278">
      <formula>AND(BW35&gt;=2,FA35&lt;&gt;0, GetEquPower(BD35,BQ35, DC35, FV35)=0)</formula>
    </cfRule>
    <cfRule type="expression" dxfId="0" priority="279">
      <formula>AND(BW35&gt;=2,FA35&lt;&gt;GetEquPower(BD35,BQ35, DC35, FV35))</formula>
    </cfRule>
  </conditionalFormatting>
  <conditionalFormatting sqref="FB35">
    <cfRule type="expression" dxfId="1" priority="280">
      <formula>AND(BW35&gt;=3,FB35&lt;&gt;0, GetEquPower(BD35,BQ35, DD35, FV35)=0)</formula>
    </cfRule>
    <cfRule type="expression" dxfId="0" priority="281">
      <formula>AND(BW35&gt;=3,FB35&lt;&gt;GetEquPower(BD35,BQ35, DD35, FV35))</formula>
    </cfRule>
  </conditionalFormatting>
  <conditionalFormatting sqref="FC35">
    <cfRule type="expression" dxfId="1" priority="296">
      <formula>AND(BW35&gt;=4,FC35&lt;&gt;0, GetEquPower(BD35,BQ35, DE35, FV35)=0)</formula>
    </cfRule>
    <cfRule type="expression" dxfId="0" priority="297">
      <formula>AND(BW35&gt;=4,FC35&lt;&gt;GetEquPower(BD35,BQ35, DE35, FV35))</formula>
    </cfRule>
  </conditionalFormatting>
  <conditionalFormatting sqref="FD35">
    <cfRule type="expression" dxfId="1" priority="316">
      <formula>AND(BW35&gt;=5,FD35&lt;&gt;0, GetEquPower(BD35,BQ35, DF35, FV35)=0)</formula>
    </cfRule>
    <cfRule type="expression" dxfId="0" priority="317">
      <formula>AND(BW35&gt;=5,FD35&lt;&gt;GetEquPower(BD35,BQ35, DF35, FV35))</formula>
    </cfRule>
  </conditionalFormatting>
  <conditionalFormatting sqref="FE35">
    <cfRule type="expression" dxfId="1" priority="318">
      <formula>AND(BW35&gt;=6,FE35&lt;&gt;0, GetEquPower(BD35,BQ35, DG35, FV35)=0)</formula>
    </cfRule>
    <cfRule type="expression" dxfId="0" priority="319">
      <formula>AND(BW35&gt;=6,FE35&lt;&gt;GetEquPower(BD35,BQ35, DG35, FV35))</formula>
    </cfRule>
  </conditionalFormatting>
  <conditionalFormatting sqref="FI35">
    <cfRule type="expression" dxfId="1" priority="282">
      <formula>AND(BX35&gt;=1,FI35&lt;&gt;0, GetEquPower(BE35,BR35, DI35, FW35)=0)</formula>
    </cfRule>
    <cfRule type="expression" dxfId="0" priority="283">
      <formula>AND(BX35&gt;=1,FI35&lt;&gt;GetEquPower(BE35,BR35, DI35, FW35))</formula>
    </cfRule>
  </conditionalFormatting>
  <conditionalFormatting sqref="FJ35">
    <cfRule type="expression" dxfId="1" priority="284">
      <formula>AND(BX35&gt;=2,FJ35&lt;&gt;0, GetEquPower(BE35,BR35, DJ35, FW35)=0)</formula>
    </cfRule>
    <cfRule type="expression" dxfId="0" priority="285">
      <formula>AND(BX35&gt;=2,FJ35&lt;&gt;GetEquPower(BE35,BR35, DJ35, FW35))</formula>
    </cfRule>
  </conditionalFormatting>
  <conditionalFormatting sqref="FK35">
    <cfRule type="expression" dxfId="1" priority="286">
      <formula>AND(BX35&gt;=3,FK35&lt;&gt;0, GetEquPower(BE35,BR35, DK35, FW35)=0)</formula>
    </cfRule>
    <cfRule type="expression" dxfId="0" priority="287">
      <formula>AND(BX35&gt;=3,FK35&lt;&gt;GetEquPower(BE35,BR35, DK35, FW35))</formula>
    </cfRule>
  </conditionalFormatting>
  <conditionalFormatting sqref="FL35">
    <cfRule type="expression" dxfId="1" priority="298">
      <formula>AND(BX35&gt;=4,FL35&lt;&gt;0, GetEquPower(BE35,BR35, DL35, FW35)=0)</formula>
    </cfRule>
    <cfRule type="expression" dxfId="0" priority="299">
      <formula>AND(BX35&gt;=4,FL35&lt;&gt;GetEquPower(BE35,BR35, DL35, FW35))</formula>
    </cfRule>
  </conditionalFormatting>
  <conditionalFormatting sqref="FM35">
    <cfRule type="expression" dxfId="1" priority="320">
      <formula>AND(BX35&gt;=5,FM35&lt;&gt;0, GetEquPower(BE35,BR35, DM35, FW35)=0)</formula>
    </cfRule>
    <cfRule type="expression" dxfId="0" priority="321">
      <formula>AND(BX35&gt;=5,FM35&lt;&gt;GetEquPower(BE35,BR35, DM35, FW35))</formula>
    </cfRule>
  </conditionalFormatting>
  <conditionalFormatting sqref="FN35">
    <cfRule type="expression" dxfId="1" priority="322">
      <formula>AND(BX35&gt;=6,FN35&lt;&gt;0, GetEquPower(BE35,BR35, DN35, FW35)=0)</formula>
    </cfRule>
    <cfRule type="expression" dxfId="0" priority="323">
      <formula>AND(BX35&gt;=6,FN35&lt;&gt;GetEquPower(BE35,BR35, DN35, FW35))</formula>
    </cfRule>
  </conditionalFormatting>
  <conditionalFormatting sqref="F36">
    <cfRule type="expression" dxfId="72" priority="170">
      <formula>F36&lt;&gt;RIGHT(SUBSTITUTE(TRIM(E36),".",""),LEN(F36))</formula>
    </cfRule>
  </conditionalFormatting>
  <conditionalFormatting sqref="BS36">
    <cfRule type="expression" dxfId="72" priority="169">
      <formula>AND(J36&gt;=1,BS36&lt;1)</formula>
    </cfRule>
  </conditionalFormatting>
  <conditionalFormatting sqref="BT36">
    <cfRule type="expression" dxfId="72" priority="168">
      <formula>AND(J36&gt;=2,BT36&lt;1)</formula>
    </cfRule>
  </conditionalFormatting>
  <conditionalFormatting sqref="BU36">
    <cfRule type="expression" dxfId="72" priority="166">
      <formula>AND(J36&gt;=3,BU36&lt;1)</formula>
    </cfRule>
  </conditionalFormatting>
  <conditionalFormatting sqref="BV36">
    <cfRule type="expression" dxfId="72" priority="165">
      <formula>AND(J36&gt;=4,BV36&lt;1)</formula>
    </cfRule>
  </conditionalFormatting>
  <conditionalFormatting sqref="BW36">
    <cfRule type="expression" dxfId="72" priority="167">
      <formula>AND(J36&gt;=5,BW36&lt;1)</formula>
    </cfRule>
  </conditionalFormatting>
  <conditionalFormatting sqref="BX36">
    <cfRule type="expression" dxfId="72" priority="164">
      <formula>AND(J36&gt;=6,BX36&lt;1)</formula>
    </cfRule>
  </conditionalFormatting>
  <conditionalFormatting sqref="IC36">
    <cfRule type="expression" dxfId="72" priority="243">
      <formula>AND($S36 = TRUE, $IC36&lt;&gt;OptionsUnitCode)</formula>
    </cfRule>
  </conditionalFormatting>
  <conditionalFormatting sqref="B36:II36">
    <cfRule type="containsErrors" dxfId="72" priority="163">
      <formula>ISERROR(B36)</formula>
    </cfRule>
  </conditionalFormatting>
  <conditionalFormatting sqref="DP36">
    <cfRule type="expression" dxfId="1" priority="171">
      <formula>AND(BS36&gt;=1,DP36&lt;&gt;0, GetEquPower(AZ36,BM36, BZ36, FR36)=0)</formula>
    </cfRule>
    <cfRule type="expression" dxfId="0" priority="172">
      <formula>AND(BS36&gt;=1,DP36&lt;&gt;GetEquPower(AZ36,BM36, BZ36, FR36))</formula>
    </cfRule>
  </conditionalFormatting>
  <conditionalFormatting sqref="DQ36">
    <cfRule type="expression" dxfId="1" priority="173">
      <formula>AND(BS36&gt;=2,DQ36&lt;&gt;0, GetEquPower(AZ36,BM36, CA36, FR36)=0)</formula>
    </cfRule>
    <cfRule type="expression" dxfId="0" priority="174">
      <formula>AND(BS36&gt;=2,DQ36&lt;&gt;GetEquPower(AZ36,BM36, CA36, FR36))</formula>
    </cfRule>
  </conditionalFormatting>
  <conditionalFormatting sqref="DR36">
    <cfRule type="expression" dxfId="1" priority="175">
      <formula>AND(BS36&gt;=3,DR36&lt;&gt;0, GetEquPower(AZ36,BM36, CB36, FR36)=0)</formula>
    </cfRule>
    <cfRule type="expression" dxfId="0" priority="176">
      <formula>AND(BS36&gt;=3,DR36&lt;&gt;GetEquPower(AZ36,BM36, CB36, FR36))</formula>
    </cfRule>
  </conditionalFormatting>
  <conditionalFormatting sqref="DS36">
    <cfRule type="expression" dxfId="1" priority="207">
      <formula>AND(BS36&gt;=4,DS36&lt;&gt;0, GetEquPower(AZ36,BM36, CC36, FR36)=0)</formula>
    </cfRule>
    <cfRule type="expression" dxfId="0" priority="208">
      <formula>AND(BS36&gt;=4, DS36&lt;&gt;GetEquPower(AZ36,BM36, CC36, FR36))</formula>
    </cfRule>
  </conditionalFormatting>
  <conditionalFormatting sqref="DT36">
    <cfRule type="expression" dxfId="1" priority="219">
      <formula>AND(BS36&gt;=5,DT36&lt;&gt;0, GetEquPower(AZ36,BM36, CD36, FR36)=0)</formula>
    </cfRule>
    <cfRule type="expression" dxfId="0" priority="220">
      <formula>AND(BS36&gt;=5, DT36&lt;&gt;GetEquPower(AZ36,BM36, CD36, FR36))</formula>
    </cfRule>
  </conditionalFormatting>
  <conditionalFormatting sqref="DU36">
    <cfRule type="expression" dxfId="1" priority="221">
      <formula>AND(BS36&gt;=6,DU36&lt;&gt;0, GetEquPower(AZ36,BM36, CE36, FR36)=0)</formula>
    </cfRule>
    <cfRule type="expression" dxfId="0" priority="222">
      <formula>AND(BS36&gt;=6, DU36&lt;&gt;GetEquPower(AZ36,BM36, CE36, FR36))</formula>
    </cfRule>
  </conditionalFormatting>
  <conditionalFormatting sqref="DY36">
    <cfRule type="expression" dxfId="1" priority="177">
      <formula>AND(BT36&gt;=1,DY36&lt;&gt;0, GetEquPower(BA36,BN36, CG36, FS36)=0)</formula>
    </cfRule>
    <cfRule type="expression" dxfId="0" priority="178">
      <formula>AND(BT36&gt;=1,DY36&lt;&gt;GetEquPower(BA36,BN36, CG36, FS36))</formula>
    </cfRule>
  </conditionalFormatting>
  <conditionalFormatting sqref="DZ36">
    <cfRule type="expression" dxfId="1" priority="179">
      <formula>AND(BT36&gt;=2,DZ36&lt;&gt;0, GetEquPower(BA36,BN36, CH36, FS36)=0)</formula>
    </cfRule>
    <cfRule type="expression" dxfId="0" priority="180">
      <formula>AND(BT36&gt;=2,DZ36&lt;&gt;GetEquPower(BA36,BN36, CH36, FS36))</formula>
    </cfRule>
  </conditionalFormatting>
  <conditionalFormatting sqref="EA36">
    <cfRule type="expression" dxfId="1" priority="181">
      <formula>AND(BT36&gt;=3,EA36&lt;&gt;0, GetEquPower(BA36,BN36, CI36, FS36)=0)</formula>
    </cfRule>
    <cfRule type="expression" dxfId="0" priority="182">
      <formula>AND(BT36&gt;=3,EA36&lt;&gt;GetEquPower(BA36,BN36, CI36, FS36))</formula>
    </cfRule>
  </conditionalFormatting>
  <conditionalFormatting sqref="EB36">
    <cfRule type="expression" dxfId="1" priority="209">
      <formula>AND(BT36&gt;=4,EB36&lt;&gt;0, GetEquPower(BA36,BN36, CJ36, FS36)=0)</formula>
    </cfRule>
    <cfRule type="expression" dxfId="0" priority="210">
      <formula>AND(BT36&gt;=4,EB36&lt;&gt;GetEquPower(BA36,BN36, CJ36, FS36))</formula>
    </cfRule>
  </conditionalFormatting>
  <conditionalFormatting sqref="EC36">
    <cfRule type="expression" dxfId="1" priority="223">
      <formula>AND(BT36&gt;=5,EC36&lt;&gt;0, GetEquPower(BA36,BN36, CK36, FS36)=0)</formula>
    </cfRule>
    <cfRule type="expression" dxfId="0" priority="224">
      <formula>AND(BT36&gt;=5,EC36&lt;&gt;GetEquPower(BA36,BN36, CK36, FS36))</formula>
    </cfRule>
  </conditionalFormatting>
  <conditionalFormatting sqref="ED36">
    <cfRule type="expression" dxfId="1" priority="225">
      <formula>AND(BT36&gt;=6,ED36&lt;&gt;0, GetEquPower(BA36,BN36, CL36, FS36)=0)</formula>
    </cfRule>
    <cfRule type="expression" dxfId="0" priority="226">
      <formula>AND(BT36&gt;=6,ED36&lt;&gt;GetEquPower(BA36,BN36, CL36, FS36))</formula>
    </cfRule>
  </conditionalFormatting>
  <conditionalFormatting sqref="EH36">
    <cfRule type="expression" dxfId="1" priority="183">
      <formula>AND(BU36&gt;=1,EH36&lt;&gt;0, GetEquPower(BB36,BO36, CN36, FT36)=0)</formula>
    </cfRule>
    <cfRule type="expression" dxfId="0" priority="184">
      <formula>AND(BU36&gt;=1,EH36&lt;&gt;GetEquPower(BB36,BO36, CN36, FT36))</formula>
    </cfRule>
  </conditionalFormatting>
  <conditionalFormatting sqref="EI36">
    <cfRule type="expression" dxfId="1" priority="185">
      <formula>AND(BU36&gt;=2,EI36&lt;&gt;0, GetEquPower(BB36,BO36, CO36, FT36)=0)</formula>
    </cfRule>
    <cfRule type="expression" dxfId="0" priority="186">
      <formula xml:space="preserve"> AND(BU36&gt;=2,EI36&lt;&gt;GetEquPower(BB36,BO36, CO36, FT36))</formula>
    </cfRule>
  </conditionalFormatting>
  <conditionalFormatting sqref="EJ36">
    <cfRule type="expression" dxfId="1" priority="187">
      <formula>AND(BU36&gt;=3,EJ36&lt;&gt;0, GetEquPower(BB36,BO36, CP36, FT36)=0)</formula>
    </cfRule>
    <cfRule type="expression" dxfId="0" priority="188">
      <formula xml:space="preserve"> AND(BU36&gt;=3,EJ36&lt;&gt;GetEquPower(BB36,BO36, CP36, FT36))</formula>
    </cfRule>
  </conditionalFormatting>
  <conditionalFormatting sqref="EK36">
    <cfRule type="expression" dxfId="1" priority="211">
      <formula>AND(BU36&gt;=4,EK36&lt;&gt;0, GetEquPower(BB36,BO36, CQ36, FT36)=0)</formula>
    </cfRule>
    <cfRule type="expression" dxfId="0" priority="212">
      <formula xml:space="preserve"> AND(BU36&gt;=4,EK36&lt;&gt;GetEquPower(BB36,BO36, CQ36, FT36))</formula>
    </cfRule>
  </conditionalFormatting>
  <conditionalFormatting sqref="EL36">
    <cfRule type="expression" dxfId="1" priority="227">
      <formula>AND(BU36&gt;=5,EL36&lt;&gt;0, GetEquPower(BB36,BO36, CR36, FT36)=0)</formula>
    </cfRule>
    <cfRule type="expression" dxfId="0" priority="228">
      <formula xml:space="preserve"> AND(BU36&gt;=5,EL36&lt;&gt;GetEquPower(BB36,BO36, CR36, FT36))</formula>
    </cfRule>
  </conditionalFormatting>
  <conditionalFormatting sqref="EM36">
    <cfRule type="expression" dxfId="1" priority="229">
      <formula>AND(BU36&gt;=6,EM36&lt;&gt;0, GetEquPower(BB36,BO36, CS36, FT36)=0)</formula>
    </cfRule>
    <cfRule type="expression" dxfId="0" priority="230">
      <formula xml:space="preserve"> AND(BU36&gt;=6,EM36&lt;&gt;GetEquPower(BB36,BO36, CS36, FT36))</formula>
    </cfRule>
  </conditionalFormatting>
  <conditionalFormatting sqref="EQ36">
    <cfRule type="expression" dxfId="1" priority="189">
      <formula>AND(BV36&gt;=1,EQ36&lt;&gt;0, GetEquPower(BC36,BP36, CU36, FU36)=0)</formula>
    </cfRule>
    <cfRule type="expression" dxfId="0" priority="190">
      <formula>AND(BV36&gt;=1,EQ36&lt;&gt;GetEquPower(BC36,BP36, CU36, FU36))</formula>
    </cfRule>
  </conditionalFormatting>
  <conditionalFormatting sqref="ER36">
    <cfRule type="expression" dxfId="1" priority="191">
      <formula>AND(BV36&gt;=2,ER36&lt;&gt;0, GetEquPower(BC36,BP36, CV36, FU36)=0)</formula>
    </cfRule>
    <cfRule type="expression" dxfId="0" priority="192">
      <formula>AND(BV36&gt;=2,ER36&lt;&gt;GetEquPower(BC36,BP36, CV36, FU36))</formula>
    </cfRule>
  </conditionalFormatting>
  <conditionalFormatting sqref="ES36">
    <cfRule type="expression" dxfId="1" priority="193">
      <formula>AND(BV36&gt;=3,ES36&lt;&gt;0, GetEquPower(BC36,BP36, CW36, FU36)=0)</formula>
    </cfRule>
    <cfRule type="expression" dxfId="0" priority="194">
      <formula>AND(BV36&gt;=3,ES36&lt;&gt;GetEquPower(BC36,BP36, CW36, FU36))</formula>
    </cfRule>
  </conditionalFormatting>
  <conditionalFormatting sqref="ET36">
    <cfRule type="expression" dxfId="1" priority="213">
      <formula>AND(BV36&gt;=4,ET36&lt;&gt;0, GetEquPower(BC36,BP36, CX36, FU36)=0)</formula>
    </cfRule>
    <cfRule type="expression" dxfId="0" priority="214">
      <formula>AND(BV36&gt;=4,ET36&lt;&gt;GetEquPower(BC36,BP36, CX36, FU36))</formula>
    </cfRule>
  </conditionalFormatting>
  <conditionalFormatting sqref="EU36">
    <cfRule type="expression" dxfId="1" priority="231">
      <formula>AND(BV36&gt;=5,EU36&lt;&gt;0, GetEquPower(BC36,BP36, CY36, FU36)=0)</formula>
    </cfRule>
    <cfRule type="expression" dxfId="0" priority="232">
      <formula>AND(BV36&gt;=5,EU36&lt;&gt;GetEquPower(BC36,BP36, CY36, FU36))</formula>
    </cfRule>
  </conditionalFormatting>
  <conditionalFormatting sqref="EV36">
    <cfRule type="expression" dxfId="1" priority="233">
      <formula>AND(BV36&gt;=6,EV36&lt;&gt;0, GetEquPower(BC36,BP36, CZ36, FU36)=0)</formula>
    </cfRule>
    <cfRule type="expression" dxfId="0" priority="234">
      <formula>AND(BV36&gt;=6,EV36&lt;&gt;GetEquPower(BC36,BP36, CZ36, FU36))</formula>
    </cfRule>
  </conditionalFormatting>
  <conditionalFormatting sqref="EZ36">
    <cfRule type="expression" dxfId="1" priority="195">
      <formula>AND(BW36&gt;=1,EZ36&lt;&gt;0, GetEquPower(BD36,BQ36, DB36, FV36)=0)</formula>
    </cfRule>
    <cfRule type="expression" dxfId="0" priority="196">
      <formula>AND(BW36&gt;=1,EZ36&lt;&gt;GetEquPower(BD36,BQ36, DB36, FV36))</formula>
    </cfRule>
  </conditionalFormatting>
  <conditionalFormatting sqref="FA36">
    <cfRule type="expression" dxfId="1" priority="197">
      <formula>AND(BW36&gt;=2,FA36&lt;&gt;0, GetEquPower(BD36,BQ36, DC36, FV36)=0)</formula>
    </cfRule>
    <cfRule type="expression" dxfId="0" priority="198">
      <formula>AND(BW36&gt;=2,FA36&lt;&gt;GetEquPower(BD36,BQ36, DC36, FV36))</formula>
    </cfRule>
  </conditionalFormatting>
  <conditionalFormatting sqref="FB36">
    <cfRule type="expression" dxfId="1" priority="199">
      <formula>AND(BW36&gt;=3,FB36&lt;&gt;0, GetEquPower(BD36,BQ36, DD36, FV36)=0)</formula>
    </cfRule>
    <cfRule type="expression" dxfId="0" priority="200">
      <formula>AND(BW36&gt;=3,FB36&lt;&gt;GetEquPower(BD36,BQ36, DD36, FV36))</formula>
    </cfRule>
  </conditionalFormatting>
  <conditionalFormatting sqref="FC36">
    <cfRule type="expression" dxfId="1" priority="215">
      <formula>AND(BW36&gt;=4,FC36&lt;&gt;0, GetEquPower(BD36,BQ36, DE36, FV36)=0)</formula>
    </cfRule>
    <cfRule type="expression" dxfId="0" priority="216">
      <formula>AND(BW36&gt;=4,FC36&lt;&gt;GetEquPower(BD36,BQ36, DE36, FV36))</formula>
    </cfRule>
  </conditionalFormatting>
  <conditionalFormatting sqref="FD36">
    <cfRule type="expression" dxfId="1" priority="235">
      <formula>AND(BW36&gt;=5,FD36&lt;&gt;0, GetEquPower(BD36,BQ36, DF36, FV36)=0)</formula>
    </cfRule>
    <cfRule type="expression" dxfId="0" priority="236">
      <formula>AND(BW36&gt;=5,FD36&lt;&gt;GetEquPower(BD36,BQ36, DF36, FV36))</formula>
    </cfRule>
  </conditionalFormatting>
  <conditionalFormatting sqref="FE36">
    <cfRule type="expression" dxfId="1" priority="237">
      <formula>AND(BW36&gt;=6,FE36&lt;&gt;0, GetEquPower(BD36,BQ36, DG36, FV36)=0)</formula>
    </cfRule>
    <cfRule type="expression" dxfId="0" priority="238">
      <formula>AND(BW36&gt;=6,FE36&lt;&gt;GetEquPower(BD36,BQ36, DG36, FV36))</formula>
    </cfRule>
  </conditionalFormatting>
  <conditionalFormatting sqref="FI36">
    <cfRule type="expression" dxfId="1" priority="201">
      <formula>AND(BX36&gt;=1,FI36&lt;&gt;0, GetEquPower(BE36,BR36, DI36, FW36)=0)</formula>
    </cfRule>
    <cfRule type="expression" dxfId="0" priority="202">
      <formula>AND(BX36&gt;=1,FI36&lt;&gt;GetEquPower(BE36,BR36, DI36, FW36))</formula>
    </cfRule>
  </conditionalFormatting>
  <conditionalFormatting sqref="FJ36">
    <cfRule type="expression" dxfId="1" priority="203">
      <formula>AND(BX36&gt;=2,FJ36&lt;&gt;0, GetEquPower(BE36,BR36, DJ36, FW36)=0)</formula>
    </cfRule>
    <cfRule type="expression" dxfId="0" priority="204">
      <formula>AND(BX36&gt;=2,FJ36&lt;&gt;GetEquPower(BE36,BR36, DJ36, FW36))</formula>
    </cfRule>
  </conditionalFormatting>
  <conditionalFormatting sqref="FK36">
    <cfRule type="expression" dxfId="1" priority="205">
      <formula>AND(BX36&gt;=3,FK36&lt;&gt;0, GetEquPower(BE36,BR36, DK36, FW36)=0)</formula>
    </cfRule>
    <cfRule type="expression" dxfId="0" priority="206">
      <formula>AND(BX36&gt;=3,FK36&lt;&gt;GetEquPower(BE36,BR36, DK36, FW36))</formula>
    </cfRule>
  </conditionalFormatting>
  <conditionalFormatting sqref="FL36">
    <cfRule type="expression" dxfId="1" priority="217">
      <formula>AND(BX36&gt;=4,FL36&lt;&gt;0, GetEquPower(BE36,BR36, DL36, FW36)=0)</formula>
    </cfRule>
    <cfRule type="expression" dxfId="0" priority="218">
      <formula>AND(BX36&gt;=4,FL36&lt;&gt;GetEquPower(BE36,BR36, DL36, FW36))</formula>
    </cfRule>
  </conditionalFormatting>
  <conditionalFormatting sqref="FM36">
    <cfRule type="expression" dxfId="1" priority="239">
      <formula>AND(BX36&gt;=5,FM36&lt;&gt;0, GetEquPower(BE36,BR36, DM36, FW36)=0)</formula>
    </cfRule>
    <cfRule type="expression" dxfId="0" priority="240">
      <formula>AND(BX36&gt;=5,FM36&lt;&gt;GetEquPower(BE36,BR36, DM36, FW36))</formula>
    </cfRule>
  </conditionalFormatting>
  <conditionalFormatting sqref="FN36">
    <cfRule type="expression" dxfId="1" priority="241">
      <formula>AND(BX36&gt;=6,FN36&lt;&gt;0, GetEquPower(BE36,BR36, DN36, FW36)=0)</formula>
    </cfRule>
    <cfRule type="expression" dxfId="0" priority="242">
      <formula>AND(BX36&gt;=6,FN36&lt;&gt;GetEquPower(BE36,BR36, DN36, FW36))</formula>
    </cfRule>
  </conditionalFormatting>
  <conditionalFormatting sqref="F37">
    <cfRule type="expression" dxfId="72" priority="89">
      <formula>F37&lt;&gt;RIGHT(SUBSTITUTE(TRIM(E37),".",""),LEN(F37))</formula>
    </cfRule>
  </conditionalFormatting>
  <conditionalFormatting sqref="BS37">
    <cfRule type="expression" dxfId="72" priority="88">
      <formula>AND(J37&gt;=1,BS37&lt;1)</formula>
    </cfRule>
  </conditionalFormatting>
  <conditionalFormatting sqref="BT37">
    <cfRule type="expression" dxfId="72" priority="87">
      <formula>AND(J37&gt;=2,BT37&lt;1)</formula>
    </cfRule>
  </conditionalFormatting>
  <conditionalFormatting sqref="BU37">
    <cfRule type="expression" dxfId="72" priority="85">
      <formula>AND(J37&gt;=3,BU37&lt;1)</formula>
    </cfRule>
  </conditionalFormatting>
  <conditionalFormatting sqref="BV37">
    <cfRule type="expression" dxfId="72" priority="84">
      <formula>AND(J37&gt;=4,BV37&lt;1)</formula>
    </cfRule>
  </conditionalFormatting>
  <conditionalFormatting sqref="BW37">
    <cfRule type="expression" dxfId="72" priority="86">
      <formula>AND(J37&gt;=5,BW37&lt;1)</formula>
    </cfRule>
  </conditionalFormatting>
  <conditionalFormatting sqref="BX37">
    <cfRule type="expression" dxfId="72" priority="83">
      <formula>AND(J37&gt;=6,BX37&lt;1)</formula>
    </cfRule>
  </conditionalFormatting>
  <conditionalFormatting sqref="IC37">
    <cfRule type="expression" dxfId="72" priority="162">
      <formula>AND($S37 = TRUE, $IC37&lt;&gt;OptionsUnitCode)</formula>
    </cfRule>
  </conditionalFormatting>
  <conditionalFormatting sqref="B37:II37">
    <cfRule type="containsErrors" dxfId="72" priority="82">
      <formula>ISERROR(B37)</formula>
    </cfRule>
  </conditionalFormatting>
  <conditionalFormatting sqref="DP37">
    <cfRule type="expression" dxfId="1" priority="90">
      <formula>AND(BS37&gt;=1,DP37&lt;&gt;0, GetEquPower(AZ37,BM37, BZ37, FR37)=0)</formula>
    </cfRule>
    <cfRule type="expression" dxfId="0" priority="91">
      <formula>AND(BS37&gt;=1,DP37&lt;&gt;GetEquPower(AZ37,BM37, BZ37, FR37))</formula>
    </cfRule>
  </conditionalFormatting>
  <conditionalFormatting sqref="DQ37">
    <cfRule type="expression" dxfId="1" priority="92">
      <formula>AND(BS37&gt;=2,DQ37&lt;&gt;0, GetEquPower(AZ37,BM37, CA37, FR37)=0)</formula>
    </cfRule>
    <cfRule type="expression" dxfId="0" priority="93">
      <formula>AND(BS37&gt;=2,DQ37&lt;&gt;GetEquPower(AZ37,BM37, CA37, FR37))</formula>
    </cfRule>
  </conditionalFormatting>
  <conditionalFormatting sqref="DR37">
    <cfRule type="expression" dxfId="1" priority="94">
      <formula>AND(BS37&gt;=3,DR37&lt;&gt;0, GetEquPower(AZ37,BM37, CB37, FR37)=0)</formula>
    </cfRule>
    <cfRule type="expression" dxfId="0" priority="95">
      <formula>AND(BS37&gt;=3,DR37&lt;&gt;GetEquPower(AZ37,BM37, CB37, FR37))</formula>
    </cfRule>
  </conditionalFormatting>
  <conditionalFormatting sqref="DS37">
    <cfRule type="expression" dxfId="1" priority="126">
      <formula>AND(BS37&gt;=4,DS37&lt;&gt;0, GetEquPower(AZ37,BM37, CC37, FR37)=0)</formula>
    </cfRule>
    <cfRule type="expression" dxfId="0" priority="127">
      <formula>AND(BS37&gt;=4, DS37&lt;&gt;GetEquPower(AZ37,BM37, CC37, FR37))</formula>
    </cfRule>
  </conditionalFormatting>
  <conditionalFormatting sqref="DT37">
    <cfRule type="expression" dxfId="1" priority="138">
      <formula>AND(BS37&gt;=5,DT37&lt;&gt;0, GetEquPower(AZ37,BM37, CD37, FR37)=0)</formula>
    </cfRule>
    <cfRule type="expression" dxfId="0" priority="139">
      <formula>AND(BS37&gt;=5, DT37&lt;&gt;GetEquPower(AZ37,BM37, CD37, FR37))</formula>
    </cfRule>
  </conditionalFormatting>
  <conditionalFormatting sqref="DU37">
    <cfRule type="expression" dxfId="1" priority="140">
      <formula>AND(BS37&gt;=6,DU37&lt;&gt;0, GetEquPower(AZ37,BM37, CE37, FR37)=0)</formula>
    </cfRule>
    <cfRule type="expression" dxfId="0" priority="141">
      <formula>AND(BS37&gt;=6, DU37&lt;&gt;GetEquPower(AZ37,BM37, CE37, FR37))</formula>
    </cfRule>
  </conditionalFormatting>
  <conditionalFormatting sqref="DY37">
    <cfRule type="expression" dxfId="1" priority="96">
      <formula>AND(BT37&gt;=1,DY37&lt;&gt;0, GetEquPower(BA37,BN37, CG37, FS37)=0)</formula>
    </cfRule>
    <cfRule type="expression" dxfId="0" priority="97">
      <formula>AND(BT37&gt;=1,DY37&lt;&gt;GetEquPower(BA37,BN37, CG37, FS37))</formula>
    </cfRule>
  </conditionalFormatting>
  <conditionalFormatting sqref="DZ37">
    <cfRule type="expression" dxfId="1" priority="98">
      <formula>AND(BT37&gt;=2,DZ37&lt;&gt;0, GetEquPower(BA37,BN37, CH37, FS37)=0)</formula>
    </cfRule>
    <cfRule type="expression" dxfId="0" priority="99">
      <formula>AND(BT37&gt;=2,DZ37&lt;&gt;GetEquPower(BA37,BN37, CH37, FS37))</formula>
    </cfRule>
  </conditionalFormatting>
  <conditionalFormatting sqref="EA37">
    <cfRule type="expression" dxfId="1" priority="100">
      <formula>AND(BT37&gt;=3,EA37&lt;&gt;0, GetEquPower(BA37,BN37, CI37, FS37)=0)</formula>
    </cfRule>
    <cfRule type="expression" dxfId="0" priority="101">
      <formula>AND(BT37&gt;=3,EA37&lt;&gt;GetEquPower(BA37,BN37, CI37, FS37))</formula>
    </cfRule>
  </conditionalFormatting>
  <conditionalFormatting sqref="EB37">
    <cfRule type="expression" dxfId="1" priority="128">
      <formula>AND(BT37&gt;=4,EB37&lt;&gt;0, GetEquPower(BA37,BN37, CJ37, FS37)=0)</formula>
    </cfRule>
    <cfRule type="expression" dxfId="0" priority="129">
      <formula>AND(BT37&gt;=4,EB37&lt;&gt;GetEquPower(BA37,BN37, CJ37, FS37))</formula>
    </cfRule>
  </conditionalFormatting>
  <conditionalFormatting sqref="EC37">
    <cfRule type="expression" dxfId="1" priority="142">
      <formula>AND(BT37&gt;=5,EC37&lt;&gt;0, GetEquPower(BA37,BN37, CK37, FS37)=0)</formula>
    </cfRule>
    <cfRule type="expression" dxfId="0" priority="143">
      <formula>AND(BT37&gt;=5,EC37&lt;&gt;GetEquPower(BA37,BN37, CK37, FS37))</formula>
    </cfRule>
  </conditionalFormatting>
  <conditionalFormatting sqref="ED37">
    <cfRule type="expression" dxfId="1" priority="144">
      <formula>AND(BT37&gt;=6,ED37&lt;&gt;0, GetEquPower(BA37,BN37, CL37, FS37)=0)</formula>
    </cfRule>
    <cfRule type="expression" dxfId="0" priority="145">
      <formula>AND(BT37&gt;=6,ED37&lt;&gt;GetEquPower(BA37,BN37, CL37, FS37))</formula>
    </cfRule>
  </conditionalFormatting>
  <conditionalFormatting sqref="EH37">
    <cfRule type="expression" dxfId="1" priority="102">
      <formula>AND(BU37&gt;=1,EH37&lt;&gt;0, GetEquPower(BB37,BO37, CN37, FT37)=0)</formula>
    </cfRule>
    <cfRule type="expression" dxfId="0" priority="103">
      <formula>AND(BU37&gt;=1,EH37&lt;&gt;GetEquPower(BB37,BO37, CN37, FT37))</formula>
    </cfRule>
  </conditionalFormatting>
  <conditionalFormatting sqref="EI37">
    <cfRule type="expression" dxfId="1" priority="104">
      <formula>AND(BU37&gt;=2,EI37&lt;&gt;0, GetEquPower(BB37,BO37, CO37, FT37)=0)</formula>
    </cfRule>
    <cfRule type="expression" dxfId="0" priority="105">
      <formula xml:space="preserve"> AND(BU37&gt;=2,EI37&lt;&gt;GetEquPower(BB37,BO37, CO37, FT37))</formula>
    </cfRule>
  </conditionalFormatting>
  <conditionalFormatting sqref="EJ37">
    <cfRule type="expression" dxfId="1" priority="106">
      <formula>AND(BU37&gt;=3,EJ37&lt;&gt;0, GetEquPower(BB37,BO37, CP37, FT37)=0)</formula>
    </cfRule>
    <cfRule type="expression" dxfId="0" priority="107">
      <formula xml:space="preserve"> AND(BU37&gt;=3,EJ37&lt;&gt;GetEquPower(BB37,BO37, CP37, FT37))</formula>
    </cfRule>
  </conditionalFormatting>
  <conditionalFormatting sqref="EK37">
    <cfRule type="expression" dxfId="1" priority="130">
      <formula>AND(BU37&gt;=4,EK37&lt;&gt;0, GetEquPower(BB37,BO37, CQ37, FT37)=0)</formula>
    </cfRule>
    <cfRule type="expression" dxfId="0" priority="131">
      <formula xml:space="preserve"> AND(BU37&gt;=4,EK37&lt;&gt;GetEquPower(BB37,BO37, CQ37, FT37))</formula>
    </cfRule>
  </conditionalFormatting>
  <conditionalFormatting sqref="EL37">
    <cfRule type="expression" dxfId="1" priority="146">
      <formula>AND(BU37&gt;=5,EL37&lt;&gt;0, GetEquPower(BB37,BO37, CR37, FT37)=0)</formula>
    </cfRule>
    <cfRule type="expression" dxfId="0" priority="147">
      <formula xml:space="preserve"> AND(BU37&gt;=5,EL37&lt;&gt;GetEquPower(BB37,BO37, CR37, FT37))</formula>
    </cfRule>
  </conditionalFormatting>
  <conditionalFormatting sqref="EM37">
    <cfRule type="expression" dxfId="1" priority="148">
      <formula>AND(BU37&gt;=6,EM37&lt;&gt;0, GetEquPower(BB37,BO37, CS37, FT37)=0)</formula>
    </cfRule>
    <cfRule type="expression" dxfId="0" priority="149">
      <formula xml:space="preserve"> AND(BU37&gt;=6,EM37&lt;&gt;GetEquPower(BB37,BO37, CS37, FT37))</formula>
    </cfRule>
  </conditionalFormatting>
  <conditionalFormatting sqref="EQ37">
    <cfRule type="expression" dxfId="1" priority="108">
      <formula>AND(BV37&gt;=1,EQ37&lt;&gt;0, GetEquPower(BC37,BP37, CU37, FU37)=0)</formula>
    </cfRule>
    <cfRule type="expression" dxfId="0" priority="109">
      <formula>AND(BV37&gt;=1,EQ37&lt;&gt;GetEquPower(BC37,BP37, CU37, FU37))</formula>
    </cfRule>
  </conditionalFormatting>
  <conditionalFormatting sqref="ER37">
    <cfRule type="expression" dxfId="1" priority="110">
      <formula>AND(BV37&gt;=2,ER37&lt;&gt;0, GetEquPower(BC37,BP37, CV37, FU37)=0)</formula>
    </cfRule>
    <cfRule type="expression" dxfId="0" priority="111">
      <formula>AND(BV37&gt;=2,ER37&lt;&gt;GetEquPower(BC37,BP37, CV37, FU37))</formula>
    </cfRule>
  </conditionalFormatting>
  <conditionalFormatting sqref="ES37">
    <cfRule type="expression" dxfId="1" priority="112">
      <formula>AND(BV37&gt;=3,ES37&lt;&gt;0, GetEquPower(BC37,BP37, CW37, FU37)=0)</formula>
    </cfRule>
    <cfRule type="expression" dxfId="0" priority="113">
      <formula>AND(BV37&gt;=3,ES37&lt;&gt;GetEquPower(BC37,BP37, CW37, FU37))</formula>
    </cfRule>
  </conditionalFormatting>
  <conditionalFormatting sqref="ET37">
    <cfRule type="expression" dxfId="1" priority="132">
      <formula>AND(BV37&gt;=4,ET37&lt;&gt;0, GetEquPower(BC37,BP37, CX37, FU37)=0)</formula>
    </cfRule>
    <cfRule type="expression" dxfId="0" priority="133">
      <formula>AND(BV37&gt;=4,ET37&lt;&gt;GetEquPower(BC37,BP37, CX37, FU37))</formula>
    </cfRule>
  </conditionalFormatting>
  <conditionalFormatting sqref="EU37">
    <cfRule type="expression" dxfId="1" priority="150">
      <formula>AND(BV37&gt;=5,EU37&lt;&gt;0, GetEquPower(BC37,BP37, CY37, FU37)=0)</formula>
    </cfRule>
    <cfRule type="expression" dxfId="0" priority="151">
      <formula>AND(BV37&gt;=5,EU37&lt;&gt;GetEquPower(BC37,BP37, CY37, FU37))</formula>
    </cfRule>
  </conditionalFormatting>
  <conditionalFormatting sqref="EV37">
    <cfRule type="expression" dxfId="1" priority="152">
      <formula>AND(BV37&gt;=6,EV37&lt;&gt;0, GetEquPower(BC37,BP37, CZ37, FU37)=0)</formula>
    </cfRule>
    <cfRule type="expression" dxfId="0" priority="153">
      <formula>AND(BV37&gt;=6,EV37&lt;&gt;GetEquPower(BC37,BP37, CZ37, FU37))</formula>
    </cfRule>
  </conditionalFormatting>
  <conditionalFormatting sqref="EZ37">
    <cfRule type="expression" dxfId="1" priority="114">
      <formula>AND(BW37&gt;=1,EZ37&lt;&gt;0, GetEquPower(BD37,BQ37, DB37, FV37)=0)</formula>
    </cfRule>
    <cfRule type="expression" dxfId="0" priority="115">
      <formula>AND(BW37&gt;=1,EZ37&lt;&gt;GetEquPower(BD37,BQ37, DB37, FV37))</formula>
    </cfRule>
  </conditionalFormatting>
  <conditionalFormatting sqref="FA37">
    <cfRule type="expression" dxfId="1" priority="116">
      <formula>AND(BW37&gt;=2,FA37&lt;&gt;0, GetEquPower(BD37,BQ37, DC37, FV37)=0)</formula>
    </cfRule>
    <cfRule type="expression" dxfId="0" priority="117">
      <formula>AND(BW37&gt;=2,FA37&lt;&gt;GetEquPower(BD37,BQ37, DC37, FV37))</formula>
    </cfRule>
  </conditionalFormatting>
  <conditionalFormatting sqref="FB37">
    <cfRule type="expression" dxfId="1" priority="118">
      <formula>AND(BW37&gt;=3,FB37&lt;&gt;0, GetEquPower(BD37,BQ37, DD37, FV37)=0)</formula>
    </cfRule>
    <cfRule type="expression" dxfId="0" priority="119">
      <formula>AND(BW37&gt;=3,FB37&lt;&gt;GetEquPower(BD37,BQ37, DD37, FV37))</formula>
    </cfRule>
  </conditionalFormatting>
  <conditionalFormatting sqref="FC37">
    <cfRule type="expression" dxfId="1" priority="134">
      <formula>AND(BW37&gt;=4,FC37&lt;&gt;0, GetEquPower(BD37,BQ37, DE37, FV37)=0)</formula>
    </cfRule>
    <cfRule type="expression" dxfId="0" priority="135">
      <formula>AND(BW37&gt;=4,FC37&lt;&gt;GetEquPower(BD37,BQ37, DE37, FV37))</formula>
    </cfRule>
  </conditionalFormatting>
  <conditionalFormatting sqref="FD37">
    <cfRule type="expression" dxfId="1" priority="154">
      <formula>AND(BW37&gt;=5,FD37&lt;&gt;0, GetEquPower(BD37,BQ37, DF37, FV37)=0)</formula>
    </cfRule>
    <cfRule type="expression" dxfId="0" priority="155">
      <formula>AND(BW37&gt;=5,FD37&lt;&gt;GetEquPower(BD37,BQ37, DF37, FV37))</formula>
    </cfRule>
  </conditionalFormatting>
  <conditionalFormatting sqref="FE37">
    <cfRule type="expression" dxfId="1" priority="156">
      <formula>AND(BW37&gt;=6,FE37&lt;&gt;0, GetEquPower(BD37,BQ37, DG37, FV37)=0)</formula>
    </cfRule>
    <cfRule type="expression" dxfId="0" priority="157">
      <formula>AND(BW37&gt;=6,FE37&lt;&gt;GetEquPower(BD37,BQ37, DG37, FV37))</formula>
    </cfRule>
  </conditionalFormatting>
  <conditionalFormatting sqref="FI37">
    <cfRule type="expression" dxfId="1" priority="120">
      <formula>AND(BX37&gt;=1,FI37&lt;&gt;0, GetEquPower(BE37,BR37, DI37, FW37)=0)</formula>
    </cfRule>
    <cfRule type="expression" dxfId="0" priority="121">
      <formula>AND(BX37&gt;=1,FI37&lt;&gt;GetEquPower(BE37,BR37, DI37, FW37))</formula>
    </cfRule>
  </conditionalFormatting>
  <conditionalFormatting sqref="FJ37">
    <cfRule type="expression" dxfId="1" priority="122">
      <formula>AND(BX37&gt;=2,FJ37&lt;&gt;0, GetEquPower(BE37,BR37, DJ37, FW37)=0)</formula>
    </cfRule>
    <cfRule type="expression" dxfId="0" priority="123">
      <formula>AND(BX37&gt;=2,FJ37&lt;&gt;GetEquPower(BE37,BR37, DJ37, FW37))</formula>
    </cfRule>
  </conditionalFormatting>
  <conditionalFormatting sqref="FK37">
    <cfRule type="expression" dxfId="1" priority="124">
      <formula>AND(BX37&gt;=3,FK37&lt;&gt;0, GetEquPower(BE37,BR37, DK37, FW37)=0)</formula>
    </cfRule>
    <cfRule type="expression" dxfId="0" priority="125">
      <formula>AND(BX37&gt;=3,FK37&lt;&gt;GetEquPower(BE37,BR37, DK37, FW37))</formula>
    </cfRule>
  </conditionalFormatting>
  <conditionalFormatting sqref="FL37">
    <cfRule type="expression" dxfId="1" priority="136">
      <formula>AND(BX37&gt;=4,FL37&lt;&gt;0, GetEquPower(BE37,BR37, DL37, FW37)=0)</formula>
    </cfRule>
    <cfRule type="expression" dxfId="0" priority="137">
      <formula>AND(BX37&gt;=4,FL37&lt;&gt;GetEquPower(BE37,BR37, DL37, FW37))</formula>
    </cfRule>
  </conditionalFormatting>
  <conditionalFormatting sqref="FM37">
    <cfRule type="expression" dxfId="1" priority="158">
      <formula>AND(BX37&gt;=5,FM37&lt;&gt;0, GetEquPower(BE37,BR37, DM37, FW37)=0)</formula>
    </cfRule>
    <cfRule type="expression" dxfId="0" priority="159">
      <formula>AND(BX37&gt;=5,FM37&lt;&gt;GetEquPower(BE37,BR37, DM37, FW37))</formula>
    </cfRule>
  </conditionalFormatting>
  <conditionalFormatting sqref="FN37">
    <cfRule type="expression" dxfId="1" priority="160">
      <formula>AND(BX37&gt;=6,FN37&lt;&gt;0, GetEquPower(BE37,BR37, DN37, FW37)=0)</formula>
    </cfRule>
    <cfRule type="expression" dxfId="0" priority="161">
      <formula>AND(BX37&gt;=6,FN37&lt;&gt;GetEquPower(BE37,BR37, DN37, FW37))</formula>
    </cfRule>
  </conditionalFormatting>
  <conditionalFormatting sqref="F38">
    <cfRule type="expression" dxfId="72" priority="8">
      <formula>F38&lt;&gt;RIGHT(SUBSTITUTE(TRIM(E38),".",""),LEN(F38))</formula>
    </cfRule>
  </conditionalFormatting>
  <conditionalFormatting sqref="BS38">
    <cfRule type="expression" dxfId="72" priority="7">
      <formula>AND(J38&gt;=1,BS38&lt;1)</formula>
    </cfRule>
  </conditionalFormatting>
  <conditionalFormatting sqref="BT38">
    <cfRule type="expression" dxfId="72" priority="6">
      <formula>AND(J38&gt;=2,BT38&lt;1)</formula>
    </cfRule>
  </conditionalFormatting>
  <conditionalFormatting sqref="BU38">
    <cfRule type="expression" dxfId="72" priority="4">
      <formula>AND(J38&gt;=3,BU38&lt;1)</formula>
    </cfRule>
  </conditionalFormatting>
  <conditionalFormatting sqref="BV38">
    <cfRule type="expression" dxfId="72" priority="3">
      <formula>AND(J38&gt;=4,BV38&lt;1)</formula>
    </cfRule>
  </conditionalFormatting>
  <conditionalFormatting sqref="BW38">
    <cfRule type="expression" dxfId="72" priority="5">
      <formula>AND(J38&gt;=5,BW38&lt;1)</formula>
    </cfRule>
  </conditionalFormatting>
  <conditionalFormatting sqref="BX38">
    <cfRule type="expression" dxfId="72" priority="2">
      <formula>AND(J38&gt;=6,BX38&lt;1)</formula>
    </cfRule>
  </conditionalFormatting>
  <conditionalFormatting sqref="IC38">
    <cfRule type="expression" dxfId="72" priority="81">
      <formula>AND($S38 = TRUE, $IC38&lt;&gt;OptionsUnitCode)</formula>
    </cfRule>
  </conditionalFormatting>
  <conditionalFormatting sqref="B38:II38">
    <cfRule type="containsErrors" dxfId="72" priority="1">
      <formula>ISERROR(B38)</formula>
    </cfRule>
  </conditionalFormatting>
  <conditionalFormatting sqref="DP38">
    <cfRule type="expression" dxfId="1" priority="9">
      <formula>AND(BS38&gt;=1,DP38&lt;&gt;0, GetEquPower(AZ38,BM38, BZ38, FR38)=0)</formula>
    </cfRule>
    <cfRule type="expression" dxfId="0" priority="10">
      <formula>AND(BS38&gt;=1,DP38&lt;&gt;GetEquPower(AZ38,BM38, BZ38, FR38))</formula>
    </cfRule>
  </conditionalFormatting>
  <conditionalFormatting sqref="DQ38">
    <cfRule type="expression" dxfId="1" priority="11">
      <formula>AND(BS38&gt;=2,DQ38&lt;&gt;0, GetEquPower(AZ38,BM38, CA38, FR38)=0)</formula>
    </cfRule>
    <cfRule type="expression" dxfId="0" priority="12">
      <formula>AND(BS38&gt;=2,DQ38&lt;&gt;GetEquPower(AZ38,BM38, CA38, FR38))</formula>
    </cfRule>
  </conditionalFormatting>
  <conditionalFormatting sqref="DR38">
    <cfRule type="expression" dxfId="1" priority="13">
      <formula>AND(BS38&gt;=3,DR38&lt;&gt;0, GetEquPower(AZ38,BM38, CB38, FR38)=0)</formula>
    </cfRule>
    <cfRule type="expression" dxfId="0" priority="14">
      <formula>AND(BS38&gt;=3,DR38&lt;&gt;GetEquPower(AZ38,BM38, CB38, FR38))</formula>
    </cfRule>
  </conditionalFormatting>
  <conditionalFormatting sqref="DS38">
    <cfRule type="expression" dxfId="1" priority="45">
      <formula>AND(BS38&gt;=4,DS38&lt;&gt;0, GetEquPower(AZ38,BM38, CC38, FR38)=0)</formula>
    </cfRule>
    <cfRule type="expression" dxfId="0" priority="46">
      <formula>AND(BS38&gt;=4, DS38&lt;&gt;GetEquPower(AZ38,BM38, CC38, FR38))</formula>
    </cfRule>
  </conditionalFormatting>
  <conditionalFormatting sqref="DT38">
    <cfRule type="expression" dxfId="1" priority="57">
      <formula>AND(BS38&gt;=5,DT38&lt;&gt;0, GetEquPower(AZ38,BM38, CD38, FR38)=0)</formula>
    </cfRule>
    <cfRule type="expression" dxfId="0" priority="58">
      <formula>AND(BS38&gt;=5, DT38&lt;&gt;GetEquPower(AZ38,BM38, CD38, FR38))</formula>
    </cfRule>
  </conditionalFormatting>
  <conditionalFormatting sqref="DU38">
    <cfRule type="expression" dxfId="1" priority="59">
      <formula>AND(BS38&gt;=6,DU38&lt;&gt;0, GetEquPower(AZ38,BM38, CE38, FR38)=0)</formula>
    </cfRule>
    <cfRule type="expression" dxfId="0" priority="60">
      <formula>AND(BS38&gt;=6, DU38&lt;&gt;GetEquPower(AZ38,BM38, CE38, FR38))</formula>
    </cfRule>
  </conditionalFormatting>
  <conditionalFormatting sqref="DY38">
    <cfRule type="expression" dxfId="1" priority="15">
      <formula>AND(BT38&gt;=1,DY38&lt;&gt;0, GetEquPower(BA38,BN38, CG38, FS38)=0)</formula>
    </cfRule>
    <cfRule type="expression" dxfId="0" priority="16">
      <formula>AND(BT38&gt;=1,DY38&lt;&gt;GetEquPower(BA38,BN38, CG38, FS38))</formula>
    </cfRule>
  </conditionalFormatting>
  <conditionalFormatting sqref="DZ38">
    <cfRule type="expression" dxfId="1" priority="17">
      <formula>AND(BT38&gt;=2,DZ38&lt;&gt;0, GetEquPower(BA38,BN38, CH38, FS38)=0)</formula>
    </cfRule>
    <cfRule type="expression" dxfId="0" priority="18">
      <formula>AND(BT38&gt;=2,DZ38&lt;&gt;GetEquPower(BA38,BN38, CH38, FS38))</formula>
    </cfRule>
  </conditionalFormatting>
  <conditionalFormatting sqref="EA38">
    <cfRule type="expression" dxfId="1" priority="19">
      <formula>AND(BT38&gt;=3,EA38&lt;&gt;0, GetEquPower(BA38,BN38, CI38, FS38)=0)</formula>
    </cfRule>
    <cfRule type="expression" dxfId="0" priority="20">
      <formula>AND(BT38&gt;=3,EA38&lt;&gt;GetEquPower(BA38,BN38, CI38, FS38))</formula>
    </cfRule>
  </conditionalFormatting>
  <conditionalFormatting sqref="EB38">
    <cfRule type="expression" dxfId="1" priority="47">
      <formula>AND(BT38&gt;=4,EB38&lt;&gt;0, GetEquPower(BA38,BN38, CJ38, FS38)=0)</formula>
    </cfRule>
    <cfRule type="expression" dxfId="0" priority="48">
      <formula>AND(BT38&gt;=4,EB38&lt;&gt;GetEquPower(BA38,BN38, CJ38, FS38))</formula>
    </cfRule>
  </conditionalFormatting>
  <conditionalFormatting sqref="EC38">
    <cfRule type="expression" dxfId="1" priority="61">
      <formula>AND(BT38&gt;=5,EC38&lt;&gt;0, GetEquPower(BA38,BN38, CK38, FS38)=0)</formula>
    </cfRule>
    <cfRule type="expression" dxfId="0" priority="62">
      <formula>AND(BT38&gt;=5,EC38&lt;&gt;GetEquPower(BA38,BN38, CK38, FS38))</formula>
    </cfRule>
  </conditionalFormatting>
  <conditionalFormatting sqref="ED38">
    <cfRule type="expression" dxfId="1" priority="63">
      <formula>AND(BT38&gt;=6,ED38&lt;&gt;0, GetEquPower(BA38,BN38, CL38, FS38)=0)</formula>
    </cfRule>
    <cfRule type="expression" dxfId="0" priority="64">
      <formula>AND(BT38&gt;=6,ED38&lt;&gt;GetEquPower(BA38,BN38, CL38, FS38))</formula>
    </cfRule>
  </conditionalFormatting>
  <conditionalFormatting sqref="EH38">
    <cfRule type="expression" dxfId="1" priority="21">
      <formula>AND(BU38&gt;=1,EH38&lt;&gt;0, GetEquPower(BB38,BO38, CN38, FT38)=0)</formula>
    </cfRule>
    <cfRule type="expression" dxfId="0" priority="22">
      <formula>AND(BU38&gt;=1,EH38&lt;&gt;GetEquPower(BB38,BO38, CN38, FT38))</formula>
    </cfRule>
  </conditionalFormatting>
  <conditionalFormatting sqref="EI38">
    <cfRule type="expression" dxfId="1" priority="23">
      <formula>AND(BU38&gt;=2,EI38&lt;&gt;0, GetEquPower(BB38,BO38, CO38, FT38)=0)</formula>
    </cfRule>
    <cfRule type="expression" dxfId="0" priority="24">
      <formula xml:space="preserve"> AND(BU38&gt;=2,EI38&lt;&gt;GetEquPower(BB38,BO38, CO38, FT38))</formula>
    </cfRule>
  </conditionalFormatting>
  <conditionalFormatting sqref="EJ38">
    <cfRule type="expression" dxfId="1" priority="25">
      <formula>AND(BU38&gt;=3,EJ38&lt;&gt;0, GetEquPower(BB38,BO38, CP38, FT38)=0)</formula>
    </cfRule>
    <cfRule type="expression" dxfId="0" priority="26">
      <formula xml:space="preserve"> AND(BU38&gt;=3,EJ38&lt;&gt;GetEquPower(BB38,BO38, CP38, FT38))</formula>
    </cfRule>
  </conditionalFormatting>
  <conditionalFormatting sqref="EK38">
    <cfRule type="expression" dxfId="1" priority="49">
      <formula>AND(BU38&gt;=4,EK38&lt;&gt;0, GetEquPower(BB38,BO38, CQ38, FT38)=0)</formula>
    </cfRule>
    <cfRule type="expression" dxfId="0" priority="50">
      <formula xml:space="preserve"> AND(BU38&gt;=4,EK38&lt;&gt;GetEquPower(BB38,BO38, CQ38, FT38))</formula>
    </cfRule>
  </conditionalFormatting>
  <conditionalFormatting sqref="EL38">
    <cfRule type="expression" dxfId="1" priority="65">
      <formula>AND(BU38&gt;=5,EL38&lt;&gt;0, GetEquPower(BB38,BO38, CR38, FT38)=0)</formula>
    </cfRule>
    <cfRule type="expression" dxfId="0" priority="66">
      <formula xml:space="preserve"> AND(BU38&gt;=5,EL38&lt;&gt;GetEquPower(BB38,BO38, CR38, FT38))</formula>
    </cfRule>
  </conditionalFormatting>
  <conditionalFormatting sqref="EM38">
    <cfRule type="expression" dxfId="1" priority="67">
      <formula>AND(BU38&gt;=6,EM38&lt;&gt;0, GetEquPower(BB38,BO38, CS38, FT38)=0)</formula>
    </cfRule>
    <cfRule type="expression" dxfId="0" priority="68">
      <formula xml:space="preserve"> AND(BU38&gt;=6,EM38&lt;&gt;GetEquPower(BB38,BO38, CS38, FT38))</formula>
    </cfRule>
  </conditionalFormatting>
  <conditionalFormatting sqref="EQ38">
    <cfRule type="expression" dxfId="1" priority="27">
      <formula>AND(BV38&gt;=1,EQ38&lt;&gt;0, GetEquPower(BC38,BP38, CU38, FU38)=0)</formula>
    </cfRule>
    <cfRule type="expression" dxfId="0" priority="28">
      <formula>AND(BV38&gt;=1,EQ38&lt;&gt;GetEquPower(BC38,BP38, CU38, FU38))</formula>
    </cfRule>
  </conditionalFormatting>
  <conditionalFormatting sqref="ER38">
    <cfRule type="expression" dxfId="1" priority="29">
      <formula>AND(BV38&gt;=2,ER38&lt;&gt;0, GetEquPower(BC38,BP38, CV38, FU38)=0)</formula>
    </cfRule>
    <cfRule type="expression" dxfId="0" priority="30">
      <formula>AND(BV38&gt;=2,ER38&lt;&gt;GetEquPower(BC38,BP38, CV38, FU38))</formula>
    </cfRule>
  </conditionalFormatting>
  <conditionalFormatting sqref="ES38">
    <cfRule type="expression" dxfId="1" priority="31">
      <formula>AND(BV38&gt;=3,ES38&lt;&gt;0, GetEquPower(BC38,BP38, CW38, FU38)=0)</formula>
    </cfRule>
    <cfRule type="expression" dxfId="0" priority="32">
      <formula>AND(BV38&gt;=3,ES38&lt;&gt;GetEquPower(BC38,BP38, CW38, FU38))</formula>
    </cfRule>
  </conditionalFormatting>
  <conditionalFormatting sqref="ET38">
    <cfRule type="expression" dxfId="1" priority="51">
      <formula>AND(BV38&gt;=4,ET38&lt;&gt;0, GetEquPower(BC38,BP38, CX38, FU38)=0)</formula>
    </cfRule>
    <cfRule type="expression" dxfId="0" priority="52">
      <formula>AND(BV38&gt;=4,ET38&lt;&gt;GetEquPower(BC38,BP38, CX38, FU38))</formula>
    </cfRule>
  </conditionalFormatting>
  <conditionalFormatting sqref="EU38">
    <cfRule type="expression" dxfId="1" priority="69">
      <formula>AND(BV38&gt;=5,EU38&lt;&gt;0, GetEquPower(BC38,BP38, CY38, FU38)=0)</formula>
    </cfRule>
    <cfRule type="expression" dxfId="0" priority="70">
      <formula>AND(BV38&gt;=5,EU38&lt;&gt;GetEquPower(BC38,BP38, CY38, FU38))</formula>
    </cfRule>
  </conditionalFormatting>
  <conditionalFormatting sqref="EV38">
    <cfRule type="expression" dxfId="1" priority="71">
      <formula>AND(BV38&gt;=6,EV38&lt;&gt;0, GetEquPower(BC38,BP38, CZ38, FU38)=0)</formula>
    </cfRule>
    <cfRule type="expression" dxfId="0" priority="72">
      <formula>AND(BV38&gt;=6,EV38&lt;&gt;GetEquPower(BC38,BP38, CZ38, FU38))</formula>
    </cfRule>
  </conditionalFormatting>
  <conditionalFormatting sqref="EZ38">
    <cfRule type="expression" dxfId="1" priority="33">
      <formula>AND(BW38&gt;=1,EZ38&lt;&gt;0, GetEquPower(BD38,BQ38, DB38, FV38)=0)</formula>
    </cfRule>
    <cfRule type="expression" dxfId="0" priority="34">
      <formula>AND(BW38&gt;=1,EZ38&lt;&gt;GetEquPower(BD38,BQ38, DB38, FV38))</formula>
    </cfRule>
  </conditionalFormatting>
  <conditionalFormatting sqref="FA38">
    <cfRule type="expression" dxfId="1" priority="35">
      <formula>AND(BW38&gt;=2,FA38&lt;&gt;0, GetEquPower(BD38,BQ38, DC38, FV38)=0)</formula>
    </cfRule>
    <cfRule type="expression" dxfId="0" priority="36">
      <formula>AND(BW38&gt;=2,FA38&lt;&gt;GetEquPower(BD38,BQ38, DC38, FV38))</formula>
    </cfRule>
  </conditionalFormatting>
  <conditionalFormatting sqref="FB38">
    <cfRule type="expression" dxfId="1" priority="37">
      <formula>AND(BW38&gt;=3,FB38&lt;&gt;0, GetEquPower(BD38,BQ38, DD38, FV38)=0)</formula>
    </cfRule>
    <cfRule type="expression" dxfId="0" priority="38">
      <formula>AND(BW38&gt;=3,FB38&lt;&gt;GetEquPower(BD38,BQ38, DD38, FV38))</formula>
    </cfRule>
  </conditionalFormatting>
  <conditionalFormatting sqref="FC38">
    <cfRule type="expression" dxfId="1" priority="53">
      <formula>AND(BW38&gt;=4,FC38&lt;&gt;0, GetEquPower(BD38,BQ38, DE38, FV38)=0)</formula>
    </cfRule>
    <cfRule type="expression" dxfId="0" priority="54">
      <formula>AND(BW38&gt;=4,FC38&lt;&gt;GetEquPower(BD38,BQ38, DE38, FV38))</formula>
    </cfRule>
  </conditionalFormatting>
  <conditionalFormatting sqref="FD38">
    <cfRule type="expression" dxfId="1" priority="73">
      <formula>AND(BW38&gt;=5,FD38&lt;&gt;0, GetEquPower(BD38,BQ38, DF38, FV38)=0)</formula>
    </cfRule>
    <cfRule type="expression" dxfId="0" priority="74">
      <formula>AND(BW38&gt;=5,FD38&lt;&gt;GetEquPower(BD38,BQ38, DF38, FV38))</formula>
    </cfRule>
  </conditionalFormatting>
  <conditionalFormatting sqref="FE38">
    <cfRule type="expression" dxfId="1" priority="75">
      <formula>AND(BW38&gt;=6,FE38&lt;&gt;0, GetEquPower(BD38,BQ38, DG38, FV38)=0)</formula>
    </cfRule>
    <cfRule type="expression" dxfId="0" priority="76">
      <formula>AND(BW38&gt;=6,FE38&lt;&gt;GetEquPower(BD38,BQ38, DG38, FV38))</formula>
    </cfRule>
  </conditionalFormatting>
  <conditionalFormatting sqref="FI38">
    <cfRule type="expression" dxfId="1" priority="39">
      <formula>AND(BX38&gt;=1,FI38&lt;&gt;0, GetEquPower(BE38,BR38, DI38, FW38)=0)</formula>
    </cfRule>
    <cfRule type="expression" dxfId="0" priority="40">
      <formula>AND(BX38&gt;=1,FI38&lt;&gt;GetEquPower(BE38,BR38, DI38, FW38))</formula>
    </cfRule>
  </conditionalFormatting>
  <conditionalFormatting sqref="FJ38">
    <cfRule type="expression" dxfId="1" priority="41">
      <formula>AND(BX38&gt;=2,FJ38&lt;&gt;0, GetEquPower(BE38,BR38, DJ38, FW38)=0)</formula>
    </cfRule>
    <cfRule type="expression" dxfId="0" priority="42">
      <formula>AND(BX38&gt;=2,FJ38&lt;&gt;GetEquPower(BE38,BR38, DJ38, FW38))</formula>
    </cfRule>
  </conditionalFormatting>
  <conditionalFormatting sqref="FK38">
    <cfRule type="expression" dxfId="1" priority="43">
      <formula>AND(BX38&gt;=3,FK38&lt;&gt;0, GetEquPower(BE38,BR38, DK38, FW38)=0)</formula>
    </cfRule>
    <cfRule type="expression" dxfId="0" priority="44">
      <formula>AND(BX38&gt;=3,FK38&lt;&gt;GetEquPower(BE38,BR38, DK38, FW38))</formula>
    </cfRule>
  </conditionalFormatting>
  <conditionalFormatting sqref="FL38">
    <cfRule type="expression" dxfId="1" priority="55">
      <formula>AND(BX38&gt;=4,FL38&lt;&gt;0, GetEquPower(BE38,BR38, DL38, FW38)=0)</formula>
    </cfRule>
    <cfRule type="expression" dxfId="0" priority="56">
      <formula>AND(BX38&gt;=4,FL38&lt;&gt;GetEquPower(BE38,BR38, DL38, FW38))</formula>
    </cfRule>
  </conditionalFormatting>
  <conditionalFormatting sqref="FM38">
    <cfRule type="expression" dxfId="1" priority="77">
      <formula>AND(BX38&gt;=5,FM38&lt;&gt;0, GetEquPower(BE38,BR38, DM38, FW38)=0)</formula>
    </cfRule>
    <cfRule type="expression" dxfId="0" priority="78">
      <formula>AND(BX38&gt;=5,FM38&lt;&gt;GetEquPower(BE38,BR38, DM38, FW38))</formula>
    </cfRule>
  </conditionalFormatting>
  <conditionalFormatting sqref="FN38">
    <cfRule type="expression" dxfId="1" priority="79">
      <formula>AND(BX38&gt;=6,FN38&lt;&gt;0, GetEquPower(BE38,BR38, DN38, FW38)=0)</formula>
    </cfRule>
    <cfRule type="expression" dxfId="0" priority="80">
      <formula>AND(BX38&gt;=6,FN38&lt;&gt;GetEquPower(BE38,BR38, DN38, FW38))</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IF11" sqref="IF1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8"/>
    <col min="5" max="5" width="32.7109375" customWidth="1" style="318"/>
    <col min="6" max="6" width="16.5703125" customWidth="1" style="313"/>
    <col min="7" max="7" bestFit="1" width="9.140625" customWidth="1" style="598"/>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21293</v>
      </c>
      <c r="C1" s="344" t="s">
        <v>21294</v>
      </c>
      <c r="D1" s="599" t="str">
        <f>Check!D1</f>
        <v>BtsCode</v>
      </c>
      <c r="E1" s="378" t="str">
        <f>Check!E1</f>
        <v>Address</v>
      </c>
      <c r="F1" s="374" t="str">
        <f>Check!F1</f>
        <v>CityName</v>
      </c>
      <c r="G1" s="599" t="str">
        <f>Check!G1</f>
        <v>Longtitude</v>
      </c>
      <c r="H1" s="599"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21295</v>
      </c>
      <c r="U1" s="374" t="str">
        <f>Check!U1</f>
        <v>ReasonNoCertificate</v>
      </c>
      <c r="V1" s="374" t="str">
        <f>Check!V1</f>
        <v>LabID</v>
      </c>
      <c r="W1" s="294" t="str">
        <f>Check!W1</f>
        <v>TestReportNo</v>
      </c>
      <c r="X1" s="339" t="str">
        <f>Check!X1</f>
        <v>TestReportDate</v>
      </c>
      <c r="Y1" s="337" t="str">
        <f>Check!Y1</f>
        <v>IsPoleOnGround</v>
      </c>
      <c r="Z1" s="337" t="str">
        <f>Check!Z1</f>
        <v>IsSafeLimit</v>
      </c>
      <c r="AA1" s="601" t="str">
        <f>Check!AA1</f>
        <v>SafeLimitHeight</v>
      </c>
      <c r="AB1" s="337" t="str">
        <f>Check!AB1</f>
        <v>IsHouseIn100m</v>
      </c>
      <c r="AC1" s="601"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21296</v>
      </c>
    </row>
    <row r="2">
      <c r="A2" s="313">
        <v>1</v>
      </c>
      <c r="II2" s="283">
        <v>37</v>
      </c>
      <c r="IJ2" s="283">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21277</v>
      </c>
      <c r="C1" s="304" t="s">
        <v>21278</v>
      </c>
      <c r="D1" s="304" t="s">
        <v>21279</v>
      </c>
    </row>
    <row r="2">
      <c r="A2" s="210">
        <v>1</v>
      </c>
      <c r="B2" s="210">
        <v>1</v>
      </c>
      <c r="C2" s="291" t="s">
        <v>21280</v>
      </c>
      <c r="D2" s="291"/>
    </row>
    <row r="3">
      <c r="A3" s="210">
        <v>2</v>
      </c>
      <c r="B3" s="210">
        <v>2</v>
      </c>
      <c r="C3" s="291" t="s">
        <v>21281</v>
      </c>
      <c r="D3" s="291"/>
    </row>
    <row r="4">
      <c r="A4" s="210">
        <v>3</v>
      </c>
      <c r="B4" s="210">
        <v>3</v>
      </c>
      <c r="C4" s="291" t="s">
        <v>21282</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503" t="s">
        <v>21245</v>
      </c>
      <c r="B1" s="503"/>
      <c r="C1" s="503"/>
      <c r="D1" s="503"/>
      <c r="E1" s="503"/>
      <c r="F1" s="503"/>
      <c r="G1" s="503"/>
      <c r="H1" s="503"/>
      <c r="I1" s="503"/>
      <c r="J1" s="503"/>
      <c r="N1" s="479" t="s">
        <v>21019</v>
      </c>
      <c r="O1" s="479"/>
      <c r="P1" s="479"/>
      <c r="Q1" s="479"/>
      <c r="R1" s="479"/>
      <c r="S1" s="479"/>
      <c r="T1" s="479"/>
      <c r="U1" s="479"/>
      <c r="V1" s="479"/>
      <c r="W1" s="479"/>
      <c r="X1" s="479"/>
      <c r="Y1" s="479"/>
      <c r="Z1" s="479"/>
      <c r="AA1" s="212"/>
    </row>
    <row r="2" ht="16.5" customHeight="1">
      <c r="A2" s="479" t="s">
        <v>21018</v>
      </c>
      <c r="B2" s="479"/>
      <c r="C2" s="479"/>
      <c r="D2" s="479"/>
      <c r="E2" s="479"/>
      <c r="F2" s="479"/>
      <c r="G2" s="479"/>
      <c r="H2" s="479"/>
      <c r="I2" s="479"/>
      <c r="J2" s="479"/>
      <c r="N2" s="482" t="s">
        <v>21021</v>
      </c>
      <c r="O2" s="482"/>
      <c r="P2" s="482"/>
      <c r="Q2" s="482"/>
      <c r="R2" s="482"/>
      <c r="S2" s="482"/>
      <c r="T2" s="482"/>
      <c r="U2" s="482"/>
      <c r="V2" s="482"/>
      <c r="W2" s="482"/>
      <c r="X2" s="482"/>
      <c r="Y2" s="482"/>
      <c r="Z2" s="482"/>
    </row>
    <row r="3" ht="16.5">
      <c r="A3" s="479" t="s">
        <v>21020</v>
      </c>
      <c r="B3" s="479"/>
      <c r="C3" s="479"/>
      <c r="D3" s="479"/>
      <c r="E3" s="479"/>
      <c r="F3" s="479"/>
      <c r="G3" s="479"/>
      <c r="H3" s="479"/>
      <c r="I3" s="479"/>
      <c r="J3" s="479"/>
      <c r="O3" s="213"/>
      <c r="P3" s="213"/>
      <c r="Q3" s="213"/>
      <c r="R3" s="213"/>
      <c r="S3" s="213"/>
      <c r="T3" s="213"/>
      <c r="U3" s="213"/>
      <c r="V3" s="213"/>
      <c r="W3" s="213"/>
    </row>
    <row r="4" ht="21.75" customHeight="1">
      <c r="C4" s="505" t="str">
        <f>IF(LEN(AD4)=1,"Số: 0"&amp;AD4&amp;"/LPKĐ-TT2","Số: "&amp;AD4&amp;"/LPKĐ-TT2")</f>
        <v>Số: 02/LPKĐ-TT2</v>
      </c>
      <c r="D4" s="505"/>
      <c r="E4" s="505"/>
      <c r="F4" s="505"/>
      <c r="G4" s="505"/>
      <c r="H4" s="505"/>
      <c r="N4" s="508" t="str">
        <f>"TP. Hồ Chí Minh, ngày "&amp;AF4&amp;" tháng "&amp;AG4&amp;" năm "&amp;AH4</f>
        <v>TP. Hồ Chí Minh, ngày 27 tháng 2 năm 2019</v>
      </c>
      <c r="O4" s="508"/>
      <c r="P4" s="508"/>
      <c r="Q4" s="508"/>
      <c r="R4" s="508"/>
      <c r="S4" s="508"/>
      <c r="T4" s="508"/>
      <c r="U4" s="508"/>
      <c r="V4" s="508"/>
      <c r="W4" s="508"/>
      <c r="X4" s="508"/>
      <c r="Y4" s="508"/>
      <c r="Z4" s="508"/>
      <c r="AD4" s="214">
        <v>2</v>
      </c>
      <c r="AE4" s="215" t="s">
        <v>21246</v>
      </c>
      <c r="AF4" s="211">
        <f>DAY(AE4)</f>
        <v>27</v>
      </c>
      <c r="AG4" s="211">
        <f>MONTH(AE4)</f>
        <v>2</v>
      </c>
      <c r="AH4" s="211">
        <f>YEAR(AE4)</f>
        <v>2019</v>
      </c>
    </row>
    <row r="6" ht="8.25" customHeight="1">
      <c r="O6" s="212"/>
    </row>
    <row r="7" ht="18.75">
      <c r="C7" s="507" t="s">
        <v>21247</v>
      </c>
      <c r="D7" s="507"/>
      <c r="E7" s="507"/>
      <c r="F7" s="507"/>
      <c r="G7" s="507"/>
      <c r="H7" s="507"/>
      <c r="I7" s="507"/>
      <c r="J7" s="507"/>
      <c r="K7" s="507"/>
      <c r="L7" s="507"/>
      <c r="M7" s="507"/>
      <c r="N7" s="507"/>
      <c r="O7" s="507"/>
      <c r="P7" s="507"/>
      <c r="Q7" s="507"/>
      <c r="R7" s="507"/>
      <c r="S7" s="507"/>
      <c r="T7" s="507"/>
      <c r="U7" s="507"/>
      <c r="V7" s="507"/>
      <c r="W7" s="507"/>
      <c r="X7" s="507"/>
    </row>
    <row r="8" ht="18.75">
      <c r="C8" s="507" t="s">
        <v>21023</v>
      </c>
      <c r="D8" s="507"/>
      <c r="E8" s="507"/>
      <c r="F8" s="507"/>
      <c r="G8" s="507"/>
      <c r="H8" s="507"/>
      <c r="I8" s="507"/>
      <c r="J8" s="507"/>
      <c r="K8" s="507"/>
      <c r="L8" s="507"/>
      <c r="M8" s="507"/>
      <c r="N8" s="507"/>
      <c r="O8" s="507"/>
      <c r="P8" s="507"/>
      <c r="Q8" s="507"/>
      <c r="R8" s="507"/>
      <c r="S8" s="507"/>
      <c r="T8" s="507"/>
      <c r="U8" s="507"/>
      <c r="V8" s="507"/>
      <c r="W8" s="507"/>
      <c r="X8" s="507"/>
    </row>
    <row r="10" ht="16.5">
      <c r="D10" s="503" t="str">
        <f>"Kính gửi: "&amp;AD10</f>
        <v>Kính gửi: Trung tâm Thông tin di động khu vực II</v>
      </c>
      <c r="E10" s="503"/>
      <c r="F10" s="503"/>
      <c r="G10" s="503"/>
      <c r="H10" s="503"/>
      <c r="I10" s="503"/>
      <c r="J10" s="503"/>
      <c r="K10" s="503"/>
      <c r="L10" s="503"/>
      <c r="M10" s="503"/>
      <c r="N10" s="503"/>
      <c r="O10" s="503"/>
      <c r="P10" s="503"/>
      <c r="Q10" s="503"/>
      <c r="R10" s="503"/>
      <c r="S10" s="503"/>
      <c r="T10" s="503"/>
      <c r="U10" s="503"/>
      <c r="V10" s="503"/>
      <c r="W10" s="503"/>
      <c r="AD10" s="211" t="s">
        <v>21248</v>
      </c>
    </row>
    <row r="11" ht="15.75" customHeight="1">
      <c r="A11" s="216"/>
      <c r="B11" s="216"/>
      <c r="D11" s="506" t="s">
        <v>21249</v>
      </c>
      <c r="E11" s="506"/>
      <c r="F11" s="506"/>
      <c r="G11" s="483" t="str">
        <f>AD11</f>
        <v>Số MM18, đường Trường Sơn, phường 14, quận 10, thành phố Hồ Chí Minh.</v>
      </c>
      <c r="H11" s="483"/>
      <c r="I11" s="483"/>
      <c r="J11" s="483"/>
      <c r="K11" s="483"/>
      <c r="L11" s="483"/>
      <c r="M11" s="483"/>
      <c r="N11" s="483"/>
      <c r="O11" s="483"/>
      <c r="P11" s="483"/>
      <c r="Q11" s="483"/>
      <c r="R11" s="483"/>
      <c r="S11" s="483"/>
      <c r="T11" s="483"/>
      <c r="U11" s="483"/>
      <c r="V11" s="483"/>
      <c r="W11" s="483"/>
      <c r="X11" s="217"/>
      <c r="Y11" s="217"/>
      <c r="Z11" s="217"/>
      <c r="AD11" s="211" t="s">
        <v>21250</v>
      </c>
    </row>
    <row r="12">
      <c r="A12" s="216"/>
      <c r="B12" s="216"/>
      <c r="C12" s="216"/>
      <c r="D12" s="216"/>
      <c r="E12" s="216"/>
      <c r="F12" s="217"/>
      <c r="G12" s="483"/>
      <c r="H12" s="483"/>
      <c r="I12" s="483"/>
      <c r="J12" s="483"/>
      <c r="K12" s="483"/>
      <c r="L12" s="483"/>
      <c r="M12" s="483"/>
      <c r="N12" s="483"/>
      <c r="O12" s="483"/>
      <c r="P12" s="483"/>
      <c r="Q12" s="483"/>
      <c r="R12" s="483"/>
      <c r="S12" s="483"/>
      <c r="T12" s="483"/>
      <c r="U12" s="483"/>
      <c r="V12" s="483"/>
      <c r="W12" s="483"/>
      <c r="X12" s="217"/>
      <c r="Y12" s="217"/>
      <c r="Z12" s="217"/>
    </row>
    <row r="13" ht="20.25" customHeight="1">
      <c r="A13" s="216"/>
      <c r="B13" s="216"/>
      <c r="D13" s="216" t="s">
        <v>21251</v>
      </c>
      <c r="E13" s="216"/>
      <c r="F13" s="216"/>
      <c r="G13" s="506" t="str">
        <f>AD13</f>
        <v>08 38662387</v>
      </c>
      <c r="H13" s="506"/>
      <c r="I13" s="506"/>
      <c r="J13" s="506"/>
      <c r="K13" s="506"/>
      <c r="L13" s="506"/>
      <c r="M13" s="506"/>
      <c r="N13" s="216"/>
      <c r="O13" s="216" t="s">
        <v>21252</v>
      </c>
      <c r="P13" s="216"/>
      <c r="Q13" s="506" t="str">
        <f>AH13</f>
        <v>08 38662388</v>
      </c>
      <c r="R13" s="506"/>
      <c r="S13" s="506"/>
      <c r="T13" s="506"/>
      <c r="U13" s="506"/>
      <c r="V13" s="506"/>
      <c r="W13" s="506"/>
      <c r="X13" s="216"/>
      <c r="Y13" s="216"/>
      <c r="Z13" s="216"/>
      <c r="AD13" s="211" t="s">
        <v>21253</v>
      </c>
      <c r="AH13" s="211" t="s">
        <v>21254</v>
      </c>
    </row>
    <row r="14" ht="55.15" customHeight="1">
      <c r="A14" s="481"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81"/>
      <c r="C14" s="481"/>
      <c r="D14" s="481"/>
      <c r="E14" s="481"/>
      <c r="F14" s="481"/>
      <c r="G14" s="481"/>
      <c r="H14" s="481"/>
      <c r="I14" s="481"/>
      <c r="J14" s="481"/>
      <c r="K14" s="481"/>
      <c r="L14" s="481"/>
      <c r="M14" s="481"/>
      <c r="N14" s="481"/>
      <c r="O14" s="481"/>
      <c r="P14" s="481"/>
      <c r="Q14" s="481"/>
      <c r="R14" s="481"/>
      <c r="S14" s="481"/>
      <c r="T14" s="481"/>
      <c r="U14" s="481"/>
      <c r="V14" s="481"/>
      <c r="W14" s="481"/>
      <c r="X14" s="481"/>
      <c r="Y14" s="481"/>
      <c r="Z14" s="481"/>
      <c r="AD14" s="211" t="s">
        <v>21255</v>
      </c>
      <c r="AE14" s="215" t="s">
        <v>21256</v>
      </c>
      <c r="AF14" s="211">
        <f>DAY(AE14)</f>
        <v>25</v>
      </c>
      <c r="AG14" s="211">
        <f>MONTH(AE14)</f>
        <v>12</v>
      </c>
      <c r="AH14" s="211">
        <f>YEAR(AE14)</f>
        <v>2013</v>
      </c>
    </row>
    <row r="15" ht="87.75" customHeight="1">
      <c r="A15" s="504" t="s">
        <v>21257</v>
      </c>
      <c r="B15" s="504"/>
      <c r="C15" s="504"/>
      <c r="D15" s="504"/>
      <c r="E15" s="504"/>
      <c r="F15" s="504"/>
      <c r="G15" s="504"/>
      <c r="H15" s="504"/>
      <c r="I15" s="504"/>
      <c r="J15" s="504"/>
      <c r="K15" s="504"/>
      <c r="L15" s="504"/>
      <c r="M15" s="504"/>
      <c r="N15" s="504"/>
      <c r="O15" s="504"/>
      <c r="P15" s="504"/>
      <c r="Q15" s="504"/>
      <c r="R15" s="504"/>
      <c r="S15" s="504"/>
      <c r="T15" s="504"/>
      <c r="U15" s="504"/>
      <c r="V15" s="504"/>
      <c r="W15" s="504"/>
      <c r="X15" s="504"/>
      <c r="Y15" s="504"/>
      <c r="Z15" s="504"/>
    </row>
    <row r="16" ht="33" customHeight="1">
      <c r="B16" s="490" t="s">
        <v>21079</v>
      </c>
      <c r="C16" s="492"/>
      <c r="D16" s="490" t="s">
        <v>20974</v>
      </c>
      <c r="E16" s="491"/>
      <c r="F16" s="491"/>
      <c r="G16" s="491"/>
      <c r="H16" s="491"/>
      <c r="I16" s="491"/>
      <c r="J16" s="491"/>
      <c r="K16" s="491"/>
      <c r="L16" s="491"/>
      <c r="M16" s="491"/>
      <c r="N16" s="492"/>
      <c r="O16" s="489" t="s">
        <v>21258</v>
      </c>
      <c r="P16" s="489"/>
      <c r="Q16" s="489"/>
      <c r="R16" s="489" t="s">
        <v>21259</v>
      </c>
      <c r="S16" s="489"/>
      <c r="T16" s="489"/>
      <c r="U16" s="489" t="s">
        <v>21260</v>
      </c>
      <c r="V16" s="489"/>
      <c r="W16" s="489"/>
      <c r="X16" s="489"/>
      <c r="Y16" s="489"/>
    </row>
    <row r="17" ht="18.75" customHeight="1">
      <c r="B17" s="501">
        <v>1</v>
      </c>
      <c r="C17" s="502"/>
      <c r="D17" s="493" t="s">
        <v>21261</v>
      </c>
      <c r="E17" s="494"/>
      <c r="F17" s="494"/>
      <c r="G17" s="494"/>
      <c r="H17" s="494"/>
      <c r="I17" s="494"/>
      <c r="J17" s="494"/>
      <c r="K17" s="494"/>
      <c r="L17" s="494"/>
      <c r="M17" s="494"/>
      <c r="N17" s="494"/>
      <c r="O17" s="495">
        <v>50000</v>
      </c>
      <c r="P17" s="496"/>
      <c r="Q17" s="497"/>
      <c r="R17" s="486">
        <f>AD17</f>
        <v>13</v>
      </c>
      <c r="S17" s="487"/>
      <c r="T17" s="488"/>
      <c r="U17" s="495">
        <f>O17*R17</f>
        <v>650000</v>
      </c>
      <c r="V17" s="496"/>
      <c r="W17" s="496"/>
      <c r="X17" s="496"/>
      <c r="Y17" s="497"/>
      <c r="AD17" s="211">
        <v>13</v>
      </c>
    </row>
    <row r="18" ht="18.75" customHeight="1">
      <c r="B18" s="490" t="s">
        <v>21262</v>
      </c>
      <c r="C18" s="491"/>
      <c r="D18" s="491"/>
      <c r="E18" s="491"/>
      <c r="F18" s="491"/>
      <c r="G18" s="491"/>
      <c r="H18" s="491"/>
      <c r="I18" s="491"/>
      <c r="J18" s="491"/>
      <c r="K18" s="491"/>
      <c r="L18" s="491"/>
      <c r="M18" s="491"/>
      <c r="N18" s="491"/>
      <c r="O18" s="491"/>
      <c r="P18" s="491"/>
      <c r="Q18" s="491"/>
      <c r="R18" s="491"/>
      <c r="S18" s="491"/>
      <c r="T18" s="492"/>
      <c r="U18" s="498">
        <f>U17</f>
        <v>650000</v>
      </c>
      <c r="V18" s="499"/>
      <c r="W18" s="499"/>
      <c r="X18" s="499"/>
      <c r="Y18" s="500"/>
      <c r="AD18" s="218">
        <f>U18</f>
        <v>650000</v>
      </c>
    </row>
    <row r="19">
      <c r="B19" s="486" t="str">
        <f>"Bằng chữ: "&amp;AD19</f>
        <v>Bằng chữ: Ba triệu năm trăm ngàn đồng chẵn.</v>
      </c>
      <c r="C19" s="487"/>
      <c r="D19" s="487"/>
      <c r="E19" s="487"/>
      <c r="F19" s="487"/>
      <c r="G19" s="487"/>
      <c r="H19" s="487"/>
      <c r="I19" s="487"/>
      <c r="J19" s="487"/>
      <c r="K19" s="487"/>
      <c r="L19" s="487"/>
      <c r="M19" s="487"/>
      <c r="N19" s="487"/>
      <c r="O19" s="487"/>
      <c r="P19" s="487"/>
      <c r="Q19" s="487"/>
      <c r="R19" s="487"/>
      <c r="S19" s="487"/>
      <c r="T19" s="487"/>
      <c r="U19" s="487"/>
      <c r="V19" s="487"/>
      <c r="W19" s="487"/>
      <c r="X19" s="487"/>
      <c r="Y19" s="488"/>
      <c r="AD19" s="211" t="s">
        <v>21263</v>
      </c>
    </row>
    <row r="20" ht="7.5" customHeight="1"/>
    <row r="21" ht="18" customHeight="1">
      <c r="B21" s="480" t="s">
        <v>21264</v>
      </c>
      <c r="C21" s="480"/>
      <c r="D21" s="480"/>
      <c r="E21" s="480"/>
      <c r="F21" s="480"/>
      <c r="G21" s="480"/>
      <c r="H21" s="480"/>
      <c r="I21" s="480"/>
      <c r="J21" s="480" t="s">
        <v>21265</v>
      </c>
      <c r="K21" s="480"/>
      <c r="L21" s="480"/>
      <c r="M21" s="480"/>
      <c r="N21" s="480"/>
      <c r="O21" s="480"/>
      <c r="P21" s="480"/>
      <c r="Q21" s="480"/>
      <c r="R21" s="480"/>
      <c r="S21" s="480"/>
      <c r="T21" s="480"/>
      <c r="U21" s="480"/>
      <c r="V21" s="480"/>
      <c r="W21" s="480"/>
      <c r="X21" s="480"/>
      <c r="Y21" s="480"/>
    </row>
    <row r="22" ht="18.75" customHeight="1">
      <c r="B22" s="480" t="s">
        <v>21266</v>
      </c>
      <c r="C22" s="480"/>
      <c r="D22" s="480"/>
      <c r="E22" s="480"/>
      <c r="F22" s="480"/>
      <c r="G22" s="480"/>
      <c r="H22" s="480"/>
      <c r="I22" s="480"/>
      <c r="J22" s="480" t="s">
        <v>21267</v>
      </c>
      <c r="K22" s="480"/>
      <c r="L22" s="480"/>
      <c r="M22" s="480"/>
      <c r="N22" s="480"/>
      <c r="O22" s="480"/>
      <c r="P22" s="480"/>
      <c r="Q22" s="480"/>
      <c r="R22" s="480"/>
      <c r="S22" s="480"/>
      <c r="T22" s="480"/>
      <c r="U22" s="480"/>
      <c r="V22" s="480"/>
      <c r="W22" s="480"/>
      <c r="X22" s="480"/>
      <c r="Y22" s="480"/>
    </row>
    <row r="23" ht="18" customHeight="1">
      <c r="B23" s="485"/>
      <c r="C23" s="485"/>
      <c r="D23" s="485"/>
      <c r="E23" s="485"/>
      <c r="F23" s="485"/>
      <c r="G23" s="485"/>
      <c r="H23" s="485"/>
      <c r="I23" s="485"/>
      <c r="J23" s="480" t="s">
        <v>21268</v>
      </c>
      <c r="K23" s="480"/>
      <c r="L23" s="480"/>
      <c r="M23" s="480"/>
      <c r="N23" s="480"/>
      <c r="O23" s="480"/>
      <c r="P23" s="480"/>
      <c r="Q23" s="480"/>
      <c r="R23" s="480"/>
      <c r="S23" s="480"/>
      <c r="T23" s="480"/>
      <c r="U23" s="480"/>
      <c r="V23" s="480"/>
      <c r="W23" s="480"/>
      <c r="X23" s="480"/>
      <c r="Y23" s="480"/>
    </row>
    <row r="24" ht="16.5" customHeight="1">
      <c r="B24" s="480" t="s">
        <v>21269</v>
      </c>
      <c r="C24" s="480"/>
      <c r="D24" s="480"/>
      <c r="E24" s="480"/>
      <c r="F24" s="480"/>
      <c r="G24" s="480"/>
      <c r="H24" s="480"/>
      <c r="I24" s="480"/>
      <c r="J24" s="480" t="s">
        <v>21270</v>
      </c>
      <c r="K24" s="480"/>
      <c r="L24" s="480"/>
      <c r="M24" s="480"/>
      <c r="N24" s="480"/>
      <c r="O24" s="480"/>
      <c r="P24" s="480"/>
      <c r="Q24" s="480"/>
      <c r="R24" s="480"/>
      <c r="S24" s="480"/>
      <c r="T24" s="480"/>
      <c r="U24" s="480"/>
      <c r="V24" s="480"/>
      <c r="W24" s="480"/>
      <c r="X24" s="480"/>
      <c r="Y24" s="480"/>
    </row>
    <row r="25" ht="17.25" customHeight="1">
      <c r="J25" s="480" t="s">
        <v>21271</v>
      </c>
      <c r="K25" s="480"/>
      <c r="L25" s="480"/>
      <c r="M25" s="480"/>
      <c r="N25" s="480"/>
      <c r="O25" s="480"/>
      <c r="P25" s="480"/>
      <c r="Q25" s="480"/>
      <c r="R25" s="480"/>
      <c r="S25" s="480"/>
      <c r="T25" s="480"/>
      <c r="U25" s="480"/>
      <c r="V25" s="480"/>
      <c r="W25" s="480"/>
      <c r="X25" s="480"/>
      <c r="Y25" s="480"/>
    </row>
    <row r="26" ht="47.25" customHeight="1">
      <c r="A26" s="481" t="s">
        <v>21272</v>
      </c>
      <c r="B26" s="481"/>
      <c r="C26" s="481"/>
      <c r="D26" s="481"/>
      <c r="E26" s="481"/>
      <c r="F26" s="481"/>
      <c r="G26" s="481"/>
      <c r="H26" s="481"/>
      <c r="I26" s="481"/>
      <c r="J26" s="481"/>
      <c r="K26" s="481"/>
      <c r="L26" s="481"/>
      <c r="M26" s="481"/>
      <c r="N26" s="481"/>
      <c r="O26" s="481"/>
      <c r="P26" s="481"/>
      <c r="Q26" s="481"/>
      <c r="R26" s="481"/>
      <c r="S26" s="481"/>
      <c r="T26" s="481"/>
      <c r="U26" s="481"/>
      <c r="V26" s="481"/>
      <c r="W26" s="481"/>
      <c r="X26" s="481"/>
      <c r="Y26" s="481"/>
      <c r="Z26" s="481"/>
    </row>
    <row r="27" ht="14.25" customHeight="1">
      <c r="AD27" s="219"/>
      <c r="AE27" s="219" t="s">
        <v>21054</v>
      </c>
      <c r="AF27" s="219"/>
      <c r="AG27" s="211" t="s">
        <v>21055</v>
      </c>
      <c r="AI27" s="219" t="s">
        <v>21056</v>
      </c>
      <c r="AK27" s="219"/>
      <c r="AL27" s="219"/>
      <c r="AN27" s="219"/>
      <c r="AO27" s="219"/>
      <c r="AP27" s="219"/>
      <c r="AQ27" s="219"/>
      <c r="AR27" s="219"/>
    </row>
    <row r="28" ht="16.5">
      <c r="A28" s="484" t="s">
        <v>21273</v>
      </c>
      <c r="B28" s="484"/>
      <c r="C28" s="484"/>
      <c r="D28" s="484"/>
      <c r="E28" s="484"/>
      <c r="F28" s="484"/>
      <c r="G28" s="484"/>
      <c r="H28" s="484"/>
      <c r="I28" s="484"/>
      <c r="J28" s="484"/>
      <c r="K28" s="484"/>
      <c r="L28" s="484"/>
      <c r="M28" s="484"/>
      <c r="O28" s="479" t="str">
        <f>IF(AD34=0,AG27,IF(AD34=1,AE27,AI27))</f>
        <v>KT. GIÁM ĐỐC</v>
      </c>
      <c r="P28" s="479"/>
      <c r="Q28" s="479"/>
      <c r="R28" s="479"/>
      <c r="S28" s="479"/>
      <c r="T28" s="479"/>
      <c r="U28" s="479"/>
      <c r="V28" s="479"/>
      <c r="W28" s="479"/>
      <c r="X28" s="479"/>
      <c r="Y28" s="479"/>
      <c r="Z28" s="479"/>
      <c r="AD28" s="219"/>
      <c r="AF28" s="219"/>
      <c r="AG28" s="219" t="s">
        <v>21060</v>
      </c>
      <c r="AH28" s="219"/>
      <c r="AI28" s="219" t="s">
        <v>21061</v>
      </c>
      <c r="AK28" s="219"/>
      <c r="AL28" s="219"/>
      <c r="AN28" s="219"/>
      <c r="AO28" s="219"/>
      <c r="AP28" s="219"/>
      <c r="AQ28" s="219"/>
      <c r="AR28" s="219"/>
    </row>
    <row r="29">
      <c r="A29" s="220" t="s">
        <v>21274</v>
      </c>
      <c r="B29" s="216"/>
      <c r="C29" s="216"/>
      <c r="D29" s="216"/>
      <c r="E29" s="216"/>
      <c r="F29" s="216"/>
      <c r="O29" s="478" t="str">
        <f>IF(AD34=0,AG28,IF(AD34=1,"",AI28))</f>
        <v>PHÓ GIÁM ĐỐC</v>
      </c>
      <c r="P29" s="478"/>
      <c r="Q29" s="478"/>
      <c r="R29" s="478"/>
      <c r="S29" s="478"/>
      <c r="T29" s="478"/>
      <c r="U29" s="478"/>
      <c r="V29" s="478"/>
      <c r="W29" s="478"/>
      <c r="X29" s="478"/>
      <c r="Y29" s="478"/>
      <c r="Z29" s="478"/>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21275</v>
      </c>
      <c r="AE30" s="219"/>
      <c r="AF30" s="219"/>
      <c r="AG30" s="219"/>
      <c r="AH30" s="219"/>
      <c r="AI30" s="219"/>
      <c r="AK30" s="219"/>
      <c r="AL30" s="219"/>
      <c r="AM30" s="219"/>
      <c r="AN30" s="219"/>
      <c r="AO30" s="219"/>
      <c r="AP30" s="219"/>
      <c r="AQ30" s="219"/>
      <c r="AR30" s="219"/>
    </row>
    <row r="31" ht="16.5" customHeight="1">
      <c r="A31" s="220" t="str">
        <f>IF(AD34=1,"",AD31)</f>
        <v>-    Lưu: PTH, PKĐ.</v>
      </c>
      <c r="AD31" s="220" t="s">
        <v>21276</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9" t="str">
        <f>IF(AD34=0,AG34,IF(AD34=1,AE34,AI34))</f>
        <v>Trần Công Khanh</v>
      </c>
      <c r="P34" s="479"/>
      <c r="Q34" s="479"/>
      <c r="R34" s="479"/>
      <c r="S34" s="479"/>
      <c r="T34" s="479"/>
      <c r="U34" s="479"/>
      <c r="V34" s="479"/>
      <c r="W34" s="479"/>
      <c r="X34" s="479"/>
      <c r="Y34" s="479"/>
      <c r="Z34" s="479"/>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42"/>
  <sheetViews>
    <sheetView showWhiteSpace="0" view="pageLayout" workbookViewId="0">
      <selection activeCell="A7" sqref="A7:XFD42"/>
    </sheetView>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9" t="s">
        <v>21087</v>
      </c>
      <c r="B2" s="509"/>
      <c r="C2" s="509"/>
      <c r="D2" s="509"/>
      <c r="E2" s="509" t="s">
        <v>21087</v>
      </c>
      <c r="F2" s="509"/>
      <c r="G2" s="509"/>
      <c r="H2" s="509"/>
      <c r="I2" s="509"/>
      <c r="J2" s="509"/>
      <c r="K2" s="509"/>
      <c r="L2" s="509"/>
      <c r="M2" s="509"/>
    </row>
    <row r="3" ht="15.75" customHeight="1">
      <c r="A3" s="510" t="s">
        <v>21088</v>
      </c>
      <c r="B3" s="510"/>
      <c r="C3" s="510"/>
      <c r="D3" s="510"/>
      <c r="E3" s="510" t="s">
        <v>21089</v>
      </c>
      <c r="F3" s="510"/>
      <c r="G3" s="510"/>
      <c r="H3" s="510"/>
      <c r="I3" s="510"/>
      <c r="J3" s="510"/>
      <c r="K3" s="510"/>
      <c r="L3" s="510"/>
      <c r="M3" s="510"/>
    </row>
    <row r="4" ht="15.75" customHeight="1" s="222" customFormat="1">
      <c r="A4" s="511"/>
      <c r="B4" s="511"/>
      <c r="C4" s="511"/>
      <c r="D4" s="511"/>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75">
      <c r="A6" s="349">
        <v>1</v>
      </c>
      <c r="B6" s="350" t="s">
        <v>21097</v>
      </c>
      <c r="C6" s="350" t="s">
        <v>21098</v>
      </c>
      <c r="D6" s="349" t="s">
        <v>21099</v>
      </c>
      <c r="E6" s="350">
        <v>1</v>
      </c>
      <c r="F6" s="350"/>
      <c r="G6" s="350" t="s">
        <v>21097</v>
      </c>
      <c r="H6" s="350" t="s">
        <v>21098</v>
      </c>
      <c r="I6" s="350" t="s">
        <v>21100</v>
      </c>
      <c r="J6" s="350" t="b">
        <v>0</v>
      </c>
      <c r="K6" s="350" t="b">
        <v>0</v>
      </c>
      <c r="L6" s="350"/>
      <c r="M6" s="350" t="s">
        <v>21099</v>
      </c>
    </row>
    <row r="7" ht="60">
      <c r="A7" s="349">
        <v>2</v>
      </c>
      <c r="B7" s="350" t="s">
        <v>21101</v>
      </c>
      <c r="C7" s="350" t="s">
        <v>21102</v>
      </c>
      <c r="D7" s="349" t="s">
        <v>21103</v>
      </c>
      <c r="E7" s="350">
        <v>2</v>
      </c>
      <c r="F7" s="350"/>
      <c r="G7" s="350" t="s">
        <v>21101</v>
      </c>
      <c r="H7" s="350" t="s">
        <v>21102</v>
      </c>
      <c r="I7" s="350" t="s">
        <v>21104</v>
      </c>
      <c r="J7" s="350" t="b">
        <v>0</v>
      </c>
      <c r="K7" s="350" t="b">
        <v>0</v>
      </c>
      <c r="L7" s="350"/>
      <c r="M7" s="350" t="s">
        <v>21103</v>
      </c>
    </row>
    <row r="8" ht="45">
      <c r="A8" s="349">
        <v>3</v>
      </c>
      <c r="B8" s="350" t="s">
        <v>21105</v>
      </c>
      <c r="C8" s="350" t="s">
        <v>21106</v>
      </c>
      <c r="D8" s="349" t="s">
        <v>21107</v>
      </c>
      <c r="E8" s="350">
        <v>3</v>
      </c>
      <c r="F8" s="350"/>
      <c r="G8" s="350" t="s">
        <v>21105</v>
      </c>
      <c r="H8" s="350" t="s">
        <v>21106</v>
      </c>
      <c r="I8" s="350" t="s">
        <v>21108</v>
      </c>
      <c r="J8" s="350" t="b">
        <v>0</v>
      </c>
      <c r="K8" s="350" t="b">
        <v>0</v>
      </c>
      <c r="L8" s="350"/>
      <c r="M8" s="350" t="s">
        <v>21107</v>
      </c>
    </row>
    <row r="9" ht="60">
      <c r="A9" s="349">
        <v>4</v>
      </c>
      <c r="B9" s="350" t="s">
        <v>21109</v>
      </c>
      <c r="C9" s="350" t="s">
        <v>21110</v>
      </c>
      <c r="D9" s="349" t="s">
        <v>21111</v>
      </c>
      <c r="E9" s="350">
        <v>4</v>
      </c>
      <c r="F9" s="350"/>
      <c r="G9" s="350" t="s">
        <v>21109</v>
      </c>
      <c r="H9" s="350" t="s">
        <v>21110</v>
      </c>
      <c r="I9" s="350" t="s">
        <v>21112</v>
      </c>
      <c r="J9" s="350" t="b">
        <v>0</v>
      </c>
      <c r="K9" s="350" t="b">
        <v>0</v>
      </c>
      <c r="L9" s="350"/>
      <c r="M9" s="350" t="s">
        <v>21111</v>
      </c>
    </row>
    <row r="10" ht="60">
      <c r="A10" s="349">
        <v>5</v>
      </c>
      <c r="B10" s="350" t="s">
        <v>21113</v>
      </c>
      <c r="C10" s="350" t="s">
        <v>21114</v>
      </c>
      <c r="D10" s="349" t="s">
        <v>21115</v>
      </c>
      <c r="E10" s="350">
        <v>5</v>
      </c>
      <c r="F10" s="350"/>
      <c r="G10" s="350" t="s">
        <v>21113</v>
      </c>
      <c r="H10" s="350" t="s">
        <v>21114</v>
      </c>
      <c r="I10" s="350" t="s">
        <v>21116</v>
      </c>
      <c r="J10" s="350" t="b">
        <v>0</v>
      </c>
      <c r="K10" s="350" t="b">
        <v>0</v>
      </c>
      <c r="L10" s="350"/>
      <c r="M10" s="350" t="s">
        <v>21115</v>
      </c>
    </row>
    <row r="11" ht="60">
      <c r="A11" s="349">
        <v>6</v>
      </c>
      <c r="B11" s="350" t="s">
        <v>21117</v>
      </c>
      <c r="C11" s="350" t="s">
        <v>21118</v>
      </c>
      <c r="D11" s="349" t="s">
        <v>21119</v>
      </c>
      <c r="E11" s="350">
        <v>6</v>
      </c>
      <c r="F11" s="350"/>
      <c r="G11" s="350" t="s">
        <v>21117</v>
      </c>
      <c r="H11" s="350" t="s">
        <v>21118</v>
      </c>
      <c r="I11" s="350" t="s">
        <v>21120</v>
      </c>
      <c r="J11" s="350" t="b">
        <v>0</v>
      </c>
      <c r="K11" s="350" t="b">
        <v>0</v>
      </c>
      <c r="L11" s="350"/>
      <c r="M11" s="350" t="s">
        <v>21119</v>
      </c>
    </row>
    <row r="12" ht="45">
      <c r="A12" s="349">
        <v>7</v>
      </c>
      <c r="B12" s="350" t="s">
        <v>21121</v>
      </c>
      <c r="C12" s="350" t="s">
        <v>21122</v>
      </c>
      <c r="D12" s="349" t="s">
        <v>21123</v>
      </c>
      <c r="E12" s="350">
        <v>7</v>
      </c>
      <c r="F12" s="350"/>
      <c r="G12" s="350" t="s">
        <v>21121</v>
      </c>
      <c r="H12" s="350" t="s">
        <v>21122</v>
      </c>
      <c r="I12" s="350" t="s">
        <v>21124</v>
      </c>
      <c r="J12" s="350" t="b">
        <v>0</v>
      </c>
      <c r="K12" s="350" t="b">
        <v>0</v>
      </c>
      <c r="L12" s="350"/>
      <c r="M12" s="350" t="s">
        <v>21123</v>
      </c>
    </row>
    <row r="13" ht="45">
      <c r="A13" s="349">
        <v>8</v>
      </c>
      <c r="B13" s="350" t="s">
        <v>21125</v>
      </c>
      <c r="C13" s="350" t="s">
        <v>21126</v>
      </c>
      <c r="D13" s="349" t="s">
        <v>21127</v>
      </c>
      <c r="E13" s="350">
        <v>8</v>
      </c>
      <c r="F13" s="350"/>
      <c r="G13" s="350" t="s">
        <v>21125</v>
      </c>
      <c r="H13" s="350" t="s">
        <v>21126</v>
      </c>
      <c r="I13" s="350" t="s">
        <v>21128</v>
      </c>
      <c r="J13" s="350" t="b">
        <v>0</v>
      </c>
      <c r="K13" s="350" t="b">
        <v>0</v>
      </c>
      <c r="L13" s="350"/>
      <c r="M13" s="350" t="s">
        <v>21127</v>
      </c>
    </row>
    <row r="14" ht="60">
      <c r="A14" s="349">
        <v>9</v>
      </c>
      <c r="B14" s="350" t="s">
        <v>21129</v>
      </c>
      <c r="C14" s="350" t="s">
        <v>21130</v>
      </c>
      <c r="D14" s="349" t="s">
        <v>21131</v>
      </c>
      <c r="E14" s="350">
        <v>9</v>
      </c>
      <c r="F14" s="350"/>
      <c r="G14" s="350" t="s">
        <v>21129</v>
      </c>
      <c r="H14" s="350" t="s">
        <v>21130</v>
      </c>
      <c r="I14" s="350" t="s">
        <v>21132</v>
      </c>
      <c r="J14" s="350" t="b">
        <v>0</v>
      </c>
      <c r="K14" s="350" t="b">
        <v>0</v>
      </c>
      <c r="L14" s="350"/>
      <c r="M14" s="350" t="s">
        <v>21131</v>
      </c>
    </row>
    <row r="15" ht="75">
      <c r="A15" s="349">
        <v>10</v>
      </c>
      <c r="B15" s="350" t="s">
        <v>21133</v>
      </c>
      <c r="C15" s="350" t="s">
        <v>21134</v>
      </c>
      <c r="D15" s="349" t="s">
        <v>21135</v>
      </c>
      <c r="E15" s="350">
        <v>10</v>
      </c>
      <c r="F15" s="350"/>
      <c r="G15" s="350" t="s">
        <v>21133</v>
      </c>
      <c r="H15" s="350" t="s">
        <v>21134</v>
      </c>
      <c r="I15" s="350" t="s">
        <v>21136</v>
      </c>
      <c r="J15" s="350" t="b">
        <v>0</v>
      </c>
      <c r="K15" s="350" t="b">
        <v>0</v>
      </c>
      <c r="L15" s="350"/>
      <c r="M15" s="350" t="s">
        <v>21135</v>
      </c>
    </row>
    <row r="16" ht="60">
      <c r="A16" s="349">
        <v>11</v>
      </c>
      <c r="B16" s="350" t="s">
        <v>21137</v>
      </c>
      <c r="C16" s="350" t="s">
        <v>21138</v>
      </c>
      <c r="D16" s="349" t="s">
        <v>21139</v>
      </c>
      <c r="E16" s="350">
        <v>11</v>
      </c>
      <c r="F16" s="350"/>
      <c r="G16" s="350" t="s">
        <v>21137</v>
      </c>
      <c r="H16" s="350" t="s">
        <v>21138</v>
      </c>
      <c r="I16" s="350" t="s">
        <v>21140</v>
      </c>
      <c r="J16" s="350" t="b">
        <v>0</v>
      </c>
      <c r="K16" s="350" t="b">
        <v>0</v>
      </c>
      <c r="L16" s="350"/>
      <c r="M16" s="350" t="s">
        <v>21139</v>
      </c>
    </row>
    <row r="17" ht="60">
      <c r="A17" s="349">
        <v>12</v>
      </c>
      <c r="B17" s="350" t="s">
        <v>21141</v>
      </c>
      <c r="C17" s="350" t="s">
        <v>21142</v>
      </c>
      <c r="D17" s="349" t="s">
        <v>21143</v>
      </c>
      <c r="E17" s="350">
        <v>12</v>
      </c>
      <c r="F17" s="350"/>
      <c r="G17" s="350" t="s">
        <v>21141</v>
      </c>
      <c r="H17" s="350" t="s">
        <v>21142</v>
      </c>
      <c r="I17" s="350" t="s">
        <v>21144</v>
      </c>
      <c r="J17" s="350" t="b">
        <v>0</v>
      </c>
      <c r="K17" s="350" t="b">
        <v>0</v>
      </c>
      <c r="L17" s="350"/>
      <c r="M17" s="350" t="s">
        <v>21143</v>
      </c>
    </row>
    <row r="18" ht="60">
      <c r="A18" s="349">
        <v>13</v>
      </c>
      <c r="B18" s="350" t="s">
        <v>21145</v>
      </c>
      <c r="C18" s="350" t="s">
        <v>21146</v>
      </c>
      <c r="D18" s="349" t="s">
        <v>21147</v>
      </c>
      <c r="E18" s="350">
        <v>13</v>
      </c>
      <c r="F18" s="350"/>
      <c r="G18" s="350" t="s">
        <v>21145</v>
      </c>
      <c r="H18" s="350" t="s">
        <v>21146</v>
      </c>
      <c r="I18" s="350" t="s">
        <v>21148</v>
      </c>
      <c r="J18" s="350" t="b">
        <v>0</v>
      </c>
      <c r="K18" s="350" t="b">
        <v>0</v>
      </c>
      <c r="L18" s="350"/>
      <c r="M18" s="350" t="s">
        <v>21147</v>
      </c>
    </row>
    <row r="19" ht="60">
      <c r="A19" s="349">
        <v>14</v>
      </c>
      <c r="B19" s="350" t="s">
        <v>21149</v>
      </c>
      <c r="C19" s="350" t="s">
        <v>21150</v>
      </c>
      <c r="D19" s="349" t="s">
        <v>21151</v>
      </c>
      <c r="E19" s="350">
        <v>14</v>
      </c>
      <c r="F19" s="350"/>
      <c r="G19" s="350" t="s">
        <v>21149</v>
      </c>
      <c r="H19" s="350" t="s">
        <v>21150</v>
      </c>
      <c r="I19" s="350" t="s">
        <v>21152</v>
      </c>
      <c r="J19" s="350" t="b">
        <v>0</v>
      </c>
      <c r="K19" s="350" t="b">
        <v>0</v>
      </c>
      <c r="L19" s="350"/>
      <c r="M19" s="350" t="s">
        <v>21151</v>
      </c>
    </row>
    <row r="20" ht="60">
      <c r="A20" s="349">
        <v>15</v>
      </c>
      <c r="B20" s="350" t="s">
        <v>21153</v>
      </c>
      <c r="C20" s="350" t="s">
        <v>21154</v>
      </c>
      <c r="D20" s="349" t="s">
        <v>21155</v>
      </c>
      <c r="E20" s="350">
        <v>15</v>
      </c>
      <c r="F20" s="350"/>
      <c r="G20" s="350" t="s">
        <v>21153</v>
      </c>
      <c r="H20" s="350" t="s">
        <v>21154</v>
      </c>
      <c r="I20" s="350" t="s">
        <v>21156</v>
      </c>
      <c r="J20" s="350" t="b">
        <v>0</v>
      </c>
      <c r="K20" s="350" t="b">
        <v>0</v>
      </c>
      <c r="L20" s="350"/>
      <c r="M20" s="350" t="s">
        <v>21155</v>
      </c>
    </row>
    <row r="21" ht="60">
      <c r="A21" s="349">
        <v>16</v>
      </c>
      <c r="B21" s="350" t="s">
        <v>21157</v>
      </c>
      <c r="C21" s="350" t="s">
        <v>21158</v>
      </c>
      <c r="D21" s="349" t="s">
        <v>21159</v>
      </c>
      <c r="E21" s="350">
        <v>16</v>
      </c>
      <c r="F21" s="350"/>
      <c r="G21" s="350" t="s">
        <v>21157</v>
      </c>
      <c r="H21" s="350" t="s">
        <v>21158</v>
      </c>
      <c r="I21" s="350" t="s">
        <v>21160</v>
      </c>
      <c r="J21" s="350" t="b">
        <v>0</v>
      </c>
      <c r="K21" s="350" t="b">
        <v>0</v>
      </c>
      <c r="L21" s="350"/>
      <c r="M21" s="350" t="s">
        <v>21159</v>
      </c>
    </row>
    <row r="22" ht="75">
      <c r="A22" s="349">
        <v>17</v>
      </c>
      <c r="B22" s="350" t="s">
        <v>21161</v>
      </c>
      <c r="C22" s="350" t="s">
        <v>21162</v>
      </c>
      <c r="D22" s="349" t="s">
        <v>21163</v>
      </c>
      <c r="E22" s="350">
        <v>17</v>
      </c>
      <c r="F22" s="350"/>
      <c r="G22" s="350" t="s">
        <v>21161</v>
      </c>
      <c r="H22" s="350" t="s">
        <v>21162</v>
      </c>
      <c r="I22" s="350" t="s">
        <v>21164</v>
      </c>
      <c r="J22" s="350" t="b">
        <v>0</v>
      </c>
      <c r="K22" s="350" t="b">
        <v>0</v>
      </c>
      <c r="L22" s="350"/>
      <c r="M22" s="350" t="s">
        <v>21163</v>
      </c>
    </row>
    <row r="23" ht="60">
      <c r="A23" s="349">
        <v>18</v>
      </c>
      <c r="B23" s="350" t="s">
        <v>21165</v>
      </c>
      <c r="C23" s="350" t="s">
        <v>21166</v>
      </c>
      <c r="D23" s="349" t="s">
        <v>21167</v>
      </c>
      <c r="E23" s="350">
        <v>18</v>
      </c>
      <c r="F23" s="350"/>
      <c r="G23" s="350" t="s">
        <v>21165</v>
      </c>
      <c r="H23" s="350" t="s">
        <v>21166</v>
      </c>
      <c r="I23" s="350" t="s">
        <v>21168</v>
      </c>
      <c r="J23" s="350" t="b">
        <v>0</v>
      </c>
      <c r="K23" s="350" t="b">
        <v>0</v>
      </c>
      <c r="L23" s="350"/>
      <c r="M23" s="350" t="s">
        <v>21167</v>
      </c>
    </row>
    <row r="24" ht="60">
      <c r="A24" s="349">
        <v>19</v>
      </c>
      <c r="B24" s="350" t="s">
        <v>21169</v>
      </c>
      <c r="C24" s="350" t="s">
        <v>21170</v>
      </c>
      <c r="D24" s="349" t="s">
        <v>21171</v>
      </c>
      <c r="E24" s="350">
        <v>19</v>
      </c>
      <c r="F24" s="350"/>
      <c r="G24" s="350" t="s">
        <v>21169</v>
      </c>
      <c r="H24" s="350" t="s">
        <v>21170</v>
      </c>
      <c r="I24" s="350" t="s">
        <v>21172</v>
      </c>
      <c r="J24" s="350" t="b">
        <v>0</v>
      </c>
      <c r="K24" s="350" t="b">
        <v>0</v>
      </c>
      <c r="L24" s="350"/>
      <c r="M24" s="350" t="s">
        <v>21171</v>
      </c>
    </row>
    <row r="25" ht="60">
      <c r="A25" s="349">
        <v>20</v>
      </c>
      <c r="B25" s="350" t="s">
        <v>21173</v>
      </c>
      <c r="C25" s="350" t="s">
        <v>21174</v>
      </c>
      <c r="D25" s="349" t="s">
        <v>21175</v>
      </c>
      <c r="E25" s="350">
        <v>20</v>
      </c>
      <c r="F25" s="350"/>
      <c r="G25" s="350" t="s">
        <v>21173</v>
      </c>
      <c r="H25" s="350" t="s">
        <v>21174</v>
      </c>
      <c r="I25" s="350" t="s">
        <v>21176</v>
      </c>
      <c r="J25" s="350" t="b">
        <v>0</v>
      </c>
      <c r="K25" s="350" t="b">
        <v>0</v>
      </c>
      <c r="L25" s="350"/>
      <c r="M25" s="350" t="s">
        <v>21175</v>
      </c>
    </row>
    <row r="26" ht="45">
      <c r="A26" s="349">
        <v>21</v>
      </c>
      <c r="B26" s="350" t="s">
        <v>21177</v>
      </c>
      <c r="C26" s="350" t="s">
        <v>21178</v>
      </c>
      <c r="D26" s="349" t="s">
        <v>21179</v>
      </c>
      <c r="E26" s="350">
        <v>21</v>
      </c>
      <c r="F26" s="350"/>
      <c r="G26" s="350" t="s">
        <v>21177</v>
      </c>
      <c r="H26" s="350" t="s">
        <v>21178</v>
      </c>
      <c r="I26" s="350" t="s">
        <v>21180</v>
      </c>
      <c r="J26" s="350" t="b">
        <v>0</v>
      </c>
      <c r="K26" s="350" t="b">
        <v>0</v>
      </c>
      <c r="L26" s="350"/>
      <c r="M26" s="350" t="s">
        <v>21179</v>
      </c>
    </row>
    <row r="27" ht="60">
      <c r="A27" s="349">
        <v>22</v>
      </c>
      <c r="B27" s="350" t="s">
        <v>21181</v>
      </c>
      <c r="C27" s="350" t="s">
        <v>21182</v>
      </c>
      <c r="D27" s="349" t="s">
        <v>21183</v>
      </c>
      <c r="E27" s="350">
        <v>22</v>
      </c>
      <c r="F27" s="350"/>
      <c r="G27" s="350" t="s">
        <v>21181</v>
      </c>
      <c r="H27" s="350" t="s">
        <v>21182</v>
      </c>
      <c r="I27" s="350" t="s">
        <v>21184</v>
      </c>
      <c r="J27" s="350" t="b">
        <v>0</v>
      </c>
      <c r="K27" s="350" t="b">
        <v>0</v>
      </c>
      <c r="L27" s="350"/>
      <c r="M27" s="350" t="s">
        <v>21183</v>
      </c>
    </row>
    <row r="28" ht="45">
      <c r="A28" s="349">
        <v>23</v>
      </c>
      <c r="B28" s="350" t="s">
        <v>21185</v>
      </c>
      <c r="C28" s="350" t="s">
        <v>21186</v>
      </c>
      <c r="D28" s="349" t="s">
        <v>21187</v>
      </c>
      <c r="E28" s="350">
        <v>23</v>
      </c>
      <c r="F28" s="350"/>
      <c r="G28" s="350" t="s">
        <v>21185</v>
      </c>
      <c r="H28" s="350" t="s">
        <v>21186</v>
      </c>
      <c r="I28" s="350" t="s">
        <v>21188</v>
      </c>
      <c r="J28" s="350" t="b">
        <v>0</v>
      </c>
      <c r="K28" s="350" t="b">
        <v>1</v>
      </c>
      <c r="L28" s="350"/>
      <c r="M28" s="350" t="s">
        <v>21187</v>
      </c>
    </row>
    <row r="29" ht="75">
      <c r="A29" s="349">
        <v>24</v>
      </c>
      <c r="B29" s="350" t="s">
        <v>21189</v>
      </c>
      <c r="C29" s="350" t="s">
        <v>21190</v>
      </c>
      <c r="D29" s="349" t="s">
        <v>21191</v>
      </c>
      <c r="E29" s="350">
        <v>24</v>
      </c>
      <c r="F29" s="350"/>
      <c r="G29" s="350" t="s">
        <v>21189</v>
      </c>
      <c r="H29" s="350" t="s">
        <v>21190</v>
      </c>
      <c r="I29" s="350" t="s">
        <v>21192</v>
      </c>
      <c r="J29" s="350" t="b">
        <v>0</v>
      </c>
      <c r="K29" s="350" t="b">
        <v>0</v>
      </c>
      <c r="L29" s="350"/>
      <c r="M29" s="350" t="s">
        <v>21191</v>
      </c>
    </row>
    <row r="30" ht="75">
      <c r="A30" s="349">
        <v>25</v>
      </c>
      <c r="B30" s="350" t="s">
        <v>21193</v>
      </c>
      <c r="C30" s="350" t="s">
        <v>21194</v>
      </c>
      <c r="D30" s="349" t="s">
        <v>21195</v>
      </c>
      <c r="E30" s="350">
        <v>25</v>
      </c>
      <c r="F30" s="350"/>
      <c r="G30" s="350" t="s">
        <v>21193</v>
      </c>
      <c r="H30" s="350" t="s">
        <v>21194</v>
      </c>
      <c r="I30" s="350" t="s">
        <v>21196</v>
      </c>
      <c r="J30" s="350" t="b">
        <v>0</v>
      </c>
      <c r="K30" s="350" t="b">
        <v>0</v>
      </c>
      <c r="L30" s="350"/>
      <c r="M30" s="350" t="s">
        <v>21195</v>
      </c>
    </row>
    <row r="31" ht="60">
      <c r="A31" s="349">
        <v>26</v>
      </c>
      <c r="B31" s="350" t="s">
        <v>21197</v>
      </c>
      <c r="C31" s="350" t="s">
        <v>21198</v>
      </c>
      <c r="D31" s="349" t="s">
        <v>21199</v>
      </c>
      <c r="E31" s="350">
        <v>26</v>
      </c>
      <c r="F31" s="350"/>
      <c r="G31" s="350" t="s">
        <v>21197</v>
      </c>
      <c r="H31" s="350" t="s">
        <v>21198</v>
      </c>
      <c r="I31" s="350" t="s">
        <v>21200</v>
      </c>
      <c r="J31" s="350" t="b">
        <v>0</v>
      </c>
      <c r="K31" s="350" t="b">
        <v>0</v>
      </c>
      <c r="L31" s="350"/>
      <c r="M31" s="350" t="s">
        <v>21199</v>
      </c>
    </row>
    <row r="32" ht="75">
      <c r="A32" s="349">
        <v>27</v>
      </c>
      <c r="B32" s="350" t="s">
        <v>21201</v>
      </c>
      <c r="C32" s="350" t="s">
        <v>21202</v>
      </c>
      <c r="D32" s="349" t="s">
        <v>21203</v>
      </c>
      <c r="E32" s="350">
        <v>27</v>
      </c>
      <c r="F32" s="350"/>
      <c r="G32" s="350" t="s">
        <v>21201</v>
      </c>
      <c r="H32" s="350" t="s">
        <v>21202</v>
      </c>
      <c r="I32" s="350" t="s">
        <v>21204</v>
      </c>
      <c r="J32" s="350" t="b">
        <v>0</v>
      </c>
      <c r="K32" s="350" t="b">
        <v>0</v>
      </c>
      <c r="L32" s="350"/>
      <c r="M32" s="350" t="s">
        <v>21203</v>
      </c>
    </row>
    <row r="33" ht="60">
      <c r="A33" s="349">
        <v>28</v>
      </c>
      <c r="B33" s="350" t="s">
        <v>21205</v>
      </c>
      <c r="C33" s="350" t="s">
        <v>21206</v>
      </c>
      <c r="D33" s="349" t="s">
        <v>21207</v>
      </c>
      <c r="E33" s="350">
        <v>28</v>
      </c>
      <c r="F33" s="350"/>
      <c r="G33" s="350" t="s">
        <v>21205</v>
      </c>
      <c r="H33" s="350" t="s">
        <v>21206</v>
      </c>
      <c r="I33" s="350" t="s">
        <v>21208</v>
      </c>
      <c r="J33" s="350" t="b">
        <v>0</v>
      </c>
      <c r="K33" s="350" t="b">
        <v>0</v>
      </c>
      <c r="L33" s="350"/>
      <c r="M33" s="350" t="s">
        <v>21207</v>
      </c>
    </row>
    <row r="34" ht="75">
      <c r="A34" s="349">
        <v>29</v>
      </c>
      <c r="B34" s="350" t="s">
        <v>21209</v>
      </c>
      <c r="C34" s="350" t="s">
        <v>21210</v>
      </c>
      <c r="D34" s="349" t="s">
        <v>21211</v>
      </c>
      <c r="E34" s="350">
        <v>29</v>
      </c>
      <c r="F34" s="350"/>
      <c r="G34" s="350" t="s">
        <v>21209</v>
      </c>
      <c r="H34" s="350" t="s">
        <v>21210</v>
      </c>
      <c r="I34" s="350" t="s">
        <v>21212</v>
      </c>
      <c r="J34" s="350" t="b">
        <v>0</v>
      </c>
      <c r="K34" s="350" t="b">
        <v>0</v>
      </c>
      <c r="L34" s="350"/>
      <c r="M34" s="350" t="s">
        <v>21211</v>
      </c>
    </row>
    <row r="35" ht="60">
      <c r="A35" s="349">
        <v>30</v>
      </c>
      <c r="B35" s="350" t="s">
        <v>21213</v>
      </c>
      <c r="C35" s="350" t="s">
        <v>21214</v>
      </c>
      <c r="D35" s="349" t="s">
        <v>21215</v>
      </c>
      <c r="E35" s="350">
        <v>30</v>
      </c>
      <c r="F35" s="350"/>
      <c r="G35" s="350" t="s">
        <v>21213</v>
      </c>
      <c r="H35" s="350" t="s">
        <v>21214</v>
      </c>
      <c r="I35" s="350" t="s">
        <v>21216</v>
      </c>
      <c r="J35" s="350" t="b">
        <v>0</v>
      </c>
      <c r="K35" s="350" t="b">
        <v>0</v>
      </c>
      <c r="L35" s="350"/>
      <c r="M35" s="350" t="s">
        <v>21215</v>
      </c>
    </row>
    <row r="36" ht="60">
      <c r="A36" s="349">
        <v>31</v>
      </c>
      <c r="B36" s="350" t="s">
        <v>21217</v>
      </c>
      <c r="C36" s="350" t="s">
        <v>21218</v>
      </c>
      <c r="D36" s="349" t="s">
        <v>21219</v>
      </c>
      <c r="E36" s="350">
        <v>31</v>
      </c>
      <c r="F36" s="350"/>
      <c r="G36" s="350" t="s">
        <v>21217</v>
      </c>
      <c r="H36" s="350" t="s">
        <v>21218</v>
      </c>
      <c r="I36" s="350" t="s">
        <v>21220</v>
      </c>
      <c r="J36" s="350" t="b">
        <v>0</v>
      </c>
      <c r="K36" s="350" t="b">
        <v>0</v>
      </c>
      <c r="L36" s="350"/>
      <c r="M36" s="350" t="s">
        <v>21219</v>
      </c>
    </row>
    <row r="37" ht="75">
      <c r="A37" s="349">
        <v>32</v>
      </c>
      <c r="B37" s="350" t="s">
        <v>21221</v>
      </c>
      <c r="C37" s="350" t="s">
        <v>21222</v>
      </c>
      <c r="D37" s="349" t="s">
        <v>21223</v>
      </c>
      <c r="E37" s="350">
        <v>32</v>
      </c>
      <c r="F37" s="350"/>
      <c r="G37" s="350" t="s">
        <v>21221</v>
      </c>
      <c r="H37" s="350" t="s">
        <v>21222</v>
      </c>
      <c r="I37" s="350" t="s">
        <v>21224</v>
      </c>
      <c r="J37" s="350" t="b">
        <v>0</v>
      </c>
      <c r="K37" s="350" t="b">
        <v>0</v>
      </c>
      <c r="L37" s="350"/>
      <c r="M37" s="350" t="s">
        <v>21223</v>
      </c>
    </row>
    <row r="38" ht="60">
      <c r="A38" s="349">
        <v>33</v>
      </c>
      <c r="B38" s="350" t="s">
        <v>21225</v>
      </c>
      <c r="C38" s="350" t="s">
        <v>21226</v>
      </c>
      <c r="D38" s="349" t="s">
        <v>21227</v>
      </c>
      <c r="E38" s="350">
        <v>33</v>
      </c>
      <c r="F38" s="350"/>
      <c r="G38" s="350" t="s">
        <v>21225</v>
      </c>
      <c r="H38" s="350" t="s">
        <v>21226</v>
      </c>
      <c r="I38" s="350" t="s">
        <v>21228</v>
      </c>
      <c r="J38" s="350" t="b">
        <v>0</v>
      </c>
      <c r="K38" s="350" t="b">
        <v>0</v>
      </c>
      <c r="L38" s="350"/>
      <c r="M38" s="350" t="s">
        <v>21227</v>
      </c>
    </row>
    <row r="39" ht="90">
      <c r="A39" s="349">
        <v>34</v>
      </c>
      <c r="B39" s="350" t="s">
        <v>21229</v>
      </c>
      <c r="C39" s="350" t="s">
        <v>21230</v>
      </c>
      <c r="D39" s="349" t="s">
        <v>21231</v>
      </c>
      <c r="E39" s="350">
        <v>34</v>
      </c>
      <c r="F39" s="350"/>
      <c r="G39" s="350" t="s">
        <v>21229</v>
      </c>
      <c r="H39" s="350" t="s">
        <v>21230</v>
      </c>
      <c r="I39" s="350" t="s">
        <v>21232</v>
      </c>
      <c r="J39" s="350" t="b">
        <v>0</v>
      </c>
      <c r="K39" s="350" t="b">
        <v>0</v>
      </c>
      <c r="L39" s="350"/>
      <c r="M39" s="350" t="s">
        <v>21231</v>
      </c>
    </row>
    <row r="40" ht="60">
      <c r="A40" s="349">
        <v>35</v>
      </c>
      <c r="B40" s="350" t="s">
        <v>21233</v>
      </c>
      <c r="C40" s="350" t="s">
        <v>21234</v>
      </c>
      <c r="D40" s="349" t="s">
        <v>21235</v>
      </c>
      <c r="E40" s="350">
        <v>35</v>
      </c>
      <c r="F40" s="350"/>
      <c r="G40" s="350" t="s">
        <v>21233</v>
      </c>
      <c r="H40" s="350" t="s">
        <v>21234</v>
      </c>
      <c r="I40" s="350" t="s">
        <v>21236</v>
      </c>
      <c r="J40" s="350" t="b">
        <v>0</v>
      </c>
      <c r="K40" s="350" t="b">
        <v>1</v>
      </c>
      <c r="L40" s="350"/>
      <c r="M40" s="350" t="s">
        <v>21235</v>
      </c>
    </row>
    <row r="41" ht="60">
      <c r="A41" s="349">
        <v>36</v>
      </c>
      <c r="B41" s="350" t="s">
        <v>21237</v>
      </c>
      <c r="C41" s="350" t="s">
        <v>21238</v>
      </c>
      <c r="D41" s="349" t="s">
        <v>21239</v>
      </c>
      <c r="E41" s="350">
        <v>36</v>
      </c>
      <c r="F41" s="350"/>
      <c r="G41" s="350" t="s">
        <v>21237</v>
      </c>
      <c r="H41" s="350" t="s">
        <v>21238</v>
      </c>
      <c r="I41" s="350" t="s">
        <v>21240</v>
      </c>
      <c r="J41" s="350" t="b">
        <v>0</v>
      </c>
      <c r="K41" s="350" t="b">
        <v>0</v>
      </c>
      <c r="L41" s="350"/>
      <c r="M41" s="350" t="s">
        <v>21239</v>
      </c>
    </row>
    <row r="42" ht="45">
      <c r="A42" s="349">
        <v>37</v>
      </c>
      <c r="B42" s="350" t="s">
        <v>21241</v>
      </c>
      <c r="C42" s="350" t="s">
        <v>21242</v>
      </c>
      <c r="D42" s="349" t="s">
        <v>21243</v>
      </c>
      <c r="E42" s="350">
        <v>37</v>
      </c>
      <c r="F42" s="350"/>
      <c r="G42" s="350" t="s">
        <v>21241</v>
      </c>
      <c r="H42" s="350" t="s">
        <v>21242</v>
      </c>
      <c r="I42" s="350" t="s">
        <v>21244</v>
      </c>
      <c r="J42" s="350" t="b">
        <v>0</v>
      </c>
      <c r="K42" s="350" t="b">
        <v>0</v>
      </c>
      <c r="L42" s="350"/>
      <c r="M42" s="350" t="s">
        <v>21243</v>
      </c>
    </row>
  </sheetData>
  <sheetProtection sheet="1" objects="1" scenarios="1"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F16" sqref="F1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12" t="s">
        <v>21078</v>
      </c>
      <c r="D3" s="512"/>
      <c r="E3" s="512"/>
      <c r="F3" s="512"/>
      <c r="G3" s="512"/>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sheet="1" objects="1" scenarios="1"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5" t="s">
        <v>21018</v>
      </c>
      <c r="C1" s="535"/>
      <c r="D1" s="535"/>
      <c r="E1" s="535"/>
      <c r="F1" s="535"/>
      <c r="G1" s="535"/>
      <c r="H1" s="535"/>
      <c r="I1" s="535"/>
      <c r="J1" s="535"/>
      <c r="K1" s="535"/>
      <c r="L1" s="535"/>
      <c r="M1" s="535"/>
      <c r="P1" s="516" t="s">
        <v>21019</v>
      </c>
      <c r="Q1" s="516"/>
      <c r="R1" s="516"/>
      <c r="S1" s="516"/>
      <c r="T1" s="516"/>
      <c r="U1" s="516"/>
      <c r="V1" s="516"/>
      <c r="W1" s="516"/>
      <c r="X1" s="516"/>
      <c r="Y1" s="516"/>
      <c r="Z1" s="516"/>
      <c r="AA1" s="516"/>
      <c r="AB1" s="516"/>
      <c r="AC1" s="516"/>
      <c r="AD1" s="516"/>
      <c r="AE1" s="234"/>
    </row>
    <row r="2" ht="19.7" customHeight="1">
      <c r="C2" s="535" t="s">
        <v>21020</v>
      </c>
      <c r="D2" s="535"/>
      <c r="E2" s="535"/>
      <c r="F2" s="535"/>
      <c r="G2" s="535"/>
      <c r="H2" s="535"/>
      <c r="I2" s="535"/>
      <c r="J2" s="535"/>
      <c r="K2" s="535"/>
      <c r="L2" s="535"/>
      <c r="N2" s="235"/>
      <c r="P2" s="524" t="s">
        <v>21021</v>
      </c>
      <c r="Q2" s="524"/>
      <c r="R2" s="524"/>
      <c r="S2" s="524"/>
      <c r="T2" s="524"/>
      <c r="U2" s="524"/>
      <c r="V2" s="524"/>
      <c r="W2" s="524"/>
      <c r="X2" s="524"/>
      <c r="Y2" s="524"/>
      <c r="Z2" s="524"/>
      <c r="AA2" s="524"/>
      <c r="AB2" s="524"/>
      <c r="AC2" s="524"/>
      <c r="AD2" s="524"/>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9" t="s">
        <v>21023</v>
      </c>
      <c r="D15" s="530"/>
      <c r="E15" s="530"/>
      <c r="F15" s="530"/>
      <c r="G15" s="530"/>
      <c r="H15" s="530"/>
      <c r="I15" s="530"/>
      <c r="J15" s="530"/>
      <c r="K15" s="530"/>
      <c r="L15" s="530"/>
      <c r="M15" s="530"/>
      <c r="N15" s="530"/>
      <c r="O15" s="530"/>
      <c r="P15" s="530"/>
      <c r="Q15" s="530"/>
      <c r="R15" s="530"/>
      <c r="S15" s="530"/>
      <c r="T15" s="530"/>
      <c r="U15" s="530"/>
      <c r="V15" s="530"/>
      <c r="W15" s="530"/>
      <c r="X15" s="530"/>
      <c r="Y15" s="530"/>
      <c r="Z15" s="530"/>
      <c r="AA15" s="530"/>
      <c r="AB15" s="530"/>
      <c r="AC15" s="530"/>
      <c r="AD15" s="531"/>
      <c r="AE15" s="252"/>
      <c r="AG15" s="253">
        <v>1</v>
      </c>
      <c r="AH15" s="253"/>
      <c r="AI15" s="253"/>
      <c r="AJ15" s="253"/>
      <c r="AK15" s="253">
        <v>2</v>
      </c>
      <c r="AL15" s="253"/>
      <c r="AM15" s="253"/>
      <c r="AN15" s="253"/>
      <c r="AO15" s="253">
        <v>3</v>
      </c>
      <c r="AS15" s="219">
        <v>4</v>
      </c>
    </row>
    <row r="16" ht="40.5" customHeight="1">
      <c r="C16" s="536" t="s">
        <v>21027</v>
      </c>
      <c r="D16" s="537"/>
      <c r="E16" s="537"/>
      <c r="F16" s="537"/>
      <c r="G16" s="537"/>
      <c r="H16" s="537"/>
      <c r="I16" s="537"/>
      <c r="J16" s="537"/>
      <c r="K16" s="537"/>
      <c r="L16" s="538"/>
      <c r="M16" s="539" t="str">
        <f>AG16</f>
        <v>Ấp Bàu Trâu, xã Phước Thạnh, huyện Củ Chi, thành phố Hồ Chí Minh.</v>
      </c>
      <c r="N16" s="540"/>
      <c r="O16" s="540"/>
      <c r="P16" s="540"/>
      <c r="Q16" s="540"/>
      <c r="R16" s="540"/>
      <c r="S16" s="540"/>
      <c r="T16" s="540"/>
      <c r="U16" s="540"/>
      <c r="V16" s="540"/>
      <c r="W16" s="540"/>
      <c r="X16" s="540"/>
      <c r="Y16" s="540"/>
      <c r="Z16" s="540"/>
      <c r="AA16" s="540"/>
      <c r="AB16" s="540"/>
      <c r="AC16" s="540"/>
      <c r="AD16" s="541"/>
      <c r="AE16" s="252"/>
      <c r="AG16" s="254" t="s">
        <v>21028</v>
      </c>
    </row>
    <row r="17" ht="19.5" customHeight="1">
      <c r="C17" s="536" t="s">
        <v>21029</v>
      </c>
      <c r="D17" s="537"/>
      <c r="E17" s="537"/>
      <c r="F17" s="537"/>
      <c r="G17" s="537"/>
      <c r="H17" s="537"/>
      <c r="I17" s="537"/>
      <c r="J17" s="537"/>
      <c r="K17" s="537"/>
      <c r="L17" s="538"/>
      <c r="M17" s="525" t="str">
        <f>IF(AG17="","",AG17)</f>
      </c>
      <c r="N17" s="526"/>
      <c r="O17" s="526"/>
      <c r="P17" s="526"/>
      <c r="Q17" s="526"/>
      <c r="R17" s="526"/>
      <c r="S17" s="526"/>
      <c r="T17" s="526"/>
      <c r="U17" s="526"/>
      <c r="V17" s="526"/>
      <c r="W17" s="526"/>
      <c r="X17" s="526"/>
      <c r="Y17" s="526"/>
      <c r="Z17" s="526"/>
      <c r="AA17" s="526"/>
      <c r="AB17" s="526"/>
      <c r="AC17" s="526"/>
      <c r="AD17" s="527"/>
      <c r="AE17" s="252"/>
    </row>
    <row r="18" ht="33.95" customHeight="1">
      <c r="C18" s="532" t="s">
        <v>21030</v>
      </c>
      <c r="D18" s="533"/>
      <c r="E18" s="533"/>
      <c r="F18" s="533"/>
      <c r="G18" s="533"/>
      <c r="H18" s="533"/>
      <c r="I18" s="533"/>
      <c r="J18" s="533"/>
      <c r="K18" s="533"/>
      <c r="L18" s="534"/>
      <c r="M18" s="525" t="str">
        <f>AG18</f>
        <v>CÔNG TY CỔ PHẦN VIỄN THÔNG DI ĐỘNG TOÀN CẦU</v>
      </c>
      <c r="N18" s="526"/>
      <c r="O18" s="526"/>
      <c r="P18" s="526"/>
      <c r="Q18" s="526"/>
      <c r="R18" s="526"/>
      <c r="S18" s="526"/>
      <c r="T18" s="526"/>
      <c r="U18" s="526"/>
      <c r="V18" s="526"/>
      <c r="W18" s="526"/>
      <c r="X18" s="526"/>
      <c r="Y18" s="526"/>
      <c r="Z18" s="526"/>
      <c r="AA18" s="526"/>
      <c r="AB18" s="526"/>
      <c r="AC18" s="526"/>
      <c r="AD18" s="527"/>
      <c r="AE18" s="252"/>
      <c r="AG18" s="248" t="s">
        <v>21031</v>
      </c>
    </row>
    <row r="19" ht="33.95" customHeight="1">
      <c r="C19" s="532" t="s">
        <v>21032</v>
      </c>
      <c r="D19" s="533"/>
      <c r="E19" s="533"/>
      <c r="F19" s="533"/>
      <c r="G19" s="533"/>
      <c r="H19" s="533"/>
      <c r="I19" s="533"/>
      <c r="J19" s="533"/>
      <c r="K19" s="533"/>
      <c r="L19" s="534"/>
      <c r="M19" s="525" t="str">
        <f>AG19</f>
        <v>CÔNG TY CỔ PHẦN VIỄN THÔNG DI ĐỘNG TOÀN CẦU</v>
      </c>
      <c r="N19" s="526"/>
      <c r="O19" s="526"/>
      <c r="P19" s="526"/>
      <c r="Q19" s="526"/>
      <c r="R19" s="526"/>
      <c r="S19" s="526"/>
      <c r="T19" s="526"/>
      <c r="U19" s="526"/>
      <c r="V19" s="526"/>
      <c r="W19" s="526"/>
      <c r="X19" s="526"/>
      <c r="Y19" s="526"/>
      <c r="Z19" s="526"/>
      <c r="AA19" s="526"/>
      <c r="AB19" s="526"/>
      <c r="AC19" s="526"/>
      <c r="AD19" s="527"/>
      <c r="AE19" s="255"/>
      <c r="AG19" s="248" t="s">
        <v>21031</v>
      </c>
    </row>
    <row r="20" ht="21" customHeight="1">
      <c r="C20" s="548" t="s">
        <v>21033</v>
      </c>
      <c r="D20" s="549"/>
      <c r="E20" s="549"/>
      <c r="F20" s="549"/>
      <c r="G20" s="549"/>
      <c r="H20" s="549"/>
      <c r="I20" s="549"/>
      <c r="J20" s="549"/>
      <c r="K20" s="549"/>
      <c r="L20" s="549"/>
      <c r="M20" s="549"/>
      <c r="N20" s="549"/>
      <c r="O20" s="549"/>
      <c r="P20" s="549"/>
      <c r="Q20" s="549"/>
      <c r="R20" s="549"/>
      <c r="S20" s="549"/>
      <c r="T20" s="549"/>
      <c r="U20" s="549"/>
      <c r="V20" s="549"/>
      <c r="W20" s="549"/>
      <c r="X20" s="549"/>
      <c r="Y20" s="549"/>
      <c r="Z20" s="549"/>
      <c r="AA20" s="549"/>
      <c r="AB20" s="549"/>
      <c r="AC20" s="549"/>
      <c r="AD20" s="550"/>
      <c r="AE20" s="256"/>
    </row>
    <row r="21" ht="33.95" customHeight="1">
      <c r="C21" s="542" t="s">
        <v>21034</v>
      </c>
      <c r="D21" s="542"/>
      <c r="E21" s="542"/>
      <c r="F21" s="542"/>
      <c r="G21" s="542"/>
      <c r="H21" s="542"/>
      <c r="I21" s="542"/>
      <c r="J21" s="542"/>
      <c r="K21" s="542"/>
      <c r="L21" s="542"/>
      <c r="M21" s="525" t="str">
        <f>AG21</f>
        <v>A</v>
      </c>
      <c r="N21" s="526"/>
      <c r="O21" s="526"/>
      <c r="P21" s="526"/>
      <c r="Q21" s="526"/>
      <c r="R21" s="526"/>
      <c r="S21" s="526"/>
      <c r="T21" s="526"/>
      <c r="U21" s="526"/>
      <c r="V21" s="526"/>
      <c r="W21" s="526"/>
      <c r="X21" s="526"/>
      <c r="Y21" s="526"/>
      <c r="Z21" s="526"/>
      <c r="AA21" s="526"/>
      <c r="AB21" s="526"/>
      <c r="AC21" s="526"/>
      <c r="AD21" s="527"/>
      <c r="AE21" s="252"/>
      <c r="AG21" s="248" t="s">
        <v>21035</v>
      </c>
      <c r="AK21" s="248" t="s">
        <v>21036</v>
      </c>
      <c r="AO21" s="248" t="s">
        <v>21037</v>
      </c>
      <c r="AS21" s="248" t="s">
        <v>21038</v>
      </c>
    </row>
    <row r="22" ht="19.7" customHeight="1">
      <c r="C22" s="551" t="s">
        <v>21039</v>
      </c>
      <c r="D22" s="552"/>
      <c r="E22" s="552"/>
      <c r="F22" s="552"/>
      <c r="G22" s="552"/>
      <c r="H22" s="552"/>
      <c r="I22" s="552"/>
      <c r="J22" s="552"/>
      <c r="K22" s="552"/>
      <c r="L22" s="553"/>
      <c r="M22" s="525">
        <f>AG22</f>
        <v>4</v>
      </c>
      <c r="N22" s="526"/>
      <c r="O22" s="526"/>
      <c r="P22" s="526"/>
      <c r="Q22" s="526"/>
      <c r="R22" s="526"/>
      <c r="S22" s="526"/>
      <c r="T22" s="526"/>
      <c r="U22" s="526"/>
      <c r="V22" s="526"/>
      <c r="W22" s="526"/>
      <c r="X22" s="526"/>
      <c r="Y22" s="526"/>
      <c r="Z22" s="526"/>
      <c r="AA22" s="526"/>
      <c r="AB22" s="526"/>
      <c r="AC22" s="526"/>
      <c r="AD22" s="527"/>
      <c r="AE22" s="252"/>
      <c r="AG22" s="253">
        <v>4</v>
      </c>
      <c r="AH22" s="253"/>
      <c r="AI22" s="253"/>
      <c r="AJ22" s="253"/>
      <c r="AK22" s="253">
        <v>1</v>
      </c>
      <c r="AL22" s="253"/>
      <c r="AM22" s="253"/>
      <c r="AN22" s="253"/>
      <c r="AO22" s="253">
        <v>3</v>
      </c>
      <c r="AS22" s="219">
        <v>1</v>
      </c>
    </row>
    <row r="23" ht="19.7" customHeight="1">
      <c r="C23" s="542" t="s">
        <v>21040</v>
      </c>
      <c r="D23" s="542"/>
      <c r="E23" s="542"/>
      <c r="F23" s="542"/>
      <c r="G23" s="542"/>
      <c r="H23" s="542"/>
      <c r="I23" s="542"/>
      <c r="J23" s="542"/>
      <c r="K23" s="542"/>
      <c r="L23" s="542"/>
      <c r="M23" s="545" t="str">
        <f>AG23</f>
        <v>4/4/4</v>
      </c>
      <c r="N23" s="546"/>
      <c r="O23" s="546"/>
      <c r="P23" s="546"/>
      <c r="Q23" s="546"/>
      <c r="R23" s="546"/>
      <c r="S23" s="546"/>
      <c r="T23" s="546"/>
      <c r="U23" s="546"/>
      <c r="V23" s="546"/>
      <c r="W23" s="546"/>
      <c r="X23" s="546"/>
      <c r="Y23" s="546"/>
      <c r="Z23" s="546"/>
      <c r="AA23" s="546"/>
      <c r="AB23" s="546"/>
      <c r="AC23" s="546"/>
      <c r="AD23" s="547"/>
      <c r="AE23" s="257"/>
      <c r="AG23" s="258" t="s">
        <v>21041</v>
      </c>
      <c r="AH23" s="259"/>
      <c r="AI23" s="259"/>
      <c r="AJ23" s="259"/>
      <c r="AK23" s="258" t="s">
        <v>21042</v>
      </c>
      <c r="AL23" s="259"/>
      <c r="AM23" s="259"/>
      <c r="AN23" s="259"/>
      <c r="AO23" s="258" t="s">
        <v>21043</v>
      </c>
      <c r="AP23" s="259"/>
      <c r="AQ23" s="259"/>
      <c r="AR23" s="259"/>
      <c r="AS23" s="258" t="s">
        <v>21044</v>
      </c>
    </row>
    <row r="24" ht="19.7" customHeight="1">
      <c r="C24" s="551" t="s">
        <v>21045</v>
      </c>
      <c r="D24" s="552"/>
      <c r="E24" s="552"/>
      <c r="F24" s="552"/>
      <c r="G24" s="552"/>
      <c r="H24" s="552"/>
      <c r="I24" s="552"/>
      <c r="J24" s="552"/>
      <c r="K24" s="552"/>
      <c r="L24" s="553"/>
      <c r="M24" s="525" t="str">
        <f>IF(M22=4,AG24&amp;"W/ "&amp;AH24&amp;"W/ "&amp;AI24&amp;"W/ "&amp;AJ24&amp;"W",IF(M22=3,AG24&amp;"W/ "&amp;AH24&amp;"W/ "&amp;AI24&amp;"W",IF(M22=2,AG24&amp;"W/ "&amp;AH24&amp;"W",AG24&amp;"W")))</f>
        <v>20W/ 20W/ 20W/ 20W</v>
      </c>
      <c r="N24" s="526"/>
      <c r="O24" s="526"/>
      <c r="P24" s="526"/>
      <c r="Q24" s="526"/>
      <c r="R24" s="526"/>
      <c r="S24" s="526"/>
      <c r="T24" s="526"/>
      <c r="U24" s="526"/>
      <c r="V24" s="526"/>
      <c r="W24" s="526"/>
      <c r="X24" s="526"/>
      <c r="Y24" s="526"/>
      <c r="Z24" s="526"/>
      <c r="AA24" s="526"/>
      <c r="AB24" s="526"/>
      <c r="AC24" s="526"/>
      <c r="AD24" s="527"/>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42" t="s">
        <v>21046</v>
      </c>
      <c r="D25" s="542"/>
      <c r="E25" s="542"/>
      <c r="F25" s="542"/>
      <c r="G25" s="542"/>
      <c r="H25" s="542"/>
      <c r="I25" s="542"/>
      <c r="J25" s="542"/>
      <c r="K25" s="542"/>
      <c r="L25" s="542"/>
      <c r="M25" s="525" t="str">
        <f>IF(AG25="900 &amp; 1800","900MHz &amp; 1800MHz",IF(AG25="900 &amp; 2100","900MHz &amp; 2100MHz",IF(AG25="1800 &amp; 2100","1800MHz &amp; 2100MHz",AG25&amp;"MHz")))</f>
        <v>900MHz</v>
      </c>
      <c r="N25" s="526"/>
      <c r="O25" s="526"/>
      <c r="P25" s="526"/>
      <c r="Q25" s="526"/>
      <c r="R25" s="526"/>
      <c r="S25" s="526"/>
      <c r="T25" s="526"/>
      <c r="U25" s="526"/>
      <c r="V25" s="526"/>
      <c r="W25" s="526"/>
      <c r="X25" s="526"/>
      <c r="Y25" s="526"/>
      <c r="Z25" s="526"/>
      <c r="AA25" s="526"/>
      <c r="AB25" s="526"/>
      <c r="AC25" s="526"/>
      <c r="AD25" s="527"/>
      <c r="AE25" s="252"/>
      <c r="AG25" s="219">
        <v>900</v>
      </c>
      <c r="AK25" s="219">
        <v>1800</v>
      </c>
      <c r="AO25" s="219">
        <v>2100</v>
      </c>
      <c r="AS25" s="248" t="s">
        <v>21047</v>
      </c>
    </row>
    <row r="26" ht="33.95" customHeight="1">
      <c r="C26" s="542" t="s">
        <v>21048</v>
      </c>
      <c r="D26" s="542"/>
      <c r="E26" s="542"/>
      <c r="F26" s="542"/>
      <c r="G26" s="542"/>
      <c r="H26" s="542"/>
      <c r="I26" s="542"/>
      <c r="J26" s="542"/>
      <c r="K26" s="542"/>
      <c r="L26" s="542"/>
      <c r="M26" s="525">
        <f>AG26</f>
        <v>15</v>
      </c>
      <c r="N26" s="526"/>
      <c r="O26" s="526"/>
      <c r="P26" s="526"/>
      <c r="Q26" s="526"/>
      <c r="R26" s="526"/>
      <c r="S26" s="526"/>
      <c r="T26" s="526"/>
      <c r="U26" s="526"/>
      <c r="V26" s="526"/>
      <c r="W26" s="526"/>
      <c r="X26" s="526"/>
      <c r="Y26" s="526"/>
      <c r="Z26" s="526"/>
      <c r="AA26" s="526"/>
      <c r="AB26" s="526"/>
      <c r="AC26" s="526"/>
      <c r="AD26" s="527"/>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4.7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4.7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4" t="str">
        <f>IF(AG31=1,AO31,IF(AG31=2,AO30))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IF(AI41=0,AN34,IF(AI41=1,AK34,AR34))</f>
        <v>KT. GIÁM ĐỐC</v>
      </c>
      <c r="U34" s="517"/>
      <c r="V34" s="517"/>
      <c r="W34" s="517"/>
      <c r="X34" s="517"/>
      <c r="Y34" s="517"/>
      <c r="Z34" s="517"/>
      <c r="AA34" s="517"/>
      <c r="AB34" s="517"/>
      <c r="AC34" s="517"/>
      <c r="AD34" s="517"/>
      <c r="AE34" s="517"/>
      <c r="AK34" s="219" t="s">
        <v>21054</v>
      </c>
      <c r="AN34" s="219" t="s">
        <v>21055</v>
      </c>
      <c r="AR34" s="219" t="s">
        <v>21056</v>
      </c>
    </row>
    <row r="35" ht="17.1" customHeight="1">
      <c r="C35" s="518" t="s">
        <v>21057</v>
      </c>
      <c r="D35" s="518"/>
      <c r="E35" s="518"/>
      <c r="F35" s="518"/>
      <c r="G35" s="518"/>
      <c r="H35" s="263" t="s">
        <v>21058</v>
      </c>
      <c r="I35" s="520" t="s">
        <v>21059</v>
      </c>
      <c r="J35" s="520"/>
      <c r="K35" s="520"/>
      <c r="L35" s="520"/>
      <c r="M35" s="520"/>
      <c r="N35" s="520"/>
      <c r="O35" s="264"/>
      <c r="P35" s="264"/>
      <c r="Q35" s="260"/>
      <c r="R35" s="260"/>
      <c r="S35" s="260"/>
      <c r="T35" s="517" t="str">
        <f>IF(AI41=0,AN35,IF(AI41=1,"",AR35))</f>
        <v>PHÓ GIÁM ĐỐC</v>
      </c>
      <c r="U35" s="517"/>
      <c r="V35" s="517"/>
      <c r="W35" s="517"/>
      <c r="X35" s="517"/>
      <c r="Y35" s="517"/>
      <c r="Z35" s="517"/>
      <c r="AA35" s="517"/>
      <c r="AB35" s="517"/>
      <c r="AC35" s="517"/>
      <c r="AD35" s="517"/>
      <c r="AE35" s="517"/>
      <c r="AN35" s="219" t="s">
        <v>21060</v>
      </c>
      <c r="AR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IF(AI41=0,AO41,IF(AI41=1,AK41,AS41))</f>
        <v>Trần Công Khanh</v>
      </c>
      <c r="U41" s="516"/>
      <c r="V41" s="516"/>
      <c r="W41" s="516"/>
      <c r="X41" s="516"/>
      <c r="Y41" s="516"/>
      <c r="Z41" s="516"/>
      <c r="AA41" s="516"/>
      <c r="AB41" s="516"/>
      <c r="AC41" s="516"/>
      <c r="AD41" s="516"/>
      <c r="AE41" s="516"/>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c r="AE43" s="289"/>
    </row>
    <row r="44" ht="16.5" customHeight="1">
      <c r="A44" s="236"/>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c r="AE44" s="289"/>
    </row>
    <row r="45" ht="16.5" customHeight="1">
      <c r="A45" s="236"/>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c r="AE45" s="288"/>
    </row>
    <row r="46" ht="16.5" customHeight="1">
      <c r="A46" s="236"/>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288"/>
    </row>
    <row r="47" ht="16.5" customHeight="1">
      <c r="A47" s="236"/>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288"/>
    </row>
    <row r="48" ht="16.5" customHeight="1">
      <c r="A48" s="236"/>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13" t="str">
        <f>AG49</f>
        <v>CÔNG TY CỔ PHẦN VIỄN THÔNG DI ĐỘNG TOÀN CẦU</v>
      </c>
      <c r="C49" s="513"/>
      <c r="D49" s="513"/>
      <c r="E49" s="513"/>
      <c r="F49" s="513"/>
      <c r="G49" s="513"/>
      <c r="H49" s="514" t="str">
        <f>AI49</f>
        <v>TB1</v>
      </c>
      <c r="I49" s="514"/>
      <c r="J49" s="514"/>
      <c r="K49" s="514"/>
      <c r="L49" s="515">
        <v>2</v>
      </c>
      <c r="M49" s="515"/>
      <c r="N49" s="556" t="str">
        <f>AL49</f>
        <v>4/4/4</v>
      </c>
      <c r="O49" s="556"/>
      <c r="P49" s="55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c r="AE50" s="288"/>
    </row>
    <row r="51" ht="18.75" customHeight="1">
      <c r="A51" s="236"/>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c r="AE51" s="288"/>
    </row>
    <row r="52" ht="18.75" customHeight="1">
      <c r="A52" s="236"/>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c r="AE52" s="288"/>
    </row>
    <row r="53" ht="18.75" customHeight="1">
      <c r="A53" s="236"/>
      <c r="B53" s="513" t="str">
        <f>AG53</f>
        <v>CÔNG TY CỔ PHẦN VIỄN THÔNG DI ĐỘNG TOÀN CẦU</v>
      </c>
      <c r="C53" s="513"/>
      <c r="D53" s="513"/>
      <c r="E53" s="513"/>
      <c r="F53" s="513"/>
      <c r="G53" s="513"/>
      <c r="H53" s="514" t="str">
        <f>AI53</f>
        <v>TB1</v>
      </c>
      <c r="I53" s="514"/>
      <c r="J53" s="514"/>
      <c r="K53" s="514"/>
      <c r="L53" s="515">
        <v>4</v>
      </c>
      <c r="M53" s="515"/>
      <c r="N53" s="556" t="str">
        <f>AL53</f>
        <v>4/4/4</v>
      </c>
      <c r="O53" s="556"/>
      <c r="P53" s="556"/>
      <c r="Q53" s="513" t="str">
        <f>IF(L53=4,AO53&amp;"W/ "&amp;AP53&amp;"W/ "&amp;AQ53&amp;"W/ "&amp;AR53&amp;"W",IF(L53=3,AO53&amp;"W/ "&amp;AP53&amp;"W/ "&amp;AQ53&amp;"W",IF(L53=2,AO53&amp;"W/ "&amp;AP53&amp;"W",AO53&amp;"W")))</f>
        <v>20W/ 30W/ 40W/ 50W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E54" s="288"/>
      <c r="AG54" s="248"/>
      <c r="AI54" s="248"/>
      <c r="AJ54" s="248"/>
      <c r="AL54" s="258"/>
    </row>
    <row r="55" ht="18.75" customHeight="1">
      <c r="A55" s="236"/>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c r="AE55" s="288"/>
    </row>
    <row r="56" ht="18.75" customHeight="1">
      <c r="A56" s="236"/>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c r="AE56" s="288"/>
    </row>
    <row r="57" ht="18.75" customHeight="1">
      <c r="A57" s="236"/>
      <c r="B57" s="513" t="str">
        <f>AG57</f>
        <v>CÔNG TY CỔ PHẦN VIỄN THÔNG DI ĐỘNG TOÀN CẦU</v>
      </c>
      <c r="C57" s="513"/>
      <c r="D57" s="513"/>
      <c r="E57" s="513"/>
      <c r="F57" s="513"/>
      <c r="G57" s="513"/>
      <c r="H57" s="514" t="str">
        <f>AI57</f>
        <v>TB1</v>
      </c>
      <c r="I57" s="514"/>
      <c r="J57" s="514"/>
      <c r="K57" s="514"/>
      <c r="L57" s="515">
        <v>3</v>
      </c>
      <c r="M57" s="515"/>
      <c r="N57" s="556" t="str">
        <f>AL57</f>
        <v>4/4/4</v>
      </c>
      <c r="O57" s="556"/>
      <c r="P57" s="55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E58" s="288"/>
      <c r="AG58" s="248"/>
      <c r="AI58" s="248"/>
      <c r="AJ58" s="248"/>
      <c r="AL58" s="258"/>
    </row>
    <row r="59" ht="18.75" customHeight="1">
      <c r="A59" s="236"/>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c r="AE59" s="288"/>
    </row>
    <row r="60" ht="18.75" customHeight="1">
      <c r="A60" s="236"/>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c r="AE60" s="288"/>
    </row>
    <row r="61" ht="18.75" customHeight="1">
      <c r="A61" s="236"/>
      <c r="B61" s="513" t="str">
        <f>AG61</f>
        <v>CÔNG TY CỔ PHẦN VIỄN THÔNG DI ĐỘNG TOÀN CẦU</v>
      </c>
      <c r="C61" s="513"/>
      <c r="D61" s="513"/>
      <c r="E61" s="513"/>
      <c r="F61" s="513"/>
      <c r="G61" s="513"/>
      <c r="H61" s="514" t="str">
        <f>AI61</f>
        <v>TB1</v>
      </c>
      <c r="I61" s="514"/>
      <c r="J61" s="514"/>
      <c r="K61" s="514"/>
      <c r="L61" s="515">
        <v>2</v>
      </c>
      <c r="M61" s="515"/>
      <c r="N61" s="556" t="str">
        <f>AL61</f>
        <v>4/4/4</v>
      </c>
      <c r="O61" s="556"/>
      <c r="P61" s="55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E62" s="288"/>
      <c r="AG62" s="248"/>
      <c r="AI62" s="248"/>
      <c r="AJ62" s="248"/>
      <c r="AL62" s="258"/>
    </row>
    <row r="63" ht="18.75" customHeight="1">
      <c r="A63" s="236"/>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c r="AE63" s="288"/>
    </row>
    <row r="64" ht="18.75" customHeight="1">
      <c r="A64" s="236"/>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c r="AE64" s="288"/>
    </row>
    <row r="65" ht="18.75" customHeight="1">
      <c r="A65" s="236"/>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c r="AE66" s="288"/>
      <c r="AG66" s="248"/>
      <c r="AI66" s="248"/>
      <c r="AJ66" s="248"/>
      <c r="AL66" s="258"/>
    </row>
    <row r="67" ht="18.75" customHeight="1">
      <c r="A67" s="236"/>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c r="AE67" s="288"/>
    </row>
    <row r="68" ht="18.75" customHeight="1">
      <c r="A68" s="236"/>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5" t="s">
        <v>21018</v>
      </c>
      <c r="C1" s="535"/>
      <c r="D1" s="535"/>
      <c r="E1" s="535"/>
      <c r="F1" s="535"/>
      <c r="G1" s="535"/>
      <c r="H1" s="535"/>
      <c r="I1" s="535"/>
      <c r="J1" s="535"/>
      <c r="K1" s="535"/>
      <c r="L1" s="535"/>
      <c r="M1" s="535"/>
      <c r="N1" s="247"/>
      <c r="O1" s="247"/>
      <c r="P1" s="516" t="s">
        <v>21019</v>
      </c>
      <c r="Q1" s="516"/>
      <c r="R1" s="516"/>
      <c r="S1" s="516"/>
      <c r="T1" s="516"/>
      <c r="U1" s="516"/>
      <c r="V1" s="516"/>
      <c r="W1" s="516"/>
      <c r="X1" s="516"/>
      <c r="Y1" s="516"/>
      <c r="Z1" s="516"/>
      <c r="AA1" s="516"/>
      <c r="AB1" s="516"/>
      <c r="AC1" s="516"/>
      <c r="AD1" s="516"/>
      <c r="AE1" s="234"/>
    </row>
    <row r="2" ht="19.7" customHeight="1">
      <c r="C2" s="535" t="s">
        <v>21020</v>
      </c>
      <c r="D2" s="535"/>
      <c r="E2" s="535"/>
      <c r="F2" s="535"/>
      <c r="G2" s="535"/>
      <c r="H2" s="535"/>
      <c r="I2" s="535"/>
      <c r="J2" s="535"/>
      <c r="K2" s="535"/>
      <c r="L2" s="535"/>
      <c r="M2" s="247"/>
      <c r="N2" s="270"/>
      <c r="O2" s="247"/>
      <c r="P2" s="535" t="s">
        <v>21021</v>
      </c>
      <c r="Q2" s="535"/>
      <c r="R2" s="535"/>
      <c r="S2" s="535"/>
      <c r="T2" s="535"/>
      <c r="U2" s="535"/>
      <c r="V2" s="535"/>
      <c r="W2" s="535"/>
      <c r="X2" s="535"/>
      <c r="Y2" s="535"/>
      <c r="Z2" s="535"/>
      <c r="AA2" s="535"/>
      <c r="AB2" s="535"/>
      <c r="AC2" s="535"/>
      <c r="AD2" s="535"/>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9" t="s">
        <v>21023</v>
      </c>
      <c r="D15" s="530"/>
      <c r="E15" s="530"/>
      <c r="F15" s="530"/>
      <c r="G15" s="530"/>
      <c r="H15" s="530"/>
      <c r="I15" s="530"/>
      <c r="J15" s="530"/>
      <c r="K15" s="530"/>
      <c r="L15" s="530"/>
      <c r="M15" s="530"/>
      <c r="N15" s="530"/>
      <c r="O15" s="530"/>
      <c r="P15" s="530"/>
      <c r="Q15" s="530"/>
      <c r="R15" s="530"/>
      <c r="S15" s="530"/>
      <c r="T15" s="530"/>
      <c r="U15" s="530"/>
      <c r="V15" s="530"/>
      <c r="W15" s="530"/>
      <c r="X15" s="530"/>
      <c r="Y15" s="530"/>
      <c r="Z15" s="530"/>
      <c r="AA15" s="530"/>
      <c r="AB15" s="530"/>
      <c r="AC15" s="530"/>
      <c r="AD15" s="531"/>
      <c r="AE15" s="252"/>
      <c r="AG15" s="253">
        <v>1</v>
      </c>
      <c r="AH15" s="253"/>
      <c r="AI15" s="253"/>
      <c r="AJ15" s="253"/>
      <c r="AK15" s="253">
        <v>2</v>
      </c>
      <c r="AL15" s="253"/>
      <c r="AM15" s="253"/>
      <c r="AN15" s="253"/>
      <c r="AO15" s="253">
        <v>3</v>
      </c>
      <c r="AS15" s="219">
        <v>4</v>
      </c>
    </row>
    <row r="16" ht="38.25" customHeight="1">
      <c r="C16" s="559" t="s">
        <v>21027</v>
      </c>
      <c r="D16" s="560"/>
      <c r="E16" s="560"/>
      <c r="F16" s="560"/>
      <c r="G16" s="560"/>
      <c r="H16" s="560"/>
      <c r="I16" s="560"/>
      <c r="J16" s="560"/>
      <c r="K16" s="560"/>
      <c r="L16" s="561"/>
      <c r="M16" s="539" t="str">
        <f>AG16</f>
        <v>Ấp Bàu Trâu, xã Phước Thạnh, huyện Củ Chi, thành phố Hồ Chí Minh.</v>
      </c>
      <c r="N16" s="540"/>
      <c r="O16" s="540"/>
      <c r="P16" s="540"/>
      <c r="Q16" s="540"/>
      <c r="R16" s="540"/>
      <c r="S16" s="540"/>
      <c r="T16" s="540"/>
      <c r="U16" s="540"/>
      <c r="V16" s="540"/>
      <c r="W16" s="540"/>
      <c r="X16" s="540"/>
      <c r="Y16" s="540"/>
      <c r="Z16" s="540"/>
      <c r="AA16" s="540"/>
      <c r="AB16" s="540"/>
      <c r="AC16" s="540"/>
      <c r="AD16" s="541"/>
      <c r="AE16" s="252"/>
      <c r="AG16" s="273" t="s">
        <v>21028</v>
      </c>
    </row>
    <row r="17" ht="21" customHeight="1">
      <c r="C17" s="536" t="s">
        <v>21029</v>
      </c>
      <c r="D17" s="537"/>
      <c r="E17" s="537"/>
      <c r="F17" s="537"/>
      <c r="G17" s="537"/>
      <c r="H17" s="537"/>
      <c r="I17" s="537"/>
      <c r="J17" s="537"/>
      <c r="K17" s="537"/>
      <c r="L17" s="538"/>
      <c r="M17" s="529" t="str">
        <f>IF(AG17="","",AG17)</f>
      </c>
      <c r="N17" s="530"/>
      <c r="O17" s="530"/>
      <c r="P17" s="530"/>
      <c r="Q17" s="530"/>
      <c r="R17" s="530"/>
      <c r="S17" s="530"/>
      <c r="T17" s="530"/>
      <c r="U17" s="530"/>
      <c r="V17" s="530"/>
      <c r="W17" s="530"/>
      <c r="X17" s="530"/>
      <c r="Y17" s="530"/>
      <c r="Z17" s="530"/>
      <c r="AA17" s="530"/>
      <c r="AB17" s="530"/>
      <c r="AC17" s="530"/>
      <c r="AD17" s="531"/>
      <c r="AE17" s="252"/>
    </row>
    <row r="18" ht="33.95" customHeight="1">
      <c r="C18" s="532" t="s">
        <v>21030</v>
      </c>
      <c r="D18" s="533"/>
      <c r="E18" s="533"/>
      <c r="F18" s="533"/>
      <c r="G18" s="533"/>
      <c r="H18" s="533"/>
      <c r="I18" s="533"/>
      <c r="J18" s="533"/>
      <c r="K18" s="533"/>
      <c r="L18" s="534"/>
      <c r="M18" s="525" t="str">
        <f>AG18</f>
        <v>CÔNG TY CỔ PHẦN VIỄN THÔNG DI ĐỘNG TOÀN CẦU</v>
      </c>
      <c r="N18" s="526"/>
      <c r="O18" s="526"/>
      <c r="P18" s="526"/>
      <c r="Q18" s="526"/>
      <c r="R18" s="526"/>
      <c r="S18" s="526"/>
      <c r="T18" s="526"/>
      <c r="U18" s="526"/>
      <c r="V18" s="526"/>
      <c r="W18" s="526"/>
      <c r="X18" s="526"/>
      <c r="Y18" s="526"/>
      <c r="Z18" s="526"/>
      <c r="AA18" s="526"/>
      <c r="AB18" s="526"/>
      <c r="AC18" s="526"/>
      <c r="AD18" s="527"/>
      <c r="AE18" s="252"/>
      <c r="AG18" s="248" t="s">
        <v>21031</v>
      </c>
    </row>
    <row r="19" ht="33.95" customHeight="1">
      <c r="C19" s="532" t="s">
        <v>21032</v>
      </c>
      <c r="D19" s="533"/>
      <c r="E19" s="533"/>
      <c r="F19" s="533"/>
      <c r="G19" s="533"/>
      <c r="H19" s="533"/>
      <c r="I19" s="533"/>
      <c r="J19" s="533"/>
      <c r="K19" s="533"/>
      <c r="L19" s="534"/>
      <c r="M19" s="525" t="str">
        <f>AG19</f>
        <v>CÔNG TY CỔ PHẦN VIỄN THÔNG DI ĐỘNG TOÀN CẦU</v>
      </c>
      <c r="N19" s="526"/>
      <c r="O19" s="526"/>
      <c r="P19" s="526"/>
      <c r="Q19" s="526"/>
      <c r="R19" s="526"/>
      <c r="S19" s="526"/>
      <c r="T19" s="526"/>
      <c r="U19" s="526"/>
      <c r="V19" s="526"/>
      <c r="W19" s="526"/>
      <c r="X19" s="526"/>
      <c r="Y19" s="526"/>
      <c r="Z19" s="526"/>
      <c r="AA19" s="526"/>
      <c r="AB19" s="526"/>
      <c r="AC19" s="526"/>
      <c r="AD19" s="527"/>
      <c r="AE19" s="255"/>
      <c r="AG19" s="248" t="s">
        <v>21031</v>
      </c>
    </row>
    <row r="20" ht="21" customHeight="1">
      <c r="C20" s="548" t="s">
        <v>21033</v>
      </c>
      <c r="D20" s="549"/>
      <c r="E20" s="549"/>
      <c r="F20" s="549"/>
      <c r="G20" s="549"/>
      <c r="H20" s="549"/>
      <c r="I20" s="549"/>
      <c r="J20" s="549"/>
      <c r="K20" s="549"/>
      <c r="L20" s="549"/>
      <c r="M20" s="549"/>
      <c r="N20" s="549"/>
      <c r="O20" s="549"/>
      <c r="P20" s="549"/>
      <c r="Q20" s="549"/>
      <c r="R20" s="549"/>
      <c r="S20" s="549"/>
      <c r="T20" s="549"/>
      <c r="U20" s="549"/>
      <c r="V20" s="549"/>
      <c r="W20" s="549"/>
      <c r="X20" s="549"/>
      <c r="Y20" s="549"/>
      <c r="Z20" s="549"/>
      <c r="AA20" s="549"/>
      <c r="AB20" s="549"/>
      <c r="AC20" s="549"/>
      <c r="AD20" s="550"/>
      <c r="AE20" s="256"/>
    </row>
    <row r="21" ht="33.95" customHeight="1">
      <c r="C21" s="542" t="s">
        <v>21034</v>
      </c>
      <c r="D21" s="542"/>
      <c r="E21" s="542"/>
      <c r="F21" s="542"/>
      <c r="G21" s="542"/>
      <c r="H21" s="542"/>
      <c r="I21" s="542"/>
      <c r="J21" s="542"/>
      <c r="K21" s="542"/>
      <c r="L21" s="542"/>
      <c r="M21" s="562" t="str">
        <f>AG21</f>
        <v>MOTOROLA HORIZON II MACRO</v>
      </c>
      <c r="N21" s="562"/>
      <c r="O21" s="562"/>
      <c r="P21" s="562"/>
      <c r="Q21" s="562"/>
      <c r="R21" s="562"/>
      <c r="S21" s="562"/>
      <c r="T21" s="562"/>
      <c r="U21" s="562"/>
      <c r="V21" s="562" t="str">
        <f>AK21</f>
        <v>MOTOROLA HORIZON II MACRO</v>
      </c>
      <c r="W21" s="562"/>
      <c r="X21" s="562"/>
      <c r="Y21" s="562"/>
      <c r="Z21" s="562"/>
      <c r="AA21" s="562"/>
      <c r="AB21" s="562"/>
      <c r="AC21" s="562"/>
      <c r="AD21" s="562"/>
      <c r="AE21" s="252"/>
      <c r="AG21" s="248" t="s">
        <v>21283</v>
      </c>
      <c r="AK21" s="248" t="s">
        <v>21283</v>
      </c>
      <c r="AO21" s="248" t="s">
        <v>21037</v>
      </c>
      <c r="AS21" s="248" t="s">
        <v>21038</v>
      </c>
    </row>
    <row r="22" ht="19.7" customHeight="1">
      <c r="C22" s="551" t="s">
        <v>21039</v>
      </c>
      <c r="D22" s="552"/>
      <c r="E22" s="552"/>
      <c r="F22" s="552"/>
      <c r="G22" s="552"/>
      <c r="H22" s="552"/>
      <c r="I22" s="552"/>
      <c r="J22" s="552"/>
      <c r="K22" s="552"/>
      <c r="L22" s="553"/>
      <c r="M22" s="525">
        <f>AG22</f>
        <v>3</v>
      </c>
      <c r="N22" s="526"/>
      <c r="O22" s="526"/>
      <c r="P22" s="526"/>
      <c r="Q22" s="526"/>
      <c r="R22" s="526"/>
      <c r="S22" s="526"/>
      <c r="T22" s="526"/>
      <c r="U22" s="527"/>
      <c r="V22" s="525">
        <f>AK22</f>
        <v>3</v>
      </c>
      <c r="W22" s="526"/>
      <c r="X22" s="526"/>
      <c r="Y22" s="526"/>
      <c r="Z22" s="526"/>
      <c r="AA22" s="526"/>
      <c r="AB22" s="526"/>
      <c r="AC22" s="526"/>
      <c r="AD22" s="527"/>
      <c r="AE22" s="252"/>
      <c r="AG22" s="253">
        <v>3</v>
      </c>
      <c r="AH22" s="253"/>
      <c r="AI22" s="253"/>
      <c r="AJ22" s="253"/>
      <c r="AK22" s="253">
        <v>3</v>
      </c>
      <c r="AL22" s="253"/>
      <c r="AM22" s="253"/>
      <c r="AN22" s="253"/>
      <c r="AO22" s="253">
        <v>3</v>
      </c>
      <c r="AS22" s="219">
        <v>1</v>
      </c>
    </row>
    <row r="23" ht="19.7" customHeight="1">
      <c r="C23" s="542" t="s">
        <v>21040</v>
      </c>
      <c r="D23" s="542"/>
      <c r="E23" s="542"/>
      <c r="F23" s="542"/>
      <c r="G23" s="542"/>
      <c r="H23" s="542"/>
      <c r="I23" s="542"/>
      <c r="J23" s="542"/>
      <c r="K23" s="542"/>
      <c r="L23" s="542"/>
      <c r="M23" s="563" t="str">
        <f>AG23</f>
        <v>4/4/4</v>
      </c>
      <c r="N23" s="562"/>
      <c r="O23" s="562"/>
      <c r="P23" s="562"/>
      <c r="Q23" s="562"/>
      <c r="R23" s="562"/>
      <c r="S23" s="562"/>
      <c r="T23" s="562"/>
      <c r="U23" s="562"/>
      <c r="V23" s="546" t="str">
        <f>AK23</f>
        <v>2/2/2</v>
      </c>
      <c r="W23" s="526"/>
      <c r="X23" s="526"/>
      <c r="Y23" s="526"/>
      <c r="Z23" s="526"/>
      <c r="AA23" s="526"/>
      <c r="AB23" s="526"/>
      <c r="AC23" s="526"/>
      <c r="AD23" s="527"/>
      <c r="AE23" s="257"/>
      <c r="AG23" s="258" t="s">
        <v>21041</v>
      </c>
      <c r="AH23" s="259"/>
      <c r="AI23" s="259"/>
      <c r="AJ23" s="259"/>
      <c r="AK23" s="258" t="s">
        <v>21042</v>
      </c>
      <c r="AL23" s="259"/>
      <c r="AM23" s="259"/>
      <c r="AN23" s="259"/>
      <c r="AO23" s="258" t="s">
        <v>21043</v>
      </c>
      <c r="AP23" s="259"/>
      <c r="AQ23" s="259"/>
      <c r="AR23" s="259"/>
      <c r="AS23" s="258" t="s">
        <v>21044</v>
      </c>
    </row>
    <row r="24" ht="18.75" customHeight="1">
      <c r="C24" s="551" t="s">
        <v>21045</v>
      </c>
      <c r="D24" s="552"/>
      <c r="E24" s="552"/>
      <c r="F24" s="552"/>
      <c r="G24" s="552"/>
      <c r="H24" s="552"/>
      <c r="I24" s="552"/>
      <c r="J24" s="552"/>
      <c r="K24" s="552"/>
      <c r="L24" s="553"/>
      <c r="M24" s="525" t="str">
        <f>IF(M22=4,AG24&amp;"W/ "&amp;AH24&amp;"W/ "&amp;AI24&amp;"W/ "&amp;AJ24&amp;"W",IF(M22=3,AG24&amp;"W/ "&amp;AH24&amp;"W/ "&amp;AI24&amp;"W",IF(M22=2,AG24&amp;"W/ "&amp;AH24&amp;"W",AG24&amp;"W")))</f>
        <v>100,45W/ 100,45W/ 100,45W</v>
      </c>
      <c r="N24" s="526"/>
      <c r="O24" s="526"/>
      <c r="P24" s="526"/>
      <c r="Q24" s="526"/>
      <c r="R24" s="526"/>
      <c r="S24" s="526"/>
      <c r="T24" s="526"/>
      <c r="U24" s="527"/>
      <c r="V24" s="525" t="str">
        <f>IF(V22=4,AK24&amp;"W/ "&amp;AL24&amp;"W/ "&amp;AM24&amp;"W/ "&amp;AN24&amp;"W",IF(V22=3,AK24&amp;"W/ "&amp;AL24&amp;"W/ "&amp;AM24&amp;"W",IF(V22=2,AK24&amp;"W/"&amp;AL24&amp;"W",AK24&amp;"W")))</f>
        <v>40W/ 40W/ 40W</v>
      </c>
      <c r="W24" s="526"/>
      <c r="X24" s="526"/>
      <c r="Y24" s="526"/>
      <c r="Z24" s="526"/>
      <c r="AA24" s="526"/>
      <c r="AB24" s="526"/>
      <c r="AC24" s="526"/>
      <c r="AD24" s="527"/>
      <c r="AE24" s="255"/>
      <c r="AG24" s="219" t="s">
        <v>21284</v>
      </c>
      <c r="AH24" s="219" t="s">
        <v>21284</v>
      </c>
      <c r="AI24" s="219" t="s">
        <v>21284</v>
      </c>
      <c r="AJ24" s="219" t="s">
        <v>21284</v>
      </c>
      <c r="AK24" s="219">
        <v>40</v>
      </c>
      <c r="AL24" s="219">
        <v>40</v>
      </c>
      <c r="AM24" s="219">
        <v>40</v>
      </c>
      <c r="AN24" s="219">
        <v>40</v>
      </c>
      <c r="AO24" s="219">
        <v>60</v>
      </c>
      <c r="AP24" s="219">
        <v>60</v>
      </c>
      <c r="AQ24" s="219">
        <v>60</v>
      </c>
      <c r="AS24" s="219">
        <v>80</v>
      </c>
      <c r="AT24" s="219">
        <v>80</v>
      </c>
      <c r="AU24" s="219">
        <v>80</v>
      </c>
    </row>
    <row r="25" ht="19.7" customHeight="1">
      <c r="C25" s="542" t="s">
        <v>21046</v>
      </c>
      <c r="D25" s="542"/>
      <c r="E25" s="542"/>
      <c r="F25" s="542"/>
      <c r="G25" s="542"/>
      <c r="H25" s="542"/>
      <c r="I25" s="542"/>
      <c r="J25" s="542"/>
      <c r="K25" s="542"/>
      <c r="L25" s="542"/>
      <c r="M25" s="562" t="str">
        <f>IF(AG25="900 &amp; 1800","900MHz &amp; 1800MHz",IF(AG25="900 &amp; 2100","900MHz &amp; 2100MHz",IF(AG25="1800 &amp; 2100","1800MHz &amp; 2100MHz",AG25&amp;"MHz")))</f>
        <v>1800MHz</v>
      </c>
      <c r="N25" s="562"/>
      <c r="O25" s="562"/>
      <c r="P25" s="562"/>
      <c r="Q25" s="562"/>
      <c r="R25" s="562"/>
      <c r="S25" s="562"/>
      <c r="T25" s="562"/>
      <c r="U25" s="562"/>
      <c r="V25" s="562" t="str">
        <f>IF(AK25="900 &amp; 1800","900MHz &amp; 1800MHz",IF(AK25="900 &amp; 2100","900MHz &amp; 2100MHz",AK25&amp;"MHz"))</f>
        <v>1800MHz</v>
      </c>
      <c r="W25" s="562"/>
      <c r="X25" s="562"/>
      <c r="Y25" s="562"/>
      <c r="Z25" s="562"/>
      <c r="AA25" s="562"/>
      <c r="AB25" s="562"/>
      <c r="AC25" s="562"/>
      <c r="AD25" s="562"/>
      <c r="AE25" s="252"/>
      <c r="AG25" s="219">
        <v>1800</v>
      </c>
      <c r="AK25" s="219">
        <v>1800</v>
      </c>
      <c r="AO25" s="219">
        <v>2100</v>
      </c>
      <c r="AS25" s="248" t="s">
        <v>21285</v>
      </c>
    </row>
    <row r="26" ht="33.95" customHeight="1">
      <c r="C26" s="542" t="s">
        <v>21286</v>
      </c>
      <c r="D26" s="542"/>
      <c r="E26" s="542"/>
      <c r="F26" s="542"/>
      <c r="G26" s="542"/>
      <c r="H26" s="542"/>
      <c r="I26" s="542"/>
      <c r="J26" s="542"/>
      <c r="K26" s="542"/>
      <c r="L26" s="542"/>
      <c r="M26" s="562">
        <f>AG26</f>
        <v>15</v>
      </c>
      <c r="N26" s="562"/>
      <c r="O26" s="562"/>
      <c r="P26" s="562"/>
      <c r="Q26" s="562"/>
      <c r="R26" s="562"/>
      <c r="S26" s="562"/>
      <c r="T26" s="562"/>
      <c r="U26" s="562"/>
      <c r="V26" s="562">
        <f>AK26</f>
        <v>16</v>
      </c>
      <c r="W26" s="562"/>
      <c r="X26" s="562"/>
      <c r="Y26" s="562"/>
      <c r="Z26" s="562"/>
      <c r="AA26" s="562"/>
      <c r="AB26" s="562"/>
      <c r="AC26" s="562"/>
      <c r="AD26" s="562"/>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4.7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4.7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4" t="str">
        <f>IF(AG31=1,AO31,IF(AG31=2,AO30))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IF(AI41=0,AO34,IF(AI41=1,AK34,AS34))</f>
        <v>KT. GIÁM ĐỐC</v>
      </c>
      <c r="U34" s="517"/>
      <c r="V34" s="517"/>
      <c r="W34" s="517"/>
      <c r="X34" s="517"/>
      <c r="Y34" s="517"/>
      <c r="Z34" s="517"/>
      <c r="AA34" s="517"/>
      <c r="AB34" s="517"/>
      <c r="AC34" s="517"/>
      <c r="AD34" s="517"/>
      <c r="AE34" s="517"/>
      <c r="AK34" s="219" t="s">
        <v>21054</v>
      </c>
      <c r="AO34" s="219" t="s">
        <v>21055</v>
      </c>
      <c r="AS34" s="219" t="s">
        <v>21056</v>
      </c>
    </row>
    <row r="35" ht="17.1" customHeight="1">
      <c r="C35" s="518" t="s">
        <v>21057</v>
      </c>
      <c r="D35" s="518"/>
      <c r="E35" s="518"/>
      <c r="F35" s="518"/>
      <c r="G35" s="518"/>
      <c r="H35" s="263" t="s">
        <v>21058</v>
      </c>
      <c r="I35" s="520" t="s">
        <v>21059</v>
      </c>
      <c r="J35" s="520"/>
      <c r="K35" s="520"/>
      <c r="L35" s="520"/>
      <c r="M35" s="520"/>
      <c r="N35" s="520"/>
      <c r="O35" s="264"/>
      <c r="P35" s="264"/>
      <c r="Q35" s="260"/>
      <c r="R35" s="260"/>
      <c r="S35" s="260"/>
      <c r="T35" s="517" t="str">
        <f>IF(AI41=0,AO35,IF(AI41=1,"",AS35))</f>
        <v>PHÓ GIÁM ĐỐC</v>
      </c>
      <c r="U35" s="517"/>
      <c r="V35" s="517"/>
      <c r="W35" s="517"/>
      <c r="X35" s="517"/>
      <c r="Y35" s="517"/>
      <c r="Z35" s="517"/>
      <c r="AA35" s="517"/>
      <c r="AB35" s="517"/>
      <c r="AC35" s="517"/>
      <c r="AD35" s="517"/>
      <c r="AE35" s="517"/>
      <c r="AO35" s="219" t="s">
        <v>21060</v>
      </c>
      <c r="AS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row>
    <row r="45" ht="16.5" customHeight="1">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2</v>
      </c>
      <c r="M49" s="515"/>
      <c r="N49" s="556" t="str">
        <f>AL49</f>
        <v>4/4/4</v>
      </c>
      <c r="O49" s="556"/>
      <c r="P49" s="55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4</v>
      </c>
      <c r="M53" s="515"/>
      <c r="N53" s="556" t="str">
        <f>AL53</f>
        <v>4/4/4</v>
      </c>
      <c r="O53" s="556"/>
      <c r="P53" s="556"/>
      <c r="Q53" s="513" t="str">
        <f>IF(L53=4,AO53&amp;"W/ "&amp;AP53&amp;"W/ "&amp;AQ53&amp;"W/ "&amp;AR53&amp;"W",IF(L53=3,AO53&amp;"W/ "&amp;AP53&amp;"W/ "&amp;AQ53&amp;"W",IF(L53=2,AO53&amp;"W/ "&amp;AP53&amp;"W",AO53&amp;"W")))</f>
        <v>20W/ 30W/ 40W/ 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3</v>
      </c>
      <c r="M57" s="515"/>
      <c r="N57" s="556" t="str">
        <f>AL57</f>
        <v>4/4/4</v>
      </c>
      <c r="O57" s="556"/>
      <c r="P57" s="55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900MHz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2</v>
      </c>
      <c r="M61" s="515"/>
      <c r="N61" s="556" t="str">
        <f>AL61</f>
        <v>4/4/4</v>
      </c>
      <c r="O61" s="556"/>
      <c r="P61" s="55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5" t="s">
        <v>21018</v>
      </c>
      <c r="C1" s="535"/>
      <c r="D1" s="535"/>
      <c r="E1" s="535"/>
      <c r="F1" s="535"/>
      <c r="G1" s="535"/>
      <c r="H1" s="535"/>
      <c r="I1" s="535"/>
      <c r="J1" s="535"/>
      <c r="K1" s="535"/>
      <c r="L1" s="535"/>
      <c r="M1" s="535"/>
      <c r="N1" s="247"/>
      <c r="O1" s="247"/>
      <c r="P1" s="516" t="s">
        <v>21019</v>
      </c>
      <c r="Q1" s="516"/>
      <c r="R1" s="516"/>
      <c r="S1" s="516"/>
      <c r="T1" s="516"/>
      <c r="U1" s="516"/>
      <c r="V1" s="516"/>
      <c r="W1" s="516"/>
      <c r="X1" s="516"/>
      <c r="Y1" s="516"/>
      <c r="Z1" s="516"/>
      <c r="AA1" s="516"/>
      <c r="AB1" s="516"/>
      <c r="AC1" s="516"/>
      <c r="AD1" s="516"/>
      <c r="AE1" s="234"/>
    </row>
    <row r="2" ht="19.7" customHeight="1">
      <c r="C2" s="535" t="s">
        <v>21020</v>
      </c>
      <c r="D2" s="535"/>
      <c r="E2" s="535"/>
      <c r="F2" s="535"/>
      <c r="G2" s="535"/>
      <c r="H2" s="535"/>
      <c r="I2" s="535"/>
      <c r="J2" s="535"/>
      <c r="K2" s="535"/>
      <c r="L2" s="535"/>
      <c r="M2" s="247"/>
      <c r="N2" s="270"/>
      <c r="O2" s="247"/>
      <c r="P2" s="535" t="s">
        <v>21021</v>
      </c>
      <c r="Q2" s="535"/>
      <c r="R2" s="535"/>
      <c r="S2" s="535"/>
      <c r="T2" s="535"/>
      <c r="U2" s="535"/>
      <c r="V2" s="535"/>
      <c r="W2" s="535"/>
      <c r="X2" s="535"/>
      <c r="Y2" s="535"/>
      <c r="Z2" s="535"/>
      <c r="AA2" s="535"/>
      <c r="AB2" s="535"/>
      <c r="AC2" s="535"/>
      <c r="AD2" s="535"/>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7" t="s">
        <v>21023</v>
      </c>
      <c r="D15" s="588"/>
      <c r="E15" s="588"/>
      <c r="F15" s="588"/>
      <c r="G15" s="588"/>
      <c r="H15" s="588"/>
      <c r="I15" s="588"/>
      <c r="J15" s="588"/>
      <c r="K15" s="588"/>
      <c r="L15" s="588"/>
      <c r="M15" s="588"/>
      <c r="N15" s="588"/>
      <c r="O15" s="588"/>
      <c r="P15" s="588"/>
      <c r="Q15" s="588"/>
      <c r="R15" s="588"/>
      <c r="S15" s="588"/>
      <c r="T15" s="588"/>
      <c r="U15" s="588"/>
      <c r="V15" s="588"/>
      <c r="W15" s="588"/>
      <c r="X15" s="588"/>
      <c r="Y15" s="588"/>
      <c r="Z15" s="588"/>
      <c r="AA15" s="588"/>
      <c r="AB15" s="588"/>
      <c r="AC15" s="588"/>
      <c r="AD15" s="589"/>
      <c r="AE15" s="252"/>
      <c r="AG15" s="253">
        <v>1</v>
      </c>
      <c r="AH15" s="253"/>
      <c r="AI15" s="253"/>
      <c r="AJ15" s="253"/>
      <c r="AK15" s="253">
        <v>2</v>
      </c>
      <c r="AL15" s="253"/>
      <c r="AM15" s="253"/>
      <c r="AN15" s="253"/>
      <c r="AO15" s="253">
        <v>3</v>
      </c>
      <c r="AS15" s="219">
        <v>4</v>
      </c>
    </row>
    <row r="16" ht="36" customHeight="1">
      <c r="C16" s="579" t="s">
        <v>21027</v>
      </c>
      <c r="D16" s="580"/>
      <c r="E16" s="580"/>
      <c r="F16" s="580"/>
      <c r="G16" s="580"/>
      <c r="H16" s="580"/>
      <c r="I16" s="580"/>
      <c r="J16" s="580"/>
      <c r="K16" s="580"/>
      <c r="L16" s="581"/>
      <c r="M16" s="582" t="str">
        <f>AG16</f>
        <v>Ấp Bàu Trâu, xã Phước Thạnh, huyện Củ Chi, thành phố Hồ Chí Minh.</v>
      </c>
      <c r="N16" s="583"/>
      <c r="O16" s="583"/>
      <c r="P16" s="583"/>
      <c r="Q16" s="583"/>
      <c r="R16" s="583"/>
      <c r="S16" s="583"/>
      <c r="T16" s="583"/>
      <c r="U16" s="583"/>
      <c r="V16" s="583"/>
      <c r="W16" s="583"/>
      <c r="X16" s="583"/>
      <c r="Y16" s="583"/>
      <c r="Z16" s="583"/>
      <c r="AA16" s="583"/>
      <c r="AB16" s="583"/>
      <c r="AC16" s="583"/>
      <c r="AD16" s="584"/>
      <c r="AE16" s="252"/>
      <c r="AG16" s="564" t="s">
        <v>21028</v>
      </c>
      <c r="AH16" s="564"/>
      <c r="AI16" s="564"/>
      <c r="AJ16" s="564"/>
      <c r="AK16" s="564"/>
      <c r="AL16" s="564"/>
      <c r="AM16" s="564"/>
      <c r="AN16" s="564"/>
      <c r="AO16" s="564"/>
      <c r="AP16" s="564"/>
      <c r="AQ16" s="564"/>
      <c r="AR16" s="564"/>
      <c r="AS16" s="564"/>
      <c r="AT16" s="564"/>
      <c r="AU16" s="564"/>
      <c r="AV16" s="564"/>
      <c r="AW16" s="564"/>
    </row>
    <row r="17" ht="23.25" customHeight="1">
      <c r="C17" s="579" t="s">
        <v>21029</v>
      </c>
      <c r="D17" s="580"/>
      <c r="E17" s="580"/>
      <c r="F17" s="580"/>
      <c r="G17" s="580"/>
      <c r="H17" s="580"/>
      <c r="I17" s="580"/>
      <c r="J17" s="580"/>
      <c r="K17" s="580"/>
      <c r="L17" s="581"/>
      <c r="M17" s="587" t="str">
        <f>IF(AG17="","",AG17)</f>
      </c>
      <c r="N17" s="588"/>
      <c r="O17" s="588"/>
      <c r="P17" s="588"/>
      <c r="Q17" s="588"/>
      <c r="R17" s="588"/>
      <c r="S17" s="588"/>
      <c r="T17" s="588"/>
      <c r="U17" s="588"/>
      <c r="V17" s="588"/>
      <c r="W17" s="588"/>
      <c r="X17" s="588"/>
      <c r="Y17" s="588"/>
      <c r="Z17" s="588"/>
      <c r="AA17" s="588"/>
      <c r="AB17" s="588"/>
      <c r="AC17" s="588"/>
      <c r="AD17" s="589"/>
      <c r="AE17" s="252"/>
    </row>
    <row r="18" ht="31.35" customHeight="1">
      <c r="C18" s="570" t="s">
        <v>21030</v>
      </c>
      <c r="D18" s="571"/>
      <c r="E18" s="571"/>
      <c r="F18" s="571"/>
      <c r="G18" s="571"/>
      <c r="H18" s="571"/>
      <c r="I18" s="571"/>
      <c r="J18" s="571"/>
      <c r="K18" s="571"/>
      <c r="L18" s="572"/>
      <c r="M18" s="573" t="str">
        <f>AG18</f>
        <v>CÔNG TY CỔ PHẦN VIỄN THÔNG DI ĐỘNG TOÀN CẦU
GTEL</v>
      </c>
      <c r="N18" s="574"/>
      <c r="O18" s="574"/>
      <c r="P18" s="574"/>
      <c r="Q18" s="574"/>
      <c r="R18" s="574"/>
      <c r="S18" s="574"/>
      <c r="T18" s="574"/>
      <c r="U18" s="574"/>
      <c r="V18" s="574"/>
      <c r="W18" s="574"/>
      <c r="X18" s="574"/>
      <c r="Y18" s="574"/>
      <c r="Z18" s="574"/>
      <c r="AA18" s="574"/>
      <c r="AB18" s="574"/>
      <c r="AC18" s="574"/>
      <c r="AD18" s="575"/>
      <c r="AE18" s="252"/>
      <c r="AG18" s="274" t="s">
        <v>21291</v>
      </c>
    </row>
    <row r="19" ht="31.35" customHeight="1">
      <c r="C19" s="570" t="s">
        <v>21032</v>
      </c>
      <c r="D19" s="571"/>
      <c r="E19" s="571"/>
      <c r="F19" s="571"/>
      <c r="G19" s="571"/>
      <c r="H19" s="571"/>
      <c r="I19" s="571"/>
      <c r="J19" s="571"/>
      <c r="K19" s="571"/>
      <c r="L19" s="572"/>
      <c r="M19" s="573" t="str">
        <f>AG19</f>
        <v>CÔNG TY CỔ PHẦN VIỄN THÔNG DI ĐỘNG TOÀN CẦU</v>
      </c>
      <c r="N19" s="574"/>
      <c r="O19" s="574"/>
      <c r="P19" s="574"/>
      <c r="Q19" s="574"/>
      <c r="R19" s="574"/>
      <c r="S19" s="574"/>
      <c r="T19" s="574"/>
      <c r="U19" s="574"/>
      <c r="V19" s="574"/>
      <c r="W19" s="574"/>
      <c r="X19" s="574"/>
      <c r="Y19" s="574"/>
      <c r="Z19" s="574"/>
      <c r="AA19" s="574"/>
      <c r="AB19" s="574"/>
      <c r="AC19" s="574"/>
      <c r="AD19" s="575"/>
      <c r="AE19" s="255"/>
      <c r="AG19" s="248" t="s">
        <v>21031</v>
      </c>
    </row>
    <row r="20" ht="20.25" customHeight="1">
      <c r="C20" s="576" t="s">
        <v>21033</v>
      </c>
      <c r="D20" s="577"/>
      <c r="E20" s="577"/>
      <c r="F20" s="577"/>
      <c r="G20" s="577"/>
      <c r="H20" s="577"/>
      <c r="I20" s="577"/>
      <c r="J20" s="577"/>
      <c r="K20" s="577"/>
      <c r="L20" s="577"/>
      <c r="M20" s="577"/>
      <c r="N20" s="577"/>
      <c r="O20" s="577"/>
      <c r="P20" s="577"/>
      <c r="Q20" s="577"/>
      <c r="R20" s="577"/>
      <c r="S20" s="577"/>
      <c r="T20" s="577"/>
      <c r="U20" s="577"/>
      <c r="V20" s="577"/>
      <c r="W20" s="577"/>
      <c r="X20" s="577"/>
      <c r="Y20" s="577"/>
      <c r="Z20" s="577"/>
      <c r="AA20" s="577"/>
      <c r="AB20" s="577"/>
      <c r="AC20" s="577"/>
      <c r="AD20" s="578"/>
      <c r="AE20" s="256"/>
    </row>
    <row r="21" ht="31.5" customHeight="1">
      <c r="C21" s="569" t="s">
        <v>21034</v>
      </c>
      <c r="D21" s="569"/>
      <c r="E21" s="569"/>
      <c r="F21" s="569"/>
      <c r="G21" s="569"/>
      <c r="H21" s="569"/>
      <c r="I21" s="569"/>
      <c r="J21" s="569"/>
      <c r="K21" s="569"/>
      <c r="L21" s="569"/>
      <c r="M21" s="565" t="str">
        <f>AG21</f>
        <v>MOTOROLA HORIZON II MACRO</v>
      </c>
      <c r="N21" s="565"/>
      <c r="O21" s="565"/>
      <c r="P21" s="565"/>
      <c r="Q21" s="565"/>
      <c r="R21" s="565"/>
      <c r="S21" s="565" t="str">
        <f>AK21</f>
        <v>B</v>
      </c>
      <c r="T21" s="565"/>
      <c r="U21" s="565"/>
      <c r="V21" s="565"/>
      <c r="W21" s="565"/>
      <c r="X21" s="565"/>
      <c r="Y21" s="565" t="str">
        <f>AO21</f>
        <v>C</v>
      </c>
      <c r="Z21" s="565"/>
      <c r="AA21" s="565"/>
      <c r="AB21" s="565"/>
      <c r="AC21" s="565"/>
      <c r="AD21" s="565"/>
      <c r="AE21" s="252"/>
      <c r="AG21" s="248" t="s">
        <v>21283</v>
      </c>
      <c r="AK21" s="248" t="s">
        <v>21036</v>
      </c>
      <c r="AO21" s="248" t="s">
        <v>21037</v>
      </c>
      <c r="AS21" s="248" t="s">
        <v>21038</v>
      </c>
    </row>
    <row r="22" ht="19.7" customHeight="1">
      <c r="C22" s="566" t="s">
        <v>21039</v>
      </c>
      <c r="D22" s="567"/>
      <c r="E22" s="567"/>
      <c r="F22" s="567"/>
      <c r="G22" s="567"/>
      <c r="H22" s="567"/>
      <c r="I22" s="567"/>
      <c r="J22" s="567"/>
      <c r="K22" s="567"/>
      <c r="L22" s="568"/>
      <c r="M22" s="565">
        <f>AG22</f>
        <v>3</v>
      </c>
      <c r="N22" s="565"/>
      <c r="O22" s="565"/>
      <c r="P22" s="565"/>
      <c r="Q22" s="565"/>
      <c r="R22" s="565"/>
      <c r="S22" s="565">
        <f>AK22</f>
        <v>3</v>
      </c>
      <c r="T22" s="565"/>
      <c r="U22" s="565"/>
      <c r="V22" s="565"/>
      <c r="W22" s="565"/>
      <c r="X22" s="565"/>
      <c r="Y22" s="565">
        <f>AO22</f>
        <v>3</v>
      </c>
      <c r="Z22" s="565"/>
      <c r="AA22" s="565"/>
      <c r="AB22" s="565"/>
      <c r="AC22" s="565"/>
      <c r="AD22" s="565"/>
      <c r="AE22" s="252"/>
      <c r="AG22" s="253">
        <v>3</v>
      </c>
      <c r="AH22" s="253"/>
      <c r="AI22" s="253"/>
      <c r="AJ22" s="253"/>
      <c r="AK22" s="253">
        <v>3</v>
      </c>
      <c r="AL22" s="253"/>
      <c r="AM22" s="253"/>
      <c r="AN22" s="253"/>
      <c r="AO22" s="253">
        <v>3</v>
      </c>
      <c r="AS22" s="219">
        <v>1</v>
      </c>
    </row>
    <row r="23" ht="19.7" customHeight="1">
      <c r="C23" s="569" t="s">
        <v>21040</v>
      </c>
      <c r="D23" s="569"/>
      <c r="E23" s="569"/>
      <c r="F23" s="569"/>
      <c r="G23" s="569"/>
      <c r="H23" s="569"/>
      <c r="I23" s="569"/>
      <c r="J23" s="569"/>
      <c r="K23" s="569"/>
      <c r="L23" s="569"/>
      <c r="M23" s="585" t="str">
        <f>AG23</f>
        <v>4/4/4</v>
      </c>
      <c r="N23" s="585"/>
      <c r="O23" s="585"/>
      <c r="P23" s="585"/>
      <c r="Q23" s="585"/>
      <c r="R23" s="585"/>
      <c r="S23" s="585" t="str">
        <f>AK23</f>
        <v>2/2/2</v>
      </c>
      <c r="T23" s="585"/>
      <c r="U23" s="585"/>
      <c r="V23" s="585"/>
      <c r="W23" s="585"/>
      <c r="X23" s="585"/>
      <c r="Y23" s="585" t="str">
        <f>AO23</f>
        <v>5/5/5</v>
      </c>
      <c r="Z23" s="565"/>
      <c r="AA23" s="565"/>
      <c r="AB23" s="565"/>
      <c r="AC23" s="565"/>
      <c r="AD23" s="565"/>
      <c r="AE23" s="257"/>
      <c r="AG23" s="258" t="s">
        <v>21041</v>
      </c>
      <c r="AH23" s="259"/>
      <c r="AI23" s="259"/>
      <c r="AJ23" s="259"/>
      <c r="AK23" s="258" t="s">
        <v>21042</v>
      </c>
      <c r="AL23" s="259"/>
      <c r="AM23" s="259"/>
      <c r="AN23" s="259"/>
      <c r="AO23" s="258" t="s">
        <v>21043</v>
      </c>
      <c r="AP23" s="259"/>
      <c r="AQ23" s="259"/>
      <c r="AR23" s="259"/>
      <c r="AS23" s="258" t="s">
        <v>21044</v>
      </c>
    </row>
    <row r="24" ht="31.35" customHeight="1">
      <c r="C24" s="566" t="s">
        <v>21045</v>
      </c>
      <c r="D24" s="567"/>
      <c r="E24" s="567"/>
      <c r="F24" s="567"/>
      <c r="G24" s="567"/>
      <c r="H24" s="567"/>
      <c r="I24" s="567"/>
      <c r="J24" s="567"/>
      <c r="K24" s="567"/>
      <c r="L24" s="568"/>
      <c r="M24" s="586" t="str">
        <f>IF(M22=4,AG24&amp;"W/ "&amp;AH24&amp;"W/ "&amp;AI24&amp;"W/ "&amp;AK24&amp;"W",IF(M22=3,AG24&amp;"W/ "&amp;AH24&amp;"W/ "&amp;AI24&amp;"W",IF(M22=2,AG24&amp;"W/ "&amp;AH24&amp;"W",AG24&amp;"W")))</f>
        <v>20W/ 20W/ 20W</v>
      </c>
      <c r="N24" s="586"/>
      <c r="O24" s="586"/>
      <c r="P24" s="586"/>
      <c r="Q24" s="586"/>
      <c r="R24" s="586"/>
      <c r="S24" s="586" t="str">
        <f>IF(S22=4,AK24&amp;"W/ "&amp;AL24&amp;"W/ "&amp;AM24&amp;"W/ "&amp;AN24&amp;"W",IF(S22=3,AK24&amp;"W/ "&amp;AL24&amp;"W/ "&amp;AM24&amp;"W",IF(S22=2,AK24&amp;"W/ "&amp;AL24&amp;"W",AK24&amp;"W")))</f>
        <v>40W/ 40W/ 40W</v>
      </c>
      <c r="T24" s="586"/>
      <c r="U24" s="586"/>
      <c r="V24" s="586"/>
      <c r="W24" s="586"/>
      <c r="X24" s="586"/>
      <c r="Y24" s="586" t="str">
        <f>IF(Y22=4,AO24&amp;"W/ "&amp;AP24&amp;"W/ "&amp;AQ24&amp;"W/ "&amp;AR24&amp;"W",IF(Y22=3,AO24&amp;"W/ "&amp;AP24&amp;"W/ "&amp;AQ24&amp;"W",IF(Y22=2,AO24&amp;"W/ "&amp;AP24&amp;"W",AO24&amp;"W")))</f>
        <v>60W/ 60W/ 60W</v>
      </c>
      <c r="Z24" s="586"/>
      <c r="AA24" s="586"/>
      <c r="AB24" s="586"/>
      <c r="AC24" s="586"/>
      <c r="AD24" s="586"/>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9" t="s">
        <v>21046</v>
      </c>
      <c r="D25" s="569"/>
      <c r="E25" s="569"/>
      <c r="F25" s="569"/>
      <c r="G25" s="569"/>
      <c r="H25" s="569"/>
      <c r="I25" s="569"/>
      <c r="J25" s="569"/>
      <c r="K25" s="569"/>
      <c r="L25" s="569"/>
      <c r="M25" s="565" t="str">
        <f>IF(AG25="900 &amp; 1800","900MHz &amp; 1800MHz",IF(AG25="900 &amp; 2100","900MHz &amp; 2100MHz",AG25&amp;"MHz"))</f>
        <v>900MHz</v>
      </c>
      <c r="N25" s="565"/>
      <c r="O25" s="565"/>
      <c r="P25" s="565"/>
      <c r="Q25" s="565"/>
      <c r="R25" s="565"/>
      <c r="S25" s="565" t="str">
        <f>IF(AK25="900 &amp; 1800","900MHz &amp; 1800MHz",IF(AK25="900 &amp; 2100","900MHz &amp; 2100MHz",AK25&amp;"MHz"))</f>
        <v>1800MHz</v>
      </c>
      <c r="T25" s="565"/>
      <c r="U25" s="565"/>
      <c r="V25" s="565"/>
      <c r="W25" s="565"/>
      <c r="X25" s="565"/>
      <c r="Y25" s="565" t="str">
        <f>IF(AO25="900 &amp; 1800","900MHz &amp; 1800MHz",IF(AO25="900 &amp; 2100","900MHz &amp; 2100MHz",AO25&amp;"MHz"))</f>
        <v>2100MHz</v>
      </c>
      <c r="Z25" s="565"/>
      <c r="AA25" s="565"/>
      <c r="AB25" s="565"/>
      <c r="AC25" s="565"/>
      <c r="AD25" s="565"/>
      <c r="AE25" s="252"/>
      <c r="AG25" s="219">
        <v>900</v>
      </c>
      <c r="AK25" s="219">
        <v>1800</v>
      </c>
      <c r="AO25" s="219">
        <v>2100</v>
      </c>
      <c r="AS25" s="248" t="s">
        <v>21285</v>
      </c>
    </row>
    <row r="26" ht="31.35" customHeight="1">
      <c r="C26" s="569" t="s">
        <v>21292</v>
      </c>
      <c r="D26" s="569"/>
      <c r="E26" s="569"/>
      <c r="F26" s="569"/>
      <c r="G26" s="569"/>
      <c r="H26" s="569"/>
      <c r="I26" s="569"/>
      <c r="J26" s="569"/>
      <c r="K26" s="569"/>
      <c r="L26" s="569"/>
      <c r="M26" s="565">
        <f>AG26</f>
        <v>15</v>
      </c>
      <c r="N26" s="565"/>
      <c r="O26" s="565"/>
      <c r="P26" s="565"/>
      <c r="Q26" s="565"/>
      <c r="R26" s="565"/>
      <c r="S26" s="565">
        <f>AK26</f>
        <v>16</v>
      </c>
      <c r="T26" s="565"/>
      <c r="U26" s="565"/>
      <c r="V26" s="565"/>
      <c r="W26" s="565"/>
      <c r="X26" s="565"/>
      <c r="Y26" s="565">
        <f>AO26</f>
        <v>17</v>
      </c>
      <c r="Z26" s="565"/>
      <c r="AA26" s="565"/>
      <c r="AB26" s="565"/>
      <c r="AC26" s="565"/>
      <c r="AD26" s="565"/>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5.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5.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4" t="str">
        <f>IF(AG31=1,AO31,IF(AG31=2,AO30))</f>
        <v>Giới hạn an toàn: là khoảng chiều cao trên cột anten tính từ điểm có độ cao 20m so với mặt đất trở lên.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5.7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IF(AI41=0,AO34,IF(AI41=1,AK34,AS34))</f>
        <v>KT. GIÁM ĐỐC</v>
      </c>
      <c r="U34" s="517"/>
      <c r="V34" s="517"/>
      <c r="W34" s="517"/>
      <c r="X34" s="517"/>
      <c r="Y34" s="517"/>
      <c r="Z34" s="517"/>
      <c r="AA34" s="517"/>
      <c r="AB34" s="517"/>
      <c r="AC34" s="517"/>
      <c r="AD34" s="517"/>
      <c r="AE34" s="517"/>
      <c r="AK34" s="219" t="s">
        <v>21054</v>
      </c>
      <c r="AO34" s="219" t="s">
        <v>21055</v>
      </c>
      <c r="AS34" s="219" t="s">
        <v>21056</v>
      </c>
    </row>
    <row r="35" ht="17.1" customHeight="1">
      <c r="C35" s="518" t="s">
        <v>21057</v>
      </c>
      <c r="D35" s="518"/>
      <c r="E35" s="518"/>
      <c r="F35" s="518"/>
      <c r="G35" s="518"/>
      <c r="H35" s="275" t="s">
        <v>21058</v>
      </c>
      <c r="I35" s="520" t="s">
        <v>21059</v>
      </c>
      <c r="J35" s="520"/>
      <c r="K35" s="520"/>
      <c r="L35" s="520"/>
      <c r="M35" s="520"/>
      <c r="N35" s="520"/>
      <c r="O35" s="264"/>
      <c r="P35" s="264"/>
      <c r="Q35" s="260"/>
      <c r="R35" s="260"/>
      <c r="S35" s="260"/>
      <c r="T35" s="517" t="str">
        <f>IF(AI41=0,AO35,IF(AI41=1,"",AS35))</f>
        <v>PHÓ GIÁM ĐỐC</v>
      </c>
      <c r="U35" s="517"/>
      <c r="V35" s="517"/>
      <c r="W35" s="517"/>
      <c r="X35" s="517"/>
      <c r="Y35" s="517"/>
      <c r="Z35" s="517"/>
      <c r="AA35" s="517"/>
      <c r="AB35" s="517"/>
      <c r="AC35" s="517"/>
      <c r="AD35" s="517"/>
      <c r="AE35" s="517"/>
      <c r="AO35" s="219" t="s">
        <v>21060</v>
      </c>
      <c r="AS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row>
    <row r="45" ht="16.5" customHeight="1">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3</v>
      </c>
      <c r="M49" s="515"/>
      <c r="N49" s="556" t="str">
        <f>AL49</f>
        <v>4/4/4</v>
      </c>
      <c r="O49" s="556"/>
      <c r="P49" s="556"/>
      <c r="Q49" s="513" t="str">
        <f>IF(L49=3,AO49&amp;"W/ "&amp;AP49&amp;"W/ "&amp;AQ49&amp;"W",IF(L49=2,AO49&amp;"W/ "&amp;AP49&amp;"W",AO49&amp;"W"))</f>
        <v>20W/ 30W/ 40W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2</v>
      </c>
      <c r="M53" s="515"/>
      <c r="N53" s="556" t="str">
        <f>AL53</f>
        <v>4/4/4</v>
      </c>
      <c r="O53" s="556"/>
      <c r="P53" s="556"/>
      <c r="Q53" s="513" t="str">
        <f>IF(L53=3,AO53&amp;"W/ "&amp;AP53&amp;"W/ "&amp;AQ53&amp;"W",IF(L53=2,AO53&amp;"W/ "&amp;AP53&amp;"W",AO53&amp;"W"))</f>
        <v>20W/ 30W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2</v>
      </c>
      <c r="M57" s="515"/>
      <c r="N57" s="556" t="str">
        <f>AL57</f>
        <v>4/4/4</v>
      </c>
      <c r="O57" s="556"/>
      <c r="P57" s="556"/>
      <c r="Q57" s="513" t="str">
        <f>IF(L57=3,AO57&amp;"W/ "&amp;AP57&amp;"W/ "&amp;AQ57&amp;"W",IF(L57=2,AO57&amp;"W/ "&amp;AP57&amp;"W",AO57&amp;"W"))</f>
        <v>20W/ 30W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3</v>
      </c>
      <c r="M61" s="515"/>
      <c r="N61" s="556" t="str">
        <f>AL61</f>
        <v>4/4/4</v>
      </c>
      <c r="O61" s="556"/>
      <c r="P61" s="556"/>
      <c r="Q61" s="513" t="str">
        <f>IF(L61=3,AO61&amp;"W/ "&amp;AP61&amp;"W/ "&amp;AQ61&amp;"W",IF(L61=2,AO61&amp;"W/ "&amp;AP61&amp;"W",AO61&amp;"W"))</f>
        <v>20W/ 30W/ 40W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5" t="s">
        <v>21018</v>
      </c>
      <c r="C1" s="535"/>
      <c r="D1" s="535"/>
      <c r="E1" s="535"/>
      <c r="F1" s="535"/>
      <c r="G1" s="535"/>
      <c r="H1" s="535"/>
      <c r="I1" s="535"/>
      <c r="J1" s="535"/>
      <c r="K1" s="535"/>
      <c r="L1" s="535"/>
      <c r="M1" s="535"/>
      <c r="N1" s="535"/>
      <c r="O1" s="247"/>
      <c r="P1" s="516" t="s">
        <v>21287</v>
      </c>
      <c r="Q1" s="516"/>
      <c r="R1" s="516"/>
      <c r="S1" s="516"/>
      <c r="T1" s="516"/>
      <c r="U1" s="516"/>
      <c r="V1" s="516"/>
      <c r="W1" s="516"/>
      <c r="X1" s="516"/>
      <c r="Y1" s="516"/>
      <c r="Z1" s="516"/>
      <c r="AA1" s="516"/>
      <c r="AB1" s="516"/>
      <c r="AC1" s="516"/>
      <c r="AD1" s="516"/>
      <c r="AE1" s="516"/>
    </row>
    <row r="2" ht="19.7" customHeight="1">
      <c r="C2" s="535" t="s">
        <v>21020</v>
      </c>
      <c r="D2" s="535"/>
      <c r="E2" s="535"/>
      <c r="F2" s="535"/>
      <c r="G2" s="535"/>
      <c r="H2" s="535"/>
      <c r="I2" s="535"/>
      <c r="J2" s="535"/>
      <c r="K2" s="535"/>
      <c r="L2" s="535"/>
      <c r="M2" s="535"/>
      <c r="N2" s="270"/>
      <c r="O2" s="247"/>
      <c r="P2" s="535" t="s">
        <v>21288</v>
      </c>
      <c r="Q2" s="535"/>
      <c r="R2" s="535"/>
      <c r="S2" s="535"/>
      <c r="T2" s="535"/>
      <c r="U2" s="535"/>
      <c r="V2" s="535"/>
      <c r="W2" s="535"/>
      <c r="X2" s="535"/>
      <c r="Y2" s="535"/>
      <c r="Z2" s="535"/>
      <c r="AA2" s="535"/>
      <c r="AB2" s="535"/>
      <c r="AC2" s="535"/>
      <c r="AD2" s="535"/>
      <c r="AE2" s="535"/>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c r="AE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c r="AE7" s="528"/>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5" t="str">
        <f>"Số: "&amp;AI9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E9" s="535"/>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c r="AE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c r="AE12" s="528"/>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6" t="s">
        <v>21023</v>
      </c>
      <c r="D15" s="586"/>
      <c r="E15" s="586"/>
      <c r="F15" s="586"/>
      <c r="G15" s="586"/>
      <c r="H15" s="586"/>
      <c r="I15" s="586"/>
      <c r="J15" s="586"/>
      <c r="K15" s="586"/>
      <c r="L15" s="586"/>
      <c r="M15" s="586"/>
      <c r="N15" s="586"/>
      <c r="O15" s="586"/>
      <c r="P15" s="586"/>
      <c r="Q15" s="586"/>
      <c r="R15" s="586"/>
      <c r="S15" s="586"/>
      <c r="T15" s="586"/>
      <c r="U15" s="586"/>
      <c r="V15" s="586"/>
      <c r="W15" s="586"/>
      <c r="X15" s="586"/>
      <c r="Y15" s="586"/>
      <c r="Z15" s="586"/>
      <c r="AA15" s="586"/>
      <c r="AB15" s="586"/>
      <c r="AC15" s="586"/>
      <c r="AD15" s="586"/>
      <c r="AE15" s="586"/>
      <c r="AF15" s="586"/>
      <c r="AG15" s="278"/>
      <c r="AH15" s="278"/>
      <c r="AI15" s="253">
        <v>1</v>
      </c>
      <c r="AJ15" s="253"/>
      <c r="AK15" s="253"/>
      <c r="AL15" s="253"/>
      <c r="AM15" s="253">
        <v>2</v>
      </c>
      <c r="AN15" s="253"/>
      <c r="AO15" s="253"/>
      <c r="AP15" s="253"/>
      <c r="AQ15" s="253">
        <v>3</v>
      </c>
      <c r="AU15" s="219">
        <v>4</v>
      </c>
    </row>
    <row r="16" ht="38.25" customHeight="1">
      <c r="C16" s="579" t="s">
        <v>21027</v>
      </c>
      <c r="D16" s="580"/>
      <c r="E16" s="580"/>
      <c r="F16" s="580"/>
      <c r="G16" s="580"/>
      <c r="H16" s="580"/>
      <c r="I16" s="580"/>
      <c r="J16" s="580"/>
      <c r="K16" s="580"/>
      <c r="L16" s="581"/>
      <c r="M16" s="582" t="str">
        <f>AI16</f>
        <v>Ấp Bàu Trâu, xã Phước Thạnh, huyện Củ Chi, thành phố Hồ Chí Minh.</v>
      </c>
      <c r="N16" s="583"/>
      <c r="O16" s="583"/>
      <c r="P16" s="583"/>
      <c r="Q16" s="583"/>
      <c r="R16" s="583"/>
      <c r="S16" s="583"/>
      <c r="T16" s="583"/>
      <c r="U16" s="583"/>
      <c r="V16" s="583"/>
      <c r="W16" s="583"/>
      <c r="X16" s="583"/>
      <c r="Y16" s="583"/>
      <c r="Z16" s="583"/>
      <c r="AA16" s="583"/>
      <c r="AB16" s="583"/>
      <c r="AC16" s="583"/>
      <c r="AD16" s="583"/>
      <c r="AE16" s="583"/>
      <c r="AF16" s="584"/>
      <c r="AG16" s="279"/>
      <c r="AH16" s="279"/>
      <c r="AI16" s="273" t="s">
        <v>21028</v>
      </c>
    </row>
    <row r="17" ht="22.5" customHeight="1">
      <c r="C17" s="594" t="s">
        <v>21029</v>
      </c>
      <c r="D17" s="595"/>
      <c r="E17" s="595"/>
      <c r="F17" s="595"/>
      <c r="G17" s="595"/>
      <c r="H17" s="595"/>
      <c r="I17" s="595"/>
      <c r="J17" s="595"/>
      <c r="K17" s="595"/>
      <c r="L17" s="596"/>
      <c r="M17" s="573" t="str">
        <f>IF(AG17="","",AG17)</f>
      </c>
      <c r="N17" s="574"/>
      <c r="O17" s="574"/>
      <c r="P17" s="574"/>
      <c r="Q17" s="574"/>
      <c r="R17" s="574"/>
      <c r="S17" s="574"/>
      <c r="T17" s="574"/>
      <c r="U17" s="574"/>
      <c r="V17" s="574"/>
      <c r="W17" s="574"/>
      <c r="X17" s="574"/>
      <c r="Y17" s="574"/>
      <c r="Z17" s="574"/>
      <c r="AA17" s="574"/>
      <c r="AB17" s="574"/>
      <c r="AC17" s="574"/>
      <c r="AD17" s="574"/>
      <c r="AE17" s="574"/>
      <c r="AF17" s="575"/>
      <c r="AG17" s="279"/>
      <c r="AH17" s="279"/>
    </row>
    <row r="18" ht="31.35" customHeight="1">
      <c r="C18" s="592" t="s">
        <v>21030</v>
      </c>
      <c r="D18" s="593"/>
      <c r="E18" s="593"/>
      <c r="F18" s="593"/>
      <c r="G18" s="593"/>
      <c r="H18" s="593"/>
      <c r="I18" s="593"/>
      <c r="J18" s="593"/>
      <c r="K18" s="593"/>
      <c r="L18" s="593"/>
      <c r="M18" s="565" t="str">
        <f>AI18</f>
        <v>CÔNG TY CỔ PHẦN VIỄN THÔNG DI ĐỘNG TOÀN CẦU</v>
      </c>
      <c r="N18" s="565"/>
      <c r="O18" s="565"/>
      <c r="P18" s="565"/>
      <c r="Q18" s="565"/>
      <c r="R18" s="565"/>
      <c r="S18" s="565"/>
      <c r="T18" s="565"/>
      <c r="U18" s="565"/>
      <c r="V18" s="565"/>
      <c r="W18" s="565"/>
      <c r="X18" s="565"/>
      <c r="Y18" s="565"/>
      <c r="Z18" s="565"/>
      <c r="AA18" s="565"/>
      <c r="AB18" s="565"/>
      <c r="AC18" s="565"/>
      <c r="AD18" s="565"/>
      <c r="AE18" s="565"/>
      <c r="AF18" s="565"/>
      <c r="AG18" s="279"/>
      <c r="AH18" s="279"/>
      <c r="AI18" s="248" t="s">
        <v>21031</v>
      </c>
    </row>
    <row r="19" ht="31.35" customHeight="1">
      <c r="C19" s="592" t="s">
        <v>21032</v>
      </c>
      <c r="D19" s="593"/>
      <c r="E19" s="593"/>
      <c r="F19" s="593"/>
      <c r="G19" s="593"/>
      <c r="H19" s="593"/>
      <c r="I19" s="593"/>
      <c r="J19" s="593"/>
      <c r="K19" s="593"/>
      <c r="L19" s="593"/>
      <c r="M19" s="565" t="str">
        <f>AI19</f>
        <v>CÔNG TY CỔ PHẦN VIỄN THÔNG DI ĐỘNG TOÀN CẦU</v>
      </c>
      <c r="N19" s="565"/>
      <c r="O19" s="565"/>
      <c r="P19" s="565"/>
      <c r="Q19" s="565"/>
      <c r="R19" s="565"/>
      <c r="S19" s="565"/>
      <c r="T19" s="565"/>
      <c r="U19" s="565"/>
      <c r="V19" s="565"/>
      <c r="W19" s="565"/>
      <c r="X19" s="565"/>
      <c r="Y19" s="565"/>
      <c r="Z19" s="565"/>
      <c r="AA19" s="565"/>
      <c r="AB19" s="565"/>
      <c r="AC19" s="565"/>
      <c r="AD19" s="565"/>
      <c r="AE19" s="565"/>
      <c r="AF19" s="565"/>
      <c r="AG19" s="279"/>
      <c r="AH19" s="279"/>
      <c r="AI19" s="248" t="s">
        <v>21031</v>
      </c>
    </row>
    <row r="20" ht="18.75" customHeight="1">
      <c r="C20" s="576" t="s">
        <v>21033</v>
      </c>
      <c r="D20" s="577"/>
      <c r="E20" s="577"/>
      <c r="F20" s="577"/>
      <c r="G20" s="577"/>
      <c r="H20" s="577"/>
      <c r="I20" s="577"/>
      <c r="J20" s="577"/>
      <c r="K20" s="577"/>
      <c r="L20" s="577"/>
      <c r="M20" s="577"/>
      <c r="N20" s="577"/>
      <c r="O20" s="577"/>
      <c r="P20" s="577"/>
      <c r="Q20" s="577"/>
      <c r="R20" s="577"/>
      <c r="S20" s="577"/>
      <c r="T20" s="577"/>
      <c r="U20" s="577"/>
      <c r="V20" s="577"/>
      <c r="W20" s="577"/>
      <c r="X20" s="577"/>
      <c r="Y20" s="577"/>
      <c r="Z20" s="577"/>
      <c r="AA20" s="577"/>
      <c r="AB20" s="577"/>
      <c r="AC20" s="577"/>
      <c r="AD20" s="577"/>
      <c r="AE20" s="577"/>
      <c r="AF20" s="578"/>
      <c r="AG20" s="280"/>
      <c r="AH20" s="280"/>
    </row>
    <row r="21" ht="45.2" customHeight="1">
      <c r="C21" s="569" t="s">
        <v>21034</v>
      </c>
      <c r="D21" s="569"/>
      <c r="E21" s="569"/>
      <c r="F21" s="569"/>
      <c r="G21" s="569"/>
      <c r="H21" s="569"/>
      <c r="I21" s="569"/>
      <c r="J21" s="569"/>
      <c r="K21" s="569"/>
      <c r="L21" s="569"/>
      <c r="M21" s="565" t="str">
        <f ref="M21:M23" t="shared" si="0">AI21</f>
        <v>A</v>
      </c>
      <c r="N21" s="565"/>
      <c r="O21" s="565"/>
      <c r="P21" s="565"/>
      <c r="Q21" s="565"/>
      <c r="R21" s="565" t="str">
        <f ref="R21:R23" t="shared" si="1">AM21</f>
        <v>B</v>
      </c>
      <c r="S21" s="565"/>
      <c r="T21" s="565"/>
      <c r="U21" s="565"/>
      <c r="V21" s="565"/>
      <c r="W21" s="565" t="str">
        <f>AQ21</f>
        <v>C</v>
      </c>
      <c r="X21" s="565"/>
      <c r="Y21" s="565"/>
      <c r="Z21" s="565"/>
      <c r="AA21" s="565"/>
      <c r="AB21" s="565" t="str">
        <f>AU21</f>
        <v>D</v>
      </c>
      <c r="AC21" s="565"/>
      <c r="AD21" s="565"/>
      <c r="AE21" s="565"/>
      <c r="AF21" s="565"/>
      <c r="AG21" s="278"/>
      <c r="AH21" s="278"/>
      <c r="AI21" s="248" t="s">
        <v>21035</v>
      </c>
      <c r="AM21" s="248" t="s">
        <v>21036</v>
      </c>
      <c r="AQ21" s="248" t="s">
        <v>21037</v>
      </c>
      <c r="AU21" s="248" t="s">
        <v>21038</v>
      </c>
    </row>
    <row r="22" ht="17.1" customHeight="1">
      <c r="C22" s="569" t="s">
        <v>21039</v>
      </c>
      <c r="D22" s="569"/>
      <c r="E22" s="569"/>
      <c r="F22" s="569"/>
      <c r="G22" s="569"/>
      <c r="H22" s="569"/>
      <c r="I22" s="569"/>
      <c r="J22" s="569"/>
      <c r="K22" s="569"/>
      <c r="L22" s="569"/>
      <c r="M22" s="565">
        <f>AI22</f>
        <v>3</v>
      </c>
      <c r="N22" s="565"/>
      <c r="O22" s="565"/>
      <c r="P22" s="565"/>
      <c r="Q22" s="565"/>
      <c r="R22" s="565">
        <f>AM22</f>
        <v>3</v>
      </c>
      <c r="S22" s="565"/>
      <c r="T22" s="565"/>
      <c r="U22" s="565"/>
      <c r="V22" s="565"/>
      <c r="W22" s="565">
        <f>AQ22</f>
        <v>3</v>
      </c>
      <c r="X22" s="565"/>
      <c r="Y22" s="565"/>
      <c r="Z22" s="565"/>
      <c r="AA22" s="565"/>
      <c r="AB22" s="565">
        <f>AU22</f>
        <v>1</v>
      </c>
      <c r="AC22" s="565"/>
      <c r="AD22" s="565"/>
      <c r="AE22" s="565"/>
      <c r="AF22" s="565"/>
      <c r="AG22" s="278"/>
      <c r="AH22" s="278"/>
      <c r="AI22" s="253">
        <v>3</v>
      </c>
      <c r="AJ22" s="253"/>
      <c r="AK22" s="253"/>
      <c r="AL22" s="253"/>
      <c r="AM22" s="253">
        <v>3</v>
      </c>
      <c r="AN22" s="253"/>
      <c r="AO22" s="253"/>
      <c r="AP22" s="253"/>
      <c r="AQ22" s="253">
        <v>3</v>
      </c>
      <c r="AU22" s="219">
        <v>1</v>
      </c>
    </row>
    <row r="23" ht="17.1" customHeight="1">
      <c r="C23" s="569" t="s">
        <v>21040</v>
      </c>
      <c r="D23" s="569"/>
      <c r="E23" s="569"/>
      <c r="F23" s="569"/>
      <c r="G23" s="569"/>
      <c r="H23" s="569"/>
      <c r="I23" s="569"/>
      <c r="J23" s="569"/>
      <c r="K23" s="569"/>
      <c r="L23" s="569"/>
      <c r="M23" s="590" t="str">
        <f t="shared" si="0"/>
        <v>4/4/4</v>
      </c>
      <c r="N23" s="590"/>
      <c r="O23" s="590"/>
      <c r="P23" s="590"/>
      <c r="Q23" s="590"/>
      <c r="R23" s="590" t="str">
        <f t="shared" si="1"/>
        <v>2/2/2</v>
      </c>
      <c r="S23" s="590"/>
      <c r="T23" s="590"/>
      <c r="U23" s="590"/>
      <c r="V23" s="590"/>
      <c r="W23" s="597" t="str">
        <f>AQ23</f>
        <v>5/5/5</v>
      </c>
      <c r="X23" s="590"/>
      <c r="Y23" s="590"/>
      <c r="Z23" s="590"/>
      <c r="AA23" s="590"/>
      <c r="AB23" s="597" t="str">
        <f>AU23</f>
        <v>4/2/4</v>
      </c>
      <c r="AC23" s="590"/>
      <c r="AD23" s="590"/>
      <c r="AE23" s="590"/>
      <c r="AF23" s="590"/>
      <c r="AI23" s="258" t="s">
        <v>21041</v>
      </c>
      <c r="AJ23" s="259"/>
      <c r="AK23" s="259"/>
      <c r="AL23" s="259"/>
      <c r="AM23" s="258" t="s">
        <v>21042</v>
      </c>
      <c r="AN23" s="259"/>
      <c r="AO23" s="259"/>
      <c r="AP23" s="259"/>
      <c r="AQ23" s="258" t="s">
        <v>21043</v>
      </c>
      <c r="AR23" s="259"/>
      <c r="AS23" s="259"/>
      <c r="AT23" s="259"/>
      <c r="AU23" s="258" t="s">
        <v>21044</v>
      </c>
    </row>
    <row r="24" ht="31.35" customHeight="1">
      <c r="C24" s="569" t="s">
        <v>21045</v>
      </c>
      <c r="D24" s="569"/>
      <c r="E24" s="569"/>
      <c r="F24" s="569"/>
      <c r="G24" s="569"/>
      <c r="H24" s="569"/>
      <c r="I24" s="569"/>
      <c r="J24" s="569"/>
      <c r="K24" s="569"/>
      <c r="L24" s="569"/>
      <c r="M24" s="590" t="str">
        <f>IF(M22=4,AI24&amp;"W/ "&amp;AJ24&amp;"W/ "&amp;AK24&amp;"W/ "&amp;AL24&amp;"W",IF(M22=3,AI24&amp;"W/ "&amp;AJ24&amp;"W/ "&amp;AK24&amp;"W",IF(M22=2,AI24&amp;"W/ "&amp;AJ24&amp;"W",AI24&amp;"W")))</f>
        <v>100,45W/ 100,69W/ 100,69W</v>
      </c>
      <c r="N24" s="590"/>
      <c r="O24" s="590"/>
      <c r="P24" s="590"/>
      <c r="Q24" s="590"/>
      <c r="R24" s="590" t="str">
        <f>IF(R22=4,AM24&amp;"W/ "&amp;AN24&amp;"W/ "&amp;AO24&amp;"W/ "&amp;AP24&amp;"W",IF(R22=3,AM24&amp;"W/ "&amp;AN24&amp;"W/ "&amp;AO24&amp;"W",IF(R22=2,AM24&amp;"W/ "&amp;AN24&amp;"W",AM24&amp;"W")))</f>
        <v>40W/ 40W/ 40W</v>
      </c>
      <c r="S24" s="590"/>
      <c r="T24" s="590"/>
      <c r="U24" s="590"/>
      <c r="V24" s="590"/>
      <c r="W24" s="590" t="str">
        <f>IF(W22=4,AQ24&amp;"W/ "&amp;AR24&amp;"W/ "&amp;AS24&amp;"W/ "&amp;AT24&amp;"W",IF(W22=3,AQ24&amp;"W/ "&amp;AR24&amp;"W/ "&amp;AS24&amp;"W",IF(W22=2,AQ24&amp;"W/ "&amp;AR24&amp;"W",AQ24&amp;"W")))</f>
        <v>60W/ 60W/ 60W</v>
      </c>
      <c r="X24" s="590"/>
      <c r="Y24" s="590"/>
      <c r="Z24" s="590"/>
      <c r="AA24" s="590"/>
      <c r="AB24" s="590" t="str">
        <f>IF(AB22=3,AU24&amp;"W/ "&amp;AV24&amp;"W/ "&amp;AW24&amp;"W",IF(AB22=2,AU24&amp;"W/ "&amp;AV24&amp;"W",AW24&amp;"W"))</f>
        <v>80W</v>
      </c>
      <c r="AC24" s="590"/>
      <c r="AD24" s="590"/>
      <c r="AE24" s="590"/>
      <c r="AF24" s="590"/>
      <c r="AI24" s="219" t="s">
        <v>21284</v>
      </c>
      <c r="AJ24" s="219" t="s">
        <v>21289</v>
      </c>
      <c r="AK24" s="219">
        <v>100.69</v>
      </c>
      <c r="AM24" s="219">
        <v>40</v>
      </c>
      <c r="AN24" s="219">
        <v>40</v>
      </c>
      <c r="AO24" s="219">
        <v>40</v>
      </c>
      <c r="AQ24" s="219">
        <v>60</v>
      </c>
      <c r="AR24" s="219">
        <v>60</v>
      </c>
      <c r="AS24" s="219">
        <v>60</v>
      </c>
      <c r="AU24" s="219">
        <v>80</v>
      </c>
      <c r="AV24" s="219">
        <v>80</v>
      </c>
      <c r="AW24" s="219">
        <v>80</v>
      </c>
    </row>
    <row r="25" ht="31.35" customHeight="1">
      <c r="C25" s="569" t="s">
        <v>21046</v>
      </c>
      <c r="D25" s="569"/>
      <c r="E25" s="569"/>
      <c r="F25" s="569"/>
      <c r="G25" s="569"/>
      <c r="H25" s="569"/>
      <c r="I25" s="569"/>
      <c r="J25" s="569"/>
      <c r="K25" s="569"/>
      <c r="L25" s="569"/>
      <c r="M25" s="590" t="str">
        <f>IF(AI25="900 &amp; 1800","900MHz &amp; 1800MHz",IF(AI25="900 &amp; 2100","900MHz &amp; 2100MHz",AI25&amp;"MHz"))</f>
        <v>900MHz</v>
      </c>
      <c r="N25" s="590"/>
      <c r="O25" s="590"/>
      <c r="P25" s="590"/>
      <c r="Q25" s="590"/>
      <c r="R25" s="590" t="str">
        <f>IF(AM25="900 &amp; 1800","900MHz &amp; 1800MHz",IF(AM25="900 &amp; 2100","900MHz &amp; 2100MHz",AM25&amp;"MHz"))</f>
        <v>1800MHz</v>
      </c>
      <c r="S25" s="590"/>
      <c r="T25" s="590"/>
      <c r="U25" s="590"/>
      <c r="V25" s="590"/>
      <c r="W25" s="590" t="str">
        <f>IF(AQ25="900 &amp; 1800","900MHz &amp; 1800MHz",IF(AQ25="900 &amp; 2100","900MHz &amp; 2100MHz",AQ25&amp;"MHz"))</f>
        <v>2100MHz</v>
      </c>
      <c r="X25" s="590"/>
      <c r="Y25" s="590"/>
      <c r="Z25" s="590"/>
      <c r="AA25" s="590"/>
      <c r="AB25" s="590" t="str">
        <f>IF(AU25="900 &amp; 1800","900MHz &amp; 1800MHz",IF(AU25="900 &amp; 2100","900MHz &amp; 2100MHz",AU25&amp;"MHz"))</f>
        <v>900;1800MHz</v>
      </c>
      <c r="AC25" s="590"/>
      <c r="AD25" s="590"/>
      <c r="AE25" s="590"/>
      <c r="AF25" s="590"/>
      <c r="AI25" s="219">
        <v>900</v>
      </c>
      <c r="AM25" s="219">
        <v>1800</v>
      </c>
      <c r="AQ25" s="219">
        <v>2100</v>
      </c>
      <c r="AU25" s="248" t="s">
        <v>21285</v>
      </c>
    </row>
    <row r="26" ht="31.35" customHeight="1">
      <c r="C26" s="569" t="s">
        <v>21048</v>
      </c>
      <c r="D26" s="569"/>
      <c r="E26" s="569"/>
      <c r="F26" s="569"/>
      <c r="G26" s="569"/>
      <c r="H26" s="569"/>
      <c r="I26" s="569"/>
      <c r="J26" s="569"/>
      <c r="K26" s="569"/>
      <c r="L26" s="569"/>
      <c r="M26" s="590">
        <f>AI26</f>
        <v>15</v>
      </c>
      <c r="N26" s="590"/>
      <c r="O26" s="590"/>
      <c r="P26" s="590"/>
      <c r="Q26" s="590"/>
      <c r="R26" s="590">
        <f>AM26</f>
        <v>16</v>
      </c>
      <c r="S26" s="590"/>
      <c r="T26" s="590"/>
      <c r="U26" s="590"/>
      <c r="V26" s="590"/>
      <c r="W26" s="590">
        <f>AQ26</f>
        <v>17</v>
      </c>
      <c r="X26" s="590"/>
      <c r="Y26" s="590"/>
      <c r="Z26" s="590"/>
      <c r="AA26" s="590"/>
      <c r="AB26" s="590">
        <f>AU26</f>
        <v>18</v>
      </c>
      <c r="AC26" s="590"/>
      <c r="AD26" s="590"/>
      <c r="AE26" s="590"/>
      <c r="AF26" s="590"/>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91" t="s">
        <v>21049</v>
      </c>
      <c r="D27" s="591"/>
      <c r="E27" s="591"/>
      <c r="F27" s="591"/>
      <c r="G27" s="591"/>
      <c r="H27" s="591"/>
      <c r="I27" s="591"/>
      <c r="J27" s="591"/>
      <c r="K27" s="591"/>
      <c r="L27" s="591"/>
      <c r="M27" s="591"/>
      <c r="N27" s="591"/>
      <c r="O27" s="591"/>
      <c r="P27" s="591"/>
      <c r="Q27" s="591"/>
      <c r="R27" s="591"/>
      <c r="S27" s="591"/>
      <c r="T27" s="591"/>
      <c r="U27" s="591"/>
      <c r="V27" s="591"/>
      <c r="W27" s="591"/>
      <c r="X27" s="591"/>
      <c r="Y27" s="591"/>
      <c r="Z27" s="591"/>
      <c r="AA27" s="591"/>
      <c r="AB27" s="260"/>
      <c r="AC27" s="260"/>
      <c r="AD27" s="260"/>
    </row>
    <row r="28" ht="27" customHeight="1">
      <c r="C28" s="554"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I28" s="219">
        <v>20</v>
      </c>
      <c r="AQ28" s="219" t="s">
        <v>21050</v>
      </c>
    </row>
    <row r="29" ht="27"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4" t="str">
        <f>IF(AI31=1,AQ31,AQ30)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E30" s="544"/>
      <c r="AF30" s="544"/>
      <c r="AI30" s="219">
        <v>20</v>
      </c>
      <c r="AQ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E31" s="544"/>
      <c r="AF31" s="544"/>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c r="AE32" s="555"/>
      <c r="AF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555"/>
      <c r="AF33" s="555"/>
    </row>
    <row r="34" ht="17.1" customHeight="1">
      <c r="C34" s="522"/>
      <c r="D34" s="522"/>
      <c r="E34" s="522"/>
      <c r="F34" s="522"/>
      <c r="G34" s="522"/>
      <c r="H34" s="260"/>
      <c r="I34" s="523"/>
      <c r="J34" s="523"/>
      <c r="K34" s="523"/>
      <c r="L34" s="523"/>
      <c r="M34" s="523"/>
      <c r="N34" s="523"/>
      <c r="O34" s="523"/>
      <c r="P34" s="234"/>
      <c r="Q34" s="234"/>
      <c r="R34" s="234"/>
      <c r="S34" s="234"/>
      <c r="T34" s="517" t="str">
        <f>IF(AI41=0,AO34,IF(AI41=1,AK34,AS34))</f>
        <v>KT. GIÁM ĐỐC</v>
      </c>
      <c r="U34" s="517"/>
      <c r="V34" s="517"/>
      <c r="W34" s="517"/>
      <c r="X34" s="517"/>
      <c r="Y34" s="517"/>
      <c r="Z34" s="517"/>
      <c r="AA34" s="517"/>
      <c r="AB34" s="517"/>
      <c r="AC34" s="517"/>
      <c r="AD34" s="517"/>
      <c r="AE34" s="517"/>
      <c r="AF34" s="517"/>
      <c r="AK34" s="219" t="s">
        <v>21054</v>
      </c>
      <c r="AO34" s="219" t="s">
        <v>21055</v>
      </c>
      <c r="AS34" s="219" t="s">
        <v>21056</v>
      </c>
    </row>
    <row r="35" ht="17.1" customHeight="1">
      <c r="C35" s="518" t="s">
        <v>21057</v>
      </c>
      <c r="D35" s="518"/>
      <c r="E35" s="518"/>
      <c r="F35" s="518"/>
      <c r="G35" s="518"/>
      <c r="H35" s="263" t="s">
        <v>21058</v>
      </c>
      <c r="I35" s="520" t="s">
        <v>21059</v>
      </c>
      <c r="J35" s="520"/>
      <c r="K35" s="520"/>
      <c r="L35" s="520"/>
      <c r="M35" s="520"/>
      <c r="N35" s="520"/>
      <c r="O35" s="520"/>
      <c r="P35" s="264"/>
      <c r="Q35" s="260"/>
      <c r="R35" s="260"/>
      <c r="S35" s="260"/>
      <c r="T35" s="517" t="str">
        <f>IF(AI41=0,AO35,IF(AI41=1,"",AS35))</f>
        <v>PHÓ GIÁM ĐỐC</v>
      </c>
      <c r="U35" s="517"/>
      <c r="V35" s="517"/>
      <c r="W35" s="517"/>
      <c r="X35" s="517"/>
      <c r="Y35" s="517"/>
      <c r="Z35" s="517"/>
      <c r="AA35" s="517"/>
      <c r="AB35" s="517"/>
      <c r="AC35" s="517"/>
      <c r="AD35" s="517"/>
      <c r="AE35" s="517"/>
      <c r="AF35" s="517"/>
      <c r="AO35" s="219" t="s">
        <v>21060</v>
      </c>
      <c r="AS35" s="219" t="s">
        <v>21061</v>
      </c>
    </row>
    <row r="36" ht="17.1" customHeight="1">
      <c r="C36" s="518" t="s">
        <v>21062</v>
      </c>
      <c r="D36" s="518"/>
      <c r="E36" s="518"/>
      <c r="F36" s="518"/>
      <c r="G36" s="518"/>
      <c r="H36" s="263" t="s">
        <v>21058</v>
      </c>
      <c r="I36" s="519">
        <f>AI36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8" t="s">
        <v>21063</v>
      </c>
      <c r="D37" s="518"/>
      <c r="E37" s="518"/>
      <c r="F37" s="518"/>
      <c r="G37" s="518"/>
      <c r="H37" s="263" t="s">
        <v>21058</v>
      </c>
      <c r="I37" s="519">
        <f>AI37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F41" s="516"/>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c r="AE43" s="558"/>
      <c r="AF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c r="AE44" s="558"/>
      <c r="AF44" s="558"/>
    </row>
    <row r="45" ht="16.5" customHeight="1">
      <c r="B45" s="557"/>
      <c r="C45" s="557"/>
      <c r="D45" s="557"/>
      <c r="E45" s="557"/>
      <c r="F45" s="557"/>
      <c r="G45" s="557"/>
      <c r="H45" s="513" t="s">
        <v>21068</v>
      </c>
      <c r="I45" s="513"/>
      <c r="J45" s="513"/>
      <c r="K45" s="513"/>
      <c r="L45" s="513" t="s">
        <v>21069</v>
      </c>
      <c r="M45" s="513"/>
      <c r="N45" s="513"/>
      <c r="O45" s="513" t="s">
        <v>21070</v>
      </c>
      <c r="P45" s="513"/>
      <c r="Q45" s="513"/>
      <c r="R45" s="513" t="s">
        <v>21071</v>
      </c>
      <c r="S45" s="513"/>
      <c r="T45" s="513"/>
      <c r="U45" s="513"/>
      <c r="V45" s="513"/>
      <c r="W45" s="513" t="s">
        <v>21072</v>
      </c>
      <c r="X45" s="513"/>
      <c r="Y45" s="513"/>
      <c r="Z45" s="513"/>
      <c r="AA45" s="513" t="s">
        <v>21073</v>
      </c>
      <c r="AB45" s="513"/>
      <c r="AC45" s="513"/>
      <c r="AD45" s="513"/>
      <c r="AE45" s="513"/>
      <c r="AF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513"/>
      <c r="AF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513"/>
      <c r="AF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513"/>
      <c r="AF48" s="513"/>
      <c r="AI48" s="219">
        <v>35</v>
      </c>
      <c r="AK48" s="219">
        <v>37</v>
      </c>
      <c r="AN48" s="219">
        <v>40</v>
      </c>
      <c r="AQ48" s="219">
        <v>43</v>
      </c>
      <c r="AR48" s="219">
        <v>44</v>
      </c>
      <c r="AS48" s="219">
        <v>45</v>
      </c>
      <c r="AT48" s="219">
        <v>46</v>
      </c>
      <c r="AU48" s="219">
        <v>47</v>
      </c>
      <c r="AV48" s="219">
        <v>48</v>
      </c>
      <c r="AW48" s="219">
        <v>49</v>
      </c>
      <c r="AX48" s="219">
        <v>50</v>
      </c>
    </row>
    <row r="49" ht="18.75" customHeight="1">
      <c r="B49" s="513" t="str">
        <f>AI49</f>
        <v>CÔNG TY CỔ PHẦN VIỄN THÔNG DI ĐỘNG TOÀN CẦU</v>
      </c>
      <c r="C49" s="513"/>
      <c r="D49" s="513"/>
      <c r="E49" s="513"/>
      <c r="F49" s="513"/>
      <c r="G49" s="513"/>
      <c r="H49" s="514" t="str">
        <f>AK49</f>
        <v>TB1</v>
      </c>
      <c r="I49" s="514"/>
      <c r="J49" s="514"/>
      <c r="K49" s="514"/>
      <c r="L49" s="515">
        <v>1</v>
      </c>
      <c r="M49" s="515"/>
      <c r="N49" s="515"/>
      <c r="O49" s="556" t="str">
        <f>AN49</f>
        <v>4/4/4</v>
      </c>
      <c r="P49" s="513"/>
      <c r="Q49" s="513"/>
      <c r="R49" s="513" t="str">
        <f>IF(L49=3,AQ49&amp;"W/ "&amp;AR49&amp;"W/ "&amp;AS49&amp;"W",IF(L49=2,AQ49&amp;"W/ "&amp;AR49&amp;"W",AQ49&amp;"W"))</f>
        <v>20W</v>
      </c>
      <c r="S49" s="513"/>
      <c r="T49" s="513"/>
      <c r="U49" s="513"/>
      <c r="V49" s="513"/>
      <c r="W49" s="513" t="str">
        <f>IF(AU49="900 &amp; 1800","900MHz &amp; 1800MHz",IF(AU49="900 &amp; 2100","900MHz &amp; 2100MHz",IF(AU49="1800 &amp; 2100","1800MHz &amp; 2100MHz",AU49&amp;"MHz")))</f>
        <v>900MHz</v>
      </c>
      <c r="X49" s="513"/>
      <c r="Y49" s="513"/>
      <c r="Z49" s="513"/>
      <c r="AA49" s="513">
        <f>AV49</f>
        <v>15</v>
      </c>
      <c r="AB49" s="513"/>
      <c r="AC49" s="513"/>
      <c r="AD49" s="513"/>
      <c r="AE49" s="513"/>
      <c r="AF49" s="513"/>
      <c r="AI49" s="248" t="s">
        <v>21031</v>
      </c>
      <c r="AK49" s="248" t="s">
        <v>21074</v>
      </c>
      <c r="AL49" s="248"/>
      <c r="AN49" s="258" t="s">
        <v>21041</v>
      </c>
      <c r="AQ49" s="219">
        <v>20</v>
      </c>
      <c r="AR49" s="219">
        <v>30</v>
      </c>
      <c r="AS49" s="219">
        <v>40</v>
      </c>
      <c r="AU49" s="219">
        <v>900</v>
      </c>
      <c r="AV49" s="219">
        <v>15</v>
      </c>
    </row>
    <row r="50" ht="18.75" customHeight="1">
      <c r="B50" s="513"/>
      <c r="C50" s="513"/>
      <c r="D50" s="513"/>
      <c r="E50" s="513"/>
      <c r="F50" s="513"/>
      <c r="G50" s="513"/>
      <c r="H50" s="514"/>
      <c r="I50" s="514"/>
      <c r="J50" s="514"/>
      <c r="K50" s="514"/>
      <c r="L50" s="515"/>
      <c r="M50" s="515"/>
      <c r="N50" s="515"/>
      <c r="O50" s="513"/>
      <c r="P50" s="513"/>
      <c r="Q50" s="513"/>
      <c r="R50" s="513"/>
      <c r="S50" s="513"/>
      <c r="T50" s="513"/>
      <c r="U50" s="513"/>
      <c r="V50" s="513"/>
      <c r="W50" s="513"/>
      <c r="X50" s="513"/>
      <c r="Y50" s="513"/>
      <c r="Z50" s="513"/>
      <c r="AA50" s="513"/>
      <c r="AB50" s="513"/>
      <c r="AC50" s="513"/>
      <c r="AD50" s="513"/>
      <c r="AE50" s="513"/>
      <c r="AF50" s="513"/>
    </row>
    <row r="51" ht="18.75" customHeight="1">
      <c r="B51" s="513"/>
      <c r="C51" s="513"/>
      <c r="D51" s="513"/>
      <c r="E51" s="513"/>
      <c r="F51" s="513"/>
      <c r="G51" s="513"/>
      <c r="H51" s="514"/>
      <c r="I51" s="514"/>
      <c r="J51" s="514"/>
      <c r="K51" s="514"/>
      <c r="L51" s="515"/>
      <c r="M51" s="515"/>
      <c r="N51" s="515"/>
      <c r="O51" s="513"/>
      <c r="P51" s="513"/>
      <c r="Q51" s="513"/>
      <c r="R51" s="513"/>
      <c r="S51" s="513"/>
      <c r="T51" s="513"/>
      <c r="U51" s="513"/>
      <c r="V51" s="513"/>
      <c r="W51" s="513"/>
      <c r="X51" s="513"/>
      <c r="Y51" s="513"/>
      <c r="Z51" s="513"/>
      <c r="AA51" s="513"/>
      <c r="AB51" s="513"/>
      <c r="AC51" s="513"/>
      <c r="AD51" s="513"/>
      <c r="AE51" s="513"/>
      <c r="AF51" s="513"/>
    </row>
    <row r="52" ht="18.75" customHeight="1">
      <c r="B52" s="513"/>
      <c r="C52" s="513"/>
      <c r="D52" s="513"/>
      <c r="E52" s="513"/>
      <c r="F52" s="513"/>
      <c r="G52" s="513"/>
      <c r="H52" s="514"/>
      <c r="I52" s="514"/>
      <c r="J52" s="514"/>
      <c r="K52" s="514"/>
      <c r="L52" s="515"/>
      <c r="M52" s="515"/>
      <c r="N52" s="515"/>
      <c r="O52" s="513"/>
      <c r="P52" s="513"/>
      <c r="Q52" s="513"/>
      <c r="R52" s="513"/>
      <c r="S52" s="513"/>
      <c r="T52" s="513"/>
      <c r="U52" s="513"/>
      <c r="V52" s="513"/>
      <c r="W52" s="513"/>
      <c r="X52" s="513"/>
      <c r="Y52" s="513"/>
      <c r="Z52" s="513"/>
      <c r="AA52" s="513"/>
      <c r="AB52" s="513"/>
      <c r="AC52" s="513"/>
      <c r="AD52" s="513"/>
      <c r="AE52" s="513"/>
      <c r="AF52" s="513"/>
    </row>
    <row r="53" ht="18.75" customHeight="1">
      <c r="B53" s="513" t="str">
        <f>AI53</f>
        <v>CÔNG TY CỔ PHẦN VIỄN THÔNG DI ĐỘNG TOÀN CẦU</v>
      </c>
      <c r="C53" s="513"/>
      <c r="D53" s="513"/>
      <c r="E53" s="513"/>
      <c r="F53" s="513"/>
      <c r="G53" s="513"/>
      <c r="H53" s="514" t="str">
        <f>AK53</f>
        <v>TB2</v>
      </c>
      <c r="I53" s="514"/>
      <c r="J53" s="514"/>
      <c r="K53" s="514"/>
      <c r="L53" s="515">
        <v>2</v>
      </c>
      <c r="M53" s="515"/>
      <c r="N53" s="515"/>
      <c r="O53" s="556" t="str">
        <f>AN53</f>
        <v>4/4/4</v>
      </c>
      <c r="P53" s="513"/>
      <c r="Q53" s="513"/>
      <c r="R53" s="513" t="str">
        <f>IF(L53=3,AQ53&amp;"W/ "&amp;AR53&amp;"W/ "&amp;AS53&amp;"W",IF(L53=2,AQ53&amp;"W/ "&amp;AR53&amp;"W",AQ53&amp;"W"))</f>
        <v>30W/ 40W</v>
      </c>
      <c r="S53" s="513"/>
      <c r="T53" s="513"/>
      <c r="U53" s="513"/>
      <c r="V53" s="513"/>
      <c r="W53" s="513" t="str">
        <f>IF(AU53="900 &amp; 1800","900MHz &amp; 1800MHz",IF(AU53="900 &amp; 2100","900MHz &amp; 2100MHz",IF(AU53="1800 &amp; 2100","1800MHz &amp; 2100MHz",AU53&amp;"MHz")))</f>
        <v>1800MHz</v>
      </c>
      <c r="X53" s="513"/>
      <c r="Y53" s="513"/>
      <c r="Z53" s="513"/>
      <c r="AA53" s="513">
        <f>AV53</f>
        <v>15</v>
      </c>
      <c r="AB53" s="513"/>
      <c r="AC53" s="513"/>
      <c r="AD53" s="513"/>
      <c r="AE53" s="513"/>
      <c r="AF53" s="513"/>
      <c r="AI53" s="248" t="s">
        <v>21031</v>
      </c>
      <c r="AK53" s="248" t="s">
        <v>21290</v>
      </c>
      <c r="AL53" s="248"/>
      <c r="AN53" s="258" t="s">
        <v>21041</v>
      </c>
      <c r="AQ53" s="219">
        <v>30</v>
      </c>
      <c r="AR53" s="219">
        <v>40</v>
      </c>
      <c r="AS53" s="219">
        <v>40</v>
      </c>
      <c r="AU53" s="219">
        <v>1800</v>
      </c>
      <c r="AV53" s="219">
        <v>15</v>
      </c>
    </row>
    <row r="54" ht="18.75" customHeight="1">
      <c r="B54" s="513"/>
      <c r="C54" s="513"/>
      <c r="D54" s="513"/>
      <c r="E54" s="513"/>
      <c r="F54" s="513"/>
      <c r="G54" s="513"/>
      <c r="H54" s="514"/>
      <c r="I54" s="514"/>
      <c r="J54" s="514"/>
      <c r="K54" s="514"/>
      <c r="L54" s="515"/>
      <c r="M54" s="515"/>
      <c r="N54" s="515"/>
      <c r="O54" s="513"/>
      <c r="P54" s="513"/>
      <c r="Q54" s="513"/>
      <c r="R54" s="513"/>
      <c r="S54" s="513"/>
      <c r="T54" s="513"/>
      <c r="U54" s="513"/>
      <c r="V54" s="513"/>
      <c r="W54" s="513"/>
      <c r="X54" s="513"/>
      <c r="Y54" s="513"/>
      <c r="Z54" s="513"/>
      <c r="AA54" s="513"/>
      <c r="AB54" s="513"/>
      <c r="AC54" s="513"/>
      <c r="AD54" s="513"/>
      <c r="AE54" s="513"/>
      <c r="AF54" s="513"/>
    </row>
    <row r="55" ht="18.75" customHeight="1">
      <c r="B55" s="513"/>
      <c r="C55" s="513"/>
      <c r="D55" s="513"/>
      <c r="E55" s="513"/>
      <c r="F55" s="513"/>
      <c r="G55" s="513"/>
      <c r="H55" s="514"/>
      <c r="I55" s="514"/>
      <c r="J55" s="514"/>
      <c r="K55" s="514"/>
      <c r="L55" s="515"/>
      <c r="M55" s="515"/>
      <c r="N55" s="515"/>
      <c r="O55" s="513"/>
      <c r="P55" s="513"/>
      <c r="Q55" s="513"/>
      <c r="R55" s="513"/>
      <c r="S55" s="513"/>
      <c r="T55" s="513"/>
      <c r="U55" s="513"/>
      <c r="V55" s="513"/>
      <c r="W55" s="513"/>
      <c r="X55" s="513"/>
      <c r="Y55" s="513"/>
      <c r="Z55" s="513"/>
      <c r="AA55" s="513"/>
      <c r="AB55" s="513"/>
      <c r="AC55" s="513"/>
      <c r="AD55" s="513"/>
      <c r="AE55" s="513"/>
      <c r="AF55" s="513"/>
    </row>
    <row r="56" ht="18.75" customHeight="1">
      <c r="B56" s="513"/>
      <c r="C56" s="513"/>
      <c r="D56" s="513"/>
      <c r="E56" s="513"/>
      <c r="F56" s="513"/>
      <c r="G56" s="513"/>
      <c r="H56" s="514"/>
      <c r="I56" s="514"/>
      <c r="J56" s="514"/>
      <c r="K56" s="514"/>
      <c r="L56" s="515"/>
      <c r="M56" s="515"/>
      <c r="N56" s="515"/>
      <c r="O56" s="513"/>
      <c r="P56" s="513"/>
      <c r="Q56" s="513"/>
      <c r="R56" s="513"/>
      <c r="S56" s="513"/>
      <c r="T56" s="513"/>
      <c r="U56" s="513"/>
      <c r="V56" s="513"/>
      <c r="W56" s="513"/>
      <c r="X56" s="513"/>
      <c r="Y56" s="513"/>
      <c r="Z56" s="513"/>
      <c r="AA56" s="513"/>
      <c r="AB56" s="513"/>
      <c r="AC56" s="513"/>
      <c r="AD56" s="513"/>
      <c r="AE56" s="513"/>
      <c r="AF56" s="513"/>
    </row>
    <row r="57" ht="18.75" customHeight="1">
      <c r="B57" s="513" t="str">
        <f>AI57</f>
        <v>CÔNG TY CỔ PHẦN VIỄN THÔNG DI ĐỘNG TOÀN CẦU</v>
      </c>
      <c r="C57" s="513"/>
      <c r="D57" s="513"/>
      <c r="E57" s="513"/>
      <c r="F57" s="513"/>
      <c r="G57" s="513"/>
      <c r="H57" s="514" t="str">
        <f>AK57</f>
        <v>TB2</v>
      </c>
      <c r="I57" s="514"/>
      <c r="J57" s="514"/>
      <c r="K57" s="514"/>
      <c r="L57" s="515">
        <v>3</v>
      </c>
      <c r="M57" s="515"/>
      <c r="N57" s="515"/>
      <c r="O57" s="556" t="str">
        <f>AN57</f>
        <v>4/4/4</v>
      </c>
      <c r="P57" s="513"/>
      <c r="Q57" s="513"/>
      <c r="R57" s="513" t="str">
        <f>IF(L57=3,AQ57&amp;"W/ "&amp;AR57&amp;"W/ "&amp;AS57&amp;"W",IF(L57=2,AQ57&amp;"W/ "&amp;AR57&amp;"W",AQ57&amp;"W"))</f>
        <v>30W/ 40W/ 40W</v>
      </c>
      <c r="S57" s="513"/>
      <c r="T57" s="513"/>
      <c r="U57" s="513"/>
      <c r="V57" s="513"/>
      <c r="W57" s="513" t="str">
        <f>IF(AU57="900 &amp; 1800","900MHz &amp; 1800MHz",IF(AU57="900 &amp; 2100","900MHz &amp; 2100MHz",IF(AU57="1800 &amp; 2100","1800MHz &amp; 2100MHz",AU57&amp;"MHz")))</f>
        <v>9000 &amp; 1800MHz</v>
      </c>
      <c r="X57" s="513"/>
      <c r="Y57" s="513"/>
      <c r="Z57" s="513"/>
      <c r="AA57" s="513">
        <f>AV57</f>
        <v>15</v>
      </c>
      <c r="AB57" s="513"/>
      <c r="AC57" s="513"/>
      <c r="AD57" s="513"/>
      <c r="AE57" s="513"/>
      <c r="AF57" s="513"/>
      <c r="AI57" s="248" t="s">
        <v>21031</v>
      </c>
      <c r="AK57" s="248" t="s">
        <v>21290</v>
      </c>
      <c r="AL57" s="248"/>
      <c r="AN57" s="258" t="s">
        <v>21041</v>
      </c>
      <c r="AQ57" s="219">
        <v>30</v>
      </c>
      <c r="AR57" s="219">
        <v>40</v>
      </c>
      <c r="AS57" s="219">
        <v>40</v>
      </c>
      <c r="AU57" s="219" t="s">
        <v>21075</v>
      </c>
      <c r="AV57" s="219">
        <v>15</v>
      </c>
    </row>
    <row r="58" ht="18.75" customHeight="1">
      <c r="B58" s="513"/>
      <c r="C58" s="513"/>
      <c r="D58" s="513"/>
      <c r="E58" s="513"/>
      <c r="F58" s="513"/>
      <c r="G58" s="513"/>
      <c r="H58" s="514"/>
      <c r="I58" s="514"/>
      <c r="J58" s="514"/>
      <c r="K58" s="514"/>
      <c r="L58" s="515"/>
      <c r="M58" s="515"/>
      <c r="N58" s="515"/>
      <c r="O58" s="513"/>
      <c r="P58" s="513"/>
      <c r="Q58" s="513"/>
      <c r="R58" s="513"/>
      <c r="S58" s="513"/>
      <c r="T58" s="513"/>
      <c r="U58" s="513"/>
      <c r="V58" s="513"/>
      <c r="W58" s="513"/>
      <c r="X58" s="513"/>
      <c r="Y58" s="513"/>
      <c r="Z58" s="513"/>
      <c r="AA58" s="513"/>
      <c r="AB58" s="513"/>
      <c r="AC58" s="513"/>
      <c r="AD58" s="513"/>
      <c r="AE58" s="513"/>
      <c r="AF58" s="513"/>
    </row>
    <row r="59" ht="18.75" customHeight="1">
      <c r="B59" s="513"/>
      <c r="C59" s="513"/>
      <c r="D59" s="513"/>
      <c r="E59" s="513"/>
      <c r="F59" s="513"/>
      <c r="G59" s="513"/>
      <c r="H59" s="514"/>
      <c r="I59" s="514"/>
      <c r="J59" s="514"/>
      <c r="K59" s="514"/>
      <c r="L59" s="515"/>
      <c r="M59" s="515"/>
      <c r="N59" s="515"/>
      <c r="O59" s="513"/>
      <c r="P59" s="513"/>
      <c r="Q59" s="513"/>
      <c r="R59" s="513"/>
      <c r="S59" s="513"/>
      <c r="T59" s="513"/>
      <c r="U59" s="513"/>
      <c r="V59" s="513"/>
      <c r="W59" s="513"/>
      <c r="X59" s="513"/>
      <c r="Y59" s="513"/>
      <c r="Z59" s="513"/>
      <c r="AA59" s="513"/>
      <c r="AB59" s="513"/>
      <c r="AC59" s="513"/>
      <c r="AD59" s="513"/>
      <c r="AE59" s="513"/>
      <c r="AF59" s="513"/>
    </row>
    <row r="60" ht="18.75" customHeight="1">
      <c r="B60" s="513"/>
      <c r="C60" s="513"/>
      <c r="D60" s="513"/>
      <c r="E60" s="513"/>
      <c r="F60" s="513"/>
      <c r="G60" s="513"/>
      <c r="H60" s="514"/>
      <c r="I60" s="514"/>
      <c r="J60" s="514"/>
      <c r="K60" s="514"/>
      <c r="L60" s="515"/>
      <c r="M60" s="515"/>
      <c r="N60" s="515"/>
      <c r="O60" s="513"/>
      <c r="P60" s="513"/>
      <c r="Q60" s="513"/>
      <c r="R60" s="513"/>
      <c r="S60" s="513"/>
      <c r="T60" s="513"/>
      <c r="U60" s="513"/>
      <c r="V60" s="513"/>
      <c r="W60" s="513"/>
      <c r="X60" s="513"/>
      <c r="Y60" s="513"/>
      <c r="Z60" s="513"/>
      <c r="AA60" s="513"/>
      <c r="AB60" s="513"/>
      <c r="AC60" s="513"/>
      <c r="AD60" s="513"/>
      <c r="AE60" s="513"/>
      <c r="AF60" s="513"/>
    </row>
    <row r="61" ht="18.75" customHeight="1">
      <c r="B61" s="513" t="str">
        <f>AI61</f>
        <v>CÔNG TY CỔ PHẦN VIỄN THÔNG DI ĐỘNG TOÀN CẦU</v>
      </c>
      <c r="C61" s="513"/>
      <c r="D61" s="513"/>
      <c r="E61" s="513"/>
      <c r="F61" s="513"/>
      <c r="G61" s="513"/>
      <c r="H61" s="514" t="str">
        <f>AK61</f>
        <v>TB2</v>
      </c>
      <c r="I61" s="514"/>
      <c r="J61" s="514"/>
      <c r="K61" s="514"/>
      <c r="L61" s="515">
        <v>2</v>
      </c>
      <c r="M61" s="515"/>
      <c r="N61" s="515"/>
      <c r="O61" s="556" t="str">
        <f>AN61</f>
        <v>4/4/4</v>
      </c>
      <c r="P61" s="513"/>
      <c r="Q61" s="513"/>
      <c r="R61" s="513" t="str">
        <f>IF(L61=3,AQ61&amp;"W/ "&amp;AR61&amp;"W/ "&amp;AS61&amp;"W",IF(L61=2,AQ61&amp;"W/ "&amp;AR61&amp;"W",AQ61&amp;"W"))</f>
        <v>30W/ 40W</v>
      </c>
      <c r="S61" s="513"/>
      <c r="T61" s="513"/>
      <c r="U61" s="513"/>
      <c r="V61" s="513"/>
      <c r="W61" s="513" t="str">
        <f>IF(AU61="900 &amp; 1800","900MHz &amp; 1800MHz",IF(AU61="900 &amp; 2100","900MHz &amp; 2100MHz",IF(AU61="1800 &amp; 2100","1800MHz &amp; 2100MHz",AU61&amp;"MHz")))</f>
        <v>9000 &amp; 2100MHz</v>
      </c>
      <c r="X61" s="513"/>
      <c r="Y61" s="513"/>
      <c r="Z61" s="513"/>
      <c r="AA61" s="513">
        <f>AV61</f>
        <v>15</v>
      </c>
      <c r="AB61" s="513"/>
      <c r="AC61" s="513"/>
      <c r="AD61" s="513"/>
      <c r="AE61" s="513"/>
      <c r="AF61" s="513"/>
      <c r="AI61" s="248" t="s">
        <v>21031</v>
      </c>
      <c r="AK61" s="248" t="s">
        <v>21290</v>
      </c>
      <c r="AL61" s="248"/>
      <c r="AN61" s="258" t="s">
        <v>21041</v>
      </c>
      <c r="AQ61" s="219">
        <v>30</v>
      </c>
      <c r="AR61" s="219">
        <v>40</v>
      </c>
      <c r="AS61" s="219">
        <v>40</v>
      </c>
      <c r="AU61" s="219" t="s">
        <v>21076</v>
      </c>
      <c r="AV61" s="219">
        <v>15</v>
      </c>
    </row>
    <row r="62" ht="18.75" customHeight="1">
      <c r="B62" s="513"/>
      <c r="C62" s="513"/>
      <c r="D62" s="513"/>
      <c r="E62" s="513"/>
      <c r="F62" s="513"/>
      <c r="G62" s="513"/>
      <c r="H62" s="514"/>
      <c r="I62" s="514"/>
      <c r="J62" s="514"/>
      <c r="K62" s="514"/>
      <c r="L62" s="515"/>
      <c r="M62" s="515"/>
      <c r="N62" s="515"/>
      <c r="O62" s="513"/>
      <c r="P62" s="513"/>
      <c r="Q62" s="513"/>
      <c r="R62" s="513"/>
      <c r="S62" s="513"/>
      <c r="T62" s="513"/>
      <c r="U62" s="513"/>
      <c r="V62" s="513"/>
      <c r="W62" s="513"/>
      <c r="X62" s="513"/>
      <c r="Y62" s="513"/>
      <c r="Z62" s="513"/>
      <c r="AA62" s="513"/>
      <c r="AB62" s="513"/>
      <c r="AC62" s="513"/>
      <c r="AD62" s="513"/>
      <c r="AE62" s="513"/>
      <c r="AF62" s="513"/>
    </row>
    <row r="63" ht="18.75" customHeight="1">
      <c r="B63" s="513"/>
      <c r="C63" s="513"/>
      <c r="D63" s="513"/>
      <c r="E63" s="513"/>
      <c r="F63" s="513"/>
      <c r="G63" s="513"/>
      <c r="H63" s="514"/>
      <c r="I63" s="514"/>
      <c r="J63" s="514"/>
      <c r="K63" s="514"/>
      <c r="L63" s="515"/>
      <c r="M63" s="515"/>
      <c r="N63" s="515"/>
      <c r="O63" s="513"/>
      <c r="P63" s="513"/>
      <c r="Q63" s="513"/>
      <c r="R63" s="513"/>
      <c r="S63" s="513"/>
      <c r="T63" s="513"/>
      <c r="U63" s="513"/>
      <c r="V63" s="513"/>
      <c r="W63" s="513"/>
      <c r="X63" s="513"/>
      <c r="Y63" s="513"/>
      <c r="Z63" s="513"/>
      <c r="AA63" s="513"/>
      <c r="AB63" s="513"/>
      <c r="AC63" s="513"/>
      <c r="AD63" s="513"/>
      <c r="AE63" s="513"/>
      <c r="AF63" s="513"/>
    </row>
    <row r="64" ht="18.75" customHeight="1">
      <c r="B64" s="513"/>
      <c r="C64" s="513"/>
      <c r="D64" s="513"/>
      <c r="E64" s="513"/>
      <c r="F64" s="513"/>
      <c r="G64" s="513"/>
      <c r="H64" s="514"/>
      <c r="I64" s="514"/>
      <c r="J64" s="514"/>
      <c r="K64" s="514"/>
      <c r="L64" s="515"/>
      <c r="M64" s="515"/>
      <c r="N64" s="515"/>
      <c r="O64" s="513"/>
      <c r="P64" s="513"/>
      <c r="Q64" s="513"/>
      <c r="R64" s="513"/>
      <c r="S64" s="513"/>
      <c r="T64" s="513"/>
      <c r="U64" s="513"/>
      <c r="V64" s="513"/>
      <c r="W64" s="513"/>
      <c r="X64" s="513"/>
      <c r="Y64" s="513"/>
      <c r="Z64" s="513"/>
      <c r="AA64" s="513"/>
      <c r="AB64" s="513"/>
      <c r="AC64" s="513"/>
      <c r="AD64" s="513"/>
      <c r="AE64" s="513"/>
      <c r="AF64" s="513"/>
    </row>
    <row r="65" ht="18.75" customHeight="1">
      <c r="B65" s="513" t="str">
        <f>AI65</f>
        <v>CÔNG TY CỔ PHẦN VIỄN THÔNG DI ĐỘNG TOÀN CẦU</v>
      </c>
      <c r="C65" s="513"/>
      <c r="D65" s="513"/>
      <c r="E65" s="513"/>
      <c r="F65" s="513"/>
      <c r="G65" s="513"/>
      <c r="H65" s="514" t="str">
        <f>AK65</f>
        <v>TB2</v>
      </c>
      <c r="I65" s="514"/>
      <c r="J65" s="514"/>
      <c r="K65" s="514"/>
      <c r="L65" s="515">
        <v>1</v>
      </c>
      <c r="M65" s="515"/>
      <c r="N65" s="515"/>
      <c r="O65" s="556" t="str">
        <f>AN65</f>
        <v>4/4/4</v>
      </c>
      <c r="P65" s="513"/>
      <c r="Q65" s="513"/>
      <c r="R65" s="513" t="str">
        <f>IF(L65=3,AQ65&amp;"W/ "&amp;AR65&amp;"W/ "&amp;AS65&amp;"W",IF(L65=2,AQ65&amp;"W/ "&amp;AR65&amp;"W",AQ65&amp;"W"))</f>
        <v>30W</v>
      </c>
      <c r="S65" s="513"/>
      <c r="T65" s="513"/>
      <c r="U65" s="513"/>
      <c r="V65" s="513"/>
      <c r="W65" s="513" t="str">
        <f>IF(AU65="900 &amp; 1800","900MHz &amp; 1800MHz",IF(AU65="900 &amp; 2100","900MHz &amp; 2100MHz",IF(AU65="1800 &amp; 2100","1800MHz &amp; 2100MHz",AU65&amp;"MHz")))</f>
        <v>1800MHz &amp; 2100MHz</v>
      </c>
      <c r="X65" s="513"/>
      <c r="Y65" s="513"/>
      <c r="Z65" s="513"/>
      <c r="AA65" s="513">
        <f>AV65</f>
        <v>15</v>
      </c>
      <c r="AB65" s="513"/>
      <c r="AC65" s="513"/>
      <c r="AD65" s="513"/>
      <c r="AE65" s="513"/>
      <c r="AF65" s="513"/>
      <c r="AI65" s="248" t="s">
        <v>21031</v>
      </c>
      <c r="AK65" s="248" t="s">
        <v>21290</v>
      </c>
      <c r="AL65" s="248"/>
      <c r="AN65" s="258" t="s">
        <v>21041</v>
      </c>
      <c r="AQ65" s="219">
        <v>30</v>
      </c>
      <c r="AR65" s="219">
        <v>40</v>
      </c>
      <c r="AS65" s="219">
        <v>40</v>
      </c>
      <c r="AU65" s="219" t="s">
        <v>21077</v>
      </c>
      <c r="AV65" s="219">
        <v>15</v>
      </c>
      <c r="AW65" s="219">
        <v>16</v>
      </c>
      <c r="AX65" s="219">
        <v>17</v>
      </c>
    </row>
    <row r="66" ht="18.75" customHeight="1">
      <c r="B66" s="513"/>
      <c r="C66" s="513"/>
      <c r="D66" s="513"/>
      <c r="E66" s="513"/>
      <c r="F66" s="513"/>
      <c r="G66" s="513"/>
      <c r="H66" s="514"/>
      <c r="I66" s="514"/>
      <c r="J66" s="514"/>
      <c r="K66" s="514"/>
      <c r="L66" s="515"/>
      <c r="M66" s="515"/>
      <c r="N66" s="515"/>
      <c r="O66" s="513"/>
      <c r="P66" s="513"/>
      <c r="Q66" s="513"/>
      <c r="R66" s="513"/>
      <c r="S66" s="513"/>
      <c r="T66" s="513"/>
      <c r="U66" s="513"/>
      <c r="V66" s="513"/>
      <c r="W66" s="513"/>
      <c r="X66" s="513"/>
      <c r="Y66" s="513"/>
      <c r="Z66" s="513"/>
      <c r="AA66" s="513"/>
      <c r="AB66" s="513"/>
      <c r="AC66" s="513"/>
      <c r="AD66" s="513"/>
      <c r="AE66" s="513"/>
      <c r="AF66" s="513"/>
    </row>
    <row r="67" ht="18.75" customHeight="1">
      <c r="B67" s="513"/>
      <c r="C67" s="513"/>
      <c r="D67" s="513"/>
      <c r="E67" s="513"/>
      <c r="F67" s="513"/>
      <c r="G67" s="513"/>
      <c r="H67" s="514"/>
      <c r="I67" s="514"/>
      <c r="J67" s="514"/>
      <c r="K67" s="514"/>
      <c r="L67" s="515"/>
      <c r="M67" s="515"/>
      <c r="N67" s="515"/>
      <c r="O67" s="513"/>
      <c r="P67" s="513"/>
      <c r="Q67" s="513"/>
      <c r="R67" s="513"/>
      <c r="S67" s="513"/>
      <c r="T67" s="513"/>
      <c r="U67" s="513"/>
      <c r="V67" s="513"/>
      <c r="W67" s="513"/>
      <c r="X67" s="513"/>
      <c r="Y67" s="513"/>
      <c r="Z67" s="513"/>
      <c r="AA67" s="513"/>
      <c r="AB67" s="513"/>
      <c r="AC67" s="513"/>
      <c r="AD67" s="513"/>
      <c r="AE67" s="513"/>
      <c r="AF67" s="513"/>
    </row>
    <row r="68" ht="18.75" customHeight="1">
      <c r="B68" s="513"/>
      <c r="C68" s="513"/>
      <c r="D68" s="513"/>
      <c r="E68" s="513"/>
      <c r="F68" s="513"/>
      <c r="G68" s="513"/>
      <c r="H68" s="514"/>
      <c r="I68" s="514"/>
      <c r="J68" s="514"/>
      <c r="K68" s="514"/>
      <c r="L68" s="515"/>
      <c r="M68" s="515"/>
      <c r="N68" s="515"/>
      <c r="O68" s="513"/>
      <c r="P68" s="513"/>
      <c r="Q68" s="513"/>
      <c r="R68" s="513"/>
      <c r="S68" s="513"/>
      <c r="T68" s="513"/>
      <c r="U68" s="513"/>
      <c r="V68" s="513"/>
      <c r="W68" s="513"/>
      <c r="X68" s="513"/>
      <c r="Y68" s="513"/>
      <c r="Z68" s="513"/>
      <c r="AA68" s="513"/>
      <c r="AB68" s="513"/>
      <c r="AC68" s="513"/>
      <c r="AD68" s="513"/>
      <c r="AE68" s="513"/>
      <c r="AF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2020-09-22T04:58:08Z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